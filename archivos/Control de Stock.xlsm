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E:\Documentos\Proyectos e Innovación\Herramientas de un Administrador\"/>
    </mc:Choice>
  </mc:AlternateContent>
  <bookViews>
    <workbookView xWindow="2925" yWindow="0" windowWidth="19515" windowHeight="8235" activeTab="1"/>
  </bookViews>
  <sheets>
    <sheet name="Movimientos" sheetId="1" r:id="rId1"/>
    <sheet name="Stocks" sheetId="2" r:id="rId2"/>
    <sheet name="Codificación" sheetId="3" r:id="rId3"/>
    <sheet name="Base de Datos" sheetId="4" r:id="rId4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8" i="2" l="1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F4" i="2" l="1"/>
  <c r="G4" i="2"/>
  <c r="H4" i="2"/>
  <c r="I4" i="2"/>
  <c r="J4" i="2"/>
  <c r="K4" i="2"/>
  <c r="L4" i="2"/>
  <c r="F5" i="2"/>
  <c r="G5" i="2"/>
  <c r="H5" i="2"/>
  <c r="I5" i="2"/>
  <c r="J5" i="2"/>
  <c r="K5" i="2"/>
  <c r="L5" i="2"/>
  <c r="F6" i="2"/>
  <c r="G6" i="2"/>
  <c r="H6" i="2"/>
  <c r="I6" i="2"/>
  <c r="J6" i="2"/>
  <c r="K6" i="2"/>
  <c r="L6" i="2"/>
  <c r="F7" i="2"/>
  <c r="G7" i="2"/>
  <c r="H7" i="2"/>
  <c r="I7" i="2"/>
  <c r="J7" i="2"/>
  <c r="K7" i="2"/>
  <c r="L7" i="2"/>
  <c r="F8" i="2"/>
  <c r="G8" i="2"/>
  <c r="H8" i="2"/>
  <c r="I8" i="2"/>
  <c r="J8" i="2"/>
  <c r="K8" i="2"/>
  <c r="L8" i="2"/>
  <c r="F9" i="2"/>
  <c r="G9" i="2"/>
  <c r="H9" i="2"/>
  <c r="I9" i="2"/>
  <c r="J9" i="2"/>
  <c r="K9" i="2"/>
  <c r="L9" i="2"/>
  <c r="F369" i="2"/>
  <c r="G369" i="2"/>
  <c r="H369" i="2"/>
  <c r="I369" i="2"/>
  <c r="J369" i="2"/>
  <c r="K369" i="2"/>
  <c r="L369" i="2"/>
  <c r="F370" i="2"/>
  <c r="G370" i="2"/>
  <c r="H370" i="2"/>
  <c r="I370" i="2"/>
  <c r="J370" i="2"/>
  <c r="K370" i="2"/>
  <c r="L370" i="2"/>
  <c r="F371" i="2"/>
  <c r="G371" i="2"/>
  <c r="H371" i="2"/>
  <c r="I371" i="2"/>
  <c r="J371" i="2"/>
  <c r="K371" i="2"/>
  <c r="L371" i="2"/>
  <c r="F372" i="2"/>
  <c r="G372" i="2"/>
  <c r="H372" i="2"/>
  <c r="I372" i="2"/>
  <c r="J372" i="2"/>
  <c r="K372" i="2"/>
  <c r="L372" i="2"/>
  <c r="F373" i="2"/>
  <c r="G373" i="2"/>
  <c r="H373" i="2"/>
  <c r="I373" i="2"/>
  <c r="J373" i="2"/>
  <c r="K373" i="2"/>
  <c r="L373" i="2"/>
  <c r="F374" i="2"/>
  <c r="G374" i="2"/>
  <c r="H374" i="2"/>
  <c r="I374" i="2"/>
  <c r="J374" i="2"/>
  <c r="K374" i="2"/>
  <c r="L374" i="2"/>
  <c r="F375" i="2"/>
  <c r="G375" i="2"/>
  <c r="H375" i="2"/>
  <c r="I375" i="2"/>
  <c r="J375" i="2"/>
  <c r="K375" i="2"/>
  <c r="L375" i="2"/>
  <c r="F376" i="2"/>
  <c r="G376" i="2"/>
  <c r="H376" i="2"/>
  <c r="I376" i="2"/>
  <c r="J376" i="2"/>
  <c r="K376" i="2"/>
  <c r="L376" i="2"/>
  <c r="F377" i="2"/>
  <c r="G377" i="2"/>
  <c r="H377" i="2"/>
  <c r="I377" i="2"/>
  <c r="J377" i="2"/>
  <c r="K377" i="2"/>
  <c r="L377" i="2"/>
  <c r="F378" i="2"/>
  <c r="G378" i="2"/>
  <c r="H378" i="2"/>
  <c r="I378" i="2"/>
  <c r="J378" i="2"/>
  <c r="K378" i="2"/>
  <c r="L378" i="2"/>
  <c r="F379" i="2"/>
  <c r="G379" i="2"/>
  <c r="H379" i="2"/>
  <c r="I379" i="2"/>
  <c r="J379" i="2"/>
  <c r="K379" i="2"/>
  <c r="L379" i="2"/>
  <c r="F380" i="2"/>
  <c r="G380" i="2"/>
  <c r="H380" i="2"/>
  <c r="I380" i="2"/>
  <c r="J380" i="2"/>
  <c r="K380" i="2"/>
  <c r="L380" i="2"/>
  <c r="F381" i="2"/>
  <c r="G381" i="2"/>
  <c r="H381" i="2"/>
  <c r="I381" i="2"/>
  <c r="J381" i="2"/>
  <c r="K381" i="2"/>
  <c r="L381" i="2"/>
  <c r="F382" i="2"/>
  <c r="G382" i="2"/>
  <c r="H382" i="2"/>
  <c r="I382" i="2"/>
  <c r="J382" i="2"/>
  <c r="K382" i="2"/>
  <c r="L382" i="2"/>
  <c r="F383" i="2"/>
  <c r="G383" i="2"/>
  <c r="H383" i="2"/>
  <c r="I383" i="2"/>
  <c r="J383" i="2"/>
  <c r="K383" i="2"/>
  <c r="L383" i="2"/>
  <c r="F384" i="2"/>
  <c r="G384" i="2"/>
  <c r="H384" i="2"/>
  <c r="I384" i="2"/>
  <c r="J384" i="2"/>
  <c r="K384" i="2"/>
  <c r="L384" i="2"/>
  <c r="F385" i="2"/>
  <c r="G385" i="2"/>
  <c r="H385" i="2"/>
  <c r="I385" i="2"/>
  <c r="J385" i="2"/>
  <c r="K385" i="2"/>
  <c r="L385" i="2"/>
  <c r="F386" i="2"/>
  <c r="G386" i="2"/>
  <c r="H386" i="2"/>
  <c r="I386" i="2"/>
  <c r="J386" i="2"/>
  <c r="K386" i="2"/>
  <c r="L386" i="2"/>
  <c r="F387" i="2"/>
  <c r="G387" i="2"/>
  <c r="H387" i="2"/>
  <c r="I387" i="2"/>
  <c r="J387" i="2"/>
  <c r="K387" i="2"/>
  <c r="L387" i="2"/>
  <c r="F388" i="2"/>
  <c r="G388" i="2"/>
  <c r="H388" i="2"/>
  <c r="I388" i="2"/>
  <c r="J388" i="2"/>
  <c r="K388" i="2"/>
  <c r="L388" i="2"/>
  <c r="F389" i="2"/>
  <c r="G389" i="2"/>
  <c r="H389" i="2"/>
  <c r="I389" i="2"/>
  <c r="J389" i="2"/>
  <c r="K389" i="2"/>
  <c r="L389" i="2"/>
  <c r="F390" i="2"/>
  <c r="G390" i="2"/>
  <c r="H390" i="2"/>
  <c r="I390" i="2"/>
  <c r="J390" i="2"/>
  <c r="K390" i="2"/>
  <c r="L390" i="2"/>
  <c r="F391" i="2"/>
  <c r="G391" i="2"/>
  <c r="H391" i="2"/>
  <c r="I391" i="2"/>
  <c r="J391" i="2"/>
  <c r="K391" i="2"/>
  <c r="L391" i="2"/>
  <c r="F392" i="2"/>
  <c r="G392" i="2"/>
  <c r="H392" i="2"/>
  <c r="I392" i="2"/>
  <c r="J392" i="2"/>
  <c r="K392" i="2"/>
  <c r="L392" i="2"/>
  <c r="F393" i="2"/>
  <c r="G393" i="2"/>
  <c r="H393" i="2"/>
  <c r="I393" i="2"/>
  <c r="J393" i="2"/>
  <c r="K393" i="2"/>
  <c r="L393" i="2"/>
  <c r="F394" i="2"/>
  <c r="G394" i="2"/>
  <c r="H394" i="2"/>
  <c r="I394" i="2"/>
  <c r="J394" i="2"/>
  <c r="K394" i="2"/>
  <c r="L394" i="2"/>
  <c r="E5" i="2"/>
  <c r="E6" i="2"/>
  <c r="E7" i="2"/>
  <c r="E369" i="2"/>
  <c r="E370" i="2"/>
  <c r="E371" i="2"/>
  <c r="E372" i="2"/>
  <c r="E373" i="2"/>
  <c r="E374" i="2"/>
  <c r="E375" i="2"/>
  <c r="E376" i="2"/>
  <c r="E377" i="2"/>
  <c r="E378" i="2"/>
  <c r="E379" i="2"/>
  <c r="E380" i="2"/>
  <c r="E381" i="2"/>
  <c r="E382" i="2"/>
  <c r="E383" i="2"/>
  <c r="E384" i="2"/>
  <c r="E385" i="2"/>
  <c r="E386" i="2"/>
  <c r="E387" i="2"/>
  <c r="E388" i="2"/>
  <c r="E389" i="2"/>
  <c r="E390" i="2"/>
  <c r="E391" i="2"/>
  <c r="E392" i="2"/>
  <c r="E393" i="2"/>
  <c r="E394" i="2"/>
  <c r="E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394" i="2"/>
  <c r="B4" i="2"/>
  <c r="A5" i="2"/>
  <c r="A6" i="2"/>
  <c r="A7" i="2"/>
  <c r="A8" i="2"/>
  <c r="A9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4" i="2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7" i="1"/>
  <c r="D8" i="1"/>
  <c r="D6" i="1"/>
  <c r="A5" i="3"/>
  <c r="A6" i="3"/>
  <c r="A7" i="3"/>
  <c r="A8" i="3"/>
  <c r="A9" i="3"/>
  <c r="A10" i="2" s="1"/>
  <c r="A10" i="3"/>
  <c r="A11" i="2" s="1"/>
  <c r="A11" i="3"/>
  <c r="A12" i="2" s="1"/>
  <c r="A12" i="3"/>
  <c r="A13" i="2" s="1"/>
  <c r="A13" i="3"/>
  <c r="A14" i="2" s="1"/>
  <c r="A14" i="3"/>
  <c r="A15" i="2" s="1"/>
  <c r="A15" i="3"/>
  <c r="A16" i="2" s="1"/>
  <c r="A16" i="3"/>
  <c r="A17" i="2" s="1"/>
  <c r="A17" i="3"/>
  <c r="A18" i="2" s="1"/>
  <c r="A18" i="3"/>
  <c r="A19" i="2" s="1"/>
  <c r="A19" i="3"/>
  <c r="A20" i="2" s="1"/>
  <c r="A20" i="3"/>
  <c r="A21" i="2" s="1"/>
  <c r="A21" i="3"/>
  <c r="A22" i="2" s="1"/>
  <c r="A22" i="3"/>
  <c r="A23" i="2" s="1"/>
  <c r="A23" i="3"/>
  <c r="A24" i="2" s="1"/>
  <c r="A24" i="3"/>
  <c r="A25" i="2" s="1"/>
  <c r="A25" i="3"/>
  <c r="A26" i="2" s="1"/>
  <c r="A26" i="3"/>
  <c r="A27" i="2" s="1"/>
  <c r="A27" i="3"/>
  <c r="A28" i="2" s="1"/>
  <c r="A28" i="3"/>
  <c r="A29" i="2" s="1"/>
  <c r="A29" i="3"/>
  <c r="A30" i="2" s="1"/>
  <c r="A30" i="3"/>
  <c r="A31" i="2" s="1"/>
  <c r="A31" i="3"/>
  <c r="A32" i="2" s="1"/>
  <c r="A32" i="3"/>
  <c r="A33" i="2" s="1"/>
  <c r="A33" i="3"/>
  <c r="A34" i="2" s="1"/>
  <c r="A34" i="3"/>
  <c r="A35" i="2" s="1"/>
  <c r="A35" i="3"/>
  <c r="A36" i="2" s="1"/>
  <c r="A36" i="3"/>
  <c r="A37" i="2" s="1"/>
  <c r="A37" i="3"/>
  <c r="A38" i="2" s="1"/>
  <c r="A38" i="3"/>
  <c r="A39" i="2" s="1"/>
  <c r="A39" i="3"/>
  <c r="A40" i="2" s="1"/>
  <c r="A40" i="3"/>
  <c r="A41" i="2" s="1"/>
  <c r="A41" i="3"/>
  <c r="A42" i="2" s="1"/>
  <c r="A42" i="3"/>
  <c r="A43" i="2" s="1"/>
  <c r="A43" i="3"/>
  <c r="A44" i="2" s="1"/>
  <c r="A44" i="3"/>
  <c r="A45" i="2" s="1"/>
  <c r="A45" i="3"/>
  <c r="A46" i="2" s="1"/>
  <c r="A46" i="3"/>
  <c r="A47" i="2" s="1"/>
  <c r="A47" i="3"/>
  <c r="A48" i="2" s="1"/>
  <c r="A48" i="3"/>
  <c r="A49" i="2" s="1"/>
  <c r="A49" i="3"/>
  <c r="A50" i="2" s="1"/>
  <c r="A50" i="3"/>
  <c r="A51" i="2" s="1"/>
  <c r="A51" i="3"/>
  <c r="A52" i="2" s="1"/>
  <c r="A52" i="3"/>
  <c r="A53" i="2" s="1"/>
  <c r="A53" i="3"/>
  <c r="A54" i="2" s="1"/>
  <c r="A54" i="3"/>
  <c r="A55" i="2" s="1"/>
  <c r="A55" i="3"/>
  <c r="A56" i="2" s="1"/>
  <c r="A56" i="3"/>
  <c r="A57" i="2" s="1"/>
  <c r="A57" i="3"/>
  <c r="A58" i="2" s="1"/>
  <c r="A58" i="3"/>
  <c r="A59" i="2" s="1"/>
  <c r="A59" i="3"/>
  <c r="A60" i="2" s="1"/>
  <c r="A60" i="3"/>
  <c r="A61" i="2" s="1"/>
  <c r="A61" i="3"/>
  <c r="A62" i="2" s="1"/>
  <c r="A62" i="3"/>
  <c r="A63" i="2" s="1"/>
  <c r="A63" i="3"/>
  <c r="A64" i="2" s="1"/>
  <c r="A64" i="3"/>
  <c r="A65" i="2" s="1"/>
  <c r="A65" i="3"/>
  <c r="A66" i="2" s="1"/>
  <c r="A66" i="3"/>
  <c r="A67" i="2" s="1"/>
  <c r="A67" i="3"/>
  <c r="A68" i="2" s="1"/>
  <c r="A68" i="3"/>
  <c r="A69" i="2" s="1"/>
  <c r="A69" i="3"/>
  <c r="A70" i="2" s="1"/>
  <c r="A70" i="3"/>
  <c r="A71" i="2" s="1"/>
  <c r="A71" i="3"/>
  <c r="A72" i="2" s="1"/>
  <c r="A72" i="3"/>
  <c r="A73" i="2" s="1"/>
  <c r="A73" i="3"/>
  <c r="A74" i="2" s="1"/>
  <c r="A74" i="3"/>
  <c r="A75" i="2" s="1"/>
  <c r="A75" i="3"/>
  <c r="A76" i="2" s="1"/>
  <c r="A76" i="3"/>
  <c r="A77" i="2" s="1"/>
  <c r="A77" i="3"/>
  <c r="A78" i="2" s="1"/>
  <c r="A78" i="3"/>
  <c r="A79" i="2" s="1"/>
  <c r="A79" i="3"/>
  <c r="A80" i="2" s="1"/>
  <c r="A80" i="3"/>
  <c r="A81" i="2" s="1"/>
  <c r="A81" i="3"/>
  <c r="A82" i="2" s="1"/>
  <c r="A82" i="3"/>
  <c r="A83" i="2" s="1"/>
  <c r="A83" i="3"/>
  <c r="A84" i="2" s="1"/>
  <c r="A84" i="3"/>
  <c r="A85" i="2" s="1"/>
  <c r="A85" i="3"/>
  <c r="A86" i="2" s="1"/>
  <c r="A86" i="3"/>
  <c r="A87" i="2" s="1"/>
  <c r="A87" i="3"/>
  <c r="A88" i="2" s="1"/>
  <c r="A88" i="3"/>
  <c r="A89" i="2" s="1"/>
  <c r="A89" i="3"/>
  <c r="A90" i="2" s="1"/>
  <c r="A90" i="3"/>
  <c r="A91" i="2" s="1"/>
  <c r="A91" i="3"/>
  <c r="A92" i="2" s="1"/>
  <c r="A92" i="3"/>
  <c r="A93" i="2" s="1"/>
  <c r="A93" i="3"/>
  <c r="A94" i="2" s="1"/>
  <c r="A94" i="3"/>
  <c r="A95" i="2" s="1"/>
  <c r="A95" i="3"/>
  <c r="A96" i="2" s="1"/>
  <c r="A96" i="3"/>
  <c r="A97" i="2" s="1"/>
  <c r="A97" i="3"/>
  <c r="A98" i="2" s="1"/>
  <c r="A98" i="3"/>
  <c r="A99" i="2" s="1"/>
  <c r="A99" i="3"/>
  <c r="A100" i="2" s="1"/>
  <c r="A100" i="3"/>
  <c r="A101" i="2" s="1"/>
  <c r="A101" i="3"/>
  <c r="A102" i="2" s="1"/>
  <c r="A102" i="3"/>
  <c r="A103" i="2" s="1"/>
  <c r="A103" i="3"/>
  <c r="A104" i="2" s="1"/>
  <c r="A104" i="3"/>
  <c r="A105" i="2" s="1"/>
  <c r="A105" i="3"/>
  <c r="A106" i="2" s="1"/>
  <c r="A106" i="3"/>
  <c r="A107" i="2" s="1"/>
  <c r="A107" i="3"/>
  <c r="A108" i="2" s="1"/>
  <c r="A108" i="3"/>
  <c r="A109" i="2" s="1"/>
  <c r="A109" i="3"/>
  <c r="A110" i="2" s="1"/>
  <c r="A110" i="3"/>
  <c r="A111" i="2" s="1"/>
  <c r="A111" i="3"/>
  <c r="A112" i="2" s="1"/>
  <c r="A112" i="3"/>
  <c r="A113" i="2" s="1"/>
  <c r="A113" i="3"/>
  <c r="A114" i="2" s="1"/>
  <c r="A114" i="3"/>
  <c r="A115" i="2" s="1"/>
  <c r="A115" i="3"/>
  <c r="A116" i="2" s="1"/>
  <c r="A116" i="3"/>
  <c r="A117" i="2" s="1"/>
  <c r="A117" i="3"/>
  <c r="A118" i="2" s="1"/>
  <c r="A118" i="3"/>
  <c r="A119" i="2" s="1"/>
  <c r="A119" i="3"/>
  <c r="A120" i="2" s="1"/>
  <c r="A120" i="3"/>
  <c r="A121" i="2" s="1"/>
  <c r="A121" i="3"/>
  <c r="A122" i="2" s="1"/>
  <c r="A122" i="3"/>
  <c r="A123" i="2" s="1"/>
  <c r="A123" i="3"/>
  <c r="A124" i="2" s="1"/>
  <c r="A124" i="3"/>
  <c r="A125" i="2" s="1"/>
  <c r="A125" i="3"/>
  <c r="A126" i="2" s="1"/>
  <c r="A126" i="3"/>
  <c r="A127" i="2" s="1"/>
  <c r="A127" i="3"/>
  <c r="A128" i="2" s="1"/>
  <c r="A128" i="3"/>
  <c r="A129" i="2" s="1"/>
  <c r="A129" i="3"/>
  <c r="A130" i="2" s="1"/>
  <c r="A130" i="3"/>
  <c r="A131" i="2" s="1"/>
  <c r="A131" i="3"/>
  <c r="A132" i="2" s="1"/>
  <c r="A132" i="3"/>
  <c r="A133" i="2" s="1"/>
  <c r="A133" i="3"/>
  <c r="A134" i="2" s="1"/>
  <c r="A134" i="3"/>
  <c r="A135" i="2" s="1"/>
  <c r="A135" i="3"/>
  <c r="A136" i="2" s="1"/>
  <c r="A136" i="3"/>
  <c r="A137" i="2" s="1"/>
  <c r="A137" i="3"/>
  <c r="A138" i="2" s="1"/>
  <c r="A138" i="3"/>
  <c r="A139" i="2" s="1"/>
  <c r="A139" i="3"/>
  <c r="A140" i="2" s="1"/>
  <c r="A140" i="3"/>
  <c r="A141" i="2" s="1"/>
  <c r="A141" i="3"/>
  <c r="A142" i="2" s="1"/>
  <c r="A142" i="3"/>
  <c r="A143" i="2" s="1"/>
  <c r="A143" i="3"/>
  <c r="A144" i="2" s="1"/>
  <c r="A144" i="3"/>
  <c r="A145" i="2" s="1"/>
  <c r="A145" i="3"/>
  <c r="A146" i="2" s="1"/>
  <c r="A146" i="3"/>
  <c r="A147" i="2" s="1"/>
  <c r="A147" i="3"/>
  <c r="A148" i="2" s="1"/>
  <c r="A148" i="3"/>
  <c r="A149" i="2" s="1"/>
  <c r="A149" i="3"/>
  <c r="A150" i="2" s="1"/>
  <c r="A150" i="3"/>
  <c r="A151" i="2" s="1"/>
  <c r="A151" i="3"/>
  <c r="A152" i="2" s="1"/>
  <c r="A152" i="3"/>
  <c r="A153" i="2" s="1"/>
  <c r="A153" i="3"/>
  <c r="A154" i="2" s="1"/>
  <c r="A154" i="3"/>
  <c r="A155" i="2" s="1"/>
  <c r="A155" i="3"/>
  <c r="A156" i="2" s="1"/>
  <c r="A156" i="3"/>
  <c r="A157" i="2" s="1"/>
  <c r="A157" i="3"/>
  <c r="A158" i="2" s="1"/>
  <c r="A158" i="3"/>
  <c r="A159" i="2" s="1"/>
  <c r="A159" i="3"/>
  <c r="A160" i="2" s="1"/>
  <c r="A160" i="3"/>
  <c r="A161" i="2" s="1"/>
  <c r="A161" i="3"/>
  <c r="A162" i="2" s="1"/>
  <c r="A162" i="3"/>
  <c r="A163" i="2" s="1"/>
  <c r="A163" i="3"/>
  <c r="A164" i="2" s="1"/>
  <c r="A164" i="3"/>
  <c r="A165" i="2" s="1"/>
  <c r="A165" i="3"/>
  <c r="A166" i="2" s="1"/>
  <c r="A166" i="3"/>
  <c r="A167" i="2" s="1"/>
  <c r="A167" i="3"/>
  <c r="A168" i="2" s="1"/>
  <c r="A168" i="3"/>
  <c r="A169" i="2" s="1"/>
  <c r="A169" i="3"/>
  <c r="A170" i="2" s="1"/>
  <c r="A170" i="3"/>
  <c r="A171" i="2" s="1"/>
  <c r="A171" i="3"/>
  <c r="A172" i="2" s="1"/>
  <c r="A172" i="3"/>
  <c r="A173" i="2" s="1"/>
  <c r="A173" i="3"/>
  <c r="A174" i="2" s="1"/>
  <c r="A174" i="3"/>
  <c r="A175" i="2" s="1"/>
  <c r="A175" i="3"/>
  <c r="A176" i="2" s="1"/>
  <c r="A176" i="3"/>
  <c r="A177" i="2" s="1"/>
  <c r="A177" i="3"/>
  <c r="A178" i="2" s="1"/>
  <c r="A178" i="3"/>
  <c r="A179" i="2" s="1"/>
  <c r="A179" i="3"/>
  <c r="A180" i="2" s="1"/>
  <c r="A180" i="3"/>
  <c r="A181" i="2" s="1"/>
  <c r="A181" i="3"/>
  <c r="A182" i="2" s="1"/>
  <c r="A182" i="3"/>
  <c r="A183" i="2" s="1"/>
  <c r="A183" i="3"/>
  <c r="A184" i="2" s="1"/>
  <c r="A184" i="3"/>
  <c r="A185" i="2" s="1"/>
  <c r="A185" i="3"/>
  <c r="A186" i="2" s="1"/>
  <c r="A186" i="3"/>
  <c r="A187" i="2" s="1"/>
  <c r="A187" i="3"/>
  <c r="A188" i="2" s="1"/>
  <c r="A188" i="3"/>
  <c r="A189" i="2" s="1"/>
  <c r="A189" i="3"/>
  <c r="A190" i="2" s="1"/>
  <c r="A190" i="3"/>
  <c r="A191" i="2" s="1"/>
  <c r="A191" i="3"/>
  <c r="A192" i="2" s="1"/>
  <c r="A192" i="3"/>
  <c r="A193" i="2" s="1"/>
  <c r="A193" i="3"/>
  <c r="A194" i="2" s="1"/>
  <c r="A194" i="3"/>
  <c r="A195" i="2" s="1"/>
  <c r="A195" i="3"/>
  <c r="A196" i="2" s="1"/>
  <c r="A196" i="3"/>
  <c r="A197" i="2" s="1"/>
  <c r="A197" i="3"/>
  <c r="A198" i="2" s="1"/>
  <c r="A198" i="3"/>
  <c r="A199" i="2" s="1"/>
  <c r="A199" i="3"/>
  <c r="A200" i="2" s="1"/>
  <c r="A200" i="3"/>
  <c r="A201" i="2" s="1"/>
  <c r="A201" i="3"/>
  <c r="A202" i="2" s="1"/>
  <c r="A202" i="3"/>
  <c r="A203" i="2" s="1"/>
  <c r="A203" i="3"/>
  <c r="A204" i="2" s="1"/>
  <c r="A204" i="3"/>
  <c r="A205" i="2" s="1"/>
  <c r="A205" i="3"/>
  <c r="A206" i="2" s="1"/>
  <c r="A206" i="3"/>
  <c r="A207" i="2" s="1"/>
  <c r="A207" i="3"/>
  <c r="A208" i="2" s="1"/>
  <c r="A208" i="3"/>
  <c r="A209" i="2" s="1"/>
  <c r="A209" i="3"/>
  <c r="A210" i="2" s="1"/>
  <c r="A210" i="3"/>
  <c r="A211" i="2" s="1"/>
  <c r="A211" i="3"/>
  <c r="A212" i="2" s="1"/>
  <c r="A212" i="3"/>
  <c r="A213" i="2" s="1"/>
  <c r="A213" i="3"/>
  <c r="A214" i="2" s="1"/>
  <c r="A214" i="3"/>
  <c r="A215" i="2" s="1"/>
  <c r="A215" i="3"/>
  <c r="A216" i="2" s="1"/>
  <c r="A216" i="3"/>
  <c r="A217" i="2" s="1"/>
  <c r="A217" i="3"/>
  <c r="A218" i="2" s="1"/>
  <c r="A218" i="3"/>
  <c r="A219" i="2" s="1"/>
  <c r="A219" i="3"/>
  <c r="A220" i="2" s="1"/>
  <c r="A220" i="3"/>
  <c r="A221" i="2" s="1"/>
  <c r="A221" i="3"/>
  <c r="A222" i="2" s="1"/>
  <c r="A222" i="3"/>
  <c r="A223" i="2" s="1"/>
  <c r="A223" i="3"/>
  <c r="A224" i="2" s="1"/>
  <c r="A224" i="3"/>
  <c r="A225" i="2" s="1"/>
  <c r="A225" i="3"/>
  <c r="A226" i="2" s="1"/>
  <c r="A226" i="3"/>
  <c r="A227" i="2" s="1"/>
  <c r="A227" i="3"/>
  <c r="A228" i="2" s="1"/>
  <c r="A228" i="3"/>
  <c r="A229" i="2" s="1"/>
  <c r="A229" i="3"/>
  <c r="A230" i="2" s="1"/>
  <c r="A230" i="3"/>
  <c r="A231" i="2" s="1"/>
  <c r="A231" i="3"/>
  <c r="A232" i="2" s="1"/>
  <c r="A232" i="3"/>
  <c r="A233" i="2" s="1"/>
  <c r="A233" i="3"/>
  <c r="A234" i="2" s="1"/>
  <c r="A234" i="3"/>
  <c r="A235" i="2" s="1"/>
  <c r="A235" i="3"/>
  <c r="A236" i="2" s="1"/>
  <c r="A236" i="3"/>
  <c r="A237" i="2" s="1"/>
  <c r="A237" i="3"/>
  <c r="A238" i="2" s="1"/>
  <c r="A238" i="3"/>
  <c r="A239" i="2" s="1"/>
  <c r="A239" i="3"/>
  <c r="A240" i="2" s="1"/>
  <c r="A240" i="3"/>
  <c r="A241" i="2" s="1"/>
  <c r="A241" i="3"/>
  <c r="A242" i="2" s="1"/>
  <c r="A242" i="3"/>
  <c r="A243" i="2" s="1"/>
  <c r="A243" i="3"/>
  <c r="A244" i="2" s="1"/>
  <c r="A244" i="3"/>
  <c r="A245" i="2" s="1"/>
  <c r="A245" i="3"/>
  <c r="A246" i="2" s="1"/>
  <c r="A246" i="3"/>
  <c r="A247" i="2" s="1"/>
  <c r="A247" i="3"/>
  <c r="A248" i="2" s="1"/>
  <c r="A248" i="3"/>
  <c r="A249" i="2" s="1"/>
  <c r="A249" i="3"/>
  <c r="A250" i="2" s="1"/>
  <c r="A250" i="3"/>
  <c r="A251" i="2" s="1"/>
  <c r="A251" i="3"/>
  <c r="A252" i="2" s="1"/>
  <c r="A252" i="3"/>
  <c r="A253" i="2" s="1"/>
  <c r="A253" i="3"/>
  <c r="A254" i="2" s="1"/>
  <c r="A254" i="3"/>
  <c r="A255" i="2" s="1"/>
  <c r="A255" i="3"/>
  <c r="A256" i="2" s="1"/>
  <c r="A256" i="3"/>
  <c r="A257" i="2" s="1"/>
  <c r="A257" i="3"/>
  <c r="A258" i="2" s="1"/>
  <c r="A258" i="3"/>
  <c r="A259" i="2" s="1"/>
  <c r="A259" i="3"/>
  <c r="A260" i="2" s="1"/>
  <c r="A260" i="3"/>
  <c r="A261" i="2" s="1"/>
  <c r="A261" i="3"/>
  <c r="A262" i="2" s="1"/>
  <c r="A262" i="3"/>
  <c r="A263" i="2" s="1"/>
  <c r="A263" i="3"/>
  <c r="A264" i="2" s="1"/>
  <c r="A264" i="3"/>
  <c r="A265" i="2" s="1"/>
  <c r="A265" i="3"/>
  <c r="A266" i="2" s="1"/>
  <c r="A266" i="3"/>
  <c r="A267" i="2" s="1"/>
  <c r="A267" i="3"/>
  <c r="A268" i="2" s="1"/>
  <c r="A268" i="3"/>
  <c r="A269" i="2" s="1"/>
  <c r="A269" i="3"/>
  <c r="A270" i="2" s="1"/>
  <c r="A270" i="3"/>
  <c r="A271" i="2" s="1"/>
  <c r="A271" i="3"/>
  <c r="A272" i="2" s="1"/>
  <c r="A272" i="3"/>
  <c r="A273" i="2" s="1"/>
  <c r="A273" i="3"/>
  <c r="A274" i="2" s="1"/>
  <c r="A274" i="3"/>
  <c r="A275" i="2" s="1"/>
  <c r="A275" i="3"/>
  <c r="A276" i="2" s="1"/>
  <c r="A276" i="3"/>
  <c r="A277" i="2" s="1"/>
  <c r="A277" i="3"/>
  <c r="A278" i="2" s="1"/>
  <c r="A278" i="3"/>
  <c r="A279" i="2" s="1"/>
  <c r="A279" i="3"/>
  <c r="A280" i="2" s="1"/>
  <c r="A280" i="3"/>
  <c r="A281" i="2" s="1"/>
  <c r="A281" i="3"/>
  <c r="A282" i="2" s="1"/>
  <c r="A282" i="3"/>
  <c r="A283" i="2" s="1"/>
  <c r="A283" i="3"/>
  <c r="A284" i="2" s="1"/>
  <c r="A284" i="3"/>
  <c r="A285" i="2" s="1"/>
  <c r="A285" i="3"/>
  <c r="A286" i="2" s="1"/>
  <c r="A286" i="3"/>
  <c r="A287" i="2" s="1"/>
  <c r="A287" i="3"/>
  <c r="A288" i="2" s="1"/>
  <c r="A288" i="3"/>
  <c r="A289" i="2" s="1"/>
  <c r="A289" i="3"/>
  <c r="A290" i="2" s="1"/>
  <c r="A290" i="3"/>
  <c r="A291" i="2" s="1"/>
  <c r="A291" i="3"/>
  <c r="A292" i="2" s="1"/>
  <c r="A292" i="3"/>
  <c r="A293" i="2" s="1"/>
  <c r="A293" i="3"/>
  <c r="A294" i="2" s="1"/>
  <c r="A294" i="3"/>
  <c r="A295" i="2" s="1"/>
  <c r="A295" i="3"/>
  <c r="A296" i="2" s="1"/>
  <c r="A296" i="3"/>
  <c r="A297" i="2" s="1"/>
  <c r="A297" i="3"/>
  <c r="A298" i="2" s="1"/>
  <c r="A298" i="3"/>
  <c r="A299" i="2" s="1"/>
  <c r="A299" i="3"/>
  <c r="A300" i="2" s="1"/>
  <c r="A300" i="3"/>
  <c r="A301" i="2" s="1"/>
  <c r="A301" i="3"/>
  <c r="A302" i="2" s="1"/>
  <c r="A302" i="3"/>
  <c r="A303" i="2" s="1"/>
  <c r="A303" i="3"/>
  <c r="A304" i="2" s="1"/>
  <c r="A304" i="3"/>
  <c r="A305" i="2" s="1"/>
  <c r="A305" i="3"/>
  <c r="A306" i="2" s="1"/>
  <c r="A306" i="3"/>
  <c r="A307" i="2" s="1"/>
  <c r="A307" i="3"/>
  <c r="A308" i="2" s="1"/>
  <c r="A308" i="3"/>
  <c r="A309" i="2" s="1"/>
  <c r="A309" i="3"/>
  <c r="A310" i="2" s="1"/>
  <c r="A310" i="3"/>
  <c r="A311" i="2" s="1"/>
  <c r="A311" i="3"/>
  <c r="A312" i="2" s="1"/>
  <c r="A312" i="3"/>
  <c r="A313" i="2" s="1"/>
  <c r="A313" i="3"/>
  <c r="A314" i="2" s="1"/>
  <c r="A314" i="3"/>
  <c r="A315" i="2" s="1"/>
  <c r="A315" i="3"/>
  <c r="A316" i="2" s="1"/>
  <c r="A316" i="3"/>
  <c r="A317" i="2" s="1"/>
  <c r="A317" i="3"/>
  <c r="A318" i="2" s="1"/>
  <c r="A318" i="3"/>
  <c r="A319" i="2" s="1"/>
  <c r="A319" i="3"/>
  <c r="A320" i="2" s="1"/>
  <c r="A320" i="3"/>
  <c r="A321" i="2" s="1"/>
  <c r="A321" i="3"/>
  <c r="A322" i="2" s="1"/>
  <c r="A322" i="3"/>
  <c r="A323" i="2" s="1"/>
  <c r="A323" i="3"/>
  <c r="A324" i="2" s="1"/>
  <c r="A324" i="3"/>
  <c r="A325" i="2" s="1"/>
  <c r="A325" i="3"/>
  <c r="A326" i="2" s="1"/>
  <c r="A326" i="3"/>
  <c r="A327" i="2" s="1"/>
  <c r="A327" i="3"/>
  <c r="A328" i="2" s="1"/>
  <c r="A328" i="3"/>
  <c r="A329" i="2" s="1"/>
  <c r="A329" i="3"/>
  <c r="A330" i="2" s="1"/>
  <c r="A330" i="3"/>
  <c r="A331" i="2" s="1"/>
  <c r="A331" i="3"/>
  <c r="A332" i="2" s="1"/>
  <c r="A332" i="3"/>
  <c r="A333" i="2" s="1"/>
  <c r="A333" i="3"/>
  <c r="A334" i="2" s="1"/>
  <c r="A334" i="3"/>
  <c r="A335" i="2" s="1"/>
  <c r="A335" i="3"/>
  <c r="A336" i="2" s="1"/>
  <c r="A336" i="3"/>
  <c r="A337" i="2" s="1"/>
  <c r="A337" i="3"/>
  <c r="A338" i="2" s="1"/>
  <c r="A338" i="3"/>
  <c r="A339" i="2" s="1"/>
  <c r="A339" i="3"/>
  <c r="A340" i="2" s="1"/>
  <c r="A340" i="3"/>
  <c r="A341" i="2" s="1"/>
  <c r="A341" i="3"/>
  <c r="A342" i="2" s="1"/>
  <c r="A342" i="3"/>
  <c r="A343" i="2" s="1"/>
  <c r="A343" i="3"/>
  <c r="A344" i="2" s="1"/>
  <c r="A344" i="3"/>
  <c r="A345" i="2" s="1"/>
  <c r="A345" i="3"/>
  <c r="A346" i="2" s="1"/>
  <c r="A346" i="3"/>
  <c r="A347" i="2" s="1"/>
  <c r="A347" i="3"/>
  <c r="A348" i="2" s="1"/>
  <c r="A348" i="3"/>
  <c r="A349" i="2" s="1"/>
  <c r="A349" i="3"/>
  <c r="A350" i="2" s="1"/>
  <c r="A350" i="3"/>
  <c r="A351" i="2" s="1"/>
  <c r="A351" i="3"/>
  <c r="A352" i="2" s="1"/>
  <c r="A352" i="3"/>
  <c r="A353" i="2" s="1"/>
  <c r="A353" i="3"/>
  <c r="A354" i="2" s="1"/>
  <c r="A354" i="3"/>
  <c r="A355" i="2" s="1"/>
  <c r="A355" i="3"/>
  <c r="A356" i="2" s="1"/>
  <c r="A356" i="3"/>
  <c r="A357" i="2" s="1"/>
  <c r="A357" i="3"/>
  <c r="A358" i="2" s="1"/>
  <c r="A358" i="3"/>
  <c r="A359" i="2" s="1"/>
  <c r="A359" i="3"/>
  <c r="A360" i="2" s="1"/>
  <c r="A360" i="3"/>
  <c r="A361" i="2" s="1"/>
  <c r="A361" i="3"/>
  <c r="A362" i="2" s="1"/>
  <c r="A362" i="3"/>
  <c r="A363" i="2" s="1"/>
  <c r="A363" i="3"/>
  <c r="A364" i="2" s="1"/>
  <c r="A364" i="3"/>
  <c r="A365" i="2" s="1"/>
  <c r="A365" i="3"/>
  <c r="A366" i="2" s="1"/>
  <c r="A366" i="3"/>
  <c r="A367" i="2" s="1"/>
  <c r="A4" i="3"/>
  <c r="F367" i="2" l="1"/>
  <c r="H367" i="2"/>
  <c r="J367" i="2"/>
  <c r="L367" i="2"/>
  <c r="E367" i="2"/>
  <c r="G367" i="2"/>
  <c r="I367" i="2"/>
  <c r="K367" i="2"/>
  <c r="F363" i="2"/>
  <c r="H363" i="2"/>
  <c r="J363" i="2"/>
  <c r="L363" i="2"/>
  <c r="E363" i="2"/>
  <c r="G363" i="2"/>
  <c r="I363" i="2"/>
  <c r="K363" i="2"/>
  <c r="F359" i="2"/>
  <c r="H359" i="2"/>
  <c r="J359" i="2"/>
  <c r="L359" i="2"/>
  <c r="E359" i="2"/>
  <c r="G359" i="2"/>
  <c r="I359" i="2"/>
  <c r="K359" i="2"/>
  <c r="F355" i="2"/>
  <c r="H355" i="2"/>
  <c r="J355" i="2"/>
  <c r="L355" i="2"/>
  <c r="E355" i="2"/>
  <c r="G355" i="2"/>
  <c r="I355" i="2"/>
  <c r="K355" i="2"/>
  <c r="F351" i="2"/>
  <c r="H351" i="2"/>
  <c r="J351" i="2"/>
  <c r="L351" i="2"/>
  <c r="E351" i="2"/>
  <c r="G351" i="2"/>
  <c r="I351" i="2"/>
  <c r="K351" i="2"/>
  <c r="F347" i="2"/>
  <c r="H347" i="2"/>
  <c r="J347" i="2"/>
  <c r="L347" i="2"/>
  <c r="E347" i="2"/>
  <c r="G347" i="2"/>
  <c r="I347" i="2"/>
  <c r="K347" i="2"/>
  <c r="F343" i="2"/>
  <c r="H343" i="2"/>
  <c r="J343" i="2"/>
  <c r="L343" i="2"/>
  <c r="E343" i="2"/>
  <c r="G343" i="2"/>
  <c r="I343" i="2"/>
  <c r="K343" i="2"/>
  <c r="F341" i="2"/>
  <c r="H341" i="2"/>
  <c r="J341" i="2"/>
  <c r="L341" i="2"/>
  <c r="E341" i="2"/>
  <c r="G341" i="2"/>
  <c r="I341" i="2"/>
  <c r="K341" i="2"/>
  <c r="F337" i="2"/>
  <c r="H337" i="2"/>
  <c r="J337" i="2"/>
  <c r="L337" i="2"/>
  <c r="E337" i="2"/>
  <c r="G337" i="2"/>
  <c r="I337" i="2"/>
  <c r="K337" i="2"/>
  <c r="F333" i="2"/>
  <c r="H333" i="2"/>
  <c r="J333" i="2"/>
  <c r="L333" i="2"/>
  <c r="E333" i="2"/>
  <c r="G333" i="2"/>
  <c r="I333" i="2"/>
  <c r="K333" i="2"/>
  <c r="F329" i="2"/>
  <c r="H329" i="2"/>
  <c r="J329" i="2"/>
  <c r="L329" i="2"/>
  <c r="E329" i="2"/>
  <c r="G329" i="2"/>
  <c r="I329" i="2"/>
  <c r="K329" i="2"/>
  <c r="G366" i="2"/>
  <c r="I366" i="2"/>
  <c r="K366" i="2"/>
  <c r="F366" i="2"/>
  <c r="H366" i="2"/>
  <c r="J366" i="2"/>
  <c r="L366" i="2"/>
  <c r="E366" i="2"/>
  <c r="G364" i="2"/>
  <c r="I364" i="2"/>
  <c r="K364" i="2"/>
  <c r="F364" i="2"/>
  <c r="H364" i="2"/>
  <c r="J364" i="2"/>
  <c r="L364" i="2"/>
  <c r="E364" i="2"/>
  <c r="G362" i="2"/>
  <c r="I362" i="2"/>
  <c r="K362" i="2"/>
  <c r="F362" i="2"/>
  <c r="H362" i="2"/>
  <c r="J362" i="2"/>
  <c r="L362" i="2"/>
  <c r="E362" i="2"/>
  <c r="G360" i="2"/>
  <c r="I360" i="2"/>
  <c r="K360" i="2"/>
  <c r="F360" i="2"/>
  <c r="H360" i="2"/>
  <c r="J360" i="2"/>
  <c r="L360" i="2"/>
  <c r="E360" i="2"/>
  <c r="G358" i="2"/>
  <c r="I358" i="2"/>
  <c r="K358" i="2"/>
  <c r="F358" i="2"/>
  <c r="H358" i="2"/>
  <c r="J358" i="2"/>
  <c r="L358" i="2"/>
  <c r="E358" i="2"/>
  <c r="G356" i="2"/>
  <c r="I356" i="2"/>
  <c r="K356" i="2"/>
  <c r="F356" i="2"/>
  <c r="H356" i="2"/>
  <c r="J356" i="2"/>
  <c r="L356" i="2"/>
  <c r="E356" i="2"/>
  <c r="G354" i="2"/>
  <c r="I354" i="2"/>
  <c r="K354" i="2"/>
  <c r="F354" i="2"/>
  <c r="H354" i="2"/>
  <c r="J354" i="2"/>
  <c r="L354" i="2"/>
  <c r="E354" i="2"/>
  <c r="G352" i="2"/>
  <c r="I352" i="2"/>
  <c r="K352" i="2"/>
  <c r="F352" i="2"/>
  <c r="H352" i="2"/>
  <c r="J352" i="2"/>
  <c r="L352" i="2"/>
  <c r="E352" i="2"/>
  <c r="G350" i="2"/>
  <c r="I350" i="2"/>
  <c r="K350" i="2"/>
  <c r="F350" i="2"/>
  <c r="H350" i="2"/>
  <c r="J350" i="2"/>
  <c r="L350" i="2"/>
  <c r="E350" i="2"/>
  <c r="G348" i="2"/>
  <c r="I348" i="2"/>
  <c r="K348" i="2"/>
  <c r="F348" i="2"/>
  <c r="H348" i="2"/>
  <c r="J348" i="2"/>
  <c r="L348" i="2"/>
  <c r="E348" i="2"/>
  <c r="G346" i="2"/>
  <c r="I346" i="2"/>
  <c r="K346" i="2"/>
  <c r="F346" i="2"/>
  <c r="H346" i="2"/>
  <c r="J346" i="2"/>
  <c r="L346" i="2"/>
  <c r="E346" i="2"/>
  <c r="G344" i="2"/>
  <c r="I344" i="2"/>
  <c r="K344" i="2"/>
  <c r="F344" i="2"/>
  <c r="H344" i="2"/>
  <c r="J344" i="2"/>
  <c r="L344" i="2"/>
  <c r="E344" i="2"/>
  <c r="G342" i="2"/>
  <c r="I342" i="2"/>
  <c r="K342" i="2"/>
  <c r="F342" i="2"/>
  <c r="H342" i="2"/>
  <c r="J342" i="2"/>
  <c r="L342" i="2"/>
  <c r="E342" i="2"/>
  <c r="G340" i="2"/>
  <c r="I340" i="2"/>
  <c r="K340" i="2"/>
  <c r="F340" i="2"/>
  <c r="H340" i="2"/>
  <c r="J340" i="2"/>
  <c r="L340" i="2"/>
  <c r="E340" i="2"/>
  <c r="G338" i="2"/>
  <c r="I338" i="2"/>
  <c r="K338" i="2"/>
  <c r="F338" i="2"/>
  <c r="H338" i="2"/>
  <c r="J338" i="2"/>
  <c r="L338" i="2"/>
  <c r="E338" i="2"/>
  <c r="G336" i="2"/>
  <c r="I336" i="2"/>
  <c r="K336" i="2"/>
  <c r="F336" i="2"/>
  <c r="H336" i="2"/>
  <c r="J336" i="2"/>
  <c r="L336" i="2"/>
  <c r="E336" i="2"/>
  <c r="G334" i="2"/>
  <c r="I334" i="2"/>
  <c r="K334" i="2"/>
  <c r="F334" i="2"/>
  <c r="H334" i="2"/>
  <c r="J334" i="2"/>
  <c r="L334" i="2"/>
  <c r="E334" i="2"/>
  <c r="G332" i="2"/>
  <c r="I332" i="2"/>
  <c r="K332" i="2"/>
  <c r="F332" i="2"/>
  <c r="H332" i="2"/>
  <c r="J332" i="2"/>
  <c r="L332" i="2"/>
  <c r="E332" i="2"/>
  <c r="G330" i="2"/>
  <c r="I330" i="2"/>
  <c r="K330" i="2"/>
  <c r="F330" i="2"/>
  <c r="H330" i="2"/>
  <c r="J330" i="2"/>
  <c r="L330" i="2"/>
  <c r="E330" i="2"/>
  <c r="G328" i="2"/>
  <c r="I328" i="2"/>
  <c r="K328" i="2"/>
  <c r="F328" i="2"/>
  <c r="H328" i="2"/>
  <c r="J328" i="2"/>
  <c r="L328" i="2"/>
  <c r="E328" i="2"/>
  <c r="G326" i="2"/>
  <c r="I326" i="2"/>
  <c r="K326" i="2"/>
  <c r="F326" i="2"/>
  <c r="H326" i="2"/>
  <c r="J326" i="2"/>
  <c r="L326" i="2"/>
  <c r="E326" i="2"/>
  <c r="F365" i="2"/>
  <c r="H365" i="2"/>
  <c r="J365" i="2"/>
  <c r="L365" i="2"/>
  <c r="E365" i="2"/>
  <c r="G365" i="2"/>
  <c r="I365" i="2"/>
  <c r="K365" i="2"/>
  <c r="F361" i="2"/>
  <c r="H361" i="2"/>
  <c r="J361" i="2"/>
  <c r="L361" i="2"/>
  <c r="E361" i="2"/>
  <c r="G361" i="2"/>
  <c r="I361" i="2"/>
  <c r="K361" i="2"/>
  <c r="F357" i="2"/>
  <c r="H357" i="2"/>
  <c r="J357" i="2"/>
  <c r="L357" i="2"/>
  <c r="E357" i="2"/>
  <c r="G357" i="2"/>
  <c r="I357" i="2"/>
  <c r="K357" i="2"/>
  <c r="F353" i="2"/>
  <c r="H353" i="2"/>
  <c r="J353" i="2"/>
  <c r="L353" i="2"/>
  <c r="E353" i="2"/>
  <c r="G353" i="2"/>
  <c r="I353" i="2"/>
  <c r="K353" i="2"/>
  <c r="F349" i="2"/>
  <c r="H349" i="2"/>
  <c r="J349" i="2"/>
  <c r="L349" i="2"/>
  <c r="E349" i="2"/>
  <c r="G349" i="2"/>
  <c r="I349" i="2"/>
  <c r="K349" i="2"/>
  <c r="F345" i="2"/>
  <c r="H345" i="2"/>
  <c r="J345" i="2"/>
  <c r="L345" i="2"/>
  <c r="E345" i="2"/>
  <c r="G345" i="2"/>
  <c r="I345" i="2"/>
  <c r="K345" i="2"/>
  <c r="F339" i="2"/>
  <c r="H339" i="2"/>
  <c r="J339" i="2"/>
  <c r="L339" i="2"/>
  <c r="E339" i="2"/>
  <c r="G339" i="2"/>
  <c r="I339" i="2"/>
  <c r="K339" i="2"/>
  <c r="F335" i="2"/>
  <c r="H335" i="2"/>
  <c r="J335" i="2"/>
  <c r="L335" i="2"/>
  <c r="E335" i="2"/>
  <c r="G335" i="2"/>
  <c r="I335" i="2"/>
  <c r="K335" i="2"/>
  <c r="F331" i="2"/>
  <c r="H331" i="2"/>
  <c r="J331" i="2"/>
  <c r="L331" i="2"/>
  <c r="E331" i="2"/>
  <c r="G331" i="2"/>
  <c r="I331" i="2"/>
  <c r="K331" i="2"/>
  <c r="F327" i="2"/>
  <c r="H327" i="2"/>
  <c r="J327" i="2"/>
  <c r="L327" i="2"/>
  <c r="E327" i="2"/>
  <c r="G327" i="2"/>
  <c r="I327" i="2"/>
  <c r="K327" i="2"/>
  <c r="F325" i="2"/>
  <c r="H325" i="2"/>
  <c r="J325" i="2"/>
  <c r="L325" i="2"/>
  <c r="E325" i="2"/>
  <c r="G325" i="2"/>
  <c r="I325" i="2"/>
  <c r="K325" i="2"/>
  <c r="G324" i="2"/>
  <c r="I324" i="2"/>
  <c r="K324" i="2"/>
  <c r="F324" i="2"/>
  <c r="H324" i="2"/>
  <c r="J324" i="2"/>
  <c r="L324" i="2"/>
  <c r="E324" i="2"/>
  <c r="G320" i="2"/>
  <c r="I320" i="2"/>
  <c r="K320" i="2"/>
  <c r="F320" i="2"/>
  <c r="H320" i="2"/>
  <c r="J320" i="2"/>
  <c r="L320" i="2"/>
  <c r="E320" i="2"/>
  <c r="G316" i="2"/>
  <c r="I316" i="2"/>
  <c r="K316" i="2"/>
  <c r="F316" i="2"/>
  <c r="H316" i="2"/>
  <c r="J316" i="2"/>
  <c r="L316" i="2"/>
  <c r="E316" i="2"/>
  <c r="G312" i="2"/>
  <c r="I312" i="2"/>
  <c r="K312" i="2"/>
  <c r="F312" i="2"/>
  <c r="H312" i="2"/>
  <c r="J312" i="2"/>
  <c r="L312" i="2"/>
  <c r="E312" i="2"/>
  <c r="G308" i="2"/>
  <c r="I308" i="2"/>
  <c r="K308" i="2"/>
  <c r="F308" i="2"/>
  <c r="H308" i="2"/>
  <c r="J308" i="2"/>
  <c r="L308" i="2"/>
  <c r="E308" i="2"/>
  <c r="G304" i="2"/>
  <c r="I304" i="2"/>
  <c r="K304" i="2"/>
  <c r="F304" i="2"/>
  <c r="H304" i="2"/>
  <c r="J304" i="2"/>
  <c r="L304" i="2"/>
  <c r="E304" i="2"/>
  <c r="G300" i="2"/>
  <c r="I300" i="2"/>
  <c r="K300" i="2"/>
  <c r="F300" i="2"/>
  <c r="H300" i="2"/>
  <c r="J300" i="2"/>
  <c r="L300" i="2"/>
  <c r="E300" i="2"/>
  <c r="G296" i="2"/>
  <c r="I296" i="2"/>
  <c r="K296" i="2"/>
  <c r="F296" i="2"/>
  <c r="H296" i="2"/>
  <c r="J296" i="2"/>
  <c r="L296" i="2"/>
  <c r="E296" i="2"/>
  <c r="G292" i="2"/>
  <c r="I292" i="2"/>
  <c r="K292" i="2"/>
  <c r="F292" i="2"/>
  <c r="H292" i="2"/>
  <c r="J292" i="2"/>
  <c r="L292" i="2"/>
  <c r="E292" i="2"/>
  <c r="G288" i="2"/>
  <c r="I288" i="2"/>
  <c r="K288" i="2"/>
  <c r="F288" i="2"/>
  <c r="H288" i="2"/>
  <c r="J288" i="2"/>
  <c r="L288" i="2"/>
  <c r="E288" i="2"/>
  <c r="G284" i="2"/>
  <c r="I284" i="2"/>
  <c r="K284" i="2"/>
  <c r="F284" i="2"/>
  <c r="H284" i="2"/>
  <c r="J284" i="2"/>
  <c r="L284" i="2"/>
  <c r="E284" i="2"/>
  <c r="G280" i="2"/>
  <c r="I280" i="2"/>
  <c r="K280" i="2"/>
  <c r="F280" i="2"/>
  <c r="H280" i="2"/>
  <c r="J280" i="2"/>
  <c r="L280" i="2"/>
  <c r="E280" i="2"/>
  <c r="G278" i="2"/>
  <c r="I278" i="2"/>
  <c r="K278" i="2"/>
  <c r="F278" i="2"/>
  <c r="H278" i="2"/>
  <c r="J278" i="2"/>
  <c r="L278" i="2"/>
  <c r="E278" i="2"/>
  <c r="G274" i="2"/>
  <c r="I274" i="2"/>
  <c r="K274" i="2"/>
  <c r="F274" i="2"/>
  <c r="H274" i="2"/>
  <c r="J274" i="2"/>
  <c r="L274" i="2"/>
  <c r="E274" i="2"/>
  <c r="F270" i="2"/>
  <c r="H270" i="2"/>
  <c r="G270" i="2"/>
  <c r="I270" i="2"/>
  <c r="K270" i="2"/>
  <c r="J270" i="2"/>
  <c r="L270" i="2"/>
  <c r="E270" i="2"/>
  <c r="F266" i="2"/>
  <c r="H266" i="2"/>
  <c r="J266" i="2"/>
  <c r="L266" i="2"/>
  <c r="G266" i="2"/>
  <c r="I266" i="2"/>
  <c r="K266" i="2"/>
  <c r="E266" i="2"/>
  <c r="F264" i="2"/>
  <c r="H264" i="2"/>
  <c r="J264" i="2"/>
  <c r="L264" i="2"/>
  <c r="G264" i="2"/>
  <c r="I264" i="2"/>
  <c r="K264" i="2"/>
  <c r="E264" i="2"/>
  <c r="F260" i="2"/>
  <c r="H260" i="2"/>
  <c r="J260" i="2"/>
  <c r="L260" i="2"/>
  <c r="G260" i="2"/>
  <c r="I260" i="2"/>
  <c r="K260" i="2"/>
  <c r="E260" i="2"/>
  <c r="F256" i="2"/>
  <c r="H256" i="2"/>
  <c r="J256" i="2"/>
  <c r="L256" i="2"/>
  <c r="G256" i="2"/>
  <c r="I256" i="2"/>
  <c r="K256" i="2"/>
  <c r="E256" i="2"/>
  <c r="F250" i="2"/>
  <c r="H250" i="2"/>
  <c r="J250" i="2"/>
  <c r="L250" i="2"/>
  <c r="G250" i="2"/>
  <c r="I250" i="2"/>
  <c r="K250" i="2"/>
  <c r="E250" i="2"/>
  <c r="F323" i="2"/>
  <c r="H323" i="2"/>
  <c r="J323" i="2"/>
  <c r="L323" i="2"/>
  <c r="E323" i="2"/>
  <c r="G323" i="2"/>
  <c r="I323" i="2"/>
  <c r="K323" i="2"/>
  <c r="F321" i="2"/>
  <c r="H321" i="2"/>
  <c r="J321" i="2"/>
  <c r="L321" i="2"/>
  <c r="E321" i="2"/>
  <c r="G321" i="2"/>
  <c r="I321" i="2"/>
  <c r="K321" i="2"/>
  <c r="F319" i="2"/>
  <c r="H319" i="2"/>
  <c r="J319" i="2"/>
  <c r="L319" i="2"/>
  <c r="E319" i="2"/>
  <c r="G319" i="2"/>
  <c r="I319" i="2"/>
  <c r="K319" i="2"/>
  <c r="F317" i="2"/>
  <c r="H317" i="2"/>
  <c r="J317" i="2"/>
  <c r="L317" i="2"/>
  <c r="E317" i="2"/>
  <c r="G317" i="2"/>
  <c r="I317" i="2"/>
  <c r="K317" i="2"/>
  <c r="F315" i="2"/>
  <c r="H315" i="2"/>
  <c r="J315" i="2"/>
  <c r="L315" i="2"/>
  <c r="E315" i="2"/>
  <c r="G315" i="2"/>
  <c r="I315" i="2"/>
  <c r="K315" i="2"/>
  <c r="F313" i="2"/>
  <c r="H313" i="2"/>
  <c r="J313" i="2"/>
  <c r="L313" i="2"/>
  <c r="E313" i="2"/>
  <c r="G313" i="2"/>
  <c r="I313" i="2"/>
  <c r="K313" i="2"/>
  <c r="F311" i="2"/>
  <c r="H311" i="2"/>
  <c r="J311" i="2"/>
  <c r="L311" i="2"/>
  <c r="E311" i="2"/>
  <c r="G311" i="2"/>
  <c r="I311" i="2"/>
  <c r="K311" i="2"/>
  <c r="F309" i="2"/>
  <c r="H309" i="2"/>
  <c r="J309" i="2"/>
  <c r="L309" i="2"/>
  <c r="E309" i="2"/>
  <c r="G309" i="2"/>
  <c r="I309" i="2"/>
  <c r="K309" i="2"/>
  <c r="F307" i="2"/>
  <c r="H307" i="2"/>
  <c r="J307" i="2"/>
  <c r="L307" i="2"/>
  <c r="E307" i="2"/>
  <c r="G307" i="2"/>
  <c r="I307" i="2"/>
  <c r="K307" i="2"/>
  <c r="F305" i="2"/>
  <c r="H305" i="2"/>
  <c r="J305" i="2"/>
  <c r="L305" i="2"/>
  <c r="E305" i="2"/>
  <c r="G305" i="2"/>
  <c r="I305" i="2"/>
  <c r="K305" i="2"/>
  <c r="F303" i="2"/>
  <c r="H303" i="2"/>
  <c r="J303" i="2"/>
  <c r="L303" i="2"/>
  <c r="E303" i="2"/>
  <c r="G303" i="2"/>
  <c r="I303" i="2"/>
  <c r="K303" i="2"/>
  <c r="F301" i="2"/>
  <c r="H301" i="2"/>
  <c r="J301" i="2"/>
  <c r="L301" i="2"/>
  <c r="E301" i="2"/>
  <c r="G301" i="2"/>
  <c r="I301" i="2"/>
  <c r="K301" i="2"/>
  <c r="F299" i="2"/>
  <c r="H299" i="2"/>
  <c r="J299" i="2"/>
  <c r="L299" i="2"/>
  <c r="E299" i="2"/>
  <c r="G299" i="2"/>
  <c r="I299" i="2"/>
  <c r="K299" i="2"/>
  <c r="F297" i="2"/>
  <c r="H297" i="2"/>
  <c r="J297" i="2"/>
  <c r="L297" i="2"/>
  <c r="E297" i="2"/>
  <c r="G297" i="2"/>
  <c r="I297" i="2"/>
  <c r="K297" i="2"/>
  <c r="F295" i="2"/>
  <c r="H295" i="2"/>
  <c r="J295" i="2"/>
  <c r="L295" i="2"/>
  <c r="E295" i="2"/>
  <c r="G295" i="2"/>
  <c r="I295" i="2"/>
  <c r="K295" i="2"/>
  <c r="F293" i="2"/>
  <c r="H293" i="2"/>
  <c r="J293" i="2"/>
  <c r="L293" i="2"/>
  <c r="E293" i="2"/>
  <c r="G293" i="2"/>
  <c r="I293" i="2"/>
  <c r="K293" i="2"/>
  <c r="F291" i="2"/>
  <c r="H291" i="2"/>
  <c r="J291" i="2"/>
  <c r="L291" i="2"/>
  <c r="E291" i="2"/>
  <c r="G291" i="2"/>
  <c r="I291" i="2"/>
  <c r="K291" i="2"/>
  <c r="F289" i="2"/>
  <c r="H289" i="2"/>
  <c r="J289" i="2"/>
  <c r="L289" i="2"/>
  <c r="E289" i="2"/>
  <c r="G289" i="2"/>
  <c r="I289" i="2"/>
  <c r="K289" i="2"/>
  <c r="F287" i="2"/>
  <c r="H287" i="2"/>
  <c r="J287" i="2"/>
  <c r="L287" i="2"/>
  <c r="E287" i="2"/>
  <c r="G287" i="2"/>
  <c r="I287" i="2"/>
  <c r="K287" i="2"/>
  <c r="F285" i="2"/>
  <c r="H285" i="2"/>
  <c r="J285" i="2"/>
  <c r="L285" i="2"/>
  <c r="E285" i="2"/>
  <c r="G285" i="2"/>
  <c r="I285" i="2"/>
  <c r="K285" i="2"/>
  <c r="F283" i="2"/>
  <c r="H283" i="2"/>
  <c r="J283" i="2"/>
  <c r="L283" i="2"/>
  <c r="E283" i="2"/>
  <c r="G283" i="2"/>
  <c r="I283" i="2"/>
  <c r="K283" i="2"/>
  <c r="F281" i="2"/>
  <c r="H281" i="2"/>
  <c r="J281" i="2"/>
  <c r="L281" i="2"/>
  <c r="E281" i="2"/>
  <c r="G281" i="2"/>
  <c r="I281" i="2"/>
  <c r="K281" i="2"/>
  <c r="F279" i="2"/>
  <c r="H279" i="2"/>
  <c r="J279" i="2"/>
  <c r="L279" i="2"/>
  <c r="E279" i="2"/>
  <c r="G279" i="2"/>
  <c r="I279" i="2"/>
  <c r="K279" i="2"/>
  <c r="F277" i="2"/>
  <c r="H277" i="2"/>
  <c r="J277" i="2"/>
  <c r="L277" i="2"/>
  <c r="E277" i="2"/>
  <c r="G277" i="2"/>
  <c r="I277" i="2"/>
  <c r="K277" i="2"/>
  <c r="F275" i="2"/>
  <c r="H275" i="2"/>
  <c r="J275" i="2"/>
  <c r="L275" i="2"/>
  <c r="E275" i="2"/>
  <c r="G275" i="2"/>
  <c r="I275" i="2"/>
  <c r="K275" i="2"/>
  <c r="F273" i="2"/>
  <c r="H273" i="2"/>
  <c r="J273" i="2"/>
  <c r="L273" i="2"/>
  <c r="E273" i="2"/>
  <c r="G273" i="2"/>
  <c r="I273" i="2"/>
  <c r="K273" i="2"/>
  <c r="F271" i="2"/>
  <c r="H271" i="2"/>
  <c r="J271" i="2"/>
  <c r="L271" i="2"/>
  <c r="E271" i="2"/>
  <c r="G271" i="2"/>
  <c r="I271" i="2"/>
  <c r="K271" i="2"/>
  <c r="G269" i="2"/>
  <c r="I269" i="2"/>
  <c r="K269" i="2"/>
  <c r="F269" i="2"/>
  <c r="H269" i="2"/>
  <c r="J269" i="2"/>
  <c r="L269" i="2"/>
  <c r="E269" i="2"/>
  <c r="G267" i="2"/>
  <c r="I267" i="2"/>
  <c r="K267" i="2"/>
  <c r="F267" i="2"/>
  <c r="H267" i="2"/>
  <c r="J267" i="2"/>
  <c r="L267" i="2"/>
  <c r="E267" i="2"/>
  <c r="G265" i="2"/>
  <c r="I265" i="2"/>
  <c r="K265" i="2"/>
  <c r="F265" i="2"/>
  <c r="H265" i="2"/>
  <c r="J265" i="2"/>
  <c r="L265" i="2"/>
  <c r="E265" i="2"/>
  <c r="G263" i="2"/>
  <c r="I263" i="2"/>
  <c r="K263" i="2"/>
  <c r="F263" i="2"/>
  <c r="H263" i="2"/>
  <c r="J263" i="2"/>
  <c r="L263" i="2"/>
  <c r="E263" i="2"/>
  <c r="G261" i="2"/>
  <c r="I261" i="2"/>
  <c r="K261" i="2"/>
  <c r="F261" i="2"/>
  <c r="H261" i="2"/>
  <c r="J261" i="2"/>
  <c r="L261" i="2"/>
  <c r="E261" i="2"/>
  <c r="G259" i="2"/>
  <c r="I259" i="2"/>
  <c r="K259" i="2"/>
  <c r="F259" i="2"/>
  <c r="H259" i="2"/>
  <c r="J259" i="2"/>
  <c r="L259" i="2"/>
  <c r="E259" i="2"/>
  <c r="G257" i="2"/>
  <c r="I257" i="2"/>
  <c r="K257" i="2"/>
  <c r="F257" i="2"/>
  <c r="H257" i="2"/>
  <c r="J257" i="2"/>
  <c r="L257" i="2"/>
  <c r="E257" i="2"/>
  <c r="G255" i="2"/>
  <c r="I255" i="2"/>
  <c r="K255" i="2"/>
  <c r="F255" i="2"/>
  <c r="H255" i="2"/>
  <c r="J255" i="2"/>
  <c r="L255" i="2"/>
  <c r="E255" i="2"/>
  <c r="G253" i="2"/>
  <c r="I253" i="2"/>
  <c r="K253" i="2"/>
  <c r="F253" i="2"/>
  <c r="H253" i="2"/>
  <c r="J253" i="2"/>
  <c r="L253" i="2"/>
  <c r="E253" i="2"/>
  <c r="G251" i="2"/>
  <c r="I251" i="2"/>
  <c r="K251" i="2"/>
  <c r="F251" i="2"/>
  <c r="H251" i="2"/>
  <c r="J251" i="2"/>
  <c r="L251" i="2"/>
  <c r="E251" i="2"/>
  <c r="G249" i="2"/>
  <c r="I249" i="2"/>
  <c r="K249" i="2"/>
  <c r="F249" i="2"/>
  <c r="H249" i="2"/>
  <c r="J249" i="2"/>
  <c r="L249" i="2"/>
  <c r="E249" i="2"/>
  <c r="G247" i="2"/>
  <c r="I247" i="2"/>
  <c r="K247" i="2"/>
  <c r="F247" i="2"/>
  <c r="H247" i="2"/>
  <c r="J247" i="2"/>
  <c r="L247" i="2"/>
  <c r="E247" i="2"/>
  <c r="G245" i="2"/>
  <c r="I245" i="2"/>
  <c r="K245" i="2"/>
  <c r="F245" i="2"/>
  <c r="H245" i="2"/>
  <c r="J245" i="2"/>
  <c r="L245" i="2"/>
  <c r="E245" i="2"/>
  <c r="G243" i="2"/>
  <c r="I243" i="2"/>
  <c r="K243" i="2"/>
  <c r="F243" i="2"/>
  <c r="H243" i="2"/>
  <c r="J243" i="2"/>
  <c r="L243" i="2"/>
  <c r="E243" i="2"/>
  <c r="G241" i="2"/>
  <c r="I241" i="2"/>
  <c r="K241" i="2"/>
  <c r="F241" i="2"/>
  <c r="H241" i="2"/>
  <c r="J241" i="2"/>
  <c r="L241" i="2"/>
  <c r="E241" i="2"/>
  <c r="G239" i="2"/>
  <c r="I239" i="2"/>
  <c r="K239" i="2"/>
  <c r="F239" i="2"/>
  <c r="H239" i="2"/>
  <c r="J239" i="2"/>
  <c r="L239" i="2"/>
  <c r="E239" i="2"/>
  <c r="G237" i="2"/>
  <c r="I237" i="2"/>
  <c r="K237" i="2"/>
  <c r="F237" i="2"/>
  <c r="H237" i="2"/>
  <c r="J237" i="2"/>
  <c r="L237" i="2"/>
  <c r="E237" i="2"/>
  <c r="G235" i="2"/>
  <c r="I235" i="2"/>
  <c r="K235" i="2"/>
  <c r="F235" i="2"/>
  <c r="H235" i="2"/>
  <c r="J235" i="2"/>
  <c r="L235" i="2"/>
  <c r="E235" i="2"/>
  <c r="G233" i="2"/>
  <c r="I233" i="2"/>
  <c r="K233" i="2"/>
  <c r="F233" i="2"/>
  <c r="H233" i="2"/>
  <c r="J233" i="2"/>
  <c r="L233" i="2"/>
  <c r="E233" i="2"/>
  <c r="G231" i="2"/>
  <c r="I231" i="2"/>
  <c r="K231" i="2"/>
  <c r="F231" i="2"/>
  <c r="H231" i="2"/>
  <c r="J231" i="2"/>
  <c r="L231" i="2"/>
  <c r="E231" i="2"/>
  <c r="G229" i="2"/>
  <c r="I229" i="2"/>
  <c r="K229" i="2"/>
  <c r="F229" i="2"/>
  <c r="H229" i="2"/>
  <c r="J229" i="2"/>
  <c r="L229" i="2"/>
  <c r="E229" i="2"/>
  <c r="G227" i="2"/>
  <c r="I227" i="2"/>
  <c r="K227" i="2"/>
  <c r="F227" i="2"/>
  <c r="H227" i="2"/>
  <c r="J227" i="2"/>
  <c r="L227" i="2"/>
  <c r="E227" i="2"/>
  <c r="G225" i="2"/>
  <c r="I225" i="2"/>
  <c r="K225" i="2"/>
  <c r="F225" i="2"/>
  <c r="H225" i="2"/>
  <c r="J225" i="2"/>
  <c r="L225" i="2"/>
  <c r="E225" i="2"/>
  <c r="G223" i="2"/>
  <c r="I223" i="2"/>
  <c r="K223" i="2"/>
  <c r="F223" i="2"/>
  <c r="H223" i="2"/>
  <c r="J223" i="2"/>
  <c r="L223" i="2"/>
  <c r="E223" i="2"/>
  <c r="G221" i="2"/>
  <c r="I221" i="2"/>
  <c r="K221" i="2"/>
  <c r="F221" i="2"/>
  <c r="H221" i="2"/>
  <c r="J221" i="2"/>
  <c r="L221" i="2"/>
  <c r="E221" i="2"/>
  <c r="G219" i="2"/>
  <c r="I219" i="2"/>
  <c r="K219" i="2"/>
  <c r="F219" i="2"/>
  <c r="H219" i="2"/>
  <c r="J219" i="2"/>
  <c r="L219" i="2"/>
  <c r="E219" i="2"/>
  <c r="G217" i="2"/>
  <c r="I217" i="2"/>
  <c r="K217" i="2"/>
  <c r="F217" i="2"/>
  <c r="H217" i="2"/>
  <c r="J217" i="2"/>
  <c r="L217" i="2"/>
  <c r="E217" i="2"/>
  <c r="G215" i="2"/>
  <c r="I215" i="2"/>
  <c r="K215" i="2"/>
  <c r="F215" i="2"/>
  <c r="H215" i="2"/>
  <c r="J215" i="2"/>
  <c r="L215" i="2"/>
  <c r="E215" i="2"/>
  <c r="G213" i="2"/>
  <c r="I213" i="2"/>
  <c r="K213" i="2"/>
  <c r="F213" i="2"/>
  <c r="H213" i="2"/>
  <c r="J213" i="2"/>
  <c r="L213" i="2"/>
  <c r="E213" i="2"/>
  <c r="G211" i="2"/>
  <c r="I211" i="2"/>
  <c r="K211" i="2"/>
  <c r="F211" i="2"/>
  <c r="H211" i="2"/>
  <c r="J211" i="2"/>
  <c r="L211" i="2"/>
  <c r="E211" i="2"/>
  <c r="G209" i="2"/>
  <c r="I209" i="2"/>
  <c r="K209" i="2"/>
  <c r="F209" i="2"/>
  <c r="H209" i="2"/>
  <c r="J209" i="2"/>
  <c r="L209" i="2"/>
  <c r="E209" i="2"/>
  <c r="G207" i="2"/>
  <c r="I207" i="2"/>
  <c r="K207" i="2"/>
  <c r="F207" i="2"/>
  <c r="H207" i="2"/>
  <c r="J207" i="2"/>
  <c r="L207" i="2"/>
  <c r="E207" i="2"/>
  <c r="G205" i="2"/>
  <c r="I205" i="2"/>
  <c r="K205" i="2"/>
  <c r="F205" i="2"/>
  <c r="H205" i="2"/>
  <c r="J205" i="2"/>
  <c r="L205" i="2"/>
  <c r="E205" i="2"/>
  <c r="G203" i="2"/>
  <c r="I203" i="2"/>
  <c r="K203" i="2"/>
  <c r="F203" i="2"/>
  <c r="H203" i="2"/>
  <c r="J203" i="2"/>
  <c r="L203" i="2"/>
  <c r="E203" i="2"/>
  <c r="G201" i="2"/>
  <c r="I201" i="2"/>
  <c r="K201" i="2"/>
  <c r="F201" i="2"/>
  <c r="H201" i="2"/>
  <c r="J201" i="2"/>
  <c r="L201" i="2"/>
  <c r="E201" i="2"/>
  <c r="G199" i="2"/>
  <c r="I199" i="2"/>
  <c r="K199" i="2"/>
  <c r="F199" i="2"/>
  <c r="H199" i="2"/>
  <c r="J199" i="2"/>
  <c r="L199" i="2"/>
  <c r="E199" i="2"/>
  <c r="G197" i="2"/>
  <c r="I197" i="2"/>
  <c r="K197" i="2"/>
  <c r="F197" i="2"/>
  <c r="H197" i="2"/>
  <c r="J197" i="2"/>
  <c r="L197" i="2"/>
  <c r="E197" i="2"/>
  <c r="G195" i="2"/>
  <c r="I195" i="2"/>
  <c r="K195" i="2"/>
  <c r="F195" i="2"/>
  <c r="H195" i="2"/>
  <c r="J195" i="2"/>
  <c r="L195" i="2"/>
  <c r="E195" i="2"/>
  <c r="G193" i="2"/>
  <c r="I193" i="2"/>
  <c r="K193" i="2"/>
  <c r="F193" i="2"/>
  <c r="H193" i="2"/>
  <c r="J193" i="2"/>
  <c r="L193" i="2"/>
  <c r="E193" i="2"/>
  <c r="G191" i="2"/>
  <c r="I191" i="2"/>
  <c r="K191" i="2"/>
  <c r="F191" i="2"/>
  <c r="H191" i="2"/>
  <c r="J191" i="2"/>
  <c r="L191" i="2"/>
  <c r="E191" i="2"/>
  <c r="G189" i="2"/>
  <c r="I189" i="2"/>
  <c r="K189" i="2"/>
  <c r="F189" i="2"/>
  <c r="H189" i="2"/>
  <c r="J189" i="2"/>
  <c r="L189" i="2"/>
  <c r="E189" i="2"/>
  <c r="G187" i="2"/>
  <c r="I187" i="2"/>
  <c r="K187" i="2"/>
  <c r="F187" i="2"/>
  <c r="H187" i="2"/>
  <c r="J187" i="2"/>
  <c r="L187" i="2"/>
  <c r="E187" i="2"/>
  <c r="G185" i="2"/>
  <c r="I185" i="2"/>
  <c r="K185" i="2"/>
  <c r="F185" i="2"/>
  <c r="H185" i="2"/>
  <c r="J185" i="2"/>
  <c r="L185" i="2"/>
  <c r="E185" i="2"/>
  <c r="G183" i="2"/>
  <c r="I183" i="2"/>
  <c r="K183" i="2"/>
  <c r="F183" i="2"/>
  <c r="H183" i="2"/>
  <c r="J183" i="2"/>
  <c r="L183" i="2"/>
  <c r="E183" i="2"/>
  <c r="G181" i="2"/>
  <c r="I181" i="2"/>
  <c r="K181" i="2"/>
  <c r="F181" i="2"/>
  <c r="H181" i="2"/>
  <c r="J181" i="2"/>
  <c r="L181" i="2"/>
  <c r="E181" i="2"/>
  <c r="F179" i="2"/>
  <c r="H179" i="2"/>
  <c r="J179" i="2"/>
  <c r="L179" i="2"/>
  <c r="G179" i="2"/>
  <c r="K179" i="2"/>
  <c r="I179" i="2"/>
  <c r="E179" i="2"/>
  <c r="F177" i="2"/>
  <c r="H177" i="2"/>
  <c r="J177" i="2"/>
  <c r="L177" i="2"/>
  <c r="I177" i="2"/>
  <c r="G177" i="2"/>
  <c r="K177" i="2"/>
  <c r="E177" i="2"/>
  <c r="F175" i="2"/>
  <c r="H175" i="2"/>
  <c r="J175" i="2"/>
  <c r="L175" i="2"/>
  <c r="G175" i="2"/>
  <c r="K175" i="2"/>
  <c r="I175" i="2"/>
  <c r="E175" i="2"/>
  <c r="F173" i="2"/>
  <c r="H173" i="2"/>
  <c r="J173" i="2"/>
  <c r="L173" i="2"/>
  <c r="I173" i="2"/>
  <c r="G173" i="2"/>
  <c r="K173" i="2"/>
  <c r="E173" i="2"/>
  <c r="F171" i="2"/>
  <c r="H171" i="2"/>
  <c r="J171" i="2"/>
  <c r="L171" i="2"/>
  <c r="G171" i="2"/>
  <c r="K171" i="2"/>
  <c r="I171" i="2"/>
  <c r="E171" i="2"/>
  <c r="F169" i="2"/>
  <c r="H169" i="2"/>
  <c r="J169" i="2"/>
  <c r="L169" i="2"/>
  <c r="I169" i="2"/>
  <c r="G169" i="2"/>
  <c r="K169" i="2"/>
  <c r="E169" i="2"/>
  <c r="F167" i="2"/>
  <c r="H167" i="2"/>
  <c r="J167" i="2"/>
  <c r="L167" i="2"/>
  <c r="G167" i="2"/>
  <c r="K167" i="2"/>
  <c r="I167" i="2"/>
  <c r="E167" i="2"/>
  <c r="G165" i="2"/>
  <c r="I165" i="2"/>
  <c r="K165" i="2"/>
  <c r="F165" i="2"/>
  <c r="H165" i="2"/>
  <c r="J165" i="2"/>
  <c r="L165" i="2"/>
  <c r="E165" i="2"/>
  <c r="G163" i="2"/>
  <c r="I163" i="2"/>
  <c r="K163" i="2"/>
  <c r="F163" i="2"/>
  <c r="H163" i="2"/>
  <c r="J163" i="2"/>
  <c r="L163" i="2"/>
  <c r="E163" i="2"/>
  <c r="G161" i="2"/>
  <c r="I161" i="2"/>
  <c r="K161" i="2"/>
  <c r="F161" i="2"/>
  <c r="H161" i="2"/>
  <c r="J161" i="2"/>
  <c r="L161" i="2"/>
  <c r="E161" i="2"/>
  <c r="G159" i="2"/>
  <c r="I159" i="2"/>
  <c r="K159" i="2"/>
  <c r="F159" i="2"/>
  <c r="H159" i="2"/>
  <c r="J159" i="2"/>
  <c r="L159" i="2"/>
  <c r="E159" i="2"/>
  <c r="G157" i="2"/>
  <c r="I157" i="2"/>
  <c r="K157" i="2"/>
  <c r="F157" i="2"/>
  <c r="H157" i="2"/>
  <c r="J157" i="2"/>
  <c r="L157" i="2"/>
  <c r="E157" i="2"/>
  <c r="G155" i="2"/>
  <c r="I155" i="2"/>
  <c r="K155" i="2"/>
  <c r="F155" i="2"/>
  <c r="H155" i="2"/>
  <c r="J155" i="2"/>
  <c r="L155" i="2"/>
  <c r="E155" i="2"/>
  <c r="G153" i="2"/>
  <c r="I153" i="2"/>
  <c r="K153" i="2"/>
  <c r="F153" i="2"/>
  <c r="H153" i="2"/>
  <c r="J153" i="2"/>
  <c r="L153" i="2"/>
  <c r="E153" i="2"/>
  <c r="G151" i="2"/>
  <c r="I151" i="2"/>
  <c r="K151" i="2"/>
  <c r="F151" i="2"/>
  <c r="H151" i="2"/>
  <c r="J151" i="2"/>
  <c r="L151" i="2"/>
  <c r="E151" i="2"/>
  <c r="G149" i="2"/>
  <c r="I149" i="2"/>
  <c r="K149" i="2"/>
  <c r="F149" i="2"/>
  <c r="H149" i="2"/>
  <c r="J149" i="2"/>
  <c r="L149" i="2"/>
  <c r="E149" i="2"/>
  <c r="G147" i="2"/>
  <c r="I147" i="2"/>
  <c r="K147" i="2"/>
  <c r="F147" i="2"/>
  <c r="H147" i="2"/>
  <c r="J147" i="2"/>
  <c r="L147" i="2"/>
  <c r="E147" i="2"/>
  <c r="G145" i="2"/>
  <c r="I145" i="2"/>
  <c r="K145" i="2"/>
  <c r="F145" i="2"/>
  <c r="H145" i="2"/>
  <c r="J145" i="2"/>
  <c r="L145" i="2"/>
  <c r="E145" i="2"/>
  <c r="G143" i="2"/>
  <c r="I143" i="2"/>
  <c r="K143" i="2"/>
  <c r="F143" i="2"/>
  <c r="H143" i="2"/>
  <c r="J143" i="2"/>
  <c r="L143" i="2"/>
  <c r="E143" i="2"/>
  <c r="G141" i="2"/>
  <c r="I141" i="2"/>
  <c r="K141" i="2"/>
  <c r="F141" i="2"/>
  <c r="H141" i="2"/>
  <c r="J141" i="2"/>
  <c r="L141" i="2"/>
  <c r="E141" i="2"/>
  <c r="G139" i="2"/>
  <c r="I139" i="2"/>
  <c r="K139" i="2"/>
  <c r="F139" i="2"/>
  <c r="H139" i="2"/>
  <c r="J139" i="2"/>
  <c r="L139" i="2"/>
  <c r="E139" i="2"/>
  <c r="G137" i="2"/>
  <c r="I137" i="2"/>
  <c r="K137" i="2"/>
  <c r="F137" i="2"/>
  <c r="H137" i="2"/>
  <c r="J137" i="2"/>
  <c r="L137" i="2"/>
  <c r="E137" i="2"/>
  <c r="G135" i="2"/>
  <c r="I135" i="2"/>
  <c r="K135" i="2"/>
  <c r="F135" i="2"/>
  <c r="H135" i="2"/>
  <c r="J135" i="2"/>
  <c r="L135" i="2"/>
  <c r="E135" i="2"/>
  <c r="G133" i="2"/>
  <c r="I133" i="2"/>
  <c r="K133" i="2"/>
  <c r="F133" i="2"/>
  <c r="H133" i="2"/>
  <c r="J133" i="2"/>
  <c r="L133" i="2"/>
  <c r="E133" i="2"/>
  <c r="G131" i="2"/>
  <c r="I131" i="2"/>
  <c r="K131" i="2"/>
  <c r="F131" i="2"/>
  <c r="H131" i="2"/>
  <c r="J131" i="2"/>
  <c r="L131" i="2"/>
  <c r="E131" i="2"/>
  <c r="G129" i="2"/>
  <c r="I129" i="2"/>
  <c r="K129" i="2"/>
  <c r="F129" i="2"/>
  <c r="H129" i="2"/>
  <c r="J129" i="2"/>
  <c r="L129" i="2"/>
  <c r="E129" i="2"/>
  <c r="G127" i="2"/>
  <c r="I127" i="2"/>
  <c r="K127" i="2"/>
  <c r="F127" i="2"/>
  <c r="H127" i="2"/>
  <c r="J127" i="2"/>
  <c r="L127" i="2"/>
  <c r="E127" i="2"/>
  <c r="G125" i="2"/>
  <c r="I125" i="2"/>
  <c r="K125" i="2"/>
  <c r="F125" i="2"/>
  <c r="H125" i="2"/>
  <c r="J125" i="2"/>
  <c r="L125" i="2"/>
  <c r="E125" i="2"/>
  <c r="G123" i="2"/>
  <c r="I123" i="2"/>
  <c r="K123" i="2"/>
  <c r="F123" i="2"/>
  <c r="H123" i="2"/>
  <c r="J123" i="2"/>
  <c r="L123" i="2"/>
  <c r="E123" i="2"/>
  <c r="G121" i="2"/>
  <c r="I121" i="2"/>
  <c r="K121" i="2"/>
  <c r="F121" i="2"/>
  <c r="H121" i="2"/>
  <c r="J121" i="2"/>
  <c r="L121" i="2"/>
  <c r="E121" i="2"/>
  <c r="G119" i="2"/>
  <c r="I119" i="2"/>
  <c r="K119" i="2"/>
  <c r="F119" i="2"/>
  <c r="H119" i="2"/>
  <c r="J119" i="2"/>
  <c r="L119" i="2"/>
  <c r="E119" i="2"/>
  <c r="G117" i="2"/>
  <c r="I117" i="2"/>
  <c r="K117" i="2"/>
  <c r="F117" i="2"/>
  <c r="H117" i="2"/>
  <c r="J117" i="2"/>
  <c r="L117" i="2"/>
  <c r="E117" i="2"/>
  <c r="G115" i="2"/>
  <c r="I115" i="2"/>
  <c r="K115" i="2"/>
  <c r="F115" i="2"/>
  <c r="H115" i="2"/>
  <c r="J115" i="2"/>
  <c r="L115" i="2"/>
  <c r="E115" i="2"/>
  <c r="G113" i="2"/>
  <c r="I113" i="2"/>
  <c r="K113" i="2"/>
  <c r="F113" i="2"/>
  <c r="H113" i="2"/>
  <c r="J113" i="2"/>
  <c r="L113" i="2"/>
  <c r="E113" i="2"/>
  <c r="G111" i="2"/>
  <c r="I111" i="2"/>
  <c r="K111" i="2"/>
  <c r="F111" i="2"/>
  <c r="H111" i="2"/>
  <c r="J111" i="2"/>
  <c r="L111" i="2"/>
  <c r="E111" i="2"/>
  <c r="G109" i="2"/>
  <c r="I109" i="2"/>
  <c r="K109" i="2"/>
  <c r="F109" i="2"/>
  <c r="H109" i="2"/>
  <c r="J109" i="2"/>
  <c r="L109" i="2"/>
  <c r="E109" i="2"/>
  <c r="G107" i="2"/>
  <c r="I107" i="2"/>
  <c r="K107" i="2"/>
  <c r="F107" i="2"/>
  <c r="H107" i="2"/>
  <c r="J107" i="2"/>
  <c r="L107" i="2"/>
  <c r="E107" i="2"/>
  <c r="G105" i="2"/>
  <c r="I105" i="2"/>
  <c r="K105" i="2"/>
  <c r="F105" i="2"/>
  <c r="J105" i="2"/>
  <c r="H105" i="2"/>
  <c r="L105" i="2"/>
  <c r="E105" i="2"/>
  <c r="G103" i="2"/>
  <c r="I103" i="2"/>
  <c r="K103" i="2"/>
  <c r="H103" i="2"/>
  <c r="L103" i="2"/>
  <c r="F103" i="2"/>
  <c r="J103" i="2"/>
  <c r="E103" i="2"/>
  <c r="G101" i="2"/>
  <c r="I101" i="2"/>
  <c r="K101" i="2"/>
  <c r="F101" i="2"/>
  <c r="J101" i="2"/>
  <c r="H101" i="2"/>
  <c r="L101" i="2"/>
  <c r="E101" i="2"/>
  <c r="G99" i="2"/>
  <c r="I99" i="2"/>
  <c r="K99" i="2"/>
  <c r="H99" i="2"/>
  <c r="L99" i="2"/>
  <c r="F99" i="2"/>
  <c r="J99" i="2"/>
  <c r="E99" i="2"/>
  <c r="G97" i="2"/>
  <c r="I97" i="2"/>
  <c r="K97" i="2"/>
  <c r="F97" i="2"/>
  <c r="J97" i="2"/>
  <c r="H97" i="2"/>
  <c r="L97" i="2"/>
  <c r="E97" i="2"/>
  <c r="G95" i="2"/>
  <c r="I95" i="2"/>
  <c r="K95" i="2"/>
  <c r="H95" i="2"/>
  <c r="L95" i="2"/>
  <c r="F95" i="2"/>
  <c r="J95" i="2"/>
  <c r="E95" i="2"/>
  <c r="G93" i="2"/>
  <c r="I93" i="2"/>
  <c r="K93" i="2"/>
  <c r="F93" i="2"/>
  <c r="J93" i="2"/>
  <c r="H93" i="2"/>
  <c r="L93" i="2"/>
  <c r="E93" i="2"/>
  <c r="G91" i="2"/>
  <c r="I91" i="2"/>
  <c r="K91" i="2"/>
  <c r="H91" i="2"/>
  <c r="L91" i="2"/>
  <c r="F91" i="2"/>
  <c r="J91" i="2"/>
  <c r="E91" i="2"/>
  <c r="G89" i="2"/>
  <c r="I89" i="2"/>
  <c r="K89" i="2"/>
  <c r="F89" i="2"/>
  <c r="J89" i="2"/>
  <c r="H89" i="2"/>
  <c r="L89" i="2"/>
  <c r="E89" i="2"/>
  <c r="G87" i="2"/>
  <c r="I87" i="2"/>
  <c r="K87" i="2"/>
  <c r="H87" i="2"/>
  <c r="L87" i="2"/>
  <c r="F87" i="2"/>
  <c r="J87" i="2"/>
  <c r="E87" i="2"/>
  <c r="G85" i="2"/>
  <c r="I85" i="2"/>
  <c r="K85" i="2"/>
  <c r="F85" i="2"/>
  <c r="J85" i="2"/>
  <c r="H85" i="2"/>
  <c r="L85" i="2"/>
  <c r="E85" i="2"/>
  <c r="G83" i="2"/>
  <c r="I83" i="2"/>
  <c r="K83" i="2"/>
  <c r="H83" i="2"/>
  <c r="L83" i="2"/>
  <c r="F83" i="2"/>
  <c r="J83" i="2"/>
  <c r="E83" i="2"/>
  <c r="F81" i="2"/>
  <c r="H81" i="2"/>
  <c r="J81" i="2"/>
  <c r="L81" i="2"/>
  <c r="G81" i="2"/>
  <c r="K81" i="2"/>
  <c r="I81" i="2"/>
  <c r="E81" i="2"/>
  <c r="F79" i="2"/>
  <c r="H79" i="2"/>
  <c r="J79" i="2"/>
  <c r="L79" i="2"/>
  <c r="I79" i="2"/>
  <c r="G79" i="2"/>
  <c r="K79" i="2"/>
  <c r="E79" i="2"/>
  <c r="F77" i="2"/>
  <c r="H77" i="2"/>
  <c r="J77" i="2"/>
  <c r="L77" i="2"/>
  <c r="G77" i="2"/>
  <c r="K77" i="2"/>
  <c r="I77" i="2"/>
  <c r="E77" i="2"/>
  <c r="F75" i="2"/>
  <c r="H75" i="2"/>
  <c r="J75" i="2"/>
  <c r="L75" i="2"/>
  <c r="I75" i="2"/>
  <c r="K75" i="2"/>
  <c r="G75" i="2"/>
  <c r="E75" i="2"/>
  <c r="F73" i="2"/>
  <c r="H73" i="2"/>
  <c r="J73" i="2"/>
  <c r="L73" i="2"/>
  <c r="G73" i="2"/>
  <c r="K73" i="2"/>
  <c r="I73" i="2"/>
  <c r="E73" i="2"/>
  <c r="F71" i="2"/>
  <c r="H71" i="2"/>
  <c r="J71" i="2"/>
  <c r="L71" i="2"/>
  <c r="I71" i="2"/>
  <c r="G71" i="2"/>
  <c r="K71" i="2"/>
  <c r="E71" i="2"/>
  <c r="F69" i="2"/>
  <c r="H69" i="2"/>
  <c r="J69" i="2"/>
  <c r="L69" i="2"/>
  <c r="G69" i="2"/>
  <c r="K69" i="2"/>
  <c r="I69" i="2"/>
  <c r="E69" i="2"/>
  <c r="F67" i="2"/>
  <c r="H67" i="2"/>
  <c r="J67" i="2"/>
  <c r="L67" i="2"/>
  <c r="I67" i="2"/>
  <c r="K67" i="2"/>
  <c r="G67" i="2"/>
  <c r="E67" i="2"/>
  <c r="F65" i="2"/>
  <c r="H65" i="2"/>
  <c r="J65" i="2"/>
  <c r="L65" i="2"/>
  <c r="G65" i="2"/>
  <c r="K65" i="2"/>
  <c r="I65" i="2"/>
  <c r="E65" i="2"/>
  <c r="F63" i="2"/>
  <c r="H63" i="2"/>
  <c r="J63" i="2"/>
  <c r="L63" i="2"/>
  <c r="I63" i="2"/>
  <c r="G63" i="2"/>
  <c r="K63" i="2"/>
  <c r="E63" i="2"/>
  <c r="F61" i="2"/>
  <c r="H61" i="2"/>
  <c r="J61" i="2"/>
  <c r="L61" i="2"/>
  <c r="G61" i="2"/>
  <c r="K61" i="2"/>
  <c r="I61" i="2"/>
  <c r="E61" i="2"/>
  <c r="F59" i="2"/>
  <c r="H59" i="2"/>
  <c r="J59" i="2"/>
  <c r="L59" i="2"/>
  <c r="I59" i="2"/>
  <c r="K59" i="2"/>
  <c r="G59" i="2"/>
  <c r="E59" i="2"/>
  <c r="F57" i="2"/>
  <c r="H57" i="2"/>
  <c r="J57" i="2"/>
  <c r="L57" i="2"/>
  <c r="G57" i="2"/>
  <c r="K57" i="2"/>
  <c r="I57" i="2"/>
  <c r="E57" i="2"/>
  <c r="F55" i="2"/>
  <c r="H55" i="2"/>
  <c r="J55" i="2"/>
  <c r="L55" i="2"/>
  <c r="I55" i="2"/>
  <c r="G55" i="2"/>
  <c r="K55" i="2"/>
  <c r="E55" i="2"/>
  <c r="F53" i="2"/>
  <c r="H53" i="2"/>
  <c r="J53" i="2"/>
  <c r="L53" i="2"/>
  <c r="G53" i="2"/>
  <c r="K53" i="2"/>
  <c r="I53" i="2"/>
  <c r="E53" i="2"/>
  <c r="F51" i="2"/>
  <c r="H51" i="2"/>
  <c r="J51" i="2"/>
  <c r="L51" i="2"/>
  <c r="I51" i="2"/>
  <c r="K51" i="2"/>
  <c r="G51" i="2"/>
  <c r="E51" i="2"/>
  <c r="F49" i="2"/>
  <c r="H49" i="2"/>
  <c r="J49" i="2"/>
  <c r="L49" i="2"/>
  <c r="G49" i="2"/>
  <c r="K49" i="2"/>
  <c r="I49" i="2"/>
  <c r="E49" i="2"/>
  <c r="F47" i="2"/>
  <c r="H47" i="2"/>
  <c r="J47" i="2"/>
  <c r="L47" i="2"/>
  <c r="I47" i="2"/>
  <c r="G47" i="2"/>
  <c r="K47" i="2"/>
  <c r="E47" i="2"/>
  <c r="F45" i="2"/>
  <c r="H45" i="2"/>
  <c r="J45" i="2"/>
  <c r="L45" i="2"/>
  <c r="I45" i="2"/>
  <c r="G45" i="2"/>
  <c r="K45" i="2"/>
  <c r="E45" i="2"/>
  <c r="F43" i="2"/>
  <c r="H43" i="2"/>
  <c r="J43" i="2"/>
  <c r="L43" i="2"/>
  <c r="G43" i="2"/>
  <c r="K43" i="2"/>
  <c r="I43" i="2"/>
  <c r="E43" i="2"/>
  <c r="F41" i="2"/>
  <c r="H41" i="2"/>
  <c r="J41" i="2"/>
  <c r="L41" i="2"/>
  <c r="I41" i="2"/>
  <c r="K41" i="2"/>
  <c r="G41" i="2"/>
  <c r="E41" i="2"/>
  <c r="F39" i="2"/>
  <c r="H39" i="2"/>
  <c r="J39" i="2"/>
  <c r="L39" i="2"/>
  <c r="G39" i="2"/>
  <c r="K39" i="2"/>
  <c r="I39" i="2"/>
  <c r="E39" i="2"/>
  <c r="F37" i="2"/>
  <c r="H37" i="2"/>
  <c r="J37" i="2"/>
  <c r="L37" i="2"/>
  <c r="I37" i="2"/>
  <c r="G37" i="2"/>
  <c r="K37" i="2"/>
  <c r="E37" i="2"/>
  <c r="F35" i="2"/>
  <c r="H35" i="2"/>
  <c r="J35" i="2"/>
  <c r="L35" i="2"/>
  <c r="G35" i="2"/>
  <c r="K35" i="2"/>
  <c r="I35" i="2"/>
  <c r="E35" i="2"/>
  <c r="F33" i="2"/>
  <c r="H33" i="2"/>
  <c r="J33" i="2"/>
  <c r="L33" i="2"/>
  <c r="I33" i="2"/>
  <c r="K33" i="2"/>
  <c r="G33" i="2"/>
  <c r="E33" i="2"/>
  <c r="F31" i="2"/>
  <c r="H31" i="2"/>
  <c r="J31" i="2"/>
  <c r="L31" i="2"/>
  <c r="G31" i="2"/>
  <c r="K31" i="2"/>
  <c r="I31" i="2"/>
  <c r="E31" i="2"/>
  <c r="F29" i="2"/>
  <c r="H29" i="2"/>
  <c r="J29" i="2"/>
  <c r="L29" i="2"/>
  <c r="I29" i="2"/>
  <c r="G29" i="2"/>
  <c r="K29" i="2"/>
  <c r="E29" i="2"/>
  <c r="F27" i="2"/>
  <c r="H27" i="2"/>
  <c r="J27" i="2"/>
  <c r="L27" i="2"/>
  <c r="G27" i="2"/>
  <c r="K27" i="2"/>
  <c r="I27" i="2"/>
  <c r="E27" i="2"/>
  <c r="F25" i="2"/>
  <c r="H25" i="2"/>
  <c r="J25" i="2"/>
  <c r="L25" i="2"/>
  <c r="I25" i="2"/>
  <c r="K25" i="2"/>
  <c r="G25" i="2"/>
  <c r="E25" i="2"/>
  <c r="F23" i="2"/>
  <c r="H23" i="2"/>
  <c r="J23" i="2"/>
  <c r="L23" i="2"/>
  <c r="G23" i="2"/>
  <c r="K23" i="2"/>
  <c r="I23" i="2"/>
  <c r="E23" i="2"/>
  <c r="F21" i="2"/>
  <c r="H21" i="2"/>
  <c r="J21" i="2"/>
  <c r="L21" i="2"/>
  <c r="I21" i="2"/>
  <c r="G21" i="2"/>
  <c r="K21" i="2"/>
  <c r="F19" i="2"/>
  <c r="H19" i="2"/>
  <c r="J19" i="2"/>
  <c r="L19" i="2"/>
  <c r="G19" i="2"/>
  <c r="K19" i="2"/>
  <c r="I19" i="2"/>
  <c r="F17" i="2"/>
  <c r="H17" i="2"/>
  <c r="J17" i="2"/>
  <c r="L17" i="2"/>
  <c r="I17" i="2"/>
  <c r="K17" i="2"/>
  <c r="G17" i="2"/>
  <c r="F15" i="2"/>
  <c r="H15" i="2"/>
  <c r="J15" i="2"/>
  <c r="L15" i="2"/>
  <c r="G15" i="2"/>
  <c r="K15" i="2"/>
  <c r="I15" i="2"/>
  <c r="F13" i="2"/>
  <c r="H13" i="2"/>
  <c r="J13" i="2"/>
  <c r="L13" i="2"/>
  <c r="I13" i="2"/>
  <c r="G13" i="2"/>
  <c r="K13" i="2"/>
  <c r="F11" i="2"/>
  <c r="H11" i="2"/>
  <c r="J11" i="2"/>
  <c r="L11" i="2"/>
  <c r="G11" i="2"/>
  <c r="K11" i="2"/>
  <c r="I11" i="2"/>
  <c r="G368" i="2"/>
  <c r="I368" i="2"/>
  <c r="K368" i="2"/>
  <c r="F368" i="2"/>
  <c r="H368" i="2"/>
  <c r="J368" i="2"/>
  <c r="L368" i="2"/>
  <c r="E368" i="2"/>
  <c r="G322" i="2"/>
  <c r="I322" i="2"/>
  <c r="K322" i="2"/>
  <c r="F322" i="2"/>
  <c r="H322" i="2"/>
  <c r="J322" i="2"/>
  <c r="L322" i="2"/>
  <c r="E322" i="2"/>
  <c r="G318" i="2"/>
  <c r="I318" i="2"/>
  <c r="K318" i="2"/>
  <c r="F318" i="2"/>
  <c r="H318" i="2"/>
  <c r="J318" i="2"/>
  <c r="L318" i="2"/>
  <c r="E318" i="2"/>
  <c r="G314" i="2"/>
  <c r="I314" i="2"/>
  <c r="K314" i="2"/>
  <c r="F314" i="2"/>
  <c r="H314" i="2"/>
  <c r="J314" i="2"/>
  <c r="L314" i="2"/>
  <c r="E314" i="2"/>
  <c r="G310" i="2"/>
  <c r="I310" i="2"/>
  <c r="K310" i="2"/>
  <c r="F310" i="2"/>
  <c r="H310" i="2"/>
  <c r="J310" i="2"/>
  <c r="L310" i="2"/>
  <c r="E310" i="2"/>
  <c r="G306" i="2"/>
  <c r="I306" i="2"/>
  <c r="K306" i="2"/>
  <c r="F306" i="2"/>
  <c r="H306" i="2"/>
  <c r="J306" i="2"/>
  <c r="L306" i="2"/>
  <c r="E306" i="2"/>
  <c r="G302" i="2"/>
  <c r="I302" i="2"/>
  <c r="K302" i="2"/>
  <c r="F302" i="2"/>
  <c r="H302" i="2"/>
  <c r="J302" i="2"/>
  <c r="L302" i="2"/>
  <c r="E302" i="2"/>
  <c r="G298" i="2"/>
  <c r="I298" i="2"/>
  <c r="K298" i="2"/>
  <c r="F298" i="2"/>
  <c r="H298" i="2"/>
  <c r="J298" i="2"/>
  <c r="L298" i="2"/>
  <c r="E298" i="2"/>
  <c r="G294" i="2"/>
  <c r="I294" i="2"/>
  <c r="K294" i="2"/>
  <c r="F294" i="2"/>
  <c r="H294" i="2"/>
  <c r="J294" i="2"/>
  <c r="L294" i="2"/>
  <c r="E294" i="2"/>
  <c r="G290" i="2"/>
  <c r="I290" i="2"/>
  <c r="K290" i="2"/>
  <c r="F290" i="2"/>
  <c r="H290" i="2"/>
  <c r="J290" i="2"/>
  <c r="L290" i="2"/>
  <c r="E290" i="2"/>
  <c r="G286" i="2"/>
  <c r="I286" i="2"/>
  <c r="K286" i="2"/>
  <c r="F286" i="2"/>
  <c r="H286" i="2"/>
  <c r="J286" i="2"/>
  <c r="L286" i="2"/>
  <c r="E286" i="2"/>
  <c r="G282" i="2"/>
  <c r="I282" i="2"/>
  <c r="K282" i="2"/>
  <c r="F282" i="2"/>
  <c r="H282" i="2"/>
  <c r="J282" i="2"/>
  <c r="L282" i="2"/>
  <c r="E282" i="2"/>
  <c r="G276" i="2"/>
  <c r="I276" i="2"/>
  <c r="K276" i="2"/>
  <c r="F276" i="2"/>
  <c r="H276" i="2"/>
  <c r="J276" i="2"/>
  <c r="L276" i="2"/>
  <c r="E276" i="2"/>
  <c r="G272" i="2"/>
  <c r="I272" i="2"/>
  <c r="K272" i="2"/>
  <c r="F272" i="2"/>
  <c r="H272" i="2"/>
  <c r="J272" i="2"/>
  <c r="L272" i="2"/>
  <c r="E272" i="2"/>
  <c r="F268" i="2"/>
  <c r="H268" i="2"/>
  <c r="J268" i="2"/>
  <c r="L268" i="2"/>
  <c r="G268" i="2"/>
  <c r="I268" i="2"/>
  <c r="K268" i="2"/>
  <c r="E268" i="2"/>
  <c r="F262" i="2"/>
  <c r="H262" i="2"/>
  <c r="J262" i="2"/>
  <c r="L262" i="2"/>
  <c r="G262" i="2"/>
  <c r="I262" i="2"/>
  <c r="K262" i="2"/>
  <c r="E262" i="2"/>
  <c r="F258" i="2"/>
  <c r="H258" i="2"/>
  <c r="J258" i="2"/>
  <c r="L258" i="2"/>
  <c r="G258" i="2"/>
  <c r="I258" i="2"/>
  <c r="K258" i="2"/>
  <c r="E258" i="2"/>
  <c r="F254" i="2"/>
  <c r="H254" i="2"/>
  <c r="J254" i="2"/>
  <c r="L254" i="2"/>
  <c r="G254" i="2"/>
  <c r="I254" i="2"/>
  <c r="K254" i="2"/>
  <c r="E254" i="2"/>
  <c r="F252" i="2"/>
  <c r="H252" i="2"/>
  <c r="J252" i="2"/>
  <c r="L252" i="2"/>
  <c r="G252" i="2"/>
  <c r="I252" i="2"/>
  <c r="K252" i="2"/>
  <c r="E252" i="2"/>
  <c r="F248" i="2"/>
  <c r="H248" i="2"/>
  <c r="J248" i="2"/>
  <c r="L248" i="2"/>
  <c r="G248" i="2"/>
  <c r="I248" i="2"/>
  <c r="K248" i="2"/>
  <c r="E248" i="2"/>
  <c r="F246" i="2"/>
  <c r="H246" i="2"/>
  <c r="J246" i="2"/>
  <c r="L246" i="2"/>
  <c r="G246" i="2"/>
  <c r="I246" i="2"/>
  <c r="K246" i="2"/>
  <c r="E246" i="2"/>
  <c r="F244" i="2"/>
  <c r="H244" i="2"/>
  <c r="J244" i="2"/>
  <c r="L244" i="2"/>
  <c r="G244" i="2"/>
  <c r="I244" i="2"/>
  <c r="K244" i="2"/>
  <c r="E244" i="2"/>
  <c r="F242" i="2"/>
  <c r="H242" i="2"/>
  <c r="J242" i="2"/>
  <c r="L242" i="2"/>
  <c r="G242" i="2"/>
  <c r="I242" i="2"/>
  <c r="K242" i="2"/>
  <c r="E242" i="2"/>
  <c r="F240" i="2"/>
  <c r="H240" i="2"/>
  <c r="J240" i="2"/>
  <c r="L240" i="2"/>
  <c r="G240" i="2"/>
  <c r="I240" i="2"/>
  <c r="K240" i="2"/>
  <c r="E240" i="2"/>
  <c r="F238" i="2"/>
  <c r="H238" i="2"/>
  <c r="J238" i="2"/>
  <c r="L238" i="2"/>
  <c r="G238" i="2"/>
  <c r="I238" i="2"/>
  <c r="K238" i="2"/>
  <c r="E238" i="2"/>
  <c r="F236" i="2"/>
  <c r="H236" i="2"/>
  <c r="J236" i="2"/>
  <c r="L236" i="2"/>
  <c r="G236" i="2"/>
  <c r="I236" i="2"/>
  <c r="K236" i="2"/>
  <c r="E236" i="2"/>
  <c r="F234" i="2"/>
  <c r="H234" i="2"/>
  <c r="J234" i="2"/>
  <c r="L234" i="2"/>
  <c r="G234" i="2"/>
  <c r="I234" i="2"/>
  <c r="K234" i="2"/>
  <c r="E234" i="2"/>
  <c r="F232" i="2"/>
  <c r="H232" i="2"/>
  <c r="J232" i="2"/>
  <c r="L232" i="2"/>
  <c r="G232" i="2"/>
  <c r="I232" i="2"/>
  <c r="K232" i="2"/>
  <c r="E232" i="2"/>
  <c r="F230" i="2"/>
  <c r="H230" i="2"/>
  <c r="J230" i="2"/>
  <c r="L230" i="2"/>
  <c r="G230" i="2"/>
  <c r="I230" i="2"/>
  <c r="K230" i="2"/>
  <c r="E230" i="2"/>
  <c r="F228" i="2"/>
  <c r="H228" i="2"/>
  <c r="J228" i="2"/>
  <c r="L228" i="2"/>
  <c r="G228" i="2"/>
  <c r="I228" i="2"/>
  <c r="K228" i="2"/>
  <c r="E228" i="2"/>
  <c r="F226" i="2"/>
  <c r="H226" i="2"/>
  <c r="J226" i="2"/>
  <c r="L226" i="2"/>
  <c r="G226" i="2"/>
  <c r="I226" i="2"/>
  <c r="K226" i="2"/>
  <c r="E226" i="2"/>
  <c r="F224" i="2"/>
  <c r="H224" i="2"/>
  <c r="J224" i="2"/>
  <c r="L224" i="2"/>
  <c r="G224" i="2"/>
  <c r="I224" i="2"/>
  <c r="K224" i="2"/>
  <c r="E224" i="2"/>
  <c r="F222" i="2"/>
  <c r="H222" i="2"/>
  <c r="J222" i="2"/>
  <c r="L222" i="2"/>
  <c r="G222" i="2"/>
  <c r="I222" i="2"/>
  <c r="K222" i="2"/>
  <c r="E222" i="2"/>
  <c r="F220" i="2"/>
  <c r="H220" i="2"/>
  <c r="J220" i="2"/>
  <c r="L220" i="2"/>
  <c r="G220" i="2"/>
  <c r="I220" i="2"/>
  <c r="K220" i="2"/>
  <c r="E220" i="2"/>
  <c r="F218" i="2"/>
  <c r="H218" i="2"/>
  <c r="J218" i="2"/>
  <c r="L218" i="2"/>
  <c r="G218" i="2"/>
  <c r="I218" i="2"/>
  <c r="K218" i="2"/>
  <c r="E218" i="2"/>
  <c r="F216" i="2"/>
  <c r="H216" i="2"/>
  <c r="J216" i="2"/>
  <c r="L216" i="2"/>
  <c r="G216" i="2"/>
  <c r="I216" i="2"/>
  <c r="K216" i="2"/>
  <c r="E216" i="2"/>
  <c r="F214" i="2"/>
  <c r="H214" i="2"/>
  <c r="J214" i="2"/>
  <c r="L214" i="2"/>
  <c r="G214" i="2"/>
  <c r="I214" i="2"/>
  <c r="K214" i="2"/>
  <c r="E214" i="2"/>
  <c r="F212" i="2"/>
  <c r="H212" i="2"/>
  <c r="J212" i="2"/>
  <c r="L212" i="2"/>
  <c r="G212" i="2"/>
  <c r="I212" i="2"/>
  <c r="K212" i="2"/>
  <c r="E212" i="2"/>
  <c r="F210" i="2"/>
  <c r="H210" i="2"/>
  <c r="J210" i="2"/>
  <c r="L210" i="2"/>
  <c r="G210" i="2"/>
  <c r="I210" i="2"/>
  <c r="K210" i="2"/>
  <c r="E210" i="2"/>
  <c r="F208" i="2"/>
  <c r="H208" i="2"/>
  <c r="J208" i="2"/>
  <c r="L208" i="2"/>
  <c r="G208" i="2"/>
  <c r="I208" i="2"/>
  <c r="K208" i="2"/>
  <c r="E208" i="2"/>
  <c r="F206" i="2"/>
  <c r="H206" i="2"/>
  <c r="J206" i="2"/>
  <c r="L206" i="2"/>
  <c r="G206" i="2"/>
  <c r="I206" i="2"/>
  <c r="K206" i="2"/>
  <c r="E206" i="2"/>
  <c r="F204" i="2"/>
  <c r="H204" i="2"/>
  <c r="J204" i="2"/>
  <c r="L204" i="2"/>
  <c r="G204" i="2"/>
  <c r="I204" i="2"/>
  <c r="K204" i="2"/>
  <c r="E204" i="2"/>
  <c r="F202" i="2"/>
  <c r="H202" i="2"/>
  <c r="J202" i="2"/>
  <c r="L202" i="2"/>
  <c r="G202" i="2"/>
  <c r="I202" i="2"/>
  <c r="K202" i="2"/>
  <c r="E202" i="2"/>
  <c r="F200" i="2"/>
  <c r="H200" i="2"/>
  <c r="J200" i="2"/>
  <c r="L200" i="2"/>
  <c r="G200" i="2"/>
  <c r="I200" i="2"/>
  <c r="K200" i="2"/>
  <c r="E200" i="2"/>
  <c r="F198" i="2"/>
  <c r="H198" i="2"/>
  <c r="J198" i="2"/>
  <c r="L198" i="2"/>
  <c r="G198" i="2"/>
  <c r="I198" i="2"/>
  <c r="K198" i="2"/>
  <c r="E198" i="2"/>
  <c r="F196" i="2"/>
  <c r="H196" i="2"/>
  <c r="J196" i="2"/>
  <c r="L196" i="2"/>
  <c r="G196" i="2"/>
  <c r="I196" i="2"/>
  <c r="K196" i="2"/>
  <c r="E196" i="2"/>
  <c r="F194" i="2"/>
  <c r="H194" i="2"/>
  <c r="J194" i="2"/>
  <c r="L194" i="2"/>
  <c r="G194" i="2"/>
  <c r="I194" i="2"/>
  <c r="K194" i="2"/>
  <c r="E194" i="2"/>
  <c r="F192" i="2"/>
  <c r="H192" i="2"/>
  <c r="J192" i="2"/>
  <c r="L192" i="2"/>
  <c r="G192" i="2"/>
  <c r="I192" i="2"/>
  <c r="K192" i="2"/>
  <c r="E192" i="2"/>
  <c r="F190" i="2"/>
  <c r="H190" i="2"/>
  <c r="J190" i="2"/>
  <c r="L190" i="2"/>
  <c r="G190" i="2"/>
  <c r="I190" i="2"/>
  <c r="K190" i="2"/>
  <c r="E190" i="2"/>
  <c r="F188" i="2"/>
  <c r="H188" i="2"/>
  <c r="J188" i="2"/>
  <c r="L188" i="2"/>
  <c r="G188" i="2"/>
  <c r="I188" i="2"/>
  <c r="K188" i="2"/>
  <c r="E188" i="2"/>
  <c r="F186" i="2"/>
  <c r="H186" i="2"/>
  <c r="J186" i="2"/>
  <c r="L186" i="2"/>
  <c r="G186" i="2"/>
  <c r="I186" i="2"/>
  <c r="K186" i="2"/>
  <c r="E186" i="2"/>
  <c r="F184" i="2"/>
  <c r="H184" i="2"/>
  <c r="J184" i="2"/>
  <c r="L184" i="2"/>
  <c r="G184" i="2"/>
  <c r="I184" i="2"/>
  <c r="K184" i="2"/>
  <c r="E184" i="2"/>
  <c r="F182" i="2"/>
  <c r="H182" i="2"/>
  <c r="J182" i="2"/>
  <c r="L182" i="2"/>
  <c r="G182" i="2"/>
  <c r="I182" i="2"/>
  <c r="K182" i="2"/>
  <c r="E182" i="2"/>
  <c r="G180" i="2"/>
  <c r="H180" i="2"/>
  <c r="J180" i="2"/>
  <c r="L180" i="2"/>
  <c r="F180" i="2"/>
  <c r="I180" i="2"/>
  <c r="K180" i="2"/>
  <c r="E180" i="2"/>
  <c r="G178" i="2"/>
  <c r="I178" i="2"/>
  <c r="K178" i="2"/>
  <c r="F178" i="2"/>
  <c r="J178" i="2"/>
  <c r="H178" i="2"/>
  <c r="L178" i="2"/>
  <c r="E178" i="2"/>
  <c r="G176" i="2"/>
  <c r="I176" i="2"/>
  <c r="K176" i="2"/>
  <c r="H176" i="2"/>
  <c r="L176" i="2"/>
  <c r="F176" i="2"/>
  <c r="J176" i="2"/>
  <c r="E176" i="2"/>
  <c r="G174" i="2"/>
  <c r="I174" i="2"/>
  <c r="K174" i="2"/>
  <c r="F174" i="2"/>
  <c r="J174" i="2"/>
  <c r="H174" i="2"/>
  <c r="L174" i="2"/>
  <c r="E174" i="2"/>
  <c r="G172" i="2"/>
  <c r="I172" i="2"/>
  <c r="K172" i="2"/>
  <c r="H172" i="2"/>
  <c r="L172" i="2"/>
  <c r="F172" i="2"/>
  <c r="J172" i="2"/>
  <c r="E172" i="2"/>
  <c r="G170" i="2"/>
  <c r="I170" i="2"/>
  <c r="K170" i="2"/>
  <c r="F170" i="2"/>
  <c r="J170" i="2"/>
  <c r="H170" i="2"/>
  <c r="L170" i="2"/>
  <c r="E170" i="2"/>
  <c r="G168" i="2"/>
  <c r="I168" i="2"/>
  <c r="K168" i="2"/>
  <c r="H168" i="2"/>
  <c r="L168" i="2"/>
  <c r="F168" i="2"/>
  <c r="J168" i="2"/>
  <c r="E168" i="2"/>
  <c r="G166" i="2"/>
  <c r="I166" i="2"/>
  <c r="K166" i="2"/>
  <c r="F166" i="2"/>
  <c r="J166" i="2"/>
  <c r="H166" i="2"/>
  <c r="L166" i="2"/>
  <c r="E166" i="2"/>
  <c r="F164" i="2"/>
  <c r="H164" i="2"/>
  <c r="J164" i="2"/>
  <c r="L164" i="2"/>
  <c r="G164" i="2"/>
  <c r="I164" i="2"/>
  <c r="K164" i="2"/>
  <c r="E164" i="2"/>
  <c r="F162" i="2"/>
  <c r="H162" i="2"/>
  <c r="J162" i="2"/>
  <c r="L162" i="2"/>
  <c r="G162" i="2"/>
  <c r="I162" i="2"/>
  <c r="K162" i="2"/>
  <c r="E162" i="2"/>
  <c r="F160" i="2"/>
  <c r="H160" i="2"/>
  <c r="J160" i="2"/>
  <c r="L160" i="2"/>
  <c r="G160" i="2"/>
  <c r="I160" i="2"/>
  <c r="K160" i="2"/>
  <c r="E160" i="2"/>
  <c r="F158" i="2"/>
  <c r="H158" i="2"/>
  <c r="J158" i="2"/>
  <c r="L158" i="2"/>
  <c r="G158" i="2"/>
  <c r="I158" i="2"/>
  <c r="K158" i="2"/>
  <c r="E158" i="2"/>
  <c r="F156" i="2"/>
  <c r="H156" i="2"/>
  <c r="J156" i="2"/>
  <c r="L156" i="2"/>
  <c r="G156" i="2"/>
  <c r="I156" i="2"/>
  <c r="K156" i="2"/>
  <c r="E156" i="2"/>
  <c r="F154" i="2"/>
  <c r="H154" i="2"/>
  <c r="J154" i="2"/>
  <c r="L154" i="2"/>
  <c r="G154" i="2"/>
  <c r="I154" i="2"/>
  <c r="K154" i="2"/>
  <c r="E154" i="2"/>
  <c r="F152" i="2"/>
  <c r="H152" i="2"/>
  <c r="J152" i="2"/>
  <c r="L152" i="2"/>
  <c r="G152" i="2"/>
  <c r="I152" i="2"/>
  <c r="K152" i="2"/>
  <c r="E152" i="2"/>
  <c r="F150" i="2"/>
  <c r="H150" i="2"/>
  <c r="J150" i="2"/>
  <c r="L150" i="2"/>
  <c r="G150" i="2"/>
  <c r="I150" i="2"/>
  <c r="K150" i="2"/>
  <c r="E150" i="2"/>
  <c r="F148" i="2"/>
  <c r="H148" i="2"/>
  <c r="J148" i="2"/>
  <c r="L148" i="2"/>
  <c r="G148" i="2"/>
  <c r="I148" i="2"/>
  <c r="K148" i="2"/>
  <c r="E148" i="2"/>
  <c r="F146" i="2"/>
  <c r="H146" i="2"/>
  <c r="J146" i="2"/>
  <c r="L146" i="2"/>
  <c r="G146" i="2"/>
  <c r="I146" i="2"/>
  <c r="K146" i="2"/>
  <c r="E146" i="2"/>
  <c r="F144" i="2"/>
  <c r="H144" i="2"/>
  <c r="J144" i="2"/>
  <c r="L144" i="2"/>
  <c r="G144" i="2"/>
  <c r="I144" i="2"/>
  <c r="K144" i="2"/>
  <c r="E144" i="2"/>
  <c r="F142" i="2"/>
  <c r="H142" i="2"/>
  <c r="J142" i="2"/>
  <c r="L142" i="2"/>
  <c r="G142" i="2"/>
  <c r="I142" i="2"/>
  <c r="K142" i="2"/>
  <c r="E142" i="2"/>
  <c r="F140" i="2"/>
  <c r="H140" i="2"/>
  <c r="J140" i="2"/>
  <c r="L140" i="2"/>
  <c r="G140" i="2"/>
  <c r="I140" i="2"/>
  <c r="K140" i="2"/>
  <c r="E140" i="2"/>
  <c r="F138" i="2"/>
  <c r="H138" i="2"/>
  <c r="J138" i="2"/>
  <c r="L138" i="2"/>
  <c r="G138" i="2"/>
  <c r="I138" i="2"/>
  <c r="K138" i="2"/>
  <c r="E138" i="2"/>
  <c r="F136" i="2"/>
  <c r="H136" i="2"/>
  <c r="J136" i="2"/>
  <c r="L136" i="2"/>
  <c r="G136" i="2"/>
  <c r="I136" i="2"/>
  <c r="K136" i="2"/>
  <c r="E136" i="2"/>
  <c r="F134" i="2"/>
  <c r="H134" i="2"/>
  <c r="J134" i="2"/>
  <c r="L134" i="2"/>
  <c r="G134" i="2"/>
  <c r="I134" i="2"/>
  <c r="K134" i="2"/>
  <c r="E134" i="2"/>
  <c r="F132" i="2"/>
  <c r="H132" i="2"/>
  <c r="J132" i="2"/>
  <c r="L132" i="2"/>
  <c r="G132" i="2"/>
  <c r="I132" i="2"/>
  <c r="K132" i="2"/>
  <c r="E132" i="2"/>
  <c r="F130" i="2"/>
  <c r="H130" i="2"/>
  <c r="J130" i="2"/>
  <c r="L130" i="2"/>
  <c r="G130" i="2"/>
  <c r="I130" i="2"/>
  <c r="K130" i="2"/>
  <c r="E130" i="2"/>
  <c r="F128" i="2"/>
  <c r="H128" i="2"/>
  <c r="J128" i="2"/>
  <c r="L128" i="2"/>
  <c r="G128" i="2"/>
  <c r="I128" i="2"/>
  <c r="K128" i="2"/>
  <c r="E128" i="2"/>
  <c r="F126" i="2"/>
  <c r="H126" i="2"/>
  <c r="J126" i="2"/>
  <c r="L126" i="2"/>
  <c r="G126" i="2"/>
  <c r="I126" i="2"/>
  <c r="K126" i="2"/>
  <c r="E126" i="2"/>
  <c r="F124" i="2"/>
  <c r="H124" i="2"/>
  <c r="J124" i="2"/>
  <c r="L124" i="2"/>
  <c r="G124" i="2"/>
  <c r="I124" i="2"/>
  <c r="K124" i="2"/>
  <c r="E124" i="2"/>
  <c r="F122" i="2"/>
  <c r="H122" i="2"/>
  <c r="J122" i="2"/>
  <c r="L122" i="2"/>
  <c r="G122" i="2"/>
  <c r="I122" i="2"/>
  <c r="K122" i="2"/>
  <c r="E122" i="2"/>
  <c r="F120" i="2"/>
  <c r="H120" i="2"/>
  <c r="J120" i="2"/>
  <c r="L120" i="2"/>
  <c r="G120" i="2"/>
  <c r="I120" i="2"/>
  <c r="K120" i="2"/>
  <c r="E120" i="2"/>
  <c r="F118" i="2"/>
  <c r="H118" i="2"/>
  <c r="J118" i="2"/>
  <c r="L118" i="2"/>
  <c r="G118" i="2"/>
  <c r="I118" i="2"/>
  <c r="K118" i="2"/>
  <c r="E118" i="2"/>
  <c r="F116" i="2"/>
  <c r="H116" i="2"/>
  <c r="J116" i="2"/>
  <c r="L116" i="2"/>
  <c r="G116" i="2"/>
  <c r="I116" i="2"/>
  <c r="K116" i="2"/>
  <c r="E116" i="2"/>
  <c r="F114" i="2"/>
  <c r="H114" i="2"/>
  <c r="J114" i="2"/>
  <c r="L114" i="2"/>
  <c r="G114" i="2"/>
  <c r="I114" i="2"/>
  <c r="K114" i="2"/>
  <c r="E114" i="2"/>
  <c r="F112" i="2"/>
  <c r="H112" i="2"/>
  <c r="J112" i="2"/>
  <c r="L112" i="2"/>
  <c r="G112" i="2"/>
  <c r="I112" i="2"/>
  <c r="K112" i="2"/>
  <c r="E112" i="2"/>
  <c r="F110" i="2"/>
  <c r="H110" i="2"/>
  <c r="J110" i="2"/>
  <c r="L110" i="2"/>
  <c r="G110" i="2"/>
  <c r="I110" i="2"/>
  <c r="K110" i="2"/>
  <c r="E110" i="2"/>
  <c r="F108" i="2"/>
  <c r="H108" i="2"/>
  <c r="J108" i="2"/>
  <c r="L108" i="2"/>
  <c r="G108" i="2"/>
  <c r="I108" i="2"/>
  <c r="K108" i="2"/>
  <c r="E108" i="2"/>
  <c r="F106" i="2"/>
  <c r="H106" i="2"/>
  <c r="J106" i="2"/>
  <c r="L106" i="2"/>
  <c r="G106" i="2"/>
  <c r="K106" i="2"/>
  <c r="I106" i="2"/>
  <c r="E106" i="2"/>
  <c r="F104" i="2"/>
  <c r="H104" i="2"/>
  <c r="J104" i="2"/>
  <c r="L104" i="2"/>
  <c r="I104" i="2"/>
  <c r="G104" i="2"/>
  <c r="K104" i="2"/>
  <c r="E104" i="2"/>
  <c r="F102" i="2"/>
  <c r="H102" i="2"/>
  <c r="J102" i="2"/>
  <c r="L102" i="2"/>
  <c r="G102" i="2"/>
  <c r="K102" i="2"/>
  <c r="I102" i="2"/>
  <c r="E102" i="2"/>
  <c r="F100" i="2"/>
  <c r="H100" i="2"/>
  <c r="J100" i="2"/>
  <c r="L100" i="2"/>
  <c r="I100" i="2"/>
  <c r="G100" i="2"/>
  <c r="K100" i="2"/>
  <c r="E100" i="2"/>
  <c r="F98" i="2"/>
  <c r="H98" i="2"/>
  <c r="J98" i="2"/>
  <c r="L98" i="2"/>
  <c r="G98" i="2"/>
  <c r="K98" i="2"/>
  <c r="I98" i="2"/>
  <c r="E98" i="2"/>
  <c r="F96" i="2"/>
  <c r="H96" i="2"/>
  <c r="J96" i="2"/>
  <c r="L96" i="2"/>
  <c r="I96" i="2"/>
  <c r="G96" i="2"/>
  <c r="K96" i="2"/>
  <c r="E96" i="2"/>
  <c r="F94" i="2"/>
  <c r="H94" i="2"/>
  <c r="J94" i="2"/>
  <c r="L94" i="2"/>
  <c r="G94" i="2"/>
  <c r="K94" i="2"/>
  <c r="I94" i="2"/>
  <c r="E94" i="2"/>
  <c r="F92" i="2"/>
  <c r="H92" i="2"/>
  <c r="J92" i="2"/>
  <c r="L92" i="2"/>
  <c r="I92" i="2"/>
  <c r="G92" i="2"/>
  <c r="K92" i="2"/>
  <c r="E92" i="2"/>
  <c r="F90" i="2"/>
  <c r="H90" i="2"/>
  <c r="J90" i="2"/>
  <c r="L90" i="2"/>
  <c r="G90" i="2"/>
  <c r="K90" i="2"/>
  <c r="I90" i="2"/>
  <c r="E90" i="2"/>
  <c r="F88" i="2"/>
  <c r="H88" i="2"/>
  <c r="J88" i="2"/>
  <c r="L88" i="2"/>
  <c r="I88" i="2"/>
  <c r="G88" i="2"/>
  <c r="K88" i="2"/>
  <c r="E88" i="2"/>
  <c r="F86" i="2"/>
  <c r="H86" i="2"/>
  <c r="J86" i="2"/>
  <c r="L86" i="2"/>
  <c r="G86" i="2"/>
  <c r="K86" i="2"/>
  <c r="I86" i="2"/>
  <c r="E86" i="2"/>
  <c r="F84" i="2"/>
  <c r="H84" i="2"/>
  <c r="J84" i="2"/>
  <c r="L84" i="2"/>
  <c r="I84" i="2"/>
  <c r="G84" i="2"/>
  <c r="K84" i="2"/>
  <c r="E84" i="2"/>
  <c r="G82" i="2"/>
  <c r="I82" i="2"/>
  <c r="K82" i="2"/>
  <c r="H82" i="2"/>
  <c r="L82" i="2"/>
  <c r="J82" i="2"/>
  <c r="F82" i="2"/>
  <c r="E82" i="2"/>
  <c r="G80" i="2"/>
  <c r="I80" i="2"/>
  <c r="K80" i="2"/>
  <c r="F80" i="2"/>
  <c r="J80" i="2"/>
  <c r="H80" i="2"/>
  <c r="L80" i="2"/>
  <c r="E80" i="2"/>
  <c r="G78" i="2"/>
  <c r="I78" i="2"/>
  <c r="K78" i="2"/>
  <c r="H78" i="2"/>
  <c r="L78" i="2"/>
  <c r="F78" i="2"/>
  <c r="J78" i="2"/>
  <c r="E78" i="2"/>
  <c r="G76" i="2"/>
  <c r="I76" i="2"/>
  <c r="K76" i="2"/>
  <c r="F76" i="2"/>
  <c r="J76" i="2"/>
  <c r="L76" i="2"/>
  <c r="H76" i="2"/>
  <c r="E76" i="2"/>
  <c r="G74" i="2"/>
  <c r="I74" i="2"/>
  <c r="K74" i="2"/>
  <c r="H74" i="2"/>
  <c r="L74" i="2"/>
  <c r="J74" i="2"/>
  <c r="F74" i="2"/>
  <c r="E74" i="2"/>
  <c r="G72" i="2"/>
  <c r="I72" i="2"/>
  <c r="K72" i="2"/>
  <c r="F72" i="2"/>
  <c r="J72" i="2"/>
  <c r="H72" i="2"/>
  <c r="L72" i="2"/>
  <c r="E72" i="2"/>
  <c r="G70" i="2"/>
  <c r="I70" i="2"/>
  <c r="K70" i="2"/>
  <c r="H70" i="2"/>
  <c r="L70" i="2"/>
  <c r="F70" i="2"/>
  <c r="J70" i="2"/>
  <c r="E70" i="2"/>
  <c r="G68" i="2"/>
  <c r="I68" i="2"/>
  <c r="K68" i="2"/>
  <c r="F68" i="2"/>
  <c r="J68" i="2"/>
  <c r="L68" i="2"/>
  <c r="H68" i="2"/>
  <c r="E68" i="2"/>
  <c r="G66" i="2"/>
  <c r="I66" i="2"/>
  <c r="K66" i="2"/>
  <c r="H66" i="2"/>
  <c r="L66" i="2"/>
  <c r="J66" i="2"/>
  <c r="F66" i="2"/>
  <c r="E66" i="2"/>
  <c r="G64" i="2"/>
  <c r="I64" i="2"/>
  <c r="K64" i="2"/>
  <c r="F64" i="2"/>
  <c r="J64" i="2"/>
  <c r="H64" i="2"/>
  <c r="L64" i="2"/>
  <c r="E64" i="2"/>
  <c r="G62" i="2"/>
  <c r="I62" i="2"/>
  <c r="K62" i="2"/>
  <c r="H62" i="2"/>
  <c r="L62" i="2"/>
  <c r="F62" i="2"/>
  <c r="J62" i="2"/>
  <c r="E62" i="2"/>
  <c r="G60" i="2"/>
  <c r="I60" i="2"/>
  <c r="K60" i="2"/>
  <c r="F60" i="2"/>
  <c r="J60" i="2"/>
  <c r="L60" i="2"/>
  <c r="H60" i="2"/>
  <c r="E60" i="2"/>
  <c r="G58" i="2"/>
  <c r="I58" i="2"/>
  <c r="K58" i="2"/>
  <c r="H58" i="2"/>
  <c r="L58" i="2"/>
  <c r="J58" i="2"/>
  <c r="F58" i="2"/>
  <c r="E58" i="2"/>
  <c r="G56" i="2"/>
  <c r="I56" i="2"/>
  <c r="K56" i="2"/>
  <c r="F56" i="2"/>
  <c r="J56" i="2"/>
  <c r="H56" i="2"/>
  <c r="L56" i="2"/>
  <c r="E56" i="2"/>
  <c r="G54" i="2"/>
  <c r="I54" i="2"/>
  <c r="K54" i="2"/>
  <c r="H54" i="2"/>
  <c r="L54" i="2"/>
  <c r="F54" i="2"/>
  <c r="J54" i="2"/>
  <c r="E54" i="2"/>
  <c r="G52" i="2"/>
  <c r="I52" i="2"/>
  <c r="K52" i="2"/>
  <c r="F52" i="2"/>
  <c r="J52" i="2"/>
  <c r="L52" i="2"/>
  <c r="H52" i="2"/>
  <c r="E52" i="2"/>
  <c r="G50" i="2"/>
  <c r="I50" i="2"/>
  <c r="K50" i="2"/>
  <c r="H50" i="2"/>
  <c r="L50" i="2"/>
  <c r="J50" i="2"/>
  <c r="F50" i="2"/>
  <c r="E50" i="2"/>
  <c r="G48" i="2"/>
  <c r="I48" i="2"/>
  <c r="K48" i="2"/>
  <c r="F48" i="2"/>
  <c r="J48" i="2"/>
  <c r="H48" i="2"/>
  <c r="L48" i="2"/>
  <c r="E48" i="2"/>
  <c r="G46" i="2"/>
  <c r="F46" i="2"/>
  <c r="I46" i="2"/>
  <c r="K46" i="2"/>
  <c r="H46" i="2"/>
  <c r="L46" i="2"/>
  <c r="J46" i="2"/>
  <c r="E46" i="2"/>
  <c r="G44" i="2"/>
  <c r="I44" i="2"/>
  <c r="K44" i="2"/>
  <c r="H44" i="2"/>
  <c r="L44" i="2"/>
  <c r="F44" i="2"/>
  <c r="J44" i="2"/>
  <c r="E44" i="2"/>
  <c r="G42" i="2"/>
  <c r="I42" i="2"/>
  <c r="K42" i="2"/>
  <c r="F42" i="2"/>
  <c r="J42" i="2"/>
  <c r="L42" i="2"/>
  <c r="H42" i="2"/>
  <c r="E42" i="2"/>
  <c r="G40" i="2"/>
  <c r="I40" i="2"/>
  <c r="K40" i="2"/>
  <c r="H40" i="2"/>
  <c r="L40" i="2"/>
  <c r="J40" i="2"/>
  <c r="F40" i="2"/>
  <c r="E40" i="2"/>
  <c r="G38" i="2"/>
  <c r="I38" i="2"/>
  <c r="K38" i="2"/>
  <c r="F38" i="2"/>
  <c r="J38" i="2"/>
  <c r="H38" i="2"/>
  <c r="L38" i="2"/>
  <c r="E38" i="2"/>
  <c r="G36" i="2"/>
  <c r="I36" i="2"/>
  <c r="K36" i="2"/>
  <c r="H36" i="2"/>
  <c r="L36" i="2"/>
  <c r="F36" i="2"/>
  <c r="J36" i="2"/>
  <c r="E36" i="2"/>
  <c r="G34" i="2"/>
  <c r="F34" i="2"/>
  <c r="I34" i="2"/>
  <c r="K34" i="2"/>
  <c r="J34" i="2"/>
  <c r="L34" i="2"/>
  <c r="H34" i="2"/>
  <c r="E34" i="2"/>
  <c r="G32" i="2"/>
  <c r="I32" i="2"/>
  <c r="K32" i="2"/>
  <c r="H32" i="2"/>
  <c r="L32" i="2"/>
  <c r="J32" i="2"/>
  <c r="F32" i="2"/>
  <c r="E32" i="2"/>
  <c r="G30" i="2"/>
  <c r="I30" i="2"/>
  <c r="K30" i="2"/>
  <c r="F30" i="2"/>
  <c r="J30" i="2"/>
  <c r="H30" i="2"/>
  <c r="L30" i="2"/>
  <c r="E30" i="2"/>
  <c r="G28" i="2"/>
  <c r="I28" i="2"/>
  <c r="K28" i="2"/>
  <c r="H28" i="2"/>
  <c r="L28" i="2"/>
  <c r="F28" i="2"/>
  <c r="J28" i="2"/>
  <c r="E28" i="2"/>
  <c r="G26" i="2"/>
  <c r="I26" i="2"/>
  <c r="K26" i="2"/>
  <c r="F26" i="2"/>
  <c r="J26" i="2"/>
  <c r="L26" i="2"/>
  <c r="H26" i="2"/>
  <c r="E26" i="2"/>
  <c r="G24" i="2"/>
  <c r="I24" i="2"/>
  <c r="K24" i="2"/>
  <c r="H24" i="2"/>
  <c r="L24" i="2"/>
  <c r="J24" i="2"/>
  <c r="F24" i="2"/>
  <c r="E24" i="2"/>
  <c r="G22" i="2"/>
  <c r="I22" i="2"/>
  <c r="K22" i="2"/>
  <c r="F22" i="2"/>
  <c r="J22" i="2"/>
  <c r="H22" i="2"/>
  <c r="L22" i="2"/>
  <c r="G20" i="2"/>
  <c r="I20" i="2"/>
  <c r="K20" i="2"/>
  <c r="H20" i="2"/>
  <c r="L20" i="2"/>
  <c r="F20" i="2"/>
  <c r="J20" i="2"/>
  <c r="G18" i="2"/>
  <c r="I18" i="2"/>
  <c r="K18" i="2"/>
  <c r="F18" i="2"/>
  <c r="J18" i="2"/>
  <c r="L18" i="2"/>
  <c r="H18" i="2"/>
  <c r="G16" i="2"/>
  <c r="I16" i="2"/>
  <c r="K16" i="2"/>
  <c r="H16" i="2"/>
  <c r="L16" i="2"/>
  <c r="J16" i="2"/>
  <c r="F16" i="2"/>
  <c r="G14" i="2"/>
  <c r="I14" i="2"/>
  <c r="K14" i="2"/>
  <c r="F14" i="2"/>
  <c r="J14" i="2"/>
  <c r="H14" i="2"/>
  <c r="L14" i="2"/>
  <c r="G12" i="2"/>
  <c r="I12" i="2"/>
  <c r="K12" i="2"/>
  <c r="H12" i="2"/>
  <c r="L12" i="2"/>
  <c r="F12" i="2"/>
  <c r="J12" i="2"/>
  <c r="G10" i="2"/>
  <c r="I10" i="2"/>
  <c r="K10" i="2"/>
  <c r="F10" i="2"/>
  <c r="J10" i="2"/>
  <c r="L10" i="2"/>
  <c r="H10" i="2"/>
  <c r="C4" i="2"/>
  <c r="C13" i="2"/>
  <c r="C9" i="2"/>
  <c r="C7" i="2"/>
  <c r="C5" i="2"/>
  <c r="C8" i="2"/>
  <c r="C6" i="2"/>
  <c r="C12" i="2" l="1"/>
  <c r="C11" i="2"/>
  <c r="C15" i="2"/>
  <c r="C16" i="2"/>
  <c r="C10" i="2"/>
  <c r="C14" i="2"/>
</calcChain>
</file>

<file path=xl/sharedStrings.xml><?xml version="1.0" encoding="utf-8"?>
<sst xmlns="http://schemas.openxmlformats.org/spreadsheetml/2006/main" count="54" uniqueCount="31">
  <si>
    <t>Fecha</t>
  </si>
  <si>
    <t>Tipo de Operación</t>
  </si>
  <si>
    <t>Producto</t>
  </si>
  <si>
    <t>Cantidad</t>
  </si>
  <si>
    <t>Total</t>
  </si>
  <si>
    <t>Central</t>
  </si>
  <si>
    <t>Norte</t>
  </si>
  <si>
    <t>Este</t>
  </si>
  <si>
    <t>Fecha de Cálculo</t>
  </si>
  <si>
    <t>Compra</t>
  </si>
  <si>
    <t>Venta</t>
  </si>
  <si>
    <t>Registro de Operaciones</t>
  </si>
  <si>
    <t>Código</t>
  </si>
  <si>
    <t>Denominación</t>
  </si>
  <si>
    <t>Rubro</t>
  </si>
  <si>
    <t>Unidad medida</t>
  </si>
  <si>
    <t>Tipo de operación</t>
  </si>
  <si>
    <t>Existencia</t>
  </si>
  <si>
    <t>Ajuste</t>
  </si>
  <si>
    <t>Plantas</t>
  </si>
  <si>
    <t>Sur</t>
  </si>
  <si>
    <t>Oeste</t>
  </si>
  <si>
    <t>Lapices</t>
  </si>
  <si>
    <t>Lapiceras</t>
  </si>
  <si>
    <t>Agendas</t>
  </si>
  <si>
    <t>Libros</t>
  </si>
  <si>
    <t>Hojas</t>
  </si>
  <si>
    <t>Cartulina</t>
  </si>
  <si>
    <t>Ingreso en</t>
  </si>
  <si>
    <t>Egreso de</t>
  </si>
  <si>
    <t>Carpeta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</si>
</sst>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;\-0;;@"/>
  </numFmts>
  <fonts count="5" x14ac:knownFonts="1">
    <font>
      <sz val="11"/>
      <color theme="1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i/>
      <sz val="11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-0.499984740745262"/>
        <bgColor indexed="64"/>
      </patternFill>
    </fill>
  </fills>
  <borders count="1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indexed="64"/>
      </top>
      <bottom style="thin">
        <color rgb="FF7F7F7F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2" fillId="3" borderId="1" applyNumberFormat="0" applyAlignment="0" applyProtection="0"/>
  </cellStyleXfs>
  <cellXfs count="23">
    <xf numFmtId="0" fontId="0" fillId="0" borderId="0" xfId="0"/>
    <xf numFmtId="0" fontId="0" fillId="4" borderId="0" xfId="0" applyFill="1" applyAlignment="1">
      <alignment horizontal="center"/>
    </xf>
    <xf numFmtId="0" fontId="3" fillId="5" borderId="0" xfId="0" applyFont="1" applyFill="1" applyAlignment="1">
      <alignment horizontal="center"/>
    </xf>
    <xf numFmtId="14" fontId="1" fillId="2" borderId="0" xfId="1" applyNumberFormat="1"/>
    <xf numFmtId="164" fontId="0" fillId="0" borderId="0" xfId="0" applyNumberFormat="1"/>
    <xf numFmtId="0" fontId="3" fillId="5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14" fontId="0" fillId="0" borderId="2" xfId="0" applyNumberFormat="1" applyBorder="1"/>
    <xf numFmtId="0" fontId="2" fillId="3" borderId="3" xfId="2" applyBorder="1"/>
    <xf numFmtId="0" fontId="0" fillId="0" borderId="4" xfId="0" applyBorder="1"/>
    <xf numFmtId="0" fontId="0" fillId="0" borderId="5" xfId="0" applyBorder="1"/>
    <xf numFmtId="14" fontId="0" fillId="0" borderId="6" xfId="0" applyNumberFormat="1" applyBorder="1"/>
    <xf numFmtId="0" fontId="2" fillId="3" borderId="1" xfId="2" applyBorder="1"/>
    <xf numFmtId="0" fontId="0" fillId="0" borderId="0" xfId="0" applyBorder="1"/>
    <xf numFmtId="0" fontId="0" fillId="0" borderId="7" xfId="0" applyBorder="1"/>
    <xf numFmtId="0" fontId="0" fillId="0" borderId="6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0" xfId="0" applyFill="1" applyBorder="1"/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</cellXfs>
  <cellStyles count="3">
    <cellStyle name="Entrada" xfId="2" builtinId="20"/>
    <cellStyle name="Neutral" xfId="1" builtinId="2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2:G346"/>
  <sheetViews>
    <sheetView workbookViewId="0">
      <selection activeCell="F8" sqref="F8"/>
    </sheetView>
  </sheetViews>
  <sheetFormatPr baseColWidth="10" defaultRowHeight="15" x14ac:dyDescent="0.25"/>
  <cols>
    <col min="2" max="2" width="19.28515625" customWidth="1"/>
    <col min="3" max="3" width="18.7109375" customWidth="1"/>
    <col min="4" max="4" width="21.7109375" customWidth="1"/>
  </cols>
  <sheetData>
    <row r="2" spans="1:7" x14ac:dyDescent="0.25">
      <c r="A2" t="s">
        <v>11</v>
      </c>
    </row>
    <row r="5" spans="1:7" x14ac:dyDescent="0.25">
      <c r="A5" s="6" t="s">
        <v>0</v>
      </c>
      <c r="B5" s="6" t="s">
        <v>1</v>
      </c>
      <c r="C5" s="6" t="s">
        <v>12</v>
      </c>
      <c r="D5" s="6" t="s">
        <v>2</v>
      </c>
      <c r="E5" s="6" t="s">
        <v>3</v>
      </c>
      <c r="F5" s="6" t="s">
        <v>28</v>
      </c>
      <c r="G5" s="6" t="s">
        <v>29</v>
      </c>
    </row>
    <row r="6" spans="1:7" x14ac:dyDescent="0.25">
      <c r="A6" s="7">
        <v>45292</v>
      </c>
      <c r="B6" s="8" t="s">
        <v>17</v>
      </c>
      <c r="C6" s="9">
        <v>1</v>
      </c>
      <c r="D6" s="9" t="str">
        <f>IF(C6="",(""),(INDEX(Codificación!$A$3:$D$364,(MATCH(Movimientos!C6,Codificación!$A$3:$A$280,0)),(2))))</f>
        <v>Lapices</v>
      </c>
      <c r="E6" s="9">
        <v>50</v>
      </c>
      <c r="F6" s="9" t="s">
        <v>5</v>
      </c>
      <c r="G6" s="10"/>
    </row>
    <row r="7" spans="1:7" x14ac:dyDescent="0.25">
      <c r="A7" s="7">
        <v>45292</v>
      </c>
      <c r="B7" s="8" t="s">
        <v>17</v>
      </c>
      <c r="C7" s="13">
        <v>2</v>
      </c>
      <c r="D7" s="13" t="str">
        <f>IF(C7="",(""),(INDEX(Codificación!$A$3:$D$364,(MATCH(Movimientos!C7,Codificación!$A$3:$A$280,0)),(2))))</f>
        <v>Lapiceras</v>
      </c>
      <c r="E7" s="13">
        <v>30</v>
      </c>
      <c r="F7" s="13" t="s">
        <v>5</v>
      </c>
      <c r="G7" s="14"/>
    </row>
    <row r="8" spans="1:7" x14ac:dyDescent="0.25">
      <c r="A8" s="7">
        <v>45292</v>
      </c>
      <c r="B8" s="8" t="s">
        <v>17</v>
      </c>
      <c r="C8" s="13">
        <v>3</v>
      </c>
      <c r="D8" s="13" t="str">
        <f>IF(C8="",(""),(INDEX(Codificación!$A$3:$D$364,(MATCH(Movimientos!C8,Codificación!$A$3:$A$280,0)),(2))))</f>
        <v>Agendas</v>
      </c>
      <c r="E8" s="13">
        <v>15</v>
      </c>
      <c r="F8" s="13" t="s">
        <v>5</v>
      </c>
      <c r="G8" s="14"/>
    </row>
    <row r="9" spans="1:7" x14ac:dyDescent="0.25">
      <c r="A9" s="7">
        <v>45292</v>
      </c>
      <c r="B9" s="8" t="s">
        <v>17</v>
      </c>
      <c r="C9" s="19">
        <v>4</v>
      </c>
      <c r="D9" s="13" t="str">
        <f>IF(C9="",(""),(INDEX(Codificación!$A$3:$D$364,(MATCH(Movimientos!C9,Codificación!$A$3:$A$280,0)),(2))))</f>
        <v>Libros</v>
      </c>
      <c r="E9" s="19">
        <v>22</v>
      </c>
      <c r="F9" s="13" t="s">
        <v>5</v>
      </c>
      <c r="G9" s="14"/>
    </row>
    <row r="10" spans="1:7" x14ac:dyDescent="0.25">
      <c r="A10" s="11">
        <v>45324</v>
      </c>
      <c r="B10" s="12" t="s">
        <v>10</v>
      </c>
      <c r="C10" s="19">
        <v>1</v>
      </c>
      <c r="D10" s="13" t="str">
        <f>IF(C10="",(""),(INDEX(Codificación!$A$3:$D$364,(MATCH(Movimientos!C10,Codificación!$A$3:$A$280,0)),(2))))</f>
        <v>Lapices</v>
      </c>
      <c r="E10" s="19">
        <v>12</v>
      </c>
      <c r="F10" s="13"/>
      <c r="G10" s="14" t="s">
        <v>5</v>
      </c>
    </row>
    <row r="11" spans="1:7" x14ac:dyDescent="0.25">
      <c r="A11" s="11">
        <v>45327</v>
      </c>
      <c r="B11" s="12" t="s">
        <v>10</v>
      </c>
      <c r="C11" s="19">
        <v>3</v>
      </c>
      <c r="D11" s="13" t="str">
        <f>IF(C11="",(""),(INDEX(Codificación!$A$3:$D$364,(MATCH(Movimientos!C11,Codificación!$A$3:$A$280,0)),(2))))</f>
        <v>Agendas</v>
      </c>
      <c r="E11" s="19">
        <v>10</v>
      </c>
      <c r="F11" s="13"/>
      <c r="G11" s="14" t="s">
        <v>5</v>
      </c>
    </row>
    <row r="12" spans="1:7" x14ac:dyDescent="0.25">
      <c r="A12" s="11">
        <v>45328</v>
      </c>
      <c r="B12" s="12" t="s">
        <v>9</v>
      </c>
      <c r="C12" s="19">
        <v>7</v>
      </c>
      <c r="D12" s="13" t="str">
        <f>IF(C12="",(""),(INDEX(Codificación!$A$3:$D$364,(MATCH(Movimientos!C12,Codificación!$A$3:$A$280,0)),(2))))</f>
        <v>Carpeta</v>
      </c>
      <c r="E12" s="19">
        <v>10</v>
      </c>
      <c r="F12" s="13" t="s">
        <v>20</v>
      </c>
      <c r="G12" s="14"/>
    </row>
    <row r="13" spans="1:7" x14ac:dyDescent="0.25">
      <c r="A13" s="11">
        <v>45332</v>
      </c>
      <c r="B13" s="12" t="s">
        <v>10</v>
      </c>
      <c r="C13" s="19">
        <v>7</v>
      </c>
      <c r="D13" s="13" t="str">
        <f>IF(C13="",(""),(INDEX(Codificación!$A$3:$D$364,(MATCH(Movimientos!C13,Codificación!$A$3:$A$280,0)),(2))))</f>
        <v>Carpeta</v>
      </c>
      <c r="E13" s="19">
        <v>2</v>
      </c>
      <c r="F13" s="13"/>
      <c r="G13" s="14" t="s">
        <v>20</v>
      </c>
    </row>
    <row r="14" spans="1:7" x14ac:dyDescent="0.25">
      <c r="A14" s="15"/>
      <c r="B14" s="12"/>
      <c r="C14" s="19"/>
      <c r="D14" s="13" t="str">
        <f>IF(C14="",(""),(INDEX(Codificación!$A$3:$D$364,(MATCH(Movimientos!C14,Codificación!$A$3:$A$280,0)),(2))))</f>
        <v/>
      </c>
      <c r="E14" s="13"/>
      <c r="F14" s="13"/>
      <c r="G14" s="14"/>
    </row>
    <row r="15" spans="1:7" x14ac:dyDescent="0.25">
      <c r="A15" s="15"/>
      <c r="B15" s="12"/>
      <c r="C15" s="13"/>
      <c r="D15" s="13" t="str">
        <f>IF(C15="",(""),(INDEX(Codificación!$A$3:$D$364,(MATCH(Movimientos!C15,Codificación!$A$3:$A$280,0)),(2))))</f>
        <v/>
      </c>
      <c r="E15" s="13"/>
      <c r="F15" s="13"/>
      <c r="G15" s="14"/>
    </row>
    <row r="16" spans="1:7" x14ac:dyDescent="0.25">
      <c r="A16" s="15"/>
      <c r="B16" s="12"/>
      <c r="C16" s="13"/>
      <c r="D16" s="13" t="str">
        <f>IF(C16="",(""),(INDEX(Codificación!$A$3:$D$364,(MATCH(Movimientos!C16,Codificación!$A$3:$A$280,0)),(2))))</f>
        <v/>
      </c>
      <c r="E16" s="13"/>
      <c r="F16" s="13"/>
      <c r="G16" s="14"/>
    </row>
    <row r="17" spans="1:7" x14ac:dyDescent="0.25">
      <c r="A17" s="15"/>
      <c r="B17" s="12"/>
      <c r="C17" s="13"/>
      <c r="D17" s="13" t="str">
        <f>IF(C17="",(""),(INDEX(Codificación!$A$3:$D$364,(MATCH(Movimientos!C17,Codificación!$A$3:$A$280,0)),(2))))</f>
        <v/>
      </c>
      <c r="E17" s="13"/>
      <c r="F17" s="13"/>
      <c r="G17" s="14"/>
    </row>
    <row r="18" spans="1:7" x14ac:dyDescent="0.25">
      <c r="A18" s="15"/>
      <c r="B18" s="12"/>
      <c r="C18" s="13"/>
      <c r="D18" s="13" t="str">
        <f>IF(C18="",(""),(INDEX(Codificación!$A$3:$D$364,(MATCH(Movimientos!C18,Codificación!$A$3:$A$280,0)),(2))))</f>
        <v/>
      </c>
      <c r="E18" s="13"/>
      <c r="F18" s="13"/>
      <c r="G18" s="14"/>
    </row>
    <row r="19" spans="1:7" x14ac:dyDescent="0.25">
      <c r="A19" s="15"/>
      <c r="B19" s="12"/>
      <c r="C19" s="13"/>
      <c r="D19" s="13" t="str">
        <f>IF(C19="",(""),(INDEX(Codificación!$A$3:$D$364,(MATCH(Movimientos!C19,Codificación!$A$3:$A$280,0)),(2))))</f>
        <v/>
      </c>
      <c r="E19" s="13"/>
      <c r="F19" s="13"/>
      <c r="G19" s="14"/>
    </row>
    <row r="20" spans="1:7" x14ac:dyDescent="0.25">
      <c r="A20" s="15"/>
      <c r="B20" s="12"/>
      <c r="C20" s="13"/>
      <c r="D20" s="13" t="str">
        <f>IF(C20="",(""),(INDEX(Codificación!$A$3:$D$364,(MATCH(Movimientos!C20,Codificación!$A$3:$A$280,0)),(2))))</f>
        <v/>
      </c>
      <c r="E20" s="13"/>
      <c r="F20" s="13"/>
      <c r="G20" s="14"/>
    </row>
    <row r="21" spans="1:7" x14ac:dyDescent="0.25">
      <c r="A21" s="15"/>
      <c r="B21" s="12"/>
      <c r="C21" s="13"/>
      <c r="D21" s="13" t="str">
        <f>IF(C21="",(""),(INDEX(Codificación!$A$3:$D$364,(MATCH(Movimientos!C21,Codificación!$A$3:$A$280,0)),(2))))</f>
        <v/>
      </c>
      <c r="E21" s="13"/>
      <c r="F21" s="13"/>
      <c r="G21" s="14"/>
    </row>
    <row r="22" spans="1:7" x14ac:dyDescent="0.25">
      <c r="A22" s="15"/>
      <c r="B22" s="12"/>
      <c r="C22" s="13"/>
      <c r="D22" s="13" t="str">
        <f>IF(C22="",(""),(INDEX(Codificación!$A$3:$D$364,(MATCH(Movimientos!C22,Codificación!$A$3:$A$280,0)),(2))))</f>
        <v/>
      </c>
      <c r="E22" s="13"/>
      <c r="F22" s="13"/>
      <c r="G22" s="14"/>
    </row>
    <row r="23" spans="1:7" x14ac:dyDescent="0.25">
      <c r="A23" s="15"/>
      <c r="B23" s="12"/>
      <c r="C23" s="13"/>
      <c r="D23" s="13" t="str">
        <f>IF(C23="",(""),(INDEX(Codificación!$A$3:$D$364,(MATCH(Movimientos!C23,Codificación!$A$3:$A$280,0)),(2))))</f>
        <v/>
      </c>
      <c r="E23" s="13"/>
      <c r="F23" s="13"/>
      <c r="G23" s="14"/>
    </row>
    <row r="24" spans="1:7" x14ac:dyDescent="0.25">
      <c r="A24" s="15"/>
      <c r="B24" s="12"/>
      <c r="C24" s="13"/>
      <c r="D24" s="13" t="str">
        <f>IF(C24="",(""),(INDEX(Codificación!$A$3:$D$364,(MATCH(Movimientos!C24,Codificación!$A$3:$A$280,0)),(2))))</f>
        <v/>
      </c>
      <c r="E24" s="13"/>
      <c r="F24" s="13"/>
      <c r="G24" s="14"/>
    </row>
    <row r="25" spans="1:7" x14ac:dyDescent="0.25">
      <c r="A25" s="15"/>
      <c r="B25" s="12"/>
      <c r="C25" s="13"/>
      <c r="D25" s="13" t="str">
        <f>IF(C25="",(""),(INDEX(Codificación!$A$3:$D$364,(MATCH(Movimientos!C25,Codificación!$A$3:$A$280,0)),(2))))</f>
        <v/>
      </c>
      <c r="E25" s="13"/>
      <c r="F25" s="13"/>
      <c r="G25" s="14"/>
    </row>
    <row r="26" spans="1:7" x14ac:dyDescent="0.25">
      <c r="A26" s="15"/>
      <c r="B26" s="12"/>
      <c r="C26" s="13"/>
      <c r="D26" s="13" t="str">
        <f>IF(C26="",(""),(INDEX(Codificación!$A$3:$D$364,(MATCH(Movimientos!C26,Codificación!$A$3:$A$280,0)),(2))))</f>
        <v/>
      </c>
      <c r="E26" s="13"/>
      <c r="F26" s="13"/>
      <c r="G26" s="14"/>
    </row>
    <row r="27" spans="1:7" x14ac:dyDescent="0.25">
      <c r="A27" s="15"/>
      <c r="B27" s="12"/>
      <c r="C27" s="13"/>
      <c r="D27" s="13" t="str">
        <f>IF(C27="",(""),(INDEX(Codificación!$A$3:$D$364,(MATCH(Movimientos!C27,Codificación!$A$3:$A$280,0)),(2))))</f>
        <v/>
      </c>
      <c r="E27" s="13"/>
      <c r="F27" s="13"/>
      <c r="G27" s="14"/>
    </row>
    <row r="28" spans="1:7" x14ac:dyDescent="0.25">
      <c r="A28" s="15"/>
      <c r="B28" s="12"/>
      <c r="C28" s="13"/>
      <c r="D28" s="13" t="str">
        <f>IF(C28="",(""),(INDEX(Codificación!$A$3:$D$364,(MATCH(Movimientos!C28,Codificación!$A$3:$A$280,0)),(2))))</f>
        <v/>
      </c>
      <c r="E28" s="13"/>
      <c r="F28" s="13"/>
      <c r="G28" s="14"/>
    </row>
    <row r="29" spans="1:7" x14ac:dyDescent="0.25">
      <c r="A29" s="15"/>
      <c r="B29" s="12"/>
      <c r="C29" s="13"/>
      <c r="D29" s="13" t="str">
        <f>IF(C29="",(""),(INDEX(Codificación!$A$3:$D$364,(MATCH(Movimientos!C29,Codificación!$A$3:$A$280,0)),(2))))</f>
        <v/>
      </c>
      <c r="E29" s="13"/>
      <c r="F29" s="13"/>
      <c r="G29" s="14"/>
    </row>
    <row r="30" spans="1:7" x14ac:dyDescent="0.25">
      <c r="A30" s="15"/>
      <c r="B30" s="12"/>
      <c r="C30" s="13"/>
      <c r="D30" s="13" t="str">
        <f>IF(C30="",(""),(INDEX(Codificación!$A$3:$D$364,(MATCH(Movimientos!C30,Codificación!$A$3:$A$280,0)),(2))))</f>
        <v/>
      </c>
      <c r="E30" s="13"/>
      <c r="F30" s="13"/>
      <c r="G30" s="14"/>
    </row>
    <row r="31" spans="1:7" x14ac:dyDescent="0.25">
      <c r="A31" s="15"/>
      <c r="B31" s="12"/>
      <c r="C31" s="13"/>
      <c r="D31" s="13" t="str">
        <f>IF(C31="",(""),(INDEX(Codificación!$A$3:$D$364,(MATCH(Movimientos!C31,Codificación!$A$3:$A$280,0)),(2))))</f>
        <v/>
      </c>
      <c r="E31" s="13"/>
      <c r="F31" s="13"/>
      <c r="G31" s="14"/>
    </row>
    <row r="32" spans="1:7" x14ac:dyDescent="0.25">
      <c r="A32" s="15"/>
      <c r="B32" s="12"/>
      <c r="C32" s="13"/>
      <c r="D32" s="13" t="str">
        <f>IF(C32="",(""),(INDEX(Codificación!$A$3:$D$364,(MATCH(Movimientos!C32,Codificación!$A$3:$A$280,0)),(2))))</f>
        <v/>
      </c>
      <c r="E32" s="13"/>
      <c r="F32" s="13"/>
      <c r="G32" s="14"/>
    </row>
    <row r="33" spans="1:7" x14ac:dyDescent="0.25">
      <c r="A33" s="15"/>
      <c r="B33" s="12"/>
      <c r="C33" s="13"/>
      <c r="D33" s="13" t="str">
        <f>IF(C33="",(""),(INDEX(Codificación!$A$3:$D$364,(MATCH(Movimientos!C33,Codificación!$A$3:$A$280,0)),(2))))</f>
        <v/>
      </c>
      <c r="E33" s="13"/>
      <c r="F33" s="13"/>
      <c r="G33" s="14"/>
    </row>
    <row r="34" spans="1:7" x14ac:dyDescent="0.25">
      <c r="A34" s="15"/>
      <c r="B34" s="12"/>
      <c r="C34" s="13"/>
      <c r="D34" s="13" t="str">
        <f>IF(C34="",(""),(INDEX(Codificación!$A$3:$D$364,(MATCH(Movimientos!C34,Codificación!$A$3:$A$280,0)),(2))))</f>
        <v/>
      </c>
      <c r="E34" s="13"/>
      <c r="F34" s="13"/>
      <c r="G34" s="14"/>
    </row>
    <row r="35" spans="1:7" x14ac:dyDescent="0.25">
      <c r="A35" s="15"/>
      <c r="B35" s="12"/>
      <c r="C35" s="13"/>
      <c r="D35" s="13" t="str">
        <f>IF(C35="",(""),(INDEX(Codificación!$A$3:$D$364,(MATCH(Movimientos!C35,Codificación!$A$3:$A$280,0)),(2))))</f>
        <v/>
      </c>
      <c r="E35" s="13"/>
      <c r="F35" s="13"/>
      <c r="G35" s="14"/>
    </row>
    <row r="36" spans="1:7" x14ac:dyDescent="0.25">
      <c r="A36" s="15"/>
      <c r="B36" s="12"/>
      <c r="C36" s="13"/>
      <c r="D36" s="13" t="str">
        <f>IF(C36="",(""),(INDEX(Codificación!$A$3:$D$364,(MATCH(Movimientos!C36,Codificación!$A$3:$A$280,0)),(2))))</f>
        <v/>
      </c>
      <c r="E36" s="13"/>
      <c r="F36" s="13"/>
      <c r="G36" s="14"/>
    </row>
    <row r="37" spans="1:7" x14ac:dyDescent="0.25">
      <c r="A37" s="15"/>
      <c r="B37" s="12"/>
      <c r="C37" s="13"/>
      <c r="D37" s="13" t="str">
        <f>IF(C37="",(""),(INDEX(Codificación!$A$3:$D$364,(MATCH(Movimientos!C37,Codificación!$A$3:$A$280,0)),(2))))</f>
        <v/>
      </c>
      <c r="E37" s="13"/>
      <c r="F37" s="13"/>
      <c r="G37" s="14"/>
    </row>
    <row r="38" spans="1:7" x14ac:dyDescent="0.25">
      <c r="A38" s="15"/>
      <c r="B38" s="12"/>
      <c r="C38" s="13"/>
      <c r="D38" s="13" t="str">
        <f>IF(C38="",(""),(INDEX(Codificación!$A$3:$D$364,(MATCH(Movimientos!C38,Codificación!$A$3:$A$280,0)),(2))))</f>
        <v/>
      </c>
      <c r="E38" s="13"/>
      <c r="F38" s="13"/>
      <c r="G38" s="14"/>
    </row>
    <row r="39" spans="1:7" x14ac:dyDescent="0.25">
      <c r="A39" s="15"/>
      <c r="B39" s="12"/>
      <c r="C39" s="13"/>
      <c r="D39" s="13" t="str">
        <f>IF(C39="",(""),(INDEX(Codificación!$A$3:$D$364,(MATCH(Movimientos!C39,Codificación!$A$3:$A$280,0)),(2))))</f>
        <v/>
      </c>
      <c r="E39" s="13"/>
      <c r="F39" s="13"/>
      <c r="G39" s="14"/>
    </row>
    <row r="40" spans="1:7" x14ac:dyDescent="0.25">
      <c r="A40" s="15"/>
      <c r="B40" s="12"/>
      <c r="C40" s="13"/>
      <c r="D40" s="13" t="str">
        <f>IF(C40="",(""),(INDEX(Codificación!$A$3:$D$364,(MATCH(Movimientos!C40,Codificación!$A$3:$A$280,0)),(2))))</f>
        <v/>
      </c>
      <c r="E40" s="13"/>
      <c r="F40" s="13"/>
      <c r="G40" s="14"/>
    </row>
    <row r="41" spans="1:7" x14ac:dyDescent="0.25">
      <c r="A41" s="15"/>
      <c r="B41" s="12"/>
      <c r="C41" s="13"/>
      <c r="D41" s="13" t="str">
        <f>IF(C41="",(""),(INDEX(Codificación!$A$3:$D$364,(MATCH(Movimientos!C41,Codificación!$A$3:$A$280,0)),(2))))</f>
        <v/>
      </c>
      <c r="E41" s="13"/>
      <c r="F41" s="13"/>
      <c r="G41" s="14"/>
    </row>
    <row r="42" spans="1:7" x14ac:dyDescent="0.25">
      <c r="A42" s="15"/>
      <c r="B42" s="12"/>
      <c r="C42" s="13"/>
      <c r="D42" s="13" t="str">
        <f>IF(C42="",(""),(INDEX(Codificación!$A$3:$D$364,(MATCH(Movimientos!C42,Codificación!$A$3:$A$280,0)),(2))))</f>
        <v/>
      </c>
      <c r="E42" s="13"/>
      <c r="F42" s="13"/>
      <c r="G42" s="14"/>
    </row>
    <row r="43" spans="1:7" x14ac:dyDescent="0.25">
      <c r="A43" s="15"/>
      <c r="B43" s="12"/>
      <c r="C43" s="13"/>
      <c r="D43" s="13" t="str">
        <f>IF(C43="",(""),(INDEX(Codificación!$A$3:$D$364,(MATCH(Movimientos!C43,Codificación!$A$3:$A$280,0)),(2))))</f>
        <v/>
      </c>
      <c r="E43" s="13"/>
      <c r="F43" s="13"/>
      <c r="G43" s="14"/>
    </row>
    <row r="44" spans="1:7" x14ac:dyDescent="0.25">
      <c r="A44" s="15"/>
      <c r="B44" s="12"/>
      <c r="C44" s="13"/>
      <c r="D44" s="13" t="str">
        <f>IF(C44="",(""),(INDEX(Codificación!$A$3:$D$364,(MATCH(Movimientos!C44,Codificación!$A$3:$A$280,0)),(2))))</f>
        <v/>
      </c>
      <c r="E44" s="13"/>
      <c r="F44" s="13"/>
      <c r="G44" s="14"/>
    </row>
    <row r="45" spans="1:7" x14ac:dyDescent="0.25">
      <c r="A45" s="15"/>
      <c r="B45" s="12"/>
      <c r="C45" s="13"/>
      <c r="D45" s="13" t="str">
        <f>IF(C45="",(""),(INDEX(Codificación!$A$3:$D$364,(MATCH(Movimientos!C45,Codificación!$A$3:$A$280,0)),(2))))</f>
        <v/>
      </c>
      <c r="E45" s="13"/>
      <c r="F45" s="13"/>
      <c r="G45" s="14"/>
    </row>
    <row r="46" spans="1:7" x14ac:dyDescent="0.25">
      <c r="A46" s="15"/>
      <c r="B46" s="12"/>
      <c r="C46" s="13"/>
      <c r="D46" s="13" t="str">
        <f>IF(C46="",(""),(INDEX(Codificación!$A$3:$D$364,(MATCH(Movimientos!C46,Codificación!$A$3:$A$280,0)),(2))))</f>
        <v/>
      </c>
      <c r="E46" s="13"/>
      <c r="F46" s="13"/>
      <c r="G46" s="14"/>
    </row>
    <row r="47" spans="1:7" x14ac:dyDescent="0.25">
      <c r="A47" s="15"/>
      <c r="B47" s="12"/>
      <c r="C47" s="13"/>
      <c r="D47" s="13" t="str">
        <f>IF(C47="",(""),(INDEX(Codificación!$A$3:$D$364,(MATCH(Movimientos!C47,Codificación!$A$3:$A$280,0)),(2))))</f>
        <v/>
      </c>
      <c r="E47" s="13"/>
      <c r="F47" s="13"/>
      <c r="G47" s="14"/>
    </row>
    <row r="48" spans="1:7" x14ac:dyDescent="0.25">
      <c r="A48" s="15"/>
      <c r="B48" s="12"/>
      <c r="C48" s="13"/>
      <c r="D48" s="13" t="str">
        <f>IF(C48="",(""),(INDEX(Codificación!$A$3:$D$364,(MATCH(Movimientos!C48,Codificación!$A$3:$A$280,0)),(2))))</f>
        <v/>
      </c>
      <c r="E48" s="13"/>
      <c r="F48" s="13"/>
      <c r="G48" s="14"/>
    </row>
    <row r="49" spans="1:7" x14ac:dyDescent="0.25">
      <c r="A49" s="15"/>
      <c r="B49" s="12"/>
      <c r="C49" s="13"/>
      <c r="D49" s="13" t="str">
        <f>IF(C49="",(""),(INDEX(Codificación!$A$3:$D$364,(MATCH(Movimientos!C49,Codificación!$A$3:$A$280,0)),(2))))</f>
        <v/>
      </c>
      <c r="E49" s="13"/>
      <c r="F49" s="13"/>
      <c r="G49" s="14"/>
    </row>
    <row r="50" spans="1:7" x14ac:dyDescent="0.25">
      <c r="A50" s="15"/>
      <c r="B50" s="12"/>
      <c r="C50" s="13"/>
      <c r="D50" s="13" t="str">
        <f>IF(C50="",(""),(INDEX(Codificación!$A$3:$D$364,(MATCH(Movimientos!C50,Codificación!$A$3:$A$280,0)),(2))))</f>
        <v/>
      </c>
      <c r="E50" s="13"/>
      <c r="F50" s="13"/>
      <c r="G50" s="14"/>
    </row>
    <row r="51" spans="1:7" x14ac:dyDescent="0.25">
      <c r="A51" s="15"/>
      <c r="B51" s="12"/>
      <c r="C51" s="13"/>
      <c r="D51" s="13" t="str">
        <f>IF(C51="",(""),(INDEX(Codificación!$A$3:$D$364,(MATCH(Movimientos!C51,Codificación!$A$3:$A$280,0)),(2))))</f>
        <v/>
      </c>
      <c r="E51" s="13"/>
      <c r="F51" s="13"/>
      <c r="G51" s="14"/>
    </row>
    <row r="52" spans="1:7" x14ac:dyDescent="0.25">
      <c r="A52" s="15"/>
      <c r="B52" s="12"/>
      <c r="C52" s="13"/>
      <c r="D52" s="13" t="str">
        <f>IF(C52="",(""),(INDEX(Codificación!$A$3:$D$364,(MATCH(Movimientos!C52,Codificación!$A$3:$A$280,0)),(2))))</f>
        <v/>
      </c>
      <c r="E52" s="13"/>
      <c r="F52" s="13"/>
      <c r="G52" s="14"/>
    </row>
    <row r="53" spans="1:7" x14ac:dyDescent="0.25">
      <c r="A53" s="15"/>
      <c r="B53" s="12"/>
      <c r="C53" s="13"/>
      <c r="D53" s="13" t="str">
        <f>IF(C53="",(""),(INDEX(Codificación!$A$3:$D$364,(MATCH(Movimientos!C53,Codificación!$A$3:$A$280,0)),(2))))</f>
        <v/>
      </c>
      <c r="E53" s="13"/>
      <c r="F53" s="13"/>
      <c r="G53" s="14"/>
    </row>
    <row r="54" spans="1:7" x14ac:dyDescent="0.25">
      <c r="A54" s="15"/>
      <c r="B54" s="12"/>
      <c r="C54" s="13"/>
      <c r="D54" s="13" t="str">
        <f>IF(C54="",(""),(INDEX(Codificación!$A$3:$D$364,(MATCH(Movimientos!C54,Codificación!$A$3:$A$280,0)),(2))))</f>
        <v/>
      </c>
      <c r="E54" s="13"/>
      <c r="F54" s="13"/>
      <c r="G54" s="14"/>
    </row>
    <row r="55" spans="1:7" x14ac:dyDescent="0.25">
      <c r="A55" s="15"/>
      <c r="B55" s="12"/>
      <c r="C55" s="13"/>
      <c r="D55" s="13" t="str">
        <f>IF(C55="",(""),(INDEX(Codificación!$A$3:$D$364,(MATCH(Movimientos!C55,Codificación!$A$3:$A$280,0)),(2))))</f>
        <v/>
      </c>
      <c r="E55" s="13"/>
      <c r="F55" s="13"/>
      <c r="G55" s="14"/>
    </row>
    <row r="56" spans="1:7" x14ac:dyDescent="0.25">
      <c r="A56" s="15"/>
      <c r="B56" s="12"/>
      <c r="C56" s="13"/>
      <c r="D56" s="13" t="str">
        <f>IF(C56="",(""),(INDEX(Codificación!$A$3:$D$364,(MATCH(Movimientos!C56,Codificación!$A$3:$A$280,0)),(2))))</f>
        <v/>
      </c>
      <c r="E56" s="13"/>
      <c r="F56" s="13"/>
      <c r="G56" s="14"/>
    </row>
    <row r="57" spans="1:7" x14ac:dyDescent="0.25">
      <c r="A57" s="15"/>
      <c r="B57" s="12"/>
      <c r="C57" s="13"/>
      <c r="D57" s="13" t="str">
        <f>IF(C57="",(""),(INDEX(Codificación!$A$3:$D$364,(MATCH(Movimientos!C57,Codificación!$A$3:$A$280,0)),(2))))</f>
        <v/>
      </c>
      <c r="E57" s="13"/>
      <c r="F57" s="13"/>
      <c r="G57" s="14"/>
    </row>
    <row r="58" spans="1:7" x14ac:dyDescent="0.25">
      <c r="A58" s="15"/>
      <c r="B58" s="12"/>
      <c r="C58" s="13"/>
      <c r="D58" s="13" t="str">
        <f>IF(C58="",(""),(INDEX(Codificación!$A$3:$D$364,(MATCH(Movimientos!C58,Codificación!$A$3:$A$280,0)),(2))))</f>
        <v/>
      </c>
      <c r="E58" s="13"/>
      <c r="F58" s="13"/>
      <c r="G58" s="14"/>
    </row>
    <row r="59" spans="1:7" x14ac:dyDescent="0.25">
      <c r="A59" s="15"/>
      <c r="B59" s="12"/>
      <c r="C59" s="13"/>
      <c r="D59" s="13" t="str">
        <f>IF(C59="",(""),(INDEX(Codificación!$A$3:$D$364,(MATCH(Movimientos!C59,Codificación!$A$3:$A$280,0)),(2))))</f>
        <v/>
      </c>
      <c r="E59" s="13"/>
      <c r="F59" s="13"/>
      <c r="G59" s="14"/>
    </row>
    <row r="60" spans="1:7" x14ac:dyDescent="0.25">
      <c r="A60" s="15"/>
      <c r="B60" s="12"/>
      <c r="C60" s="13"/>
      <c r="D60" s="13" t="str">
        <f>IF(C60="",(""),(INDEX(Codificación!$A$3:$D$364,(MATCH(Movimientos!C60,Codificación!$A$3:$A$280,0)),(2))))</f>
        <v/>
      </c>
      <c r="E60" s="13"/>
      <c r="F60" s="13"/>
      <c r="G60" s="14"/>
    </row>
    <row r="61" spans="1:7" x14ac:dyDescent="0.25">
      <c r="A61" s="15"/>
      <c r="B61" s="12"/>
      <c r="C61" s="13"/>
      <c r="D61" s="13" t="str">
        <f>IF(C61="",(""),(INDEX(Codificación!$A$3:$D$364,(MATCH(Movimientos!C61,Codificación!$A$3:$A$280,0)),(2))))</f>
        <v/>
      </c>
      <c r="E61" s="13"/>
      <c r="F61" s="13"/>
      <c r="G61" s="14"/>
    </row>
    <row r="62" spans="1:7" x14ac:dyDescent="0.25">
      <c r="A62" s="15"/>
      <c r="B62" s="12"/>
      <c r="C62" s="13"/>
      <c r="D62" s="13" t="str">
        <f>IF(C62="",(""),(INDEX(Codificación!$A$3:$D$364,(MATCH(Movimientos!C62,Codificación!$A$3:$A$280,0)),(2))))</f>
        <v/>
      </c>
      <c r="E62" s="13"/>
      <c r="F62" s="13"/>
      <c r="G62" s="14"/>
    </row>
    <row r="63" spans="1:7" x14ac:dyDescent="0.25">
      <c r="A63" s="15"/>
      <c r="B63" s="12"/>
      <c r="C63" s="13"/>
      <c r="D63" s="13" t="str">
        <f>IF(C63="",(""),(INDEX(Codificación!$A$3:$D$364,(MATCH(Movimientos!C63,Codificación!$A$3:$A$280,0)),(2))))</f>
        <v/>
      </c>
      <c r="E63" s="13"/>
      <c r="F63" s="13"/>
      <c r="G63" s="14"/>
    </row>
    <row r="64" spans="1:7" x14ac:dyDescent="0.25">
      <c r="A64" s="15"/>
      <c r="B64" s="12"/>
      <c r="C64" s="13"/>
      <c r="D64" s="13" t="str">
        <f>IF(C64="",(""),(INDEX(Codificación!$A$3:$D$364,(MATCH(Movimientos!C64,Codificación!$A$3:$A$280,0)),(2))))</f>
        <v/>
      </c>
      <c r="E64" s="13"/>
      <c r="F64" s="13"/>
      <c r="G64" s="14"/>
    </row>
    <row r="65" spans="1:7" x14ac:dyDescent="0.25">
      <c r="A65" s="15"/>
      <c r="B65" s="12"/>
      <c r="C65" s="13"/>
      <c r="D65" s="13" t="str">
        <f>IF(C65="",(""),(INDEX(Codificación!$A$3:$D$364,(MATCH(Movimientos!C65,Codificación!$A$3:$A$280,0)),(2))))</f>
        <v/>
      </c>
      <c r="E65" s="13"/>
      <c r="F65" s="13"/>
      <c r="G65" s="14"/>
    </row>
    <row r="66" spans="1:7" x14ac:dyDescent="0.25">
      <c r="A66" s="15"/>
      <c r="B66" s="12"/>
      <c r="C66" s="13"/>
      <c r="D66" s="13" t="str">
        <f>IF(C66="",(""),(INDEX(Codificación!$A$3:$D$364,(MATCH(Movimientos!C66,Codificación!$A$3:$A$280,0)),(2))))</f>
        <v/>
      </c>
      <c r="E66" s="13"/>
      <c r="F66" s="13"/>
      <c r="G66" s="14"/>
    </row>
    <row r="67" spans="1:7" x14ac:dyDescent="0.25">
      <c r="A67" s="15"/>
      <c r="B67" s="12"/>
      <c r="C67" s="13"/>
      <c r="D67" s="13" t="str">
        <f>IF(C67="",(""),(INDEX(Codificación!$A$3:$D$364,(MATCH(Movimientos!C67,Codificación!$A$3:$A$280,0)),(2))))</f>
        <v/>
      </c>
      <c r="E67" s="13"/>
      <c r="F67" s="13"/>
      <c r="G67" s="14"/>
    </row>
    <row r="68" spans="1:7" x14ac:dyDescent="0.25">
      <c r="A68" s="15"/>
      <c r="B68" s="12"/>
      <c r="C68" s="13"/>
      <c r="D68" s="13" t="str">
        <f>IF(C68="",(""),(INDEX(Codificación!$A$3:$D$364,(MATCH(Movimientos!C68,Codificación!$A$3:$A$280,0)),(2))))</f>
        <v/>
      </c>
      <c r="E68" s="13"/>
      <c r="F68" s="13"/>
      <c r="G68" s="14"/>
    </row>
    <row r="69" spans="1:7" x14ac:dyDescent="0.25">
      <c r="A69" s="15"/>
      <c r="B69" s="12"/>
      <c r="C69" s="13"/>
      <c r="D69" s="13" t="str">
        <f>IF(C69="",(""),(INDEX(Codificación!$A$3:$D$364,(MATCH(Movimientos!C69,Codificación!$A$3:$A$280,0)),(2))))</f>
        <v/>
      </c>
      <c r="E69" s="13"/>
      <c r="F69" s="13"/>
      <c r="G69" s="14"/>
    </row>
    <row r="70" spans="1:7" x14ac:dyDescent="0.25">
      <c r="A70" s="15"/>
      <c r="B70" s="12"/>
      <c r="C70" s="13"/>
      <c r="D70" s="13" t="str">
        <f>IF(C70="",(""),(INDEX(Codificación!$A$3:$D$364,(MATCH(Movimientos!C70,Codificación!$A$3:$A$280,0)),(2))))</f>
        <v/>
      </c>
      <c r="E70" s="13"/>
      <c r="F70" s="13"/>
      <c r="G70" s="14"/>
    </row>
    <row r="71" spans="1:7" x14ac:dyDescent="0.25">
      <c r="A71" s="15"/>
      <c r="B71" s="12"/>
      <c r="C71" s="13"/>
      <c r="D71" s="13" t="str">
        <f>IF(C71="",(""),(INDEX(Codificación!$A$3:$D$364,(MATCH(Movimientos!C71,Codificación!$A$3:$A$280,0)),(2))))</f>
        <v/>
      </c>
      <c r="E71" s="13"/>
      <c r="F71" s="13"/>
      <c r="G71" s="14"/>
    </row>
    <row r="72" spans="1:7" x14ac:dyDescent="0.25">
      <c r="A72" s="15"/>
      <c r="B72" s="12"/>
      <c r="C72" s="13"/>
      <c r="D72" s="13" t="str">
        <f>IF(C72="",(""),(INDEX(Codificación!$A$3:$D$364,(MATCH(Movimientos!C72,Codificación!$A$3:$A$280,0)),(2))))</f>
        <v/>
      </c>
      <c r="E72" s="13"/>
      <c r="F72" s="13"/>
      <c r="G72" s="14"/>
    </row>
    <row r="73" spans="1:7" x14ac:dyDescent="0.25">
      <c r="A73" s="15"/>
      <c r="B73" s="12"/>
      <c r="C73" s="13"/>
      <c r="D73" s="13" t="str">
        <f>IF(C73="",(""),(INDEX(Codificación!$A$3:$D$364,(MATCH(Movimientos!C73,Codificación!$A$3:$A$280,0)),(2))))</f>
        <v/>
      </c>
      <c r="E73" s="13"/>
      <c r="F73" s="13"/>
      <c r="G73" s="14"/>
    </row>
    <row r="74" spans="1:7" x14ac:dyDescent="0.25">
      <c r="A74" s="15"/>
      <c r="B74" s="12"/>
      <c r="C74" s="13"/>
      <c r="D74" s="13" t="str">
        <f>IF(C74="",(""),(INDEX(Codificación!$A$3:$D$364,(MATCH(Movimientos!C74,Codificación!$A$3:$A$280,0)),(2))))</f>
        <v/>
      </c>
      <c r="E74" s="13"/>
      <c r="F74" s="13"/>
      <c r="G74" s="14"/>
    </row>
    <row r="75" spans="1:7" x14ac:dyDescent="0.25">
      <c r="A75" s="15"/>
      <c r="B75" s="12"/>
      <c r="C75" s="13"/>
      <c r="D75" s="13" t="str">
        <f>IF(C75="",(""),(INDEX(Codificación!$A$3:$D$364,(MATCH(Movimientos!C75,Codificación!$A$3:$A$280,0)),(2))))</f>
        <v/>
      </c>
      <c r="E75" s="13"/>
      <c r="F75" s="13"/>
      <c r="G75" s="14"/>
    </row>
    <row r="76" spans="1:7" x14ac:dyDescent="0.25">
      <c r="A76" s="15"/>
      <c r="B76" s="12"/>
      <c r="C76" s="13"/>
      <c r="D76" s="13" t="str">
        <f>IF(C76="",(""),(INDEX(Codificación!$A$3:$D$364,(MATCH(Movimientos!C76,Codificación!$A$3:$A$280,0)),(2))))</f>
        <v/>
      </c>
      <c r="E76" s="13"/>
      <c r="F76" s="13"/>
      <c r="G76" s="14"/>
    </row>
    <row r="77" spans="1:7" x14ac:dyDescent="0.25">
      <c r="A77" s="15"/>
      <c r="B77" s="12"/>
      <c r="C77" s="13"/>
      <c r="D77" s="13" t="str">
        <f>IF(C77="",(""),(INDEX(Codificación!$A$3:$D$364,(MATCH(Movimientos!C77,Codificación!$A$3:$A$280,0)),(2))))</f>
        <v/>
      </c>
      <c r="E77" s="13"/>
      <c r="F77" s="13"/>
      <c r="G77" s="14"/>
    </row>
    <row r="78" spans="1:7" x14ac:dyDescent="0.25">
      <c r="A78" s="15"/>
      <c r="B78" s="12"/>
      <c r="C78" s="13"/>
      <c r="D78" s="13" t="str">
        <f>IF(C78="",(""),(INDEX(Codificación!$A$3:$D$364,(MATCH(Movimientos!C78,Codificación!$A$3:$A$280,0)),(2))))</f>
        <v/>
      </c>
      <c r="E78" s="13"/>
      <c r="F78" s="13"/>
      <c r="G78" s="14"/>
    </row>
    <row r="79" spans="1:7" x14ac:dyDescent="0.25">
      <c r="A79" s="15"/>
      <c r="B79" s="12"/>
      <c r="C79" s="13"/>
      <c r="D79" s="13" t="str">
        <f>IF(C79="",(""),(INDEX(Codificación!$A$3:$D$364,(MATCH(Movimientos!C79,Codificación!$A$3:$A$280,0)),(2))))</f>
        <v/>
      </c>
      <c r="E79" s="13"/>
      <c r="F79" s="13"/>
      <c r="G79" s="14"/>
    </row>
    <row r="80" spans="1:7" x14ac:dyDescent="0.25">
      <c r="A80" s="15"/>
      <c r="B80" s="12"/>
      <c r="C80" s="13"/>
      <c r="D80" s="13" t="str">
        <f>IF(C80="",(""),(INDEX(Codificación!$A$3:$D$364,(MATCH(Movimientos!C80,Codificación!$A$3:$A$280,0)),(2))))</f>
        <v/>
      </c>
      <c r="E80" s="13"/>
      <c r="F80" s="13"/>
      <c r="G80" s="14"/>
    </row>
    <row r="81" spans="1:7" x14ac:dyDescent="0.25">
      <c r="A81" s="15"/>
      <c r="B81" s="12"/>
      <c r="C81" s="13"/>
      <c r="D81" s="13" t="str">
        <f>IF(C81="",(""),(INDEX(Codificación!$A$3:$D$364,(MATCH(Movimientos!C81,Codificación!$A$3:$A$280,0)),(2))))</f>
        <v/>
      </c>
      <c r="E81" s="13"/>
      <c r="F81" s="13"/>
      <c r="G81" s="14"/>
    </row>
    <row r="82" spans="1:7" x14ac:dyDescent="0.25">
      <c r="A82" s="15"/>
      <c r="B82" s="12"/>
      <c r="C82" s="13"/>
      <c r="D82" s="13" t="str">
        <f>IF(C82="",(""),(INDEX(Codificación!$A$3:$D$364,(MATCH(Movimientos!C82,Codificación!$A$3:$A$280,0)),(2))))</f>
        <v/>
      </c>
      <c r="E82" s="13"/>
      <c r="F82" s="13"/>
      <c r="G82" s="14"/>
    </row>
    <row r="83" spans="1:7" x14ac:dyDescent="0.25">
      <c r="A83" s="15"/>
      <c r="B83" s="12"/>
      <c r="C83" s="13"/>
      <c r="D83" s="13" t="str">
        <f>IF(C83="",(""),(INDEX(Codificación!$A$3:$D$364,(MATCH(Movimientos!C83,Codificación!$A$3:$A$280,0)),(2))))</f>
        <v/>
      </c>
      <c r="E83" s="13"/>
      <c r="F83" s="13"/>
      <c r="G83" s="14"/>
    </row>
    <row r="84" spans="1:7" x14ac:dyDescent="0.25">
      <c r="A84" s="15"/>
      <c r="B84" s="12"/>
      <c r="C84" s="13"/>
      <c r="D84" s="13" t="str">
        <f>IF(C84="",(""),(INDEX(Codificación!$A$3:$D$364,(MATCH(Movimientos!C84,Codificación!$A$3:$A$280,0)),(2))))</f>
        <v/>
      </c>
      <c r="E84" s="13"/>
      <c r="F84" s="13"/>
      <c r="G84" s="14"/>
    </row>
    <row r="85" spans="1:7" x14ac:dyDescent="0.25">
      <c r="A85" s="15"/>
      <c r="B85" s="12"/>
      <c r="C85" s="13"/>
      <c r="D85" s="13" t="str">
        <f>IF(C85="",(""),(INDEX(Codificación!$A$3:$D$364,(MATCH(Movimientos!C85,Codificación!$A$3:$A$280,0)),(2))))</f>
        <v/>
      </c>
      <c r="E85" s="13"/>
      <c r="F85" s="13"/>
      <c r="G85" s="14"/>
    </row>
    <row r="86" spans="1:7" x14ac:dyDescent="0.25">
      <c r="A86" s="15"/>
      <c r="B86" s="12"/>
      <c r="C86" s="13"/>
      <c r="D86" s="13" t="str">
        <f>IF(C86="",(""),(INDEX(Codificación!$A$3:$D$364,(MATCH(Movimientos!C86,Codificación!$A$3:$A$280,0)),(2))))</f>
        <v/>
      </c>
      <c r="E86" s="13"/>
      <c r="F86" s="13"/>
      <c r="G86" s="14"/>
    </row>
    <row r="87" spans="1:7" x14ac:dyDescent="0.25">
      <c r="A87" s="15"/>
      <c r="B87" s="12"/>
      <c r="C87" s="13"/>
      <c r="D87" s="13" t="str">
        <f>IF(C87="",(""),(INDEX(Codificación!$A$3:$D$364,(MATCH(Movimientos!C87,Codificación!$A$3:$A$280,0)),(2))))</f>
        <v/>
      </c>
      <c r="E87" s="13"/>
      <c r="F87" s="13"/>
      <c r="G87" s="14"/>
    </row>
    <row r="88" spans="1:7" x14ac:dyDescent="0.25">
      <c r="A88" s="15"/>
      <c r="B88" s="12"/>
      <c r="C88" s="13"/>
      <c r="D88" s="13" t="str">
        <f>IF(C88="",(""),(INDEX(Codificación!$A$3:$D$364,(MATCH(Movimientos!C88,Codificación!$A$3:$A$280,0)),(2))))</f>
        <v/>
      </c>
      <c r="E88" s="13"/>
      <c r="F88" s="13"/>
      <c r="G88" s="14"/>
    </row>
    <row r="89" spans="1:7" x14ac:dyDescent="0.25">
      <c r="A89" s="15"/>
      <c r="B89" s="12"/>
      <c r="C89" s="13"/>
      <c r="D89" s="13" t="str">
        <f>IF(C89="",(""),(INDEX(Codificación!$A$3:$D$364,(MATCH(Movimientos!C89,Codificación!$A$3:$A$280,0)),(2))))</f>
        <v/>
      </c>
      <c r="E89" s="13"/>
      <c r="F89" s="13"/>
      <c r="G89" s="14"/>
    </row>
    <row r="90" spans="1:7" x14ac:dyDescent="0.25">
      <c r="A90" s="15"/>
      <c r="B90" s="12"/>
      <c r="C90" s="13"/>
      <c r="D90" s="13" t="str">
        <f>IF(C90="",(""),(INDEX(Codificación!$A$3:$D$364,(MATCH(Movimientos!C90,Codificación!$A$3:$A$280,0)),(2))))</f>
        <v/>
      </c>
      <c r="E90" s="13"/>
      <c r="F90" s="13"/>
      <c r="G90" s="14"/>
    </row>
    <row r="91" spans="1:7" x14ac:dyDescent="0.25">
      <c r="A91" s="15"/>
      <c r="B91" s="12"/>
      <c r="C91" s="13"/>
      <c r="D91" s="13" t="str">
        <f>IF(C91="",(""),(INDEX(Codificación!$A$3:$D$364,(MATCH(Movimientos!C91,Codificación!$A$3:$A$280,0)),(2))))</f>
        <v/>
      </c>
      <c r="E91" s="13"/>
      <c r="F91" s="13"/>
      <c r="G91" s="14"/>
    </row>
    <row r="92" spans="1:7" x14ac:dyDescent="0.25">
      <c r="A92" s="15"/>
      <c r="B92" s="12"/>
      <c r="C92" s="13"/>
      <c r="D92" s="13" t="str">
        <f>IF(C92="",(""),(INDEX(Codificación!$A$3:$D$364,(MATCH(Movimientos!C92,Codificación!$A$3:$A$280,0)),(2))))</f>
        <v/>
      </c>
      <c r="E92" s="13"/>
      <c r="F92" s="13"/>
      <c r="G92" s="14"/>
    </row>
    <row r="93" spans="1:7" x14ac:dyDescent="0.25">
      <c r="A93" s="15"/>
      <c r="B93" s="12"/>
      <c r="C93" s="13"/>
      <c r="D93" s="13" t="str">
        <f>IF(C93="",(""),(INDEX(Codificación!$A$3:$D$364,(MATCH(Movimientos!C93,Codificación!$A$3:$A$280,0)),(2))))</f>
        <v/>
      </c>
      <c r="E93" s="13"/>
      <c r="F93" s="13"/>
      <c r="G93" s="14"/>
    </row>
    <row r="94" spans="1:7" x14ac:dyDescent="0.25">
      <c r="A94" s="15"/>
      <c r="B94" s="12"/>
      <c r="C94" s="13"/>
      <c r="D94" s="13" t="str">
        <f>IF(C94="",(""),(INDEX(Codificación!$A$3:$D$364,(MATCH(Movimientos!C94,Codificación!$A$3:$A$280,0)),(2))))</f>
        <v/>
      </c>
      <c r="E94" s="13"/>
      <c r="F94" s="13"/>
      <c r="G94" s="14"/>
    </row>
    <row r="95" spans="1:7" x14ac:dyDescent="0.25">
      <c r="A95" s="15"/>
      <c r="B95" s="12"/>
      <c r="C95" s="13"/>
      <c r="D95" s="13" t="str">
        <f>IF(C95="",(""),(INDEX(Codificación!$A$3:$D$364,(MATCH(Movimientos!C95,Codificación!$A$3:$A$280,0)),(2))))</f>
        <v/>
      </c>
      <c r="E95" s="13"/>
      <c r="F95" s="13"/>
      <c r="G95" s="14"/>
    </row>
    <row r="96" spans="1:7" x14ac:dyDescent="0.25">
      <c r="A96" s="15"/>
      <c r="B96" s="12"/>
      <c r="C96" s="13"/>
      <c r="D96" s="13" t="str">
        <f>IF(C96="",(""),(INDEX(Codificación!$A$3:$D$364,(MATCH(Movimientos!C96,Codificación!$A$3:$A$280,0)),(2))))</f>
        <v/>
      </c>
      <c r="E96" s="13"/>
      <c r="F96" s="13"/>
      <c r="G96" s="14"/>
    </row>
    <row r="97" spans="1:7" x14ac:dyDescent="0.25">
      <c r="A97" s="15"/>
      <c r="B97" s="12"/>
      <c r="C97" s="13"/>
      <c r="D97" s="13" t="str">
        <f>IF(C97="",(""),(INDEX(Codificación!$A$3:$D$364,(MATCH(Movimientos!C97,Codificación!$A$3:$A$280,0)),(2))))</f>
        <v/>
      </c>
      <c r="E97" s="13"/>
      <c r="F97" s="13"/>
      <c r="G97" s="14"/>
    </row>
    <row r="98" spans="1:7" x14ac:dyDescent="0.25">
      <c r="A98" s="15"/>
      <c r="B98" s="12"/>
      <c r="C98" s="13"/>
      <c r="D98" s="13" t="str">
        <f>IF(C98="",(""),(INDEX(Codificación!$A$3:$D$364,(MATCH(Movimientos!C98,Codificación!$A$3:$A$280,0)),(2))))</f>
        <v/>
      </c>
      <c r="E98" s="13"/>
      <c r="F98" s="13"/>
      <c r="G98" s="14"/>
    </row>
    <row r="99" spans="1:7" x14ac:dyDescent="0.25">
      <c r="A99" s="15"/>
      <c r="B99" s="12"/>
      <c r="C99" s="13"/>
      <c r="D99" s="13" t="str">
        <f>IF(C99="",(""),(INDEX(Codificación!$A$3:$D$364,(MATCH(Movimientos!C99,Codificación!$A$3:$A$280,0)),(2))))</f>
        <v/>
      </c>
      <c r="E99" s="13"/>
      <c r="F99" s="13"/>
      <c r="G99" s="14"/>
    </row>
    <row r="100" spans="1:7" x14ac:dyDescent="0.25">
      <c r="A100" s="15"/>
      <c r="B100" s="12"/>
      <c r="C100" s="13"/>
      <c r="D100" s="13" t="str">
        <f>IF(C100="",(""),(INDEX(Codificación!$A$3:$D$364,(MATCH(Movimientos!C100,Codificación!$A$3:$A$280,0)),(2))))</f>
        <v/>
      </c>
      <c r="E100" s="13"/>
      <c r="F100" s="13"/>
      <c r="G100" s="14"/>
    </row>
    <row r="101" spans="1:7" x14ac:dyDescent="0.25">
      <c r="A101" s="15"/>
      <c r="B101" s="12"/>
      <c r="C101" s="13"/>
      <c r="D101" s="13" t="str">
        <f>IF(C101="",(""),(INDEX(Codificación!$A$3:$D$364,(MATCH(Movimientos!C101,Codificación!$A$3:$A$280,0)),(2))))</f>
        <v/>
      </c>
      <c r="E101" s="13"/>
      <c r="F101" s="13"/>
      <c r="G101" s="14"/>
    </row>
    <row r="102" spans="1:7" x14ac:dyDescent="0.25">
      <c r="A102" s="15"/>
      <c r="B102" s="12"/>
      <c r="C102" s="13"/>
      <c r="D102" s="13" t="str">
        <f>IF(C102="",(""),(INDEX(Codificación!$A$3:$D$364,(MATCH(Movimientos!C102,Codificación!$A$3:$A$280,0)),(2))))</f>
        <v/>
      </c>
      <c r="E102" s="13"/>
      <c r="F102" s="13"/>
      <c r="G102" s="14"/>
    </row>
    <row r="103" spans="1:7" x14ac:dyDescent="0.25">
      <c r="A103" s="15"/>
      <c r="B103" s="12"/>
      <c r="C103" s="13"/>
      <c r="D103" s="13" t="str">
        <f>IF(C103="",(""),(INDEX(Codificación!$A$3:$D$364,(MATCH(Movimientos!C103,Codificación!$A$3:$A$280,0)),(2))))</f>
        <v/>
      </c>
      <c r="E103" s="13"/>
      <c r="F103" s="13"/>
      <c r="G103" s="14"/>
    </row>
    <row r="104" spans="1:7" x14ac:dyDescent="0.25">
      <c r="A104" s="15"/>
      <c r="B104" s="12"/>
      <c r="C104" s="13"/>
      <c r="D104" s="13" t="str">
        <f>IF(C104="",(""),(INDEX(Codificación!$A$3:$D$364,(MATCH(Movimientos!C104,Codificación!$A$3:$A$280,0)),(2))))</f>
        <v/>
      </c>
      <c r="E104" s="13"/>
      <c r="F104" s="13"/>
      <c r="G104" s="14"/>
    </row>
    <row r="105" spans="1:7" x14ac:dyDescent="0.25">
      <c r="A105" s="15"/>
      <c r="B105" s="12"/>
      <c r="C105" s="13"/>
      <c r="D105" s="13" t="str">
        <f>IF(C105="",(""),(INDEX(Codificación!$A$3:$D$364,(MATCH(Movimientos!C105,Codificación!$A$3:$A$280,0)),(2))))</f>
        <v/>
      </c>
      <c r="E105" s="13"/>
      <c r="F105" s="13"/>
      <c r="G105" s="14"/>
    </row>
    <row r="106" spans="1:7" x14ac:dyDescent="0.25">
      <c r="A106" s="15"/>
      <c r="B106" s="12"/>
      <c r="C106" s="13"/>
      <c r="D106" s="13" t="str">
        <f>IF(C106="",(""),(INDEX(Codificación!$A$3:$D$364,(MATCH(Movimientos!C106,Codificación!$A$3:$A$280,0)),(2))))</f>
        <v/>
      </c>
      <c r="E106" s="13"/>
      <c r="F106" s="13"/>
      <c r="G106" s="14"/>
    </row>
    <row r="107" spans="1:7" x14ac:dyDescent="0.25">
      <c r="A107" s="15"/>
      <c r="B107" s="12"/>
      <c r="C107" s="13"/>
      <c r="D107" s="13" t="str">
        <f>IF(C107="",(""),(INDEX(Codificación!$A$3:$D$364,(MATCH(Movimientos!C107,Codificación!$A$3:$A$280,0)),(2))))</f>
        <v/>
      </c>
      <c r="E107" s="13"/>
      <c r="F107" s="13"/>
      <c r="G107" s="14"/>
    </row>
    <row r="108" spans="1:7" x14ac:dyDescent="0.25">
      <c r="A108" s="15"/>
      <c r="B108" s="12"/>
      <c r="C108" s="13"/>
      <c r="D108" s="13" t="str">
        <f>IF(C108="",(""),(INDEX(Codificación!$A$3:$D$364,(MATCH(Movimientos!C108,Codificación!$A$3:$A$280,0)),(2))))</f>
        <v/>
      </c>
      <c r="E108" s="13"/>
      <c r="F108" s="13"/>
      <c r="G108" s="14"/>
    </row>
    <row r="109" spans="1:7" x14ac:dyDescent="0.25">
      <c r="A109" s="15"/>
      <c r="B109" s="12"/>
      <c r="C109" s="13"/>
      <c r="D109" s="13" t="str">
        <f>IF(C109="",(""),(INDEX(Codificación!$A$3:$D$364,(MATCH(Movimientos!C109,Codificación!$A$3:$A$280,0)),(2))))</f>
        <v/>
      </c>
      <c r="E109" s="13"/>
      <c r="F109" s="13"/>
      <c r="G109" s="14"/>
    </row>
    <row r="110" spans="1:7" x14ac:dyDescent="0.25">
      <c r="A110" s="15"/>
      <c r="B110" s="12"/>
      <c r="C110" s="13"/>
      <c r="D110" s="13" t="str">
        <f>IF(C110="",(""),(INDEX(Codificación!$A$3:$D$364,(MATCH(Movimientos!C110,Codificación!$A$3:$A$280,0)),(2))))</f>
        <v/>
      </c>
      <c r="E110" s="13"/>
      <c r="F110" s="13"/>
      <c r="G110" s="14"/>
    </row>
    <row r="111" spans="1:7" x14ac:dyDescent="0.25">
      <c r="A111" s="15"/>
      <c r="B111" s="12"/>
      <c r="C111" s="13"/>
      <c r="D111" s="13" t="str">
        <f>IF(C111="",(""),(INDEX(Codificación!$A$3:$D$364,(MATCH(Movimientos!C111,Codificación!$A$3:$A$280,0)),(2))))</f>
        <v/>
      </c>
      <c r="E111" s="13"/>
      <c r="F111" s="13"/>
      <c r="G111" s="14"/>
    </row>
    <row r="112" spans="1:7" x14ac:dyDescent="0.25">
      <c r="A112" s="15"/>
      <c r="B112" s="12"/>
      <c r="C112" s="13"/>
      <c r="D112" s="13" t="str">
        <f>IF(C112="",(""),(INDEX(Codificación!$A$3:$D$364,(MATCH(Movimientos!C112,Codificación!$A$3:$A$280,0)),(2))))</f>
        <v/>
      </c>
      <c r="E112" s="13"/>
      <c r="F112" s="13"/>
      <c r="G112" s="14"/>
    </row>
    <row r="113" spans="1:7" x14ac:dyDescent="0.25">
      <c r="A113" s="15"/>
      <c r="B113" s="12"/>
      <c r="C113" s="13"/>
      <c r="D113" s="13" t="str">
        <f>IF(C113="",(""),(INDEX(Codificación!$A$3:$D$364,(MATCH(Movimientos!C113,Codificación!$A$3:$A$280,0)),(2))))</f>
        <v/>
      </c>
      <c r="E113" s="13"/>
      <c r="F113" s="13"/>
      <c r="G113" s="14"/>
    </row>
    <row r="114" spans="1:7" x14ac:dyDescent="0.25">
      <c r="A114" s="15"/>
      <c r="B114" s="12"/>
      <c r="C114" s="13"/>
      <c r="D114" s="13" t="str">
        <f>IF(C114="",(""),(INDEX(Codificación!$A$3:$D$364,(MATCH(Movimientos!C114,Codificación!$A$3:$A$280,0)),(2))))</f>
        <v/>
      </c>
      <c r="E114" s="13"/>
      <c r="F114" s="13"/>
      <c r="G114" s="14"/>
    </row>
    <row r="115" spans="1:7" x14ac:dyDescent="0.25">
      <c r="A115" s="15"/>
      <c r="B115" s="12"/>
      <c r="C115" s="13"/>
      <c r="D115" s="13" t="str">
        <f>IF(C115="",(""),(INDEX(Codificación!$A$3:$D$364,(MATCH(Movimientos!C115,Codificación!$A$3:$A$280,0)),(2))))</f>
        <v/>
      </c>
      <c r="E115" s="13"/>
      <c r="F115" s="13"/>
      <c r="G115" s="14"/>
    </row>
    <row r="116" spans="1:7" x14ac:dyDescent="0.25">
      <c r="A116" s="15"/>
      <c r="B116" s="12"/>
      <c r="C116" s="13"/>
      <c r="D116" s="13" t="str">
        <f>IF(C116="",(""),(INDEX(Codificación!$A$3:$D$364,(MATCH(Movimientos!C116,Codificación!$A$3:$A$280,0)),(2))))</f>
        <v/>
      </c>
      <c r="E116" s="13"/>
      <c r="F116" s="13"/>
      <c r="G116" s="14"/>
    </row>
    <row r="117" spans="1:7" x14ac:dyDescent="0.25">
      <c r="A117" s="15"/>
      <c r="B117" s="12"/>
      <c r="C117" s="13"/>
      <c r="D117" s="13" t="str">
        <f>IF(C117="",(""),(INDEX(Codificación!$A$3:$D$364,(MATCH(Movimientos!C117,Codificación!$A$3:$A$280,0)),(2))))</f>
        <v/>
      </c>
      <c r="E117" s="13"/>
      <c r="F117" s="13"/>
      <c r="G117" s="14"/>
    </row>
    <row r="118" spans="1:7" x14ac:dyDescent="0.25">
      <c r="A118" s="15"/>
      <c r="B118" s="12"/>
      <c r="C118" s="13"/>
      <c r="D118" s="13" t="str">
        <f>IF(C118="",(""),(INDEX(Codificación!$A$3:$D$364,(MATCH(Movimientos!C118,Codificación!$A$3:$A$280,0)),(2))))</f>
        <v/>
      </c>
      <c r="E118" s="13"/>
      <c r="F118" s="13"/>
      <c r="G118" s="14"/>
    </row>
    <row r="119" spans="1:7" x14ac:dyDescent="0.25">
      <c r="A119" s="15"/>
      <c r="B119" s="12"/>
      <c r="C119" s="13"/>
      <c r="D119" s="13" t="str">
        <f>IF(C119="",(""),(INDEX(Codificación!$A$3:$D$364,(MATCH(Movimientos!C119,Codificación!$A$3:$A$280,0)),(2))))</f>
        <v/>
      </c>
      <c r="E119" s="13"/>
      <c r="F119" s="13"/>
      <c r="G119" s="14"/>
    </row>
    <row r="120" spans="1:7" x14ac:dyDescent="0.25">
      <c r="A120" s="15"/>
      <c r="B120" s="12"/>
      <c r="C120" s="13"/>
      <c r="D120" s="13" t="str">
        <f>IF(C120="",(""),(INDEX(Codificación!$A$3:$D$364,(MATCH(Movimientos!C120,Codificación!$A$3:$A$280,0)),(2))))</f>
        <v/>
      </c>
      <c r="E120" s="13"/>
      <c r="F120" s="13"/>
      <c r="G120" s="14"/>
    </row>
    <row r="121" spans="1:7" x14ac:dyDescent="0.25">
      <c r="A121" s="15"/>
      <c r="B121" s="12"/>
      <c r="C121" s="13"/>
      <c r="D121" s="13" t="str">
        <f>IF(C121="",(""),(INDEX(Codificación!$A$3:$D$364,(MATCH(Movimientos!C121,Codificación!$A$3:$A$280,0)),(2))))</f>
        <v/>
      </c>
      <c r="E121" s="13"/>
      <c r="F121" s="13"/>
      <c r="G121" s="14"/>
    </row>
    <row r="122" spans="1:7" x14ac:dyDescent="0.25">
      <c r="A122" s="15"/>
      <c r="B122" s="12"/>
      <c r="C122" s="13"/>
      <c r="D122" s="13" t="str">
        <f>IF(C122="",(""),(INDEX(Codificación!$A$3:$D$364,(MATCH(Movimientos!C122,Codificación!$A$3:$A$280,0)),(2))))</f>
        <v/>
      </c>
      <c r="E122" s="13"/>
      <c r="F122" s="13"/>
      <c r="G122" s="14"/>
    </row>
    <row r="123" spans="1:7" x14ac:dyDescent="0.25">
      <c r="A123" s="15"/>
      <c r="B123" s="12"/>
      <c r="C123" s="13"/>
      <c r="D123" s="13" t="str">
        <f>IF(C123="",(""),(INDEX(Codificación!$A$3:$D$364,(MATCH(Movimientos!C123,Codificación!$A$3:$A$280,0)),(2))))</f>
        <v/>
      </c>
      <c r="E123" s="13"/>
      <c r="F123" s="13"/>
      <c r="G123" s="14"/>
    </row>
    <row r="124" spans="1:7" x14ac:dyDescent="0.25">
      <c r="A124" s="15"/>
      <c r="B124" s="12"/>
      <c r="C124" s="13"/>
      <c r="D124" s="13" t="str">
        <f>IF(C124="",(""),(INDEX(Codificación!$A$3:$D$364,(MATCH(Movimientos!C124,Codificación!$A$3:$A$280,0)),(2))))</f>
        <v/>
      </c>
      <c r="E124" s="13"/>
      <c r="F124" s="13"/>
      <c r="G124" s="14"/>
    </row>
    <row r="125" spans="1:7" x14ac:dyDescent="0.25">
      <c r="A125" s="15"/>
      <c r="B125" s="12"/>
      <c r="C125" s="13"/>
      <c r="D125" s="13" t="str">
        <f>IF(C125="",(""),(INDEX(Codificación!$A$3:$D$364,(MATCH(Movimientos!C125,Codificación!$A$3:$A$280,0)),(2))))</f>
        <v/>
      </c>
      <c r="E125" s="13"/>
      <c r="F125" s="13"/>
      <c r="G125" s="14"/>
    </row>
    <row r="126" spans="1:7" x14ac:dyDescent="0.25">
      <c r="A126" s="15"/>
      <c r="B126" s="12"/>
      <c r="C126" s="13"/>
      <c r="D126" s="13" t="str">
        <f>IF(C126="",(""),(INDEX(Codificación!$A$3:$D$364,(MATCH(Movimientos!C126,Codificación!$A$3:$A$280,0)),(2))))</f>
        <v/>
      </c>
      <c r="E126" s="13"/>
      <c r="F126" s="13"/>
      <c r="G126" s="14"/>
    </row>
    <row r="127" spans="1:7" x14ac:dyDescent="0.25">
      <c r="A127" s="15"/>
      <c r="B127" s="12"/>
      <c r="C127" s="13"/>
      <c r="D127" s="13" t="str">
        <f>IF(C127="",(""),(INDEX(Codificación!$A$3:$D$364,(MATCH(Movimientos!C127,Codificación!$A$3:$A$280,0)),(2))))</f>
        <v/>
      </c>
      <c r="E127" s="13"/>
      <c r="F127" s="13"/>
      <c r="G127" s="14"/>
    </row>
    <row r="128" spans="1:7" x14ac:dyDescent="0.25">
      <c r="A128" s="15"/>
      <c r="B128" s="12"/>
      <c r="C128" s="13"/>
      <c r="D128" s="13" t="str">
        <f>IF(C128="",(""),(INDEX(Codificación!$A$3:$D$364,(MATCH(Movimientos!C128,Codificación!$A$3:$A$280,0)),(2))))</f>
        <v/>
      </c>
      <c r="E128" s="13"/>
      <c r="F128" s="13"/>
      <c r="G128" s="14"/>
    </row>
    <row r="129" spans="1:7" x14ac:dyDescent="0.25">
      <c r="A129" s="15"/>
      <c r="B129" s="12"/>
      <c r="C129" s="13"/>
      <c r="D129" s="13" t="str">
        <f>IF(C129="",(""),(INDEX(Codificación!$A$3:$D$364,(MATCH(Movimientos!C129,Codificación!$A$3:$A$280,0)),(2))))</f>
        <v/>
      </c>
      <c r="E129" s="13"/>
      <c r="F129" s="13"/>
      <c r="G129" s="14"/>
    </row>
    <row r="130" spans="1:7" x14ac:dyDescent="0.25">
      <c r="A130" s="15"/>
      <c r="B130" s="12"/>
      <c r="C130" s="13"/>
      <c r="D130" s="13" t="str">
        <f>IF(C130="",(""),(INDEX(Codificación!$A$3:$D$364,(MATCH(Movimientos!C130,Codificación!$A$3:$A$280,0)),(2))))</f>
        <v/>
      </c>
      <c r="E130" s="13"/>
      <c r="F130" s="13"/>
      <c r="G130" s="14"/>
    </row>
    <row r="131" spans="1:7" x14ac:dyDescent="0.25">
      <c r="A131" s="15"/>
      <c r="B131" s="12"/>
      <c r="C131" s="13"/>
      <c r="D131" s="13" t="str">
        <f>IF(C131="",(""),(INDEX(Codificación!$A$3:$D$364,(MATCH(Movimientos!C131,Codificación!$A$3:$A$280,0)),(2))))</f>
        <v/>
      </c>
      <c r="E131" s="13"/>
      <c r="F131" s="13"/>
      <c r="G131" s="14"/>
    </row>
    <row r="132" spans="1:7" x14ac:dyDescent="0.25">
      <c r="A132" s="15"/>
      <c r="B132" s="12"/>
      <c r="C132" s="13"/>
      <c r="D132" s="13" t="str">
        <f>IF(C132="",(""),(INDEX(Codificación!$A$3:$D$364,(MATCH(Movimientos!C132,Codificación!$A$3:$A$280,0)),(2))))</f>
        <v/>
      </c>
      <c r="E132" s="13"/>
      <c r="F132" s="13"/>
      <c r="G132" s="14"/>
    </row>
    <row r="133" spans="1:7" x14ac:dyDescent="0.25">
      <c r="A133" s="15"/>
      <c r="B133" s="12"/>
      <c r="C133" s="13"/>
      <c r="D133" s="13" t="str">
        <f>IF(C133="",(""),(INDEX(Codificación!$A$3:$D$364,(MATCH(Movimientos!C133,Codificación!$A$3:$A$280,0)),(2))))</f>
        <v/>
      </c>
      <c r="E133" s="13"/>
      <c r="F133" s="13"/>
      <c r="G133" s="14"/>
    </row>
    <row r="134" spans="1:7" x14ac:dyDescent="0.25">
      <c r="A134" s="15"/>
      <c r="B134" s="12"/>
      <c r="C134" s="13"/>
      <c r="D134" s="13" t="str">
        <f>IF(C134="",(""),(INDEX(Codificación!$A$3:$D$364,(MATCH(Movimientos!C134,Codificación!$A$3:$A$280,0)),(2))))</f>
        <v/>
      </c>
      <c r="E134" s="13"/>
      <c r="F134" s="13"/>
      <c r="G134" s="14"/>
    </row>
    <row r="135" spans="1:7" x14ac:dyDescent="0.25">
      <c r="A135" s="15"/>
      <c r="B135" s="12"/>
      <c r="C135" s="13"/>
      <c r="D135" s="13" t="str">
        <f>IF(C135="",(""),(INDEX(Codificación!$A$3:$D$364,(MATCH(Movimientos!C135,Codificación!$A$3:$A$280,0)),(2))))</f>
        <v/>
      </c>
      <c r="E135" s="13"/>
      <c r="F135" s="13"/>
      <c r="G135" s="14"/>
    </row>
    <row r="136" spans="1:7" x14ac:dyDescent="0.25">
      <c r="A136" s="15"/>
      <c r="B136" s="12"/>
      <c r="C136" s="13"/>
      <c r="D136" s="13" t="str">
        <f>IF(C136="",(""),(INDEX(Codificación!$A$3:$D$364,(MATCH(Movimientos!C136,Codificación!$A$3:$A$280,0)),(2))))</f>
        <v/>
      </c>
      <c r="E136" s="13"/>
      <c r="F136" s="13"/>
      <c r="G136" s="14"/>
    </row>
    <row r="137" spans="1:7" x14ac:dyDescent="0.25">
      <c r="A137" s="15"/>
      <c r="B137" s="12"/>
      <c r="C137" s="13"/>
      <c r="D137" s="13" t="str">
        <f>IF(C137="",(""),(INDEX(Codificación!$A$3:$D$364,(MATCH(Movimientos!C137,Codificación!$A$3:$A$280,0)),(2))))</f>
        <v/>
      </c>
      <c r="E137" s="13"/>
      <c r="F137" s="13"/>
      <c r="G137" s="14"/>
    </row>
    <row r="138" spans="1:7" x14ac:dyDescent="0.25">
      <c r="A138" s="15"/>
      <c r="B138" s="12"/>
      <c r="C138" s="13"/>
      <c r="D138" s="13" t="str">
        <f>IF(C138="",(""),(INDEX(Codificación!$A$3:$D$364,(MATCH(Movimientos!C138,Codificación!$A$3:$A$280,0)),(2))))</f>
        <v/>
      </c>
      <c r="E138" s="13"/>
      <c r="F138" s="13"/>
      <c r="G138" s="14"/>
    </row>
    <row r="139" spans="1:7" x14ac:dyDescent="0.25">
      <c r="A139" s="15"/>
      <c r="B139" s="12"/>
      <c r="C139" s="13"/>
      <c r="D139" s="13" t="str">
        <f>IF(C139="",(""),(INDEX(Codificación!$A$3:$D$364,(MATCH(Movimientos!C139,Codificación!$A$3:$A$280,0)),(2))))</f>
        <v/>
      </c>
      <c r="E139" s="13"/>
      <c r="F139" s="13"/>
      <c r="G139" s="14"/>
    </row>
    <row r="140" spans="1:7" x14ac:dyDescent="0.25">
      <c r="A140" s="15"/>
      <c r="B140" s="12"/>
      <c r="C140" s="13"/>
      <c r="D140" s="13" t="str">
        <f>IF(C140="",(""),(INDEX(Codificación!$A$3:$D$364,(MATCH(Movimientos!C140,Codificación!$A$3:$A$280,0)),(2))))</f>
        <v/>
      </c>
      <c r="E140" s="13"/>
      <c r="F140" s="13"/>
      <c r="G140" s="14"/>
    </row>
    <row r="141" spans="1:7" x14ac:dyDescent="0.25">
      <c r="A141" s="15"/>
      <c r="B141" s="12"/>
      <c r="C141" s="13"/>
      <c r="D141" s="13" t="str">
        <f>IF(C141="",(""),(INDEX(Codificación!$A$3:$D$364,(MATCH(Movimientos!C141,Codificación!$A$3:$A$280,0)),(2))))</f>
        <v/>
      </c>
      <c r="E141" s="13"/>
      <c r="F141" s="13"/>
      <c r="G141" s="14"/>
    </row>
    <row r="142" spans="1:7" x14ac:dyDescent="0.25">
      <c r="A142" s="15"/>
      <c r="B142" s="12"/>
      <c r="C142" s="13"/>
      <c r="D142" s="13" t="str">
        <f>IF(C142="",(""),(INDEX(Codificación!$A$3:$D$364,(MATCH(Movimientos!C142,Codificación!$A$3:$A$280,0)),(2))))</f>
        <v/>
      </c>
      <c r="E142" s="13"/>
      <c r="F142" s="13"/>
      <c r="G142" s="14"/>
    </row>
    <row r="143" spans="1:7" x14ac:dyDescent="0.25">
      <c r="A143" s="15"/>
      <c r="B143" s="12"/>
      <c r="C143" s="13"/>
      <c r="D143" s="13" t="str">
        <f>IF(C143="",(""),(INDEX(Codificación!$A$3:$D$364,(MATCH(Movimientos!C143,Codificación!$A$3:$A$280,0)),(2))))</f>
        <v/>
      </c>
      <c r="E143" s="13"/>
      <c r="F143" s="13"/>
      <c r="G143" s="14"/>
    </row>
    <row r="144" spans="1:7" x14ac:dyDescent="0.25">
      <c r="A144" s="15"/>
      <c r="B144" s="12"/>
      <c r="C144" s="13"/>
      <c r="D144" s="13" t="str">
        <f>IF(C144="",(""),(INDEX(Codificación!$A$3:$D$364,(MATCH(Movimientos!C144,Codificación!$A$3:$A$280,0)),(2))))</f>
        <v/>
      </c>
      <c r="E144" s="13"/>
      <c r="F144" s="13"/>
      <c r="G144" s="14"/>
    </row>
    <row r="145" spans="1:7" x14ac:dyDescent="0.25">
      <c r="A145" s="15"/>
      <c r="B145" s="12"/>
      <c r="C145" s="13"/>
      <c r="D145" s="13" t="str">
        <f>IF(C145="",(""),(INDEX(Codificación!$A$3:$D$364,(MATCH(Movimientos!C145,Codificación!$A$3:$A$280,0)),(2))))</f>
        <v/>
      </c>
      <c r="E145" s="13"/>
      <c r="F145" s="13"/>
      <c r="G145" s="14"/>
    </row>
    <row r="146" spans="1:7" x14ac:dyDescent="0.25">
      <c r="A146" s="15"/>
      <c r="B146" s="12"/>
      <c r="C146" s="13"/>
      <c r="D146" s="13" t="str">
        <f>IF(C146="",(""),(INDEX(Codificación!$A$3:$D$364,(MATCH(Movimientos!C146,Codificación!$A$3:$A$280,0)),(2))))</f>
        <v/>
      </c>
      <c r="E146" s="13"/>
      <c r="F146" s="13"/>
      <c r="G146" s="14"/>
    </row>
    <row r="147" spans="1:7" x14ac:dyDescent="0.25">
      <c r="A147" s="15"/>
      <c r="B147" s="12"/>
      <c r="C147" s="13"/>
      <c r="D147" s="13" t="str">
        <f>IF(C147="",(""),(INDEX(Codificación!$A$3:$D$364,(MATCH(Movimientos!C147,Codificación!$A$3:$A$280,0)),(2))))</f>
        <v/>
      </c>
      <c r="E147" s="13"/>
      <c r="F147" s="13"/>
      <c r="G147" s="14"/>
    </row>
    <row r="148" spans="1:7" x14ac:dyDescent="0.25">
      <c r="A148" s="15"/>
      <c r="B148" s="12"/>
      <c r="C148" s="13"/>
      <c r="D148" s="13" t="str">
        <f>IF(C148="",(""),(INDEX(Codificación!$A$3:$D$364,(MATCH(Movimientos!C148,Codificación!$A$3:$A$280,0)),(2))))</f>
        <v/>
      </c>
      <c r="E148" s="13"/>
      <c r="F148" s="13"/>
      <c r="G148" s="14"/>
    </row>
    <row r="149" spans="1:7" x14ac:dyDescent="0.25">
      <c r="A149" s="15"/>
      <c r="B149" s="12"/>
      <c r="C149" s="13"/>
      <c r="D149" s="13" t="str">
        <f>IF(C149="",(""),(INDEX(Codificación!$A$3:$D$364,(MATCH(Movimientos!C149,Codificación!$A$3:$A$280,0)),(2))))</f>
        <v/>
      </c>
      <c r="E149" s="13"/>
      <c r="F149" s="13"/>
      <c r="G149" s="14"/>
    </row>
    <row r="150" spans="1:7" x14ac:dyDescent="0.25">
      <c r="A150" s="15"/>
      <c r="B150" s="12"/>
      <c r="C150" s="13"/>
      <c r="D150" s="13" t="str">
        <f>IF(C150="",(""),(INDEX(Codificación!$A$3:$D$364,(MATCH(Movimientos!C150,Codificación!$A$3:$A$280,0)),(2))))</f>
        <v/>
      </c>
      <c r="E150" s="13"/>
      <c r="F150" s="13"/>
      <c r="G150" s="14"/>
    </row>
    <row r="151" spans="1:7" x14ac:dyDescent="0.25">
      <c r="A151" s="15"/>
      <c r="B151" s="12"/>
      <c r="C151" s="13"/>
      <c r="D151" s="13" t="str">
        <f>IF(C151="",(""),(INDEX(Codificación!$A$3:$D$364,(MATCH(Movimientos!C151,Codificación!$A$3:$A$280,0)),(2))))</f>
        <v/>
      </c>
      <c r="E151" s="13"/>
      <c r="F151" s="13"/>
      <c r="G151" s="14"/>
    </row>
    <row r="152" spans="1:7" x14ac:dyDescent="0.25">
      <c r="A152" s="15"/>
      <c r="B152" s="12"/>
      <c r="C152" s="13"/>
      <c r="D152" s="13" t="str">
        <f>IF(C152="",(""),(INDEX(Codificación!$A$3:$D$364,(MATCH(Movimientos!C152,Codificación!$A$3:$A$280,0)),(2))))</f>
        <v/>
      </c>
      <c r="E152" s="13"/>
      <c r="F152" s="13"/>
      <c r="G152" s="14"/>
    </row>
    <row r="153" spans="1:7" x14ac:dyDescent="0.25">
      <c r="A153" s="15"/>
      <c r="B153" s="12"/>
      <c r="C153" s="13"/>
      <c r="D153" s="13" t="str">
        <f>IF(C153="",(""),(INDEX(Codificación!$A$3:$D$364,(MATCH(Movimientos!C153,Codificación!$A$3:$A$280,0)),(2))))</f>
        <v/>
      </c>
      <c r="E153" s="13"/>
      <c r="F153" s="13"/>
      <c r="G153" s="14"/>
    </row>
    <row r="154" spans="1:7" x14ac:dyDescent="0.25">
      <c r="A154" s="15"/>
      <c r="B154" s="12"/>
      <c r="C154" s="13"/>
      <c r="D154" s="13" t="str">
        <f>IF(C154="",(""),(INDEX(Codificación!$A$3:$D$364,(MATCH(Movimientos!C154,Codificación!$A$3:$A$280,0)),(2))))</f>
        <v/>
      </c>
      <c r="E154" s="13"/>
      <c r="F154" s="13"/>
      <c r="G154" s="14"/>
    </row>
    <row r="155" spans="1:7" x14ac:dyDescent="0.25">
      <c r="A155" s="15"/>
      <c r="B155" s="12"/>
      <c r="C155" s="13"/>
      <c r="D155" s="13" t="str">
        <f>IF(C155="",(""),(INDEX(Codificación!$A$3:$D$364,(MATCH(Movimientos!C155,Codificación!$A$3:$A$280,0)),(2))))</f>
        <v/>
      </c>
      <c r="E155" s="13"/>
      <c r="F155" s="13"/>
      <c r="G155" s="14"/>
    </row>
    <row r="156" spans="1:7" x14ac:dyDescent="0.25">
      <c r="A156" s="15"/>
      <c r="B156" s="12"/>
      <c r="C156" s="13"/>
      <c r="D156" s="13" t="str">
        <f>IF(C156="",(""),(INDEX(Codificación!$A$3:$D$364,(MATCH(Movimientos!C156,Codificación!$A$3:$A$280,0)),(2))))</f>
        <v/>
      </c>
      <c r="E156" s="13"/>
      <c r="F156" s="13"/>
      <c r="G156" s="14"/>
    </row>
    <row r="157" spans="1:7" x14ac:dyDescent="0.25">
      <c r="A157" s="15"/>
      <c r="B157" s="12"/>
      <c r="C157" s="13"/>
      <c r="D157" s="13" t="str">
        <f>IF(C157="",(""),(INDEX(Codificación!$A$3:$D$364,(MATCH(Movimientos!C157,Codificación!$A$3:$A$280,0)),(2))))</f>
        <v/>
      </c>
      <c r="E157" s="13"/>
      <c r="F157" s="13"/>
      <c r="G157" s="14"/>
    </row>
    <row r="158" spans="1:7" x14ac:dyDescent="0.25">
      <c r="A158" s="15"/>
      <c r="B158" s="12"/>
      <c r="C158" s="13"/>
      <c r="D158" s="13" t="str">
        <f>IF(C158="",(""),(INDEX(Codificación!$A$3:$D$364,(MATCH(Movimientos!C158,Codificación!$A$3:$A$280,0)),(2))))</f>
        <v/>
      </c>
      <c r="E158" s="13"/>
      <c r="F158" s="13"/>
      <c r="G158" s="14"/>
    </row>
    <row r="159" spans="1:7" x14ac:dyDescent="0.25">
      <c r="A159" s="15"/>
      <c r="B159" s="12"/>
      <c r="C159" s="13"/>
      <c r="D159" s="13" t="str">
        <f>IF(C159="",(""),(INDEX(Codificación!$A$3:$D$364,(MATCH(Movimientos!C159,Codificación!$A$3:$A$280,0)),(2))))</f>
        <v/>
      </c>
      <c r="E159" s="13"/>
      <c r="F159" s="13"/>
      <c r="G159" s="14"/>
    </row>
    <row r="160" spans="1:7" x14ac:dyDescent="0.25">
      <c r="A160" s="15"/>
      <c r="B160" s="12"/>
      <c r="C160" s="13"/>
      <c r="D160" s="13" t="str">
        <f>IF(C160="",(""),(INDEX(Codificación!$A$3:$D$364,(MATCH(Movimientos!C160,Codificación!$A$3:$A$280,0)),(2))))</f>
        <v/>
      </c>
      <c r="E160" s="13"/>
      <c r="F160" s="13"/>
      <c r="G160" s="14"/>
    </row>
    <row r="161" spans="1:7" x14ac:dyDescent="0.25">
      <c r="A161" s="15"/>
      <c r="B161" s="12"/>
      <c r="C161" s="13"/>
      <c r="D161" s="13" t="str">
        <f>IF(C161="",(""),(INDEX(Codificación!$A$3:$D$364,(MATCH(Movimientos!C161,Codificación!$A$3:$A$280,0)),(2))))</f>
        <v/>
      </c>
      <c r="E161" s="13"/>
      <c r="F161" s="13"/>
      <c r="G161" s="14"/>
    </row>
    <row r="162" spans="1:7" x14ac:dyDescent="0.25">
      <c r="A162" s="15"/>
      <c r="B162" s="12"/>
      <c r="C162" s="13"/>
      <c r="D162" s="13" t="str">
        <f>IF(C162="",(""),(INDEX(Codificación!$A$3:$D$364,(MATCH(Movimientos!C162,Codificación!$A$3:$A$280,0)),(2))))</f>
        <v/>
      </c>
      <c r="E162" s="13"/>
      <c r="F162" s="13"/>
      <c r="G162" s="14"/>
    </row>
    <row r="163" spans="1:7" x14ac:dyDescent="0.25">
      <c r="A163" s="15"/>
      <c r="B163" s="12"/>
      <c r="C163" s="13"/>
      <c r="D163" s="13" t="str">
        <f>IF(C163="",(""),(INDEX(Codificación!$A$3:$D$364,(MATCH(Movimientos!C163,Codificación!$A$3:$A$280,0)),(2))))</f>
        <v/>
      </c>
      <c r="E163" s="13"/>
      <c r="F163" s="13"/>
      <c r="G163" s="14"/>
    </row>
    <row r="164" spans="1:7" x14ac:dyDescent="0.25">
      <c r="A164" s="15"/>
      <c r="B164" s="12"/>
      <c r="C164" s="13"/>
      <c r="D164" s="13" t="str">
        <f>IF(C164="",(""),(INDEX(Codificación!$A$3:$D$364,(MATCH(Movimientos!C164,Codificación!$A$3:$A$280,0)),(2))))</f>
        <v/>
      </c>
      <c r="E164" s="13"/>
      <c r="F164" s="13"/>
      <c r="G164" s="14"/>
    </row>
    <row r="165" spans="1:7" x14ac:dyDescent="0.25">
      <c r="A165" s="15"/>
      <c r="B165" s="12"/>
      <c r="C165" s="13"/>
      <c r="D165" s="13" t="str">
        <f>IF(C165="",(""),(INDEX(Codificación!$A$3:$D$364,(MATCH(Movimientos!C165,Codificación!$A$3:$A$280,0)),(2))))</f>
        <v/>
      </c>
      <c r="E165" s="13"/>
      <c r="F165" s="13"/>
      <c r="G165" s="14"/>
    </row>
    <row r="166" spans="1:7" x14ac:dyDescent="0.25">
      <c r="A166" s="15"/>
      <c r="B166" s="12"/>
      <c r="C166" s="13"/>
      <c r="D166" s="13" t="str">
        <f>IF(C166="",(""),(INDEX(Codificación!$A$3:$D$364,(MATCH(Movimientos!C166,Codificación!$A$3:$A$280,0)),(2))))</f>
        <v/>
      </c>
      <c r="E166" s="13"/>
      <c r="F166" s="13"/>
      <c r="G166" s="14"/>
    </row>
    <row r="167" spans="1:7" x14ac:dyDescent="0.25">
      <c r="A167" s="15"/>
      <c r="B167" s="12"/>
      <c r="C167" s="13"/>
      <c r="D167" s="13" t="str">
        <f>IF(C167="",(""),(INDEX(Codificación!$A$3:$D$364,(MATCH(Movimientos!C167,Codificación!$A$3:$A$280,0)),(2))))</f>
        <v/>
      </c>
      <c r="E167" s="13"/>
      <c r="F167" s="13"/>
      <c r="G167" s="14"/>
    </row>
    <row r="168" spans="1:7" x14ac:dyDescent="0.25">
      <c r="A168" s="15"/>
      <c r="B168" s="12"/>
      <c r="C168" s="13"/>
      <c r="D168" s="13" t="str">
        <f>IF(C168="",(""),(INDEX(Codificación!$A$3:$D$364,(MATCH(Movimientos!C168,Codificación!$A$3:$A$280,0)),(2))))</f>
        <v/>
      </c>
      <c r="E168" s="13"/>
      <c r="F168" s="13"/>
      <c r="G168" s="14"/>
    </row>
    <row r="169" spans="1:7" x14ac:dyDescent="0.25">
      <c r="A169" s="15"/>
      <c r="B169" s="12"/>
      <c r="C169" s="13"/>
      <c r="D169" s="13" t="str">
        <f>IF(C169="",(""),(INDEX(Codificación!$A$3:$D$364,(MATCH(Movimientos!C169,Codificación!$A$3:$A$280,0)),(2))))</f>
        <v/>
      </c>
      <c r="E169" s="13"/>
      <c r="F169" s="13"/>
      <c r="G169" s="14"/>
    </row>
    <row r="170" spans="1:7" x14ac:dyDescent="0.25">
      <c r="A170" s="15"/>
      <c r="B170" s="12"/>
      <c r="C170" s="13"/>
      <c r="D170" s="13" t="str">
        <f>IF(C170="",(""),(INDEX(Codificación!$A$3:$D$364,(MATCH(Movimientos!C170,Codificación!$A$3:$A$280,0)),(2))))</f>
        <v/>
      </c>
      <c r="E170" s="13"/>
      <c r="F170" s="13"/>
      <c r="G170" s="14"/>
    </row>
    <row r="171" spans="1:7" x14ac:dyDescent="0.25">
      <c r="A171" s="15"/>
      <c r="B171" s="12"/>
      <c r="C171" s="13"/>
      <c r="D171" s="13" t="str">
        <f>IF(C171="",(""),(INDEX(Codificación!$A$3:$D$364,(MATCH(Movimientos!C171,Codificación!$A$3:$A$280,0)),(2))))</f>
        <v/>
      </c>
      <c r="E171" s="13"/>
      <c r="F171" s="13"/>
      <c r="G171" s="14"/>
    </row>
    <row r="172" spans="1:7" x14ac:dyDescent="0.25">
      <c r="A172" s="15"/>
      <c r="B172" s="12"/>
      <c r="C172" s="13"/>
      <c r="D172" s="13" t="str">
        <f>IF(C172="",(""),(INDEX(Codificación!$A$3:$D$364,(MATCH(Movimientos!C172,Codificación!$A$3:$A$280,0)),(2))))</f>
        <v/>
      </c>
      <c r="E172" s="13"/>
      <c r="F172" s="13"/>
      <c r="G172" s="14"/>
    </row>
    <row r="173" spans="1:7" x14ac:dyDescent="0.25">
      <c r="A173" s="15"/>
      <c r="B173" s="12"/>
      <c r="C173" s="13"/>
      <c r="D173" s="13" t="str">
        <f>IF(C173="",(""),(INDEX(Codificación!$A$3:$D$364,(MATCH(Movimientos!C173,Codificación!$A$3:$A$280,0)),(2))))</f>
        <v/>
      </c>
      <c r="E173" s="13"/>
      <c r="F173" s="13"/>
      <c r="G173" s="14"/>
    </row>
    <row r="174" spans="1:7" x14ac:dyDescent="0.25">
      <c r="A174" s="15"/>
      <c r="B174" s="12"/>
      <c r="C174" s="13"/>
      <c r="D174" s="13" t="str">
        <f>IF(C174="",(""),(INDEX(Codificación!$A$3:$D$364,(MATCH(Movimientos!C174,Codificación!$A$3:$A$280,0)),(2))))</f>
        <v/>
      </c>
      <c r="E174" s="13"/>
      <c r="F174" s="13"/>
      <c r="G174" s="14"/>
    </row>
    <row r="175" spans="1:7" x14ac:dyDescent="0.25">
      <c r="A175" s="15"/>
      <c r="B175" s="12"/>
      <c r="C175" s="13"/>
      <c r="D175" s="13" t="str">
        <f>IF(C175="",(""),(INDEX(Codificación!$A$3:$D$364,(MATCH(Movimientos!C175,Codificación!$A$3:$A$280,0)),(2))))</f>
        <v/>
      </c>
      <c r="E175" s="13"/>
      <c r="F175" s="13"/>
      <c r="G175" s="14"/>
    </row>
    <row r="176" spans="1:7" x14ac:dyDescent="0.25">
      <c r="A176" s="15"/>
      <c r="B176" s="12"/>
      <c r="C176" s="13"/>
      <c r="D176" s="13" t="str">
        <f>IF(C176="",(""),(INDEX(Codificación!$A$3:$D$364,(MATCH(Movimientos!C176,Codificación!$A$3:$A$280,0)),(2))))</f>
        <v/>
      </c>
      <c r="E176" s="13"/>
      <c r="F176" s="13"/>
      <c r="G176" s="14"/>
    </row>
    <row r="177" spans="1:7" x14ac:dyDescent="0.25">
      <c r="A177" s="15"/>
      <c r="B177" s="12"/>
      <c r="C177" s="13"/>
      <c r="D177" s="13" t="str">
        <f>IF(C177="",(""),(INDEX(Codificación!$A$3:$D$364,(MATCH(Movimientos!C177,Codificación!$A$3:$A$280,0)),(2))))</f>
        <v/>
      </c>
      <c r="E177" s="13"/>
      <c r="F177" s="13"/>
      <c r="G177" s="14"/>
    </row>
    <row r="178" spans="1:7" x14ac:dyDescent="0.25">
      <c r="A178" s="15"/>
      <c r="B178" s="12"/>
      <c r="C178" s="13"/>
      <c r="D178" s="13" t="str">
        <f>IF(C178="",(""),(INDEX(Codificación!$A$3:$D$364,(MATCH(Movimientos!C178,Codificación!$A$3:$A$280,0)),(2))))</f>
        <v/>
      </c>
      <c r="E178" s="13"/>
      <c r="F178" s="13"/>
      <c r="G178" s="14"/>
    </row>
    <row r="179" spans="1:7" x14ac:dyDescent="0.25">
      <c r="A179" s="15"/>
      <c r="B179" s="12"/>
      <c r="C179" s="13"/>
      <c r="D179" s="13" t="str">
        <f>IF(C179="",(""),(INDEX(Codificación!$A$3:$D$364,(MATCH(Movimientos!C179,Codificación!$A$3:$A$280,0)),(2))))</f>
        <v/>
      </c>
      <c r="E179" s="13"/>
      <c r="F179" s="13"/>
      <c r="G179" s="14"/>
    </row>
    <row r="180" spans="1:7" x14ac:dyDescent="0.25">
      <c r="A180" s="15"/>
      <c r="B180" s="12"/>
      <c r="C180" s="13"/>
      <c r="D180" s="13" t="str">
        <f>IF(C180="",(""),(INDEX(Codificación!$A$3:$D$364,(MATCH(Movimientos!C180,Codificación!$A$3:$A$280,0)),(2))))</f>
        <v/>
      </c>
      <c r="E180" s="13"/>
      <c r="F180" s="13"/>
      <c r="G180" s="14"/>
    </row>
    <row r="181" spans="1:7" x14ac:dyDescent="0.25">
      <c r="A181" s="15"/>
      <c r="B181" s="12"/>
      <c r="C181" s="13"/>
      <c r="D181" s="13" t="str">
        <f>IF(C181="",(""),(INDEX(Codificación!$A$3:$D$364,(MATCH(Movimientos!C181,Codificación!$A$3:$A$280,0)),(2))))</f>
        <v/>
      </c>
      <c r="E181" s="13"/>
      <c r="F181" s="13"/>
      <c r="G181" s="14"/>
    </row>
    <row r="182" spans="1:7" x14ac:dyDescent="0.25">
      <c r="A182" s="15"/>
      <c r="B182" s="12"/>
      <c r="C182" s="13"/>
      <c r="D182" s="13" t="str">
        <f>IF(C182="",(""),(INDEX(Codificación!$A$3:$D$364,(MATCH(Movimientos!C182,Codificación!$A$3:$A$280,0)),(2))))</f>
        <v/>
      </c>
      <c r="E182" s="13"/>
      <c r="F182" s="13"/>
      <c r="G182" s="14"/>
    </row>
    <row r="183" spans="1:7" x14ac:dyDescent="0.25">
      <c r="A183" s="15"/>
      <c r="B183" s="12"/>
      <c r="C183" s="13"/>
      <c r="D183" s="13" t="str">
        <f>IF(C183="",(""),(INDEX(Codificación!$A$3:$D$364,(MATCH(Movimientos!C183,Codificación!$A$3:$A$280,0)),(2))))</f>
        <v/>
      </c>
      <c r="E183" s="13"/>
      <c r="F183" s="13"/>
      <c r="G183" s="14"/>
    </row>
    <row r="184" spans="1:7" x14ac:dyDescent="0.25">
      <c r="A184" s="15"/>
      <c r="B184" s="12"/>
      <c r="C184" s="13"/>
      <c r="D184" s="13" t="str">
        <f>IF(C184="",(""),(INDEX(Codificación!$A$3:$D$364,(MATCH(Movimientos!C184,Codificación!$A$3:$A$280,0)),(2))))</f>
        <v/>
      </c>
      <c r="E184" s="13"/>
      <c r="F184" s="13"/>
      <c r="G184" s="14"/>
    </row>
    <row r="185" spans="1:7" x14ac:dyDescent="0.25">
      <c r="A185" s="15"/>
      <c r="B185" s="12"/>
      <c r="C185" s="13"/>
      <c r="D185" s="13" t="str">
        <f>IF(C185="",(""),(INDEX(Codificación!$A$3:$D$364,(MATCH(Movimientos!C185,Codificación!$A$3:$A$280,0)),(2))))</f>
        <v/>
      </c>
      <c r="E185" s="13"/>
      <c r="F185" s="13"/>
      <c r="G185" s="14"/>
    </row>
    <row r="186" spans="1:7" x14ac:dyDescent="0.25">
      <c r="A186" s="15"/>
      <c r="B186" s="12"/>
      <c r="C186" s="13"/>
      <c r="D186" s="13" t="str">
        <f>IF(C186="",(""),(INDEX(Codificación!$A$3:$D$364,(MATCH(Movimientos!C186,Codificación!$A$3:$A$280,0)),(2))))</f>
        <v/>
      </c>
      <c r="E186" s="13"/>
      <c r="F186" s="13"/>
      <c r="G186" s="14"/>
    </row>
    <row r="187" spans="1:7" x14ac:dyDescent="0.25">
      <c r="A187" s="15"/>
      <c r="B187" s="12"/>
      <c r="C187" s="13"/>
      <c r="D187" s="13" t="str">
        <f>IF(C187="",(""),(INDEX(Codificación!$A$3:$D$364,(MATCH(Movimientos!C187,Codificación!$A$3:$A$280,0)),(2))))</f>
        <v/>
      </c>
      <c r="E187" s="13"/>
      <c r="F187" s="13"/>
      <c r="G187" s="14"/>
    </row>
    <row r="188" spans="1:7" x14ac:dyDescent="0.25">
      <c r="A188" s="15"/>
      <c r="B188" s="12"/>
      <c r="C188" s="13"/>
      <c r="D188" s="13" t="str">
        <f>IF(C188="",(""),(INDEX(Codificación!$A$3:$D$364,(MATCH(Movimientos!C188,Codificación!$A$3:$A$280,0)),(2))))</f>
        <v/>
      </c>
      <c r="E188" s="13"/>
      <c r="F188" s="13"/>
      <c r="G188" s="14"/>
    </row>
    <row r="189" spans="1:7" x14ac:dyDescent="0.25">
      <c r="A189" s="15"/>
      <c r="B189" s="12"/>
      <c r="C189" s="13"/>
      <c r="D189" s="13" t="str">
        <f>IF(C189="",(""),(INDEX(Codificación!$A$3:$D$364,(MATCH(Movimientos!C189,Codificación!$A$3:$A$280,0)),(2))))</f>
        <v/>
      </c>
      <c r="E189" s="13"/>
      <c r="F189" s="13"/>
      <c r="G189" s="14"/>
    </row>
    <row r="190" spans="1:7" x14ac:dyDescent="0.25">
      <c r="A190" s="15"/>
      <c r="B190" s="12"/>
      <c r="C190" s="13"/>
      <c r="D190" s="13" t="str">
        <f>IF(C190="",(""),(INDEX(Codificación!$A$3:$D$364,(MATCH(Movimientos!C190,Codificación!$A$3:$A$280,0)),(2))))</f>
        <v/>
      </c>
      <c r="E190" s="13"/>
      <c r="F190" s="13"/>
      <c r="G190" s="14"/>
    </row>
    <row r="191" spans="1:7" x14ac:dyDescent="0.25">
      <c r="A191" s="15"/>
      <c r="B191" s="12"/>
      <c r="C191" s="13"/>
      <c r="D191" s="13" t="str">
        <f>IF(C191="",(""),(INDEX(Codificación!$A$3:$D$364,(MATCH(Movimientos!C191,Codificación!$A$3:$A$280,0)),(2))))</f>
        <v/>
      </c>
      <c r="E191" s="13"/>
      <c r="F191" s="13"/>
      <c r="G191" s="14"/>
    </row>
    <row r="192" spans="1:7" x14ac:dyDescent="0.25">
      <c r="A192" s="15"/>
      <c r="B192" s="12"/>
      <c r="C192" s="13"/>
      <c r="D192" s="13" t="str">
        <f>IF(C192="",(""),(INDEX(Codificación!$A$3:$D$364,(MATCH(Movimientos!C192,Codificación!$A$3:$A$280,0)),(2))))</f>
        <v/>
      </c>
      <c r="E192" s="13"/>
      <c r="F192" s="13"/>
      <c r="G192" s="14"/>
    </row>
    <row r="193" spans="1:7" x14ac:dyDescent="0.25">
      <c r="A193" s="15"/>
      <c r="B193" s="12"/>
      <c r="C193" s="13"/>
      <c r="D193" s="13" t="str">
        <f>IF(C193="",(""),(INDEX(Codificación!$A$3:$D$364,(MATCH(Movimientos!C193,Codificación!$A$3:$A$280,0)),(2))))</f>
        <v/>
      </c>
      <c r="E193" s="13"/>
      <c r="F193" s="13"/>
      <c r="G193" s="14"/>
    </row>
    <row r="194" spans="1:7" x14ac:dyDescent="0.25">
      <c r="A194" s="15"/>
      <c r="B194" s="12"/>
      <c r="C194" s="13"/>
      <c r="D194" s="13" t="str">
        <f>IF(C194="",(""),(INDEX(Codificación!$A$3:$D$364,(MATCH(Movimientos!C194,Codificación!$A$3:$A$280,0)),(2))))</f>
        <v/>
      </c>
      <c r="E194" s="13"/>
      <c r="F194" s="13"/>
      <c r="G194" s="14"/>
    </row>
    <row r="195" spans="1:7" x14ac:dyDescent="0.25">
      <c r="A195" s="15"/>
      <c r="B195" s="12"/>
      <c r="C195" s="13"/>
      <c r="D195" s="13" t="str">
        <f>IF(C195="",(""),(INDEX(Codificación!$A$3:$D$364,(MATCH(Movimientos!C195,Codificación!$A$3:$A$280,0)),(2))))</f>
        <v/>
      </c>
      <c r="E195" s="13"/>
      <c r="F195" s="13"/>
      <c r="G195" s="14"/>
    </row>
    <row r="196" spans="1:7" x14ac:dyDescent="0.25">
      <c r="A196" s="15"/>
      <c r="B196" s="12"/>
      <c r="C196" s="13"/>
      <c r="D196" s="13" t="str">
        <f>IF(C196="",(""),(INDEX(Codificación!$A$3:$D$364,(MATCH(Movimientos!C196,Codificación!$A$3:$A$280,0)),(2))))</f>
        <v/>
      </c>
      <c r="E196" s="13"/>
      <c r="F196" s="13"/>
      <c r="G196" s="14"/>
    </row>
    <row r="197" spans="1:7" x14ac:dyDescent="0.25">
      <c r="A197" s="15"/>
      <c r="B197" s="12"/>
      <c r="C197" s="13"/>
      <c r="D197" s="13" t="str">
        <f>IF(C197="",(""),(INDEX(Codificación!$A$3:$D$364,(MATCH(Movimientos!C197,Codificación!$A$3:$A$280,0)),(2))))</f>
        <v/>
      </c>
      <c r="E197" s="13"/>
      <c r="F197" s="13"/>
      <c r="G197" s="14"/>
    </row>
    <row r="198" spans="1:7" x14ac:dyDescent="0.25">
      <c r="A198" s="15"/>
      <c r="B198" s="12"/>
      <c r="C198" s="13"/>
      <c r="D198" s="13" t="str">
        <f>IF(C198="",(""),(INDEX(Codificación!$A$3:$D$364,(MATCH(Movimientos!C198,Codificación!$A$3:$A$280,0)),(2))))</f>
        <v/>
      </c>
      <c r="E198" s="13"/>
      <c r="F198" s="13"/>
      <c r="G198" s="14"/>
    </row>
    <row r="199" spans="1:7" x14ac:dyDescent="0.25">
      <c r="A199" s="15"/>
      <c r="B199" s="12"/>
      <c r="C199" s="13"/>
      <c r="D199" s="13" t="str">
        <f>IF(C199="",(""),(INDEX(Codificación!$A$3:$D$364,(MATCH(Movimientos!C199,Codificación!$A$3:$A$280,0)),(2))))</f>
        <v/>
      </c>
      <c r="E199" s="13"/>
      <c r="F199" s="13"/>
      <c r="G199" s="14"/>
    </row>
    <row r="200" spans="1:7" x14ac:dyDescent="0.25">
      <c r="A200" s="15"/>
      <c r="B200" s="12"/>
      <c r="C200" s="13"/>
      <c r="D200" s="13" t="str">
        <f>IF(C200="",(""),(INDEX(Codificación!$A$3:$D$364,(MATCH(Movimientos!C200,Codificación!$A$3:$A$280,0)),(2))))</f>
        <v/>
      </c>
      <c r="E200" s="13"/>
      <c r="F200" s="13"/>
      <c r="G200" s="14"/>
    </row>
    <row r="201" spans="1:7" x14ac:dyDescent="0.25">
      <c r="A201" s="15"/>
      <c r="B201" s="12"/>
      <c r="C201" s="13"/>
      <c r="D201" s="13" t="str">
        <f>IF(C201="",(""),(INDEX(Codificación!$A$3:$D$364,(MATCH(Movimientos!C201,Codificación!$A$3:$A$280,0)),(2))))</f>
        <v/>
      </c>
      <c r="E201" s="13"/>
      <c r="F201" s="13"/>
      <c r="G201" s="14"/>
    </row>
    <row r="202" spans="1:7" x14ac:dyDescent="0.25">
      <c r="A202" s="15"/>
      <c r="B202" s="12"/>
      <c r="C202" s="13"/>
      <c r="D202" s="13" t="str">
        <f>IF(C202="",(""),(INDEX(Codificación!$A$3:$D$364,(MATCH(Movimientos!C202,Codificación!$A$3:$A$280,0)),(2))))</f>
        <v/>
      </c>
      <c r="E202" s="13"/>
      <c r="F202" s="13"/>
      <c r="G202" s="14"/>
    </row>
    <row r="203" spans="1:7" x14ac:dyDescent="0.25">
      <c r="A203" s="15"/>
      <c r="B203" s="12"/>
      <c r="C203" s="13"/>
      <c r="D203" s="13" t="str">
        <f>IF(C203="",(""),(INDEX(Codificación!$A$3:$D$364,(MATCH(Movimientos!C203,Codificación!$A$3:$A$280,0)),(2))))</f>
        <v/>
      </c>
      <c r="E203" s="13"/>
      <c r="F203" s="13"/>
      <c r="G203" s="14"/>
    </row>
    <row r="204" spans="1:7" x14ac:dyDescent="0.25">
      <c r="A204" s="15"/>
      <c r="B204" s="13"/>
      <c r="C204" s="13"/>
      <c r="D204" s="13" t="str">
        <f>IF(C204="",(""),(INDEX(Codificación!$A$3:$D$364,(MATCH(Movimientos!C204,Codificación!$A$3:$A$280,0)),(2))))</f>
        <v/>
      </c>
      <c r="E204" s="13"/>
      <c r="F204" s="13"/>
      <c r="G204" s="14"/>
    </row>
    <row r="205" spans="1:7" x14ac:dyDescent="0.25">
      <c r="A205" s="15"/>
      <c r="B205" s="13"/>
      <c r="C205" s="13"/>
      <c r="D205" s="13" t="str">
        <f>IF(C205="",(""),(INDEX(Codificación!$A$3:$D$364,(MATCH(Movimientos!C205,Codificación!$A$3:$A$280,0)),(2))))</f>
        <v/>
      </c>
      <c r="E205" s="13"/>
      <c r="F205" s="13"/>
      <c r="G205" s="14"/>
    </row>
    <row r="206" spans="1:7" x14ac:dyDescent="0.25">
      <c r="A206" s="15"/>
      <c r="B206" s="13"/>
      <c r="C206" s="13"/>
      <c r="D206" s="13" t="str">
        <f>IF(C206="",(""),(INDEX(Codificación!$A$3:$D$364,(MATCH(Movimientos!C206,Codificación!$A$3:$A$280,0)),(2))))</f>
        <v/>
      </c>
      <c r="E206" s="13"/>
      <c r="F206" s="13"/>
      <c r="G206" s="14"/>
    </row>
    <row r="207" spans="1:7" x14ac:dyDescent="0.25">
      <c r="A207" s="15"/>
      <c r="B207" s="13"/>
      <c r="C207" s="13"/>
      <c r="D207" s="13" t="str">
        <f>IF(C207="",(""),(INDEX(Codificación!$A$3:$D$364,(MATCH(Movimientos!C207,Codificación!$A$3:$A$280,0)),(2))))</f>
        <v/>
      </c>
      <c r="E207" s="13"/>
      <c r="F207" s="13"/>
      <c r="G207" s="14"/>
    </row>
    <row r="208" spans="1:7" x14ac:dyDescent="0.25">
      <c r="A208" s="15"/>
      <c r="B208" s="13"/>
      <c r="C208" s="13"/>
      <c r="D208" s="13" t="str">
        <f>IF(C208="",(""),(INDEX(Codificación!$A$3:$D$364,(MATCH(Movimientos!C208,Codificación!$A$3:$A$280,0)),(2))))</f>
        <v/>
      </c>
      <c r="E208" s="13"/>
      <c r="F208" s="13"/>
      <c r="G208" s="14"/>
    </row>
    <row r="209" spans="1:7" x14ac:dyDescent="0.25">
      <c r="A209" s="15"/>
      <c r="B209" s="13"/>
      <c r="C209" s="13"/>
      <c r="D209" s="13" t="str">
        <f>IF(C209="",(""),(INDEX(Codificación!$A$3:$D$364,(MATCH(Movimientos!C209,Codificación!$A$3:$A$280,0)),(2))))</f>
        <v/>
      </c>
      <c r="E209" s="13"/>
      <c r="F209" s="13"/>
      <c r="G209" s="14"/>
    </row>
    <row r="210" spans="1:7" x14ac:dyDescent="0.25">
      <c r="A210" s="15"/>
      <c r="B210" s="13"/>
      <c r="C210" s="13"/>
      <c r="D210" s="13" t="str">
        <f>IF(C210="",(""),(INDEX(Codificación!$A$3:$D$364,(MATCH(Movimientos!C210,Codificación!$A$3:$A$280,0)),(2))))</f>
        <v/>
      </c>
      <c r="E210" s="13"/>
      <c r="F210" s="13"/>
      <c r="G210" s="14"/>
    </row>
    <row r="211" spans="1:7" x14ac:dyDescent="0.25">
      <c r="A211" s="15"/>
      <c r="B211" s="13"/>
      <c r="C211" s="13"/>
      <c r="D211" s="13" t="str">
        <f>IF(C211="",(""),(INDEX(Codificación!$A$3:$D$364,(MATCH(Movimientos!C211,Codificación!$A$3:$A$280,0)),(2))))</f>
        <v/>
      </c>
      <c r="E211" s="13"/>
      <c r="F211" s="13"/>
      <c r="G211" s="14"/>
    </row>
    <row r="212" spans="1:7" x14ac:dyDescent="0.25">
      <c r="A212" s="15"/>
      <c r="B212" s="13"/>
      <c r="C212" s="13"/>
      <c r="D212" s="13" t="str">
        <f>IF(C212="",(""),(INDEX(Codificación!$A$3:$D$364,(MATCH(Movimientos!C212,Codificación!$A$3:$A$280,0)),(2))))</f>
        <v/>
      </c>
      <c r="E212" s="13"/>
      <c r="F212" s="13"/>
      <c r="G212" s="14"/>
    </row>
    <row r="213" spans="1:7" x14ac:dyDescent="0.25">
      <c r="A213" s="15"/>
      <c r="B213" s="13"/>
      <c r="C213" s="13"/>
      <c r="D213" s="13" t="str">
        <f>IF(C213="",(""),(INDEX(Codificación!$A$3:$D$364,(MATCH(Movimientos!C213,Codificación!$A$3:$A$280,0)),(2))))</f>
        <v/>
      </c>
      <c r="E213" s="13"/>
      <c r="F213" s="13"/>
      <c r="G213" s="14"/>
    </row>
    <row r="214" spans="1:7" x14ac:dyDescent="0.25">
      <c r="A214" s="15"/>
      <c r="B214" s="13"/>
      <c r="C214" s="13"/>
      <c r="D214" s="13" t="str">
        <f>IF(C214="",(""),(INDEX(Codificación!$A$3:$D$364,(MATCH(Movimientos!C214,Codificación!$A$3:$A$280,0)),(2))))</f>
        <v/>
      </c>
      <c r="E214" s="13"/>
      <c r="F214" s="13"/>
      <c r="G214" s="14"/>
    </row>
    <row r="215" spans="1:7" x14ac:dyDescent="0.25">
      <c r="A215" s="15"/>
      <c r="B215" s="13"/>
      <c r="C215" s="13"/>
      <c r="D215" s="13" t="str">
        <f>IF(C215="",(""),(INDEX(Codificación!$A$3:$D$364,(MATCH(Movimientos!C215,Codificación!$A$3:$A$280,0)),(2))))</f>
        <v/>
      </c>
      <c r="E215" s="13"/>
      <c r="F215" s="13"/>
      <c r="G215" s="14"/>
    </row>
    <row r="216" spans="1:7" x14ac:dyDescent="0.25">
      <c r="A216" s="15"/>
      <c r="B216" s="13"/>
      <c r="C216" s="13"/>
      <c r="D216" s="13" t="str">
        <f>IF(C216="",(""),(INDEX(Codificación!$A$3:$D$364,(MATCH(Movimientos!C216,Codificación!$A$3:$A$280,0)),(2))))</f>
        <v/>
      </c>
      <c r="E216" s="13"/>
      <c r="F216" s="13"/>
      <c r="G216" s="14"/>
    </row>
    <row r="217" spans="1:7" x14ac:dyDescent="0.25">
      <c r="A217" s="15"/>
      <c r="B217" s="13"/>
      <c r="C217" s="13"/>
      <c r="D217" s="13" t="str">
        <f>IF(C217="",(""),(INDEX(Codificación!$A$3:$D$364,(MATCH(Movimientos!C217,Codificación!$A$3:$A$280,0)),(2))))</f>
        <v/>
      </c>
      <c r="E217" s="13"/>
      <c r="F217" s="13"/>
      <c r="G217" s="14"/>
    </row>
    <row r="218" spans="1:7" x14ac:dyDescent="0.25">
      <c r="A218" s="15"/>
      <c r="B218" s="13"/>
      <c r="C218" s="13"/>
      <c r="D218" s="13" t="str">
        <f>IF(C218="",(""),(INDEX(Codificación!$A$3:$D$364,(MATCH(Movimientos!C218,Codificación!$A$3:$A$280,0)),(2))))</f>
        <v/>
      </c>
      <c r="E218" s="13"/>
      <c r="F218" s="13"/>
      <c r="G218" s="14"/>
    </row>
    <row r="219" spans="1:7" x14ac:dyDescent="0.25">
      <c r="A219" s="15"/>
      <c r="B219" s="13"/>
      <c r="C219" s="13"/>
      <c r="D219" s="13" t="str">
        <f>IF(C219="",(""),(INDEX(Codificación!$A$3:$D$364,(MATCH(Movimientos!C219,Codificación!$A$3:$A$280,0)),(2))))</f>
        <v/>
      </c>
      <c r="E219" s="13"/>
      <c r="F219" s="13"/>
      <c r="G219" s="14"/>
    </row>
    <row r="220" spans="1:7" x14ac:dyDescent="0.25">
      <c r="A220" s="15"/>
      <c r="B220" s="13"/>
      <c r="C220" s="13"/>
      <c r="D220" s="13" t="str">
        <f>IF(C220="",(""),(INDEX(Codificación!$A$3:$D$364,(MATCH(Movimientos!C220,Codificación!$A$3:$A$280,0)),(2))))</f>
        <v/>
      </c>
      <c r="E220" s="13"/>
      <c r="F220" s="13"/>
      <c r="G220" s="14"/>
    </row>
    <row r="221" spans="1:7" x14ac:dyDescent="0.25">
      <c r="A221" s="15"/>
      <c r="B221" s="13"/>
      <c r="C221" s="13"/>
      <c r="D221" s="13" t="str">
        <f>IF(C221="",(""),(INDEX(Codificación!$A$3:$D$364,(MATCH(Movimientos!C221,Codificación!$A$3:$A$280,0)),(2))))</f>
        <v/>
      </c>
      <c r="E221" s="13"/>
      <c r="F221" s="13"/>
      <c r="G221" s="14"/>
    </row>
    <row r="222" spans="1:7" x14ac:dyDescent="0.25">
      <c r="A222" s="15"/>
      <c r="B222" s="13"/>
      <c r="C222" s="13"/>
      <c r="D222" s="13" t="str">
        <f>IF(C222="",(""),(INDEX(Codificación!$A$3:$D$364,(MATCH(Movimientos!C222,Codificación!$A$3:$A$280,0)),(2))))</f>
        <v/>
      </c>
      <c r="E222" s="13"/>
      <c r="F222" s="13"/>
      <c r="G222" s="14"/>
    </row>
    <row r="223" spans="1:7" x14ac:dyDescent="0.25">
      <c r="A223" s="15"/>
      <c r="B223" s="13"/>
      <c r="C223" s="13"/>
      <c r="D223" s="13" t="str">
        <f>IF(C223="",(""),(INDEX(Codificación!$A$3:$D$364,(MATCH(Movimientos!C223,Codificación!$A$3:$A$280,0)),(2))))</f>
        <v/>
      </c>
      <c r="E223" s="13"/>
      <c r="F223" s="13"/>
      <c r="G223" s="14"/>
    </row>
    <row r="224" spans="1:7" x14ac:dyDescent="0.25">
      <c r="A224" s="15"/>
      <c r="B224" s="13"/>
      <c r="C224" s="13"/>
      <c r="D224" s="13" t="str">
        <f>IF(C224="",(""),(INDEX(Codificación!$A$3:$D$364,(MATCH(Movimientos!C224,Codificación!$A$3:$A$280,0)),(2))))</f>
        <v/>
      </c>
      <c r="E224" s="13"/>
      <c r="F224" s="13"/>
      <c r="G224" s="14"/>
    </row>
    <row r="225" spans="1:7" x14ac:dyDescent="0.25">
      <c r="A225" s="15"/>
      <c r="B225" s="13"/>
      <c r="C225" s="13"/>
      <c r="D225" s="13" t="str">
        <f>IF(C225="",(""),(INDEX(Codificación!$A$3:$D$364,(MATCH(Movimientos!C225,Codificación!$A$3:$A$280,0)),(2))))</f>
        <v/>
      </c>
      <c r="E225" s="13"/>
      <c r="F225" s="13"/>
      <c r="G225" s="14"/>
    </row>
    <row r="226" spans="1:7" x14ac:dyDescent="0.25">
      <c r="A226" s="15"/>
      <c r="B226" s="13"/>
      <c r="C226" s="13"/>
      <c r="D226" s="13" t="str">
        <f>IF(C226="",(""),(INDEX(Codificación!$A$3:$D$364,(MATCH(Movimientos!C226,Codificación!$A$3:$A$280,0)),(2))))</f>
        <v/>
      </c>
      <c r="E226" s="13"/>
      <c r="F226" s="13"/>
      <c r="G226" s="14"/>
    </row>
    <row r="227" spans="1:7" x14ac:dyDescent="0.25">
      <c r="A227" s="15"/>
      <c r="B227" s="13"/>
      <c r="C227" s="13"/>
      <c r="D227" s="13" t="str">
        <f>IF(C227="",(""),(INDEX(Codificación!$A$3:$D$364,(MATCH(Movimientos!C227,Codificación!$A$3:$A$280,0)),(2))))</f>
        <v/>
      </c>
      <c r="E227" s="13"/>
      <c r="F227" s="13"/>
      <c r="G227" s="14"/>
    </row>
    <row r="228" spans="1:7" x14ac:dyDescent="0.25">
      <c r="A228" s="15"/>
      <c r="B228" s="13"/>
      <c r="C228" s="13"/>
      <c r="D228" s="13" t="str">
        <f>IF(C228="",(""),(INDEX(Codificación!$A$3:$D$364,(MATCH(Movimientos!C228,Codificación!$A$3:$A$280,0)),(2))))</f>
        <v/>
      </c>
      <c r="E228" s="13"/>
      <c r="F228" s="13"/>
      <c r="G228" s="14"/>
    </row>
    <row r="229" spans="1:7" x14ac:dyDescent="0.25">
      <c r="A229" s="15"/>
      <c r="B229" s="13"/>
      <c r="C229" s="13"/>
      <c r="D229" s="13" t="str">
        <f>IF(C229="",(""),(INDEX(Codificación!$A$3:$D$364,(MATCH(Movimientos!C229,Codificación!$A$3:$A$280,0)),(2))))</f>
        <v/>
      </c>
      <c r="E229" s="13"/>
      <c r="F229" s="13"/>
      <c r="G229" s="14"/>
    </row>
    <row r="230" spans="1:7" x14ac:dyDescent="0.25">
      <c r="A230" s="15"/>
      <c r="B230" s="13"/>
      <c r="C230" s="13"/>
      <c r="D230" s="13" t="str">
        <f>IF(C230="",(""),(INDEX(Codificación!$A$3:$D$364,(MATCH(Movimientos!C230,Codificación!$A$3:$A$280,0)),(2))))</f>
        <v/>
      </c>
      <c r="E230" s="13"/>
      <c r="F230" s="13"/>
      <c r="G230" s="14"/>
    </row>
    <row r="231" spans="1:7" x14ac:dyDescent="0.25">
      <c r="A231" s="15"/>
      <c r="B231" s="13"/>
      <c r="C231" s="13"/>
      <c r="D231" s="13" t="str">
        <f>IF(C231="",(""),(INDEX(Codificación!$A$3:$D$364,(MATCH(Movimientos!C231,Codificación!$A$3:$A$280,0)),(2))))</f>
        <v/>
      </c>
      <c r="E231" s="13"/>
      <c r="F231" s="13"/>
      <c r="G231" s="14"/>
    </row>
    <row r="232" spans="1:7" x14ac:dyDescent="0.25">
      <c r="A232" s="15"/>
      <c r="B232" s="13"/>
      <c r="C232" s="13"/>
      <c r="D232" s="13" t="str">
        <f>IF(C232="",(""),(INDEX(Codificación!$A$3:$D$364,(MATCH(Movimientos!C232,Codificación!$A$3:$A$280,0)),(2))))</f>
        <v/>
      </c>
      <c r="E232" s="13"/>
      <c r="F232" s="13"/>
      <c r="G232" s="14"/>
    </row>
    <row r="233" spans="1:7" x14ac:dyDescent="0.25">
      <c r="A233" s="15"/>
      <c r="B233" s="13"/>
      <c r="C233" s="13"/>
      <c r="D233" s="13" t="str">
        <f>IF(C233="",(""),(INDEX(Codificación!$A$3:$D$364,(MATCH(Movimientos!C233,Codificación!$A$3:$A$280,0)),(2))))</f>
        <v/>
      </c>
      <c r="E233" s="13"/>
      <c r="F233" s="13"/>
      <c r="G233" s="14"/>
    </row>
    <row r="234" spans="1:7" x14ac:dyDescent="0.25">
      <c r="A234" s="15"/>
      <c r="B234" s="13"/>
      <c r="C234" s="13"/>
      <c r="D234" s="13" t="str">
        <f>IF(C234="",(""),(INDEX(Codificación!$A$3:$D$364,(MATCH(Movimientos!C234,Codificación!$A$3:$A$280,0)),(2))))</f>
        <v/>
      </c>
      <c r="E234" s="13"/>
      <c r="F234" s="13"/>
      <c r="G234" s="14"/>
    </row>
    <row r="235" spans="1:7" x14ac:dyDescent="0.25">
      <c r="A235" s="15"/>
      <c r="B235" s="13"/>
      <c r="C235" s="13"/>
      <c r="D235" s="13" t="str">
        <f>IF(C235="",(""),(INDEX(Codificación!$A$3:$D$364,(MATCH(Movimientos!C235,Codificación!$A$3:$A$280,0)),(2))))</f>
        <v/>
      </c>
      <c r="E235" s="13"/>
      <c r="F235" s="13"/>
      <c r="G235" s="14"/>
    </row>
    <row r="236" spans="1:7" x14ac:dyDescent="0.25">
      <c r="A236" s="15"/>
      <c r="B236" s="13"/>
      <c r="C236" s="13"/>
      <c r="D236" s="13" t="str">
        <f>IF(C236="",(""),(INDEX(Codificación!$A$3:$D$364,(MATCH(Movimientos!C236,Codificación!$A$3:$A$280,0)),(2))))</f>
        <v/>
      </c>
      <c r="E236" s="13"/>
      <c r="F236" s="13"/>
      <c r="G236" s="14"/>
    </row>
    <row r="237" spans="1:7" x14ac:dyDescent="0.25">
      <c r="A237" s="15"/>
      <c r="B237" s="13"/>
      <c r="C237" s="13"/>
      <c r="D237" s="13" t="str">
        <f>IF(C237="",(""),(INDEX(Codificación!$A$3:$D$364,(MATCH(Movimientos!C237,Codificación!$A$3:$A$280,0)),(2))))</f>
        <v/>
      </c>
      <c r="E237" s="13"/>
      <c r="F237" s="13"/>
      <c r="G237" s="14"/>
    </row>
    <row r="238" spans="1:7" x14ac:dyDescent="0.25">
      <c r="A238" s="15"/>
      <c r="B238" s="13"/>
      <c r="C238" s="13"/>
      <c r="D238" s="13" t="str">
        <f>IF(C238="",(""),(INDEX(Codificación!$A$3:$D$364,(MATCH(Movimientos!C238,Codificación!$A$3:$A$280,0)),(2))))</f>
        <v/>
      </c>
      <c r="E238" s="13"/>
      <c r="F238" s="13"/>
      <c r="G238" s="14"/>
    </row>
    <row r="239" spans="1:7" x14ac:dyDescent="0.25">
      <c r="A239" s="15"/>
      <c r="B239" s="13"/>
      <c r="C239" s="13"/>
      <c r="D239" s="13" t="str">
        <f>IF(C239="",(""),(INDEX(Codificación!$A$3:$D$364,(MATCH(Movimientos!C239,Codificación!$A$3:$A$280,0)),(2))))</f>
        <v/>
      </c>
      <c r="E239" s="13"/>
      <c r="F239" s="13"/>
      <c r="G239" s="14"/>
    </row>
    <row r="240" spans="1:7" x14ac:dyDescent="0.25">
      <c r="A240" s="15"/>
      <c r="B240" s="13"/>
      <c r="C240" s="13"/>
      <c r="D240" s="13" t="str">
        <f>IF(C240="",(""),(INDEX(Codificación!$A$3:$D$364,(MATCH(Movimientos!C240,Codificación!$A$3:$A$280,0)),(2))))</f>
        <v/>
      </c>
      <c r="E240" s="13"/>
      <c r="F240" s="13"/>
      <c r="G240" s="14"/>
    </row>
    <row r="241" spans="1:7" x14ac:dyDescent="0.25">
      <c r="A241" s="15"/>
      <c r="B241" s="13"/>
      <c r="C241" s="13"/>
      <c r="D241" s="13" t="str">
        <f>IF(C241="",(""),(INDEX(Codificación!$A$3:$D$364,(MATCH(Movimientos!C241,Codificación!$A$3:$A$280,0)),(2))))</f>
        <v/>
      </c>
      <c r="E241" s="13"/>
      <c r="F241" s="13"/>
      <c r="G241" s="14"/>
    </row>
    <row r="242" spans="1:7" x14ac:dyDescent="0.25">
      <c r="A242" s="15"/>
      <c r="B242" s="13"/>
      <c r="C242" s="13"/>
      <c r="D242" s="13" t="str">
        <f>IF(C242="",(""),(INDEX(Codificación!$A$3:$D$364,(MATCH(Movimientos!C242,Codificación!$A$3:$A$280,0)),(2))))</f>
        <v/>
      </c>
      <c r="E242" s="13"/>
      <c r="F242" s="13"/>
      <c r="G242" s="14"/>
    </row>
    <row r="243" spans="1:7" x14ac:dyDescent="0.25">
      <c r="A243" s="15"/>
      <c r="B243" s="13"/>
      <c r="C243" s="13"/>
      <c r="D243" s="13" t="str">
        <f>IF(C243="",(""),(INDEX(Codificación!$A$3:$D$364,(MATCH(Movimientos!C243,Codificación!$A$3:$A$280,0)),(2))))</f>
        <v/>
      </c>
      <c r="E243" s="13"/>
      <c r="F243" s="13"/>
      <c r="G243" s="14"/>
    </row>
    <row r="244" spans="1:7" x14ac:dyDescent="0.25">
      <c r="A244" s="15"/>
      <c r="B244" s="13"/>
      <c r="C244" s="13"/>
      <c r="D244" s="13" t="str">
        <f>IF(C244="",(""),(INDEX(Codificación!$A$3:$D$364,(MATCH(Movimientos!C244,Codificación!$A$3:$A$280,0)),(2))))</f>
        <v/>
      </c>
      <c r="E244" s="13"/>
      <c r="F244" s="13"/>
      <c r="G244" s="14"/>
    </row>
    <row r="245" spans="1:7" x14ac:dyDescent="0.25">
      <c r="A245" s="15"/>
      <c r="B245" s="13"/>
      <c r="C245" s="13"/>
      <c r="D245" s="13" t="str">
        <f>IF(C245="",(""),(INDEX(Codificación!$A$3:$D$364,(MATCH(Movimientos!C245,Codificación!$A$3:$A$280,0)),(2))))</f>
        <v/>
      </c>
      <c r="E245" s="13"/>
      <c r="F245" s="13"/>
      <c r="G245" s="14"/>
    </row>
    <row r="246" spans="1:7" x14ac:dyDescent="0.25">
      <c r="A246" s="15"/>
      <c r="B246" s="13"/>
      <c r="C246" s="13"/>
      <c r="D246" s="13" t="str">
        <f>IF(C246="",(""),(INDEX(Codificación!$A$3:$D$364,(MATCH(Movimientos!C246,Codificación!$A$3:$A$280,0)),(2))))</f>
        <v/>
      </c>
      <c r="E246" s="13"/>
      <c r="F246" s="13"/>
      <c r="G246" s="14"/>
    </row>
    <row r="247" spans="1:7" x14ac:dyDescent="0.25">
      <c r="A247" s="15"/>
      <c r="B247" s="13"/>
      <c r="C247" s="13"/>
      <c r="D247" s="13" t="str">
        <f>IF(C247="",(""),(INDEX(Codificación!$A$3:$D$364,(MATCH(Movimientos!C247,Codificación!$A$3:$A$280,0)),(2))))</f>
        <v/>
      </c>
      <c r="E247" s="13"/>
      <c r="F247" s="13"/>
      <c r="G247" s="14"/>
    </row>
    <row r="248" spans="1:7" x14ac:dyDescent="0.25">
      <c r="A248" s="15"/>
      <c r="B248" s="13"/>
      <c r="C248" s="13"/>
      <c r="D248" s="13" t="str">
        <f>IF(C248="",(""),(INDEX(Codificación!$A$3:$D$364,(MATCH(Movimientos!C248,Codificación!$A$3:$A$280,0)),(2))))</f>
        <v/>
      </c>
      <c r="E248" s="13"/>
      <c r="F248" s="13"/>
      <c r="G248" s="14"/>
    </row>
    <row r="249" spans="1:7" x14ac:dyDescent="0.25">
      <c r="A249" s="15"/>
      <c r="B249" s="13"/>
      <c r="C249" s="13"/>
      <c r="D249" s="13" t="str">
        <f>IF(C249="",(""),(INDEX(Codificación!$A$3:$D$364,(MATCH(Movimientos!C249,Codificación!$A$3:$A$280,0)),(2))))</f>
        <v/>
      </c>
      <c r="E249" s="13"/>
      <c r="F249" s="13"/>
      <c r="G249" s="14"/>
    </row>
    <row r="250" spans="1:7" x14ac:dyDescent="0.25">
      <c r="A250" s="15"/>
      <c r="B250" s="13"/>
      <c r="C250" s="13"/>
      <c r="D250" s="13" t="str">
        <f>IF(C250="",(""),(INDEX(Codificación!$A$3:$D$364,(MATCH(Movimientos!C250,Codificación!$A$3:$A$280,0)),(2))))</f>
        <v/>
      </c>
      <c r="E250" s="13"/>
      <c r="F250" s="13"/>
      <c r="G250" s="14"/>
    </row>
    <row r="251" spans="1:7" x14ac:dyDescent="0.25">
      <c r="A251" s="15"/>
      <c r="B251" s="13"/>
      <c r="C251" s="13"/>
      <c r="D251" s="13" t="str">
        <f>IF(C251="",(""),(INDEX(Codificación!$A$3:$D$364,(MATCH(Movimientos!C251,Codificación!$A$3:$A$280,0)),(2))))</f>
        <v/>
      </c>
      <c r="E251" s="13"/>
      <c r="F251" s="13"/>
      <c r="G251" s="14"/>
    </row>
    <row r="252" spans="1:7" x14ac:dyDescent="0.25">
      <c r="A252" s="15"/>
      <c r="B252" s="13"/>
      <c r="C252" s="13"/>
      <c r="D252" s="13" t="str">
        <f>IF(C252="",(""),(INDEX(Codificación!$A$3:$D$364,(MATCH(Movimientos!C252,Codificación!$A$3:$A$280,0)),(2))))</f>
        <v/>
      </c>
      <c r="E252" s="13"/>
      <c r="F252" s="13"/>
      <c r="G252" s="14"/>
    </row>
    <row r="253" spans="1:7" x14ac:dyDescent="0.25">
      <c r="A253" s="15"/>
      <c r="B253" s="13"/>
      <c r="C253" s="13"/>
      <c r="D253" s="13" t="str">
        <f>IF(C253="",(""),(INDEX(Codificación!$A$3:$D$364,(MATCH(Movimientos!C253,Codificación!$A$3:$A$280,0)),(2))))</f>
        <v/>
      </c>
      <c r="E253" s="13"/>
      <c r="F253" s="13"/>
      <c r="G253" s="14"/>
    </row>
    <row r="254" spans="1:7" x14ac:dyDescent="0.25">
      <c r="A254" s="15"/>
      <c r="B254" s="13"/>
      <c r="C254" s="13"/>
      <c r="D254" s="13" t="str">
        <f>IF(C254="",(""),(INDEX(Codificación!$A$3:$D$364,(MATCH(Movimientos!C254,Codificación!$A$3:$A$280,0)),(2))))</f>
        <v/>
      </c>
      <c r="E254" s="13"/>
      <c r="F254" s="13"/>
      <c r="G254" s="14"/>
    </row>
    <row r="255" spans="1:7" x14ac:dyDescent="0.25">
      <c r="A255" s="15"/>
      <c r="B255" s="13"/>
      <c r="C255" s="13"/>
      <c r="D255" s="13" t="str">
        <f>IF(C255="",(""),(INDEX(Codificación!$A$3:$D$364,(MATCH(Movimientos!C255,Codificación!$A$3:$A$280,0)),(2))))</f>
        <v/>
      </c>
      <c r="E255" s="13"/>
      <c r="F255" s="13"/>
      <c r="G255" s="14"/>
    </row>
    <row r="256" spans="1:7" x14ac:dyDescent="0.25">
      <c r="A256" s="15"/>
      <c r="B256" s="13"/>
      <c r="C256" s="13"/>
      <c r="D256" s="13" t="str">
        <f>IF(C256="",(""),(INDEX(Codificación!$A$3:$D$364,(MATCH(Movimientos!C256,Codificación!$A$3:$A$280,0)),(2))))</f>
        <v/>
      </c>
      <c r="E256" s="13"/>
      <c r="F256" s="13"/>
      <c r="G256" s="14"/>
    </row>
    <row r="257" spans="1:7" x14ac:dyDescent="0.25">
      <c r="A257" s="15"/>
      <c r="B257" s="13"/>
      <c r="C257" s="13"/>
      <c r="D257" s="13" t="str">
        <f>IF(C257="",(""),(INDEX(Codificación!$A$3:$D$364,(MATCH(Movimientos!C257,Codificación!$A$3:$A$280,0)),(2))))</f>
        <v/>
      </c>
      <c r="E257" s="13"/>
      <c r="F257" s="13"/>
      <c r="G257" s="14"/>
    </row>
    <row r="258" spans="1:7" x14ac:dyDescent="0.25">
      <c r="A258" s="15"/>
      <c r="B258" s="13"/>
      <c r="C258" s="13"/>
      <c r="D258" s="13" t="str">
        <f>IF(C258="",(""),(INDEX(Codificación!$A$3:$D$364,(MATCH(Movimientos!C258,Codificación!$A$3:$A$280,0)),(2))))</f>
        <v/>
      </c>
      <c r="E258" s="13"/>
      <c r="F258" s="13"/>
      <c r="G258" s="14"/>
    </row>
    <row r="259" spans="1:7" x14ac:dyDescent="0.25">
      <c r="A259" s="15"/>
      <c r="B259" s="13"/>
      <c r="C259" s="13"/>
      <c r="D259" s="13" t="str">
        <f>IF(C259="",(""),(INDEX(Codificación!$A$3:$D$364,(MATCH(Movimientos!C259,Codificación!$A$3:$A$280,0)),(2))))</f>
        <v/>
      </c>
      <c r="E259" s="13"/>
      <c r="F259" s="13"/>
      <c r="G259" s="14"/>
    </row>
    <row r="260" spans="1:7" x14ac:dyDescent="0.25">
      <c r="A260" s="15"/>
      <c r="B260" s="13"/>
      <c r="C260" s="13"/>
      <c r="D260" s="13" t="str">
        <f>IF(C260="",(""),(INDEX(Codificación!$A$3:$D$364,(MATCH(Movimientos!C260,Codificación!$A$3:$A$280,0)),(2))))</f>
        <v/>
      </c>
      <c r="E260" s="13"/>
      <c r="F260" s="13"/>
      <c r="G260" s="14"/>
    </row>
    <row r="261" spans="1:7" x14ac:dyDescent="0.25">
      <c r="A261" s="15"/>
      <c r="B261" s="13"/>
      <c r="C261" s="13"/>
      <c r="D261" s="13" t="str">
        <f>IF(C261="",(""),(INDEX(Codificación!$A$3:$D$364,(MATCH(Movimientos!C261,Codificación!$A$3:$A$280,0)),(2))))</f>
        <v/>
      </c>
      <c r="E261" s="13"/>
      <c r="F261" s="13"/>
      <c r="G261" s="14"/>
    </row>
    <row r="262" spans="1:7" x14ac:dyDescent="0.25">
      <c r="A262" s="15"/>
      <c r="B262" s="13"/>
      <c r="C262" s="13"/>
      <c r="D262" s="13" t="str">
        <f>IF(C262="",(""),(INDEX(Codificación!$A$3:$D$364,(MATCH(Movimientos!C262,Codificación!$A$3:$A$280,0)),(2))))</f>
        <v/>
      </c>
      <c r="E262" s="13"/>
      <c r="F262" s="13"/>
      <c r="G262" s="14"/>
    </row>
    <row r="263" spans="1:7" x14ac:dyDescent="0.25">
      <c r="A263" s="15"/>
      <c r="B263" s="13"/>
      <c r="C263" s="13"/>
      <c r="D263" s="13" t="str">
        <f>IF(C263="",(""),(INDEX(Codificación!$A$3:$D$364,(MATCH(Movimientos!C263,Codificación!$A$3:$A$280,0)),(2))))</f>
        <v/>
      </c>
      <c r="E263" s="13"/>
      <c r="F263" s="13"/>
      <c r="G263" s="14"/>
    </row>
    <row r="264" spans="1:7" x14ac:dyDescent="0.25">
      <c r="A264" s="15"/>
      <c r="B264" s="13"/>
      <c r="C264" s="13"/>
      <c r="D264" s="13" t="str">
        <f>IF(C264="",(""),(INDEX(Codificación!$A$3:$D$364,(MATCH(Movimientos!C264,Codificación!$A$3:$A$280,0)),(2))))</f>
        <v/>
      </c>
      <c r="E264" s="13"/>
      <c r="F264" s="13"/>
      <c r="G264" s="14"/>
    </row>
    <row r="265" spans="1:7" x14ac:dyDescent="0.25">
      <c r="A265" s="15"/>
      <c r="B265" s="13"/>
      <c r="C265" s="13"/>
      <c r="D265" s="13" t="str">
        <f>IF(C265="",(""),(INDEX(Codificación!$A$3:$D$364,(MATCH(Movimientos!C265,Codificación!$A$3:$A$280,0)),(2))))</f>
        <v/>
      </c>
      <c r="E265" s="13"/>
      <c r="F265" s="13"/>
      <c r="G265" s="14"/>
    </row>
    <row r="266" spans="1:7" x14ac:dyDescent="0.25">
      <c r="A266" s="15"/>
      <c r="B266" s="13"/>
      <c r="C266" s="13"/>
      <c r="D266" s="13" t="str">
        <f>IF(C266="",(""),(INDEX(Codificación!$A$3:$D$364,(MATCH(Movimientos!C266,Codificación!$A$3:$A$280,0)),(2))))</f>
        <v/>
      </c>
      <c r="E266" s="13"/>
      <c r="F266" s="13"/>
      <c r="G266" s="14"/>
    </row>
    <row r="267" spans="1:7" x14ac:dyDescent="0.25">
      <c r="A267" s="15"/>
      <c r="B267" s="13"/>
      <c r="C267" s="13"/>
      <c r="D267" s="13" t="str">
        <f>IF(C267="",(""),(INDEX(Codificación!$A$3:$D$364,(MATCH(Movimientos!C267,Codificación!$A$3:$A$280,0)),(2))))</f>
        <v/>
      </c>
      <c r="E267" s="13"/>
      <c r="F267" s="13"/>
      <c r="G267" s="14"/>
    </row>
    <row r="268" spans="1:7" x14ac:dyDescent="0.25">
      <c r="A268" s="15"/>
      <c r="B268" s="13"/>
      <c r="C268" s="13"/>
      <c r="D268" s="13" t="str">
        <f>IF(C268="",(""),(INDEX(Codificación!$A$3:$D$364,(MATCH(Movimientos!C268,Codificación!$A$3:$A$280,0)),(2))))</f>
        <v/>
      </c>
      <c r="E268" s="13"/>
      <c r="F268" s="13"/>
      <c r="G268" s="14"/>
    </row>
    <row r="269" spans="1:7" x14ac:dyDescent="0.25">
      <c r="A269" s="15"/>
      <c r="B269" s="13"/>
      <c r="C269" s="13"/>
      <c r="D269" s="13" t="str">
        <f>IF(C269="",(""),(INDEX(Codificación!$A$3:$D$364,(MATCH(Movimientos!C269,Codificación!$A$3:$A$280,0)),(2))))</f>
        <v/>
      </c>
      <c r="E269" s="13"/>
      <c r="F269" s="13"/>
      <c r="G269" s="14"/>
    </row>
    <row r="270" spans="1:7" x14ac:dyDescent="0.25">
      <c r="A270" s="15"/>
      <c r="B270" s="13"/>
      <c r="C270" s="13"/>
      <c r="D270" s="13" t="str">
        <f>IF(C270="",(""),(INDEX(Codificación!$A$3:$D$364,(MATCH(Movimientos!C270,Codificación!$A$3:$A$280,0)),(2))))</f>
        <v/>
      </c>
      <c r="E270" s="13"/>
      <c r="F270" s="13"/>
      <c r="G270" s="14"/>
    </row>
    <row r="271" spans="1:7" x14ac:dyDescent="0.25">
      <c r="A271" s="15"/>
      <c r="B271" s="13"/>
      <c r="C271" s="13"/>
      <c r="D271" s="13" t="str">
        <f>IF(C271="",(""),(INDEX(Codificación!$A$3:$D$364,(MATCH(Movimientos!C271,Codificación!$A$3:$A$280,0)),(2))))</f>
        <v/>
      </c>
      <c r="E271" s="13"/>
      <c r="F271" s="13"/>
      <c r="G271" s="14"/>
    </row>
    <row r="272" spans="1:7" x14ac:dyDescent="0.25">
      <c r="A272" s="15"/>
      <c r="B272" s="13"/>
      <c r="C272" s="13"/>
      <c r="D272" s="13" t="str">
        <f>IF(C272="",(""),(INDEX(Codificación!$A$3:$D$364,(MATCH(Movimientos!C272,Codificación!$A$3:$A$280,0)),(2))))</f>
        <v/>
      </c>
      <c r="E272" s="13"/>
      <c r="F272" s="13"/>
      <c r="G272" s="14"/>
    </row>
    <row r="273" spans="1:7" x14ac:dyDescent="0.25">
      <c r="A273" s="15"/>
      <c r="B273" s="13"/>
      <c r="C273" s="13"/>
      <c r="D273" s="13" t="str">
        <f>IF(C273="",(""),(INDEX(Codificación!$A$3:$D$364,(MATCH(Movimientos!C273,Codificación!$A$3:$A$280,0)),(2))))</f>
        <v/>
      </c>
      <c r="E273" s="13"/>
      <c r="F273" s="13"/>
      <c r="G273" s="14"/>
    </row>
    <row r="274" spans="1:7" x14ac:dyDescent="0.25">
      <c r="A274" s="15"/>
      <c r="B274" s="13"/>
      <c r="C274" s="13"/>
      <c r="D274" s="13" t="str">
        <f>IF(C274="",(""),(INDEX(Codificación!$A$3:$D$364,(MATCH(Movimientos!C274,Codificación!$A$3:$A$280,0)),(2))))</f>
        <v/>
      </c>
      <c r="E274" s="13"/>
      <c r="F274" s="13"/>
      <c r="G274" s="14"/>
    </row>
    <row r="275" spans="1:7" x14ac:dyDescent="0.25">
      <c r="A275" s="15"/>
      <c r="B275" s="13"/>
      <c r="C275" s="13"/>
      <c r="D275" s="13" t="str">
        <f>IF(C275="",(""),(INDEX(Codificación!$A$3:$D$364,(MATCH(Movimientos!C275,Codificación!$A$3:$A$280,0)),(2))))</f>
        <v/>
      </c>
      <c r="E275" s="13"/>
      <c r="F275" s="13"/>
      <c r="G275" s="14"/>
    </row>
    <row r="276" spans="1:7" x14ac:dyDescent="0.25">
      <c r="A276" s="15"/>
      <c r="B276" s="13"/>
      <c r="C276" s="13"/>
      <c r="D276" s="13" t="str">
        <f>IF(C276="",(""),(INDEX(Codificación!$A$3:$D$364,(MATCH(Movimientos!C276,Codificación!$A$3:$A$280,0)),(2))))</f>
        <v/>
      </c>
      <c r="E276" s="13"/>
      <c r="F276" s="13"/>
      <c r="G276" s="14"/>
    </row>
    <row r="277" spans="1:7" x14ac:dyDescent="0.25">
      <c r="A277" s="15"/>
      <c r="B277" s="13"/>
      <c r="C277" s="13"/>
      <c r="D277" s="13" t="str">
        <f>IF(C277="",(""),(INDEX(Codificación!$A$3:$D$364,(MATCH(Movimientos!C277,Codificación!$A$3:$A$280,0)),(2))))</f>
        <v/>
      </c>
      <c r="E277" s="13"/>
      <c r="F277" s="13"/>
      <c r="G277" s="14"/>
    </row>
    <row r="278" spans="1:7" x14ac:dyDescent="0.25">
      <c r="A278" s="15"/>
      <c r="B278" s="13"/>
      <c r="C278" s="13"/>
      <c r="D278" s="13" t="str">
        <f>IF(C278="",(""),(INDEX(Codificación!$A$3:$D$364,(MATCH(Movimientos!C278,Codificación!$A$3:$A$280,0)),(2))))</f>
        <v/>
      </c>
      <c r="E278" s="13"/>
      <c r="F278" s="13"/>
      <c r="G278" s="14"/>
    </row>
    <row r="279" spans="1:7" x14ac:dyDescent="0.25">
      <c r="A279" s="15"/>
      <c r="B279" s="13"/>
      <c r="C279" s="13"/>
      <c r="D279" s="13" t="str">
        <f>IF(C279="",(""),(INDEX(Codificación!$A$3:$D$364,(MATCH(Movimientos!C279,Codificación!$A$3:$A$280,0)),(2))))</f>
        <v/>
      </c>
      <c r="E279" s="13"/>
      <c r="F279" s="13"/>
      <c r="G279" s="14"/>
    </row>
    <row r="280" spans="1:7" x14ac:dyDescent="0.25">
      <c r="A280" s="15"/>
      <c r="B280" s="13"/>
      <c r="C280" s="13"/>
      <c r="D280" s="13" t="str">
        <f>IF(C280="",(""),(INDEX(Codificación!$A$3:$D$364,(MATCH(Movimientos!C280,Codificación!$A$3:$A$280,0)),(2))))</f>
        <v/>
      </c>
      <c r="E280" s="13"/>
      <c r="F280" s="13"/>
      <c r="G280" s="14"/>
    </row>
    <row r="281" spans="1:7" x14ac:dyDescent="0.25">
      <c r="A281" s="15"/>
      <c r="B281" s="13"/>
      <c r="C281" s="13"/>
      <c r="D281" s="13" t="str">
        <f>IF(C281="",(""),(INDEX(Codificación!$A$3:$D$364,(MATCH(Movimientos!C281,Codificación!$A$3:$A$280,0)),(2))))</f>
        <v/>
      </c>
      <c r="E281" s="13"/>
      <c r="F281" s="13"/>
      <c r="G281" s="14"/>
    </row>
    <row r="282" spans="1:7" x14ac:dyDescent="0.25">
      <c r="A282" s="15"/>
      <c r="B282" s="13"/>
      <c r="C282" s="13"/>
      <c r="D282" s="13" t="str">
        <f>IF(C282="",(""),(INDEX(Codificación!$A$3:$D$364,(MATCH(Movimientos!C282,Codificación!$A$3:$A$280,0)),(2))))</f>
        <v/>
      </c>
      <c r="E282" s="13"/>
      <c r="F282" s="13"/>
      <c r="G282" s="14"/>
    </row>
    <row r="283" spans="1:7" x14ac:dyDescent="0.25">
      <c r="A283" s="15"/>
      <c r="B283" s="13"/>
      <c r="C283" s="13"/>
      <c r="D283" s="13" t="str">
        <f>IF(C283="",(""),(INDEX(Codificación!$A$3:$D$364,(MATCH(Movimientos!C283,Codificación!$A$3:$A$280,0)),(2))))</f>
        <v/>
      </c>
      <c r="E283" s="13"/>
      <c r="F283" s="13"/>
      <c r="G283" s="14"/>
    </row>
    <row r="284" spans="1:7" x14ac:dyDescent="0.25">
      <c r="A284" s="15"/>
      <c r="B284" s="13"/>
      <c r="C284" s="13"/>
      <c r="D284" s="13" t="str">
        <f>IF(C284="",(""),(INDEX(Codificación!$A$3:$D$364,(MATCH(Movimientos!C284,Codificación!$A$3:$A$280,0)),(2))))</f>
        <v/>
      </c>
      <c r="E284" s="13"/>
      <c r="F284" s="13"/>
      <c r="G284" s="14"/>
    </row>
    <row r="285" spans="1:7" x14ac:dyDescent="0.25">
      <c r="A285" s="15"/>
      <c r="B285" s="13"/>
      <c r="C285" s="13"/>
      <c r="D285" s="13" t="str">
        <f>IF(C285="",(""),(INDEX(Codificación!$A$3:$D$364,(MATCH(Movimientos!C285,Codificación!$A$3:$A$280,0)),(2))))</f>
        <v/>
      </c>
      <c r="E285" s="13"/>
      <c r="F285" s="13"/>
      <c r="G285" s="14"/>
    </row>
    <row r="286" spans="1:7" x14ac:dyDescent="0.25">
      <c r="A286" s="15"/>
      <c r="B286" s="13"/>
      <c r="C286" s="13"/>
      <c r="D286" s="13" t="str">
        <f>IF(C286="",(""),(INDEX(Codificación!$A$3:$D$364,(MATCH(Movimientos!C286,Codificación!$A$3:$A$280,0)),(2))))</f>
        <v/>
      </c>
      <c r="E286" s="13"/>
      <c r="F286" s="13"/>
      <c r="G286" s="14"/>
    </row>
    <row r="287" spans="1:7" x14ac:dyDescent="0.25">
      <c r="A287" s="15"/>
      <c r="B287" s="13"/>
      <c r="C287" s="13"/>
      <c r="D287" s="13" t="str">
        <f>IF(C287="",(""),(INDEX(Codificación!$A$3:$D$364,(MATCH(Movimientos!C287,Codificación!$A$3:$A$280,0)),(2))))</f>
        <v/>
      </c>
      <c r="E287" s="13"/>
      <c r="F287" s="13"/>
      <c r="G287" s="14"/>
    </row>
    <row r="288" spans="1:7" x14ac:dyDescent="0.25">
      <c r="A288" s="15"/>
      <c r="B288" s="13"/>
      <c r="C288" s="13"/>
      <c r="D288" s="13" t="str">
        <f>IF(C288="",(""),(INDEX(Codificación!$A$3:$D$364,(MATCH(Movimientos!C288,Codificación!$A$3:$A$280,0)),(2))))</f>
        <v/>
      </c>
      <c r="E288" s="13"/>
      <c r="F288" s="13"/>
      <c r="G288" s="14"/>
    </row>
    <row r="289" spans="1:7" x14ac:dyDescent="0.25">
      <c r="A289" s="15"/>
      <c r="B289" s="13"/>
      <c r="C289" s="13"/>
      <c r="D289" s="13" t="str">
        <f>IF(C289="",(""),(INDEX(Codificación!$A$3:$D$364,(MATCH(Movimientos!C289,Codificación!$A$3:$A$280,0)),(2))))</f>
        <v/>
      </c>
      <c r="E289" s="13"/>
      <c r="F289" s="13"/>
      <c r="G289" s="14"/>
    </row>
    <row r="290" spans="1:7" x14ac:dyDescent="0.25">
      <c r="A290" s="15"/>
      <c r="B290" s="13"/>
      <c r="C290" s="13"/>
      <c r="D290" s="13" t="str">
        <f>IF(C290="",(""),(INDEX(Codificación!$A$3:$D$364,(MATCH(Movimientos!C290,Codificación!$A$3:$A$280,0)),(2))))</f>
        <v/>
      </c>
      <c r="E290" s="13"/>
      <c r="F290" s="13"/>
      <c r="G290" s="14"/>
    </row>
    <row r="291" spans="1:7" x14ac:dyDescent="0.25">
      <c r="A291" s="15"/>
      <c r="B291" s="13"/>
      <c r="C291" s="13"/>
      <c r="D291" s="13" t="str">
        <f>IF(C291="",(""),(INDEX(Codificación!$A$3:$D$364,(MATCH(Movimientos!C291,Codificación!$A$3:$A$280,0)),(2))))</f>
        <v/>
      </c>
      <c r="E291" s="13"/>
      <c r="F291" s="13"/>
      <c r="G291" s="14"/>
    </row>
    <row r="292" spans="1:7" x14ac:dyDescent="0.25">
      <c r="A292" s="15"/>
      <c r="B292" s="13"/>
      <c r="C292" s="13"/>
      <c r="D292" s="13" t="str">
        <f>IF(C292="",(""),(INDEX(Codificación!$A$3:$D$364,(MATCH(Movimientos!C292,Codificación!$A$3:$A$280,0)),(2))))</f>
        <v/>
      </c>
      <c r="E292" s="13"/>
      <c r="F292" s="13"/>
      <c r="G292" s="14"/>
    </row>
    <row r="293" spans="1:7" x14ac:dyDescent="0.25">
      <c r="A293" s="15"/>
      <c r="B293" s="13"/>
      <c r="C293" s="13"/>
      <c r="D293" s="13" t="str">
        <f>IF(C293="",(""),(INDEX(Codificación!$A$3:$D$364,(MATCH(Movimientos!C293,Codificación!$A$3:$A$280,0)),(2))))</f>
        <v/>
      </c>
      <c r="E293" s="13"/>
      <c r="F293" s="13"/>
      <c r="G293" s="14"/>
    </row>
    <row r="294" spans="1:7" x14ac:dyDescent="0.25">
      <c r="A294" s="15"/>
      <c r="B294" s="13"/>
      <c r="C294" s="13"/>
      <c r="D294" s="13" t="str">
        <f>IF(C294="",(""),(INDEX(Codificación!$A$3:$D$364,(MATCH(Movimientos!C294,Codificación!$A$3:$A$280,0)),(2))))</f>
        <v/>
      </c>
      <c r="E294" s="13"/>
      <c r="F294" s="13"/>
      <c r="G294" s="14"/>
    </row>
    <row r="295" spans="1:7" x14ac:dyDescent="0.25">
      <c r="A295" s="15"/>
      <c r="B295" s="13"/>
      <c r="C295" s="13"/>
      <c r="D295" s="13" t="str">
        <f>IF(C295="",(""),(INDEX(Codificación!$A$3:$D$364,(MATCH(Movimientos!C295,Codificación!$A$3:$A$280,0)),(2))))</f>
        <v/>
      </c>
      <c r="E295" s="13"/>
      <c r="F295" s="13"/>
      <c r="G295" s="14"/>
    </row>
    <row r="296" spans="1:7" x14ac:dyDescent="0.25">
      <c r="A296" s="15"/>
      <c r="B296" s="13"/>
      <c r="C296" s="13"/>
      <c r="D296" s="13" t="str">
        <f>IF(C296="",(""),(INDEX(Codificación!$A$3:$D$364,(MATCH(Movimientos!C296,Codificación!$A$3:$A$280,0)),(2))))</f>
        <v/>
      </c>
      <c r="E296" s="13"/>
      <c r="F296" s="13"/>
      <c r="G296" s="14"/>
    </row>
    <row r="297" spans="1:7" x14ac:dyDescent="0.25">
      <c r="A297" s="15"/>
      <c r="B297" s="13"/>
      <c r="C297" s="13"/>
      <c r="D297" s="13" t="str">
        <f>IF(C297="",(""),(INDEX(Codificación!$A$3:$D$364,(MATCH(Movimientos!C297,Codificación!$A$3:$A$280,0)),(2))))</f>
        <v/>
      </c>
      <c r="E297" s="13"/>
      <c r="F297" s="13"/>
      <c r="G297" s="14"/>
    </row>
    <row r="298" spans="1:7" x14ac:dyDescent="0.25">
      <c r="A298" s="15"/>
      <c r="B298" s="13"/>
      <c r="C298" s="13"/>
      <c r="D298" s="13" t="str">
        <f>IF(C298="",(""),(INDEX(Codificación!$A$3:$D$364,(MATCH(Movimientos!C298,Codificación!$A$3:$A$280,0)),(2))))</f>
        <v/>
      </c>
      <c r="E298" s="13"/>
      <c r="F298" s="13"/>
      <c r="G298" s="14"/>
    </row>
    <row r="299" spans="1:7" x14ac:dyDescent="0.25">
      <c r="A299" s="15"/>
      <c r="B299" s="13"/>
      <c r="C299" s="13"/>
      <c r="D299" s="13" t="str">
        <f>IF(C299="",(""),(INDEX(Codificación!$A$3:$D$364,(MATCH(Movimientos!C299,Codificación!$A$3:$A$280,0)),(2))))</f>
        <v/>
      </c>
      <c r="E299" s="13"/>
      <c r="F299" s="13"/>
      <c r="G299" s="14"/>
    </row>
    <row r="300" spans="1:7" x14ac:dyDescent="0.25">
      <c r="A300" s="15"/>
      <c r="B300" s="13"/>
      <c r="C300" s="13"/>
      <c r="D300" s="13"/>
      <c r="E300" s="13"/>
      <c r="F300" s="13"/>
      <c r="G300" s="14"/>
    </row>
    <row r="301" spans="1:7" x14ac:dyDescent="0.25">
      <c r="A301" s="15"/>
      <c r="B301" s="13"/>
      <c r="C301" s="13"/>
      <c r="D301" s="13"/>
      <c r="E301" s="13"/>
      <c r="F301" s="13"/>
      <c r="G301" s="14"/>
    </row>
    <row r="302" spans="1:7" x14ac:dyDescent="0.25">
      <c r="A302" s="15"/>
      <c r="B302" s="13"/>
      <c r="C302" s="13"/>
      <c r="D302" s="13"/>
      <c r="E302" s="13"/>
      <c r="F302" s="13"/>
      <c r="G302" s="14"/>
    </row>
    <row r="303" spans="1:7" x14ac:dyDescent="0.25">
      <c r="A303" s="15"/>
      <c r="B303" s="13"/>
      <c r="C303" s="13"/>
      <c r="D303" s="13"/>
      <c r="E303" s="13"/>
      <c r="F303" s="13"/>
      <c r="G303" s="14"/>
    </row>
    <row r="304" spans="1:7" x14ac:dyDescent="0.25">
      <c r="A304" s="15"/>
      <c r="B304" s="13"/>
      <c r="C304" s="13"/>
      <c r="D304" s="13"/>
      <c r="E304" s="13"/>
      <c r="F304" s="13"/>
      <c r="G304" s="14"/>
    </row>
    <row r="305" spans="1:7" x14ac:dyDescent="0.25">
      <c r="A305" s="15"/>
      <c r="B305" s="13"/>
      <c r="C305" s="13"/>
      <c r="D305" s="13"/>
      <c r="E305" s="13"/>
      <c r="F305" s="13"/>
      <c r="G305" s="14"/>
    </row>
    <row r="306" spans="1:7" x14ac:dyDescent="0.25">
      <c r="A306" s="15"/>
      <c r="B306" s="13"/>
      <c r="C306" s="13"/>
      <c r="D306" s="13"/>
      <c r="E306" s="13"/>
      <c r="F306" s="13"/>
      <c r="G306" s="14"/>
    </row>
    <row r="307" spans="1:7" x14ac:dyDescent="0.25">
      <c r="A307" s="15"/>
      <c r="B307" s="13"/>
      <c r="C307" s="13"/>
      <c r="D307" s="13"/>
      <c r="E307" s="13"/>
      <c r="F307" s="13"/>
      <c r="G307" s="14"/>
    </row>
    <row r="308" spans="1:7" x14ac:dyDescent="0.25">
      <c r="A308" s="15"/>
      <c r="B308" s="13"/>
      <c r="C308" s="13"/>
      <c r="D308" s="13"/>
      <c r="E308" s="13"/>
      <c r="F308" s="13"/>
      <c r="G308" s="14"/>
    </row>
    <row r="309" spans="1:7" x14ac:dyDescent="0.25">
      <c r="A309" s="15"/>
      <c r="B309" s="13"/>
      <c r="C309" s="13"/>
      <c r="D309" s="13"/>
      <c r="E309" s="13"/>
      <c r="F309" s="13"/>
      <c r="G309" s="14"/>
    </row>
    <row r="310" spans="1:7" x14ac:dyDescent="0.25">
      <c r="A310" s="15"/>
      <c r="B310" s="13"/>
      <c r="C310" s="13"/>
      <c r="D310" s="13"/>
      <c r="E310" s="13"/>
      <c r="F310" s="13"/>
      <c r="G310" s="14"/>
    </row>
    <row r="311" spans="1:7" x14ac:dyDescent="0.25">
      <c r="A311" s="15"/>
      <c r="B311" s="13"/>
      <c r="C311" s="13"/>
      <c r="D311" s="13"/>
      <c r="E311" s="13"/>
      <c r="F311" s="13"/>
      <c r="G311" s="14"/>
    </row>
    <row r="312" spans="1:7" x14ac:dyDescent="0.25">
      <c r="A312" s="15"/>
      <c r="B312" s="13"/>
      <c r="C312" s="13"/>
      <c r="D312" s="13"/>
      <c r="E312" s="13"/>
      <c r="F312" s="13"/>
      <c r="G312" s="14"/>
    </row>
    <row r="313" spans="1:7" x14ac:dyDescent="0.25">
      <c r="A313" s="15"/>
      <c r="B313" s="13"/>
      <c r="C313" s="13"/>
      <c r="D313" s="13"/>
      <c r="E313" s="13"/>
      <c r="F313" s="13"/>
      <c r="G313" s="14"/>
    </row>
    <row r="314" spans="1:7" x14ac:dyDescent="0.25">
      <c r="A314" s="15"/>
      <c r="B314" s="13"/>
      <c r="C314" s="13"/>
      <c r="D314" s="13"/>
      <c r="E314" s="13"/>
      <c r="F314" s="13"/>
      <c r="G314" s="14"/>
    </row>
    <row r="315" spans="1:7" x14ac:dyDescent="0.25">
      <c r="A315" s="15"/>
      <c r="B315" s="13"/>
      <c r="C315" s="13"/>
      <c r="D315" s="13"/>
      <c r="E315" s="13"/>
      <c r="F315" s="13"/>
      <c r="G315" s="14"/>
    </row>
    <row r="316" spans="1:7" x14ac:dyDescent="0.25">
      <c r="A316" s="15"/>
      <c r="B316" s="13"/>
      <c r="C316" s="13"/>
      <c r="D316" s="13"/>
      <c r="E316" s="13"/>
      <c r="F316" s="13"/>
      <c r="G316" s="14"/>
    </row>
    <row r="317" spans="1:7" x14ac:dyDescent="0.25">
      <c r="A317" s="15"/>
      <c r="B317" s="13"/>
      <c r="C317" s="13"/>
      <c r="D317" s="13"/>
      <c r="E317" s="13"/>
      <c r="F317" s="13"/>
      <c r="G317" s="14"/>
    </row>
    <row r="318" spans="1:7" x14ac:dyDescent="0.25">
      <c r="A318" s="15"/>
      <c r="B318" s="13"/>
      <c r="C318" s="13"/>
      <c r="D318" s="13"/>
      <c r="E318" s="13"/>
      <c r="F318" s="13"/>
      <c r="G318" s="14"/>
    </row>
    <row r="319" spans="1:7" x14ac:dyDescent="0.25">
      <c r="A319" s="15"/>
      <c r="B319" s="13"/>
      <c r="C319" s="13"/>
      <c r="D319" s="13"/>
      <c r="E319" s="13"/>
      <c r="F319" s="13"/>
      <c r="G319" s="14"/>
    </row>
    <row r="320" spans="1:7" x14ac:dyDescent="0.25">
      <c r="A320" s="15"/>
      <c r="B320" s="13"/>
      <c r="C320" s="13"/>
      <c r="D320" s="13"/>
      <c r="E320" s="13"/>
      <c r="F320" s="13"/>
      <c r="G320" s="14"/>
    </row>
    <row r="321" spans="1:7" x14ac:dyDescent="0.25">
      <c r="A321" s="15"/>
      <c r="B321" s="13"/>
      <c r="C321" s="13"/>
      <c r="D321" s="13"/>
      <c r="E321" s="13"/>
      <c r="F321" s="13"/>
      <c r="G321" s="14"/>
    </row>
    <row r="322" spans="1:7" x14ac:dyDescent="0.25">
      <c r="A322" s="15"/>
      <c r="B322" s="13"/>
      <c r="C322" s="13"/>
      <c r="D322" s="13"/>
      <c r="E322" s="13"/>
      <c r="F322" s="13"/>
      <c r="G322" s="14"/>
    </row>
    <row r="323" spans="1:7" x14ac:dyDescent="0.25">
      <c r="A323" s="15"/>
      <c r="B323" s="13"/>
      <c r="C323" s="13"/>
      <c r="D323" s="13"/>
      <c r="E323" s="13"/>
      <c r="F323" s="13"/>
      <c r="G323" s="14"/>
    </row>
    <row r="324" spans="1:7" x14ac:dyDescent="0.25">
      <c r="A324" s="15"/>
      <c r="B324" s="13"/>
      <c r="C324" s="13"/>
      <c r="D324" s="13"/>
      <c r="E324" s="13"/>
      <c r="F324" s="13"/>
      <c r="G324" s="14"/>
    </row>
    <row r="325" spans="1:7" x14ac:dyDescent="0.25">
      <c r="A325" s="15"/>
      <c r="B325" s="13"/>
      <c r="C325" s="13"/>
      <c r="D325" s="13"/>
      <c r="E325" s="13"/>
      <c r="F325" s="13"/>
      <c r="G325" s="14"/>
    </row>
    <row r="326" spans="1:7" x14ac:dyDescent="0.25">
      <c r="A326" s="15"/>
      <c r="B326" s="13"/>
      <c r="C326" s="13"/>
      <c r="D326" s="13"/>
      <c r="E326" s="13"/>
      <c r="F326" s="13"/>
      <c r="G326" s="14"/>
    </row>
    <row r="327" spans="1:7" x14ac:dyDescent="0.25">
      <c r="A327" s="15"/>
      <c r="B327" s="13"/>
      <c r="C327" s="13"/>
      <c r="D327" s="13"/>
      <c r="E327" s="13"/>
      <c r="F327" s="13"/>
      <c r="G327" s="14"/>
    </row>
    <row r="328" spans="1:7" x14ac:dyDescent="0.25">
      <c r="A328" s="15"/>
      <c r="B328" s="13"/>
      <c r="C328" s="13"/>
      <c r="D328" s="13"/>
      <c r="E328" s="13"/>
      <c r="F328" s="13"/>
      <c r="G328" s="14"/>
    </row>
    <row r="329" spans="1:7" x14ac:dyDescent="0.25">
      <c r="A329" s="15"/>
      <c r="B329" s="13"/>
      <c r="C329" s="13"/>
      <c r="D329" s="13"/>
      <c r="E329" s="13"/>
      <c r="F329" s="13"/>
      <c r="G329" s="14"/>
    </row>
    <row r="330" spans="1:7" x14ac:dyDescent="0.25">
      <c r="A330" s="15"/>
      <c r="B330" s="13"/>
      <c r="C330" s="13"/>
      <c r="D330" s="13"/>
      <c r="E330" s="13"/>
      <c r="F330" s="13"/>
      <c r="G330" s="14"/>
    </row>
    <row r="331" spans="1:7" x14ac:dyDescent="0.25">
      <c r="A331" s="15"/>
      <c r="B331" s="13"/>
      <c r="C331" s="13"/>
      <c r="D331" s="13"/>
      <c r="E331" s="13"/>
      <c r="F331" s="13"/>
      <c r="G331" s="14"/>
    </row>
    <row r="332" spans="1:7" x14ac:dyDescent="0.25">
      <c r="A332" s="15"/>
      <c r="B332" s="13"/>
      <c r="C332" s="13"/>
      <c r="D332" s="13"/>
      <c r="E332" s="13"/>
      <c r="F332" s="13"/>
      <c r="G332" s="14"/>
    </row>
    <row r="333" spans="1:7" x14ac:dyDescent="0.25">
      <c r="A333" s="15"/>
      <c r="B333" s="13"/>
      <c r="C333" s="13"/>
      <c r="D333" s="13"/>
      <c r="E333" s="13"/>
      <c r="F333" s="13"/>
      <c r="G333" s="14"/>
    </row>
    <row r="334" spans="1:7" x14ac:dyDescent="0.25">
      <c r="A334" s="15"/>
      <c r="B334" s="13"/>
      <c r="C334" s="13"/>
      <c r="D334" s="13"/>
      <c r="E334" s="13"/>
      <c r="F334" s="13"/>
      <c r="G334" s="14"/>
    </row>
    <row r="335" spans="1:7" x14ac:dyDescent="0.25">
      <c r="A335" s="15"/>
      <c r="B335" s="13"/>
      <c r="C335" s="13"/>
      <c r="D335" s="13"/>
      <c r="E335" s="13"/>
      <c r="F335" s="13"/>
      <c r="G335" s="14"/>
    </row>
    <row r="336" spans="1:7" x14ac:dyDescent="0.25">
      <c r="A336" s="15"/>
      <c r="B336" s="13"/>
      <c r="C336" s="13"/>
      <c r="D336" s="13"/>
      <c r="E336" s="13"/>
      <c r="F336" s="13"/>
      <c r="G336" s="14"/>
    </row>
    <row r="337" spans="1:7" x14ac:dyDescent="0.25">
      <c r="A337" s="15"/>
      <c r="B337" s="13"/>
      <c r="C337" s="13"/>
      <c r="D337" s="13"/>
      <c r="E337" s="13"/>
      <c r="F337" s="13"/>
      <c r="G337" s="14"/>
    </row>
    <row r="338" spans="1:7" x14ac:dyDescent="0.25">
      <c r="A338" s="15"/>
      <c r="B338" s="13"/>
      <c r="C338" s="13"/>
      <c r="D338" s="13"/>
      <c r="E338" s="13"/>
      <c r="F338" s="13"/>
      <c r="G338" s="14"/>
    </row>
    <row r="339" spans="1:7" x14ac:dyDescent="0.25">
      <c r="A339" s="15"/>
      <c r="B339" s="13"/>
      <c r="C339" s="13"/>
      <c r="D339" s="13"/>
      <c r="E339" s="13"/>
      <c r="F339" s="13"/>
      <c r="G339" s="14"/>
    </row>
    <row r="340" spans="1:7" x14ac:dyDescent="0.25">
      <c r="A340" s="15"/>
      <c r="B340" s="13"/>
      <c r="C340" s="13"/>
      <c r="D340" s="13"/>
      <c r="E340" s="13"/>
      <c r="F340" s="13"/>
      <c r="G340" s="14"/>
    </row>
    <row r="341" spans="1:7" x14ac:dyDescent="0.25">
      <c r="A341" s="15"/>
      <c r="B341" s="13"/>
      <c r="C341" s="13"/>
      <c r="D341" s="13"/>
      <c r="E341" s="13"/>
      <c r="F341" s="13"/>
      <c r="G341" s="14"/>
    </row>
    <row r="342" spans="1:7" x14ac:dyDescent="0.25">
      <c r="A342" s="15"/>
      <c r="B342" s="13"/>
      <c r="C342" s="13"/>
      <c r="D342" s="13"/>
      <c r="E342" s="13"/>
      <c r="F342" s="13"/>
      <c r="G342" s="14"/>
    </row>
    <row r="343" spans="1:7" x14ac:dyDescent="0.25">
      <c r="A343" s="15"/>
      <c r="B343" s="13"/>
      <c r="C343" s="13"/>
      <c r="D343" s="13"/>
      <c r="E343" s="13"/>
      <c r="F343" s="13"/>
      <c r="G343" s="14"/>
    </row>
    <row r="344" spans="1:7" x14ac:dyDescent="0.25">
      <c r="A344" s="15"/>
      <c r="B344" s="13"/>
      <c r="C344" s="13"/>
      <c r="D344" s="13"/>
      <c r="E344" s="13"/>
      <c r="F344" s="13"/>
      <c r="G344" s="14"/>
    </row>
    <row r="345" spans="1:7" x14ac:dyDescent="0.25">
      <c r="A345" s="15"/>
      <c r="B345" s="13"/>
      <c r="C345" s="13"/>
      <c r="D345" s="13"/>
      <c r="E345" s="13"/>
      <c r="F345" s="13"/>
      <c r="G345" s="14"/>
    </row>
    <row r="346" spans="1:7" x14ac:dyDescent="0.25">
      <c r="A346" s="16"/>
      <c r="B346" s="17"/>
      <c r="C346" s="17"/>
      <c r="D346" s="17"/>
      <c r="E346" s="17"/>
      <c r="F346" s="17"/>
      <c r="G346" s="18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'Base de Datos'!$A$3:$A$6</xm:f>
          </x14:formula1>
          <xm:sqref>B6:B207</xm:sqref>
        </x14:dataValidation>
        <x14:dataValidation type="list" showInputMessage="1" showErrorMessage="1">
          <x14:formula1>
            <xm:f>'Base de Datos'!$C$3:$C$17</xm:f>
          </x14:formula1>
          <xm:sqref>F6:G299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L394"/>
  <sheetViews>
    <sheetView tabSelected="1" workbookViewId="0">
      <selection activeCell="L4" sqref="L4"/>
    </sheetView>
  </sheetViews>
  <sheetFormatPr baseColWidth="10" defaultRowHeight="15" x14ac:dyDescent="0.25"/>
  <cols>
    <col min="3" max="3" width="9.140625" customWidth="1"/>
    <col min="4" max="4" width="4.5703125" customWidth="1"/>
  </cols>
  <sheetData>
    <row r="1" spans="1:12" x14ac:dyDescent="0.25">
      <c r="A1" t="s">
        <v>8</v>
      </c>
    </row>
    <row r="2" spans="1:12" x14ac:dyDescent="0.25">
      <c r="A2" s="3">
        <v>45334</v>
      </c>
    </row>
    <row r="3" spans="1:12" x14ac:dyDescent="0.25">
      <c r="A3" s="2" t="s">
        <v>12</v>
      </c>
      <c r="B3" s="2" t="s">
        <v>2</v>
      </c>
      <c r="C3" s="2" t="s">
        <v>4</v>
      </c>
      <c r="D3" s="2"/>
      <c r="E3" s="2" t="s">
        <v>5</v>
      </c>
      <c r="F3" s="2" t="s">
        <v>6</v>
      </c>
      <c r="G3" s="2" t="s">
        <v>7</v>
      </c>
      <c r="H3" s="5" t="s">
        <v>20</v>
      </c>
      <c r="I3" s="5"/>
      <c r="J3" s="5"/>
      <c r="K3" s="5"/>
    </row>
    <row r="4" spans="1:12" x14ac:dyDescent="0.25">
      <c r="A4">
        <f>Codificación!A3</f>
        <v>1</v>
      </c>
      <c r="B4" s="1" t="str">
        <f>Codificación!B3</f>
        <v>Lapices</v>
      </c>
      <c r="C4" s="4">
        <f>SUM(E4:K4)</f>
        <v>38</v>
      </c>
      <c r="E4" s="4">
        <f>SUMIFS(Movimientos!$E$6:$E$16,Movimientos!$C$6:$C$16,Stocks!$A4,Movimientos!$F$6:$F$16,Stocks!E$3,Movimientos!$A$6:$A$16,"&lt;="&amp;Stocks!$A$2)-SUMIFS(Movimientos!$E$6:$E$16,Movimientos!$C$6:$C$16,Stocks!$A4,Movimientos!$G$6:$G$16,Stocks!E$3,Movimientos!$A$6:$A$16,"&lt;="&amp;Stocks!$A$2)</f>
        <v>38</v>
      </c>
      <c r="F4" s="4">
        <f>SUMIFS(Movimientos!$E$6:$E$16,Movimientos!$C$6:$C$16,Stocks!$A4,Movimientos!$F$6:$F$16,Stocks!F$3,Movimientos!$A$6:$A$16,"&lt;="&amp;Stocks!$A$2)-SUMIFS(Movimientos!$E$6:$E$16,Movimientos!$C$6:$C$16,Stocks!$A4,Movimientos!$G$6:$G$16,Stocks!F$3,Movimientos!$A$6:$A$16,"&lt;="&amp;Stocks!$A$2)</f>
        <v>0</v>
      </c>
      <c r="G4" s="4">
        <f>SUMIFS(Movimientos!$E$6:$E$16,Movimientos!$C$6:$C$16,Stocks!$A4,Movimientos!$F$6:$F$16,Stocks!G$3,Movimientos!$A$6:$A$16,"&lt;="&amp;Stocks!$A$2)-SUMIFS(Movimientos!$E$6:$E$16,Movimientos!$C$6:$C$16,Stocks!$A4,Movimientos!$G$6:$G$16,Stocks!G$3,Movimientos!$A$6:$A$16,"&lt;="&amp;Stocks!$A$2)</f>
        <v>0</v>
      </c>
      <c r="H4" s="4">
        <f>SUMIFS(Movimientos!$E$6:$E$16,Movimientos!$C$6:$C$16,Stocks!$A4,Movimientos!$F$6:$F$16,Stocks!H$3,Movimientos!$A$6:$A$16,"&lt;="&amp;Stocks!$A$2)-SUMIFS(Movimientos!$E$6:$E$16,Movimientos!$C$6:$C$16,Stocks!$A4,Movimientos!$G$6:$G$16,Stocks!H$3,Movimientos!$A$6:$A$16,"&lt;="&amp;Stocks!$A$2)</f>
        <v>0</v>
      </c>
      <c r="I4" s="4">
        <f>SUMIFS(Movimientos!$E$6:$E$16,Movimientos!$C$6:$C$16,Stocks!$A4,Movimientos!$F$6:$F$16,Stocks!I$3,Movimientos!$A$6:$A$16,"&lt;="&amp;Stocks!$A$2)-SUMIFS(Movimientos!$E$6:$E$16,Movimientos!$C$6:$C$16,Stocks!$A4,Movimientos!$G$6:$G$16,Stocks!I$3,Movimientos!$A$6:$A$16,"&lt;="&amp;Stocks!$A$2)</f>
        <v>0</v>
      </c>
      <c r="J4" s="4">
        <f>SUMIFS(Movimientos!$E$6:$E$16,Movimientos!$C$6:$C$16,Stocks!$A4,Movimientos!$F$6:$F$16,Stocks!J$3,Movimientos!$A$6:$A$16,"&lt;="&amp;Stocks!$A$2)-SUMIFS(Movimientos!$E$6:$E$16,Movimientos!$C$6:$C$16,Stocks!$A4,Movimientos!$G$6:$G$16,Stocks!J$3,Movimientos!$A$6:$A$16,"&lt;="&amp;Stocks!$A$2)</f>
        <v>0</v>
      </c>
      <c r="K4" s="4">
        <f>SUMIFS(Movimientos!$E$6:$E$16,Movimientos!$C$6:$C$16,Stocks!$A4,Movimientos!$F$6:$F$16,Stocks!K$3,Movimientos!$A$6:$A$16,"&lt;="&amp;Stocks!$A$2)-SUMIFS(Movimientos!$E$6:$E$16,Movimientos!$C$6:$C$16,Stocks!$A4,Movimientos!$G$6:$G$16,Stocks!K$3,Movimientos!$A$6:$A$16,"&lt;="&amp;Stocks!$A$2)</f>
        <v>0</v>
      </c>
      <c r="L4" s="4">
        <f>SUMIFS(Movimientos!$E$6:$E$16,Movimientos!$C$6:$C$16,Stocks!$A4,Movimientos!$F$6:$F$16,Stocks!L$3,Movimientos!$A$6:$A$16,"&lt;="&amp;Stocks!$A$2)-SUMIFS(Movimientos!$E$6:$E$16,Movimientos!$C$6:$C$16,Stocks!$A4,Movimientos!$G$6:$G$16,Stocks!L$3,Movimientos!$A$6:$A$16,"&lt;="&amp;Stocks!$A$2)</f>
        <v>0</v>
      </c>
    </row>
    <row r="5" spans="1:12" x14ac:dyDescent="0.25">
      <c r="A5">
        <f>Codificación!A4</f>
        <v>2</v>
      </c>
      <c r="B5" s="1" t="str">
        <f>Codificación!B4</f>
        <v>Lapiceras</v>
      </c>
      <c r="C5" s="4">
        <f t="shared" ref="C5:C16" si="0">SUM(E5:K5)</f>
        <v>30</v>
      </c>
      <c r="E5" s="4">
        <f>SUMIFS(Movimientos!$E$6:$E$16,Movimientos!$C$6:$C$16,Stocks!$A5,Movimientos!$F$6:$F$16,Stocks!E$3,Movimientos!$A$6:$A$16,"&lt;="&amp;Stocks!$A$2)-SUMIFS(Movimientos!$E$6:$E$16,Movimientos!$C$6:$C$16,Stocks!$A5,Movimientos!$G$6:$G$16,Stocks!E$3,Movimientos!$A$6:$A$16,"&lt;="&amp;Stocks!$A$2)</f>
        <v>30</v>
      </c>
      <c r="F5" s="4">
        <f>SUMIFS(Movimientos!$E$6:$E$16,Movimientos!$C$6:$C$16,Stocks!$A5,Movimientos!$F$6:$F$16,Stocks!F$3,Movimientos!$A$6:$A$16,"&lt;="&amp;Stocks!$A$2)-SUMIFS(Movimientos!$E$6:$E$16,Movimientos!$C$6:$C$16,Stocks!$A5,Movimientos!$G$6:$G$16,Stocks!F$3,Movimientos!$A$6:$A$16,"&lt;="&amp;Stocks!$A$2)</f>
        <v>0</v>
      </c>
      <c r="G5" s="4">
        <f>SUMIFS(Movimientos!$E$6:$E$16,Movimientos!$C$6:$C$16,Stocks!$A5,Movimientos!$F$6:$F$16,Stocks!G$3,Movimientos!$A$6:$A$16,"&lt;="&amp;Stocks!$A$2)-SUMIFS(Movimientos!$E$6:$E$16,Movimientos!$C$6:$C$16,Stocks!$A5,Movimientos!$G$6:$G$16,Stocks!G$3,Movimientos!$A$6:$A$16,"&lt;="&amp;Stocks!$A$2)</f>
        <v>0</v>
      </c>
      <c r="H5" s="4">
        <f>SUMIFS(Movimientos!$E$6:$E$16,Movimientos!$C$6:$C$16,Stocks!$A5,Movimientos!$F$6:$F$16,Stocks!H$3,Movimientos!$A$6:$A$16,"&lt;="&amp;Stocks!$A$2)-SUMIFS(Movimientos!$E$6:$E$16,Movimientos!$C$6:$C$16,Stocks!$A5,Movimientos!$G$6:$G$16,Stocks!H$3,Movimientos!$A$6:$A$16,"&lt;="&amp;Stocks!$A$2)</f>
        <v>0</v>
      </c>
      <c r="I5" s="4">
        <f>SUMIFS(Movimientos!$E$6:$E$16,Movimientos!$C$6:$C$16,Stocks!$A5,Movimientos!$F$6:$F$16,Stocks!I$3,Movimientos!$A$6:$A$16,"&lt;="&amp;Stocks!$A$2)-SUMIFS(Movimientos!$E$6:$E$16,Movimientos!$C$6:$C$16,Stocks!$A5,Movimientos!$G$6:$G$16,Stocks!I$3,Movimientos!$A$6:$A$16,"&lt;="&amp;Stocks!$A$2)</f>
        <v>0</v>
      </c>
      <c r="J5" s="4">
        <f>SUMIFS(Movimientos!$E$6:$E$16,Movimientos!$C$6:$C$16,Stocks!$A5,Movimientos!$F$6:$F$16,Stocks!J$3,Movimientos!$A$6:$A$16,"&lt;="&amp;Stocks!$A$2)-SUMIFS(Movimientos!$E$6:$E$16,Movimientos!$C$6:$C$16,Stocks!$A5,Movimientos!$G$6:$G$16,Stocks!J$3,Movimientos!$A$6:$A$16,"&lt;="&amp;Stocks!$A$2)</f>
        <v>0</v>
      </c>
      <c r="K5" s="4">
        <f>SUMIFS(Movimientos!$E$6:$E$16,Movimientos!$C$6:$C$16,Stocks!$A5,Movimientos!$F$6:$F$16,Stocks!K$3,Movimientos!$A$6:$A$16,"&lt;="&amp;Stocks!$A$2)-SUMIFS(Movimientos!$E$6:$E$16,Movimientos!$C$6:$C$16,Stocks!$A5,Movimientos!$G$6:$G$16,Stocks!K$3,Movimientos!$A$6:$A$16,"&lt;="&amp;Stocks!$A$2)</f>
        <v>0</v>
      </c>
      <c r="L5" s="4">
        <f>SUMIFS(Movimientos!$E$6:$E$16,Movimientos!$C$6:$C$16,Stocks!$A5,Movimientos!$F$6:$F$16,Stocks!L$3,Movimientos!$A$6:$A$16,"&lt;="&amp;Stocks!$A$2)-SUMIFS(Movimientos!$E$6:$E$16,Movimientos!$C$6:$C$16,Stocks!$A5,Movimientos!$G$6:$G$16,Stocks!L$3,Movimientos!$A$6:$A$16,"&lt;="&amp;Stocks!$A$2)</f>
        <v>0</v>
      </c>
    </row>
    <row r="6" spans="1:12" x14ac:dyDescent="0.25">
      <c r="A6">
        <f>Codificación!A5</f>
        <v>3</v>
      </c>
      <c r="B6" s="1" t="str">
        <f>Codificación!B5</f>
        <v>Agendas</v>
      </c>
      <c r="C6" s="4">
        <f t="shared" si="0"/>
        <v>5</v>
      </c>
      <c r="E6" s="4">
        <f>SUMIFS(Movimientos!$E$6:$E$16,Movimientos!$C$6:$C$16,Stocks!$A6,Movimientos!$F$6:$F$16,Stocks!E$3,Movimientos!$A$6:$A$16,"&lt;="&amp;Stocks!$A$2)-SUMIFS(Movimientos!$E$6:$E$16,Movimientos!$C$6:$C$16,Stocks!$A6,Movimientos!$G$6:$G$16,Stocks!E$3,Movimientos!$A$6:$A$16,"&lt;="&amp;Stocks!$A$2)</f>
        <v>5</v>
      </c>
      <c r="F6" s="4">
        <f>SUMIFS(Movimientos!$E$6:$E$16,Movimientos!$C$6:$C$16,Stocks!$A6,Movimientos!$F$6:$F$16,Stocks!F$3,Movimientos!$A$6:$A$16,"&lt;="&amp;Stocks!$A$2)-SUMIFS(Movimientos!$E$6:$E$16,Movimientos!$C$6:$C$16,Stocks!$A6,Movimientos!$G$6:$G$16,Stocks!F$3,Movimientos!$A$6:$A$16,"&lt;="&amp;Stocks!$A$2)</f>
        <v>0</v>
      </c>
      <c r="G6" s="4">
        <f>SUMIFS(Movimientos!$E$6:$E$16,Movimientos!$C$6:$C$16,Stocks!$A6,Movimientos!$F$6:$F$16,Stocks!G$3,Movimientos!$A$6:$A$16,"&lt;="&amp;Stocks!$A$2)-SUMIFS(Movimientos!$E$6:$E$16,Movimientos!$C$6:$C$16,Stocks!$A6,Movimientos!$G$6:$G$16,Stocks!G$3,Movimientos!$A$6:$A$16,"&lt;="&amp;Stocks!$A$2)</f>
        <v>0</v>
      </c>
      <c r="H6" s="4">
        <f>SUMIFS(Movimientos!$E$6:$E$16,Movimientos!$C$6:$C$16,Stocks!$A6,Movimientos!$F$6:$F$16,Stocks!H$3,Movimientos!$A$6:$A$16,"&lt;="&amp;Stocks!$A$2)-SUMIFS(Movimientos!$E$6:$E$16,Movimientos!$C$6:$C$16,Stocks!$A6,Movimientos!$G$6:$G$16,Stocks!H$3,Movimientos!$A$6:$A$16,"&lt;="&amp;Stocks!$A$2)</f>
        <v>0</v>
      </c>
      <c r="I6" s="4">
        <f>SUMIFS(Movimientos!$E$6:$E$16,Movimientos!$C$6:$C$16,Stocks!$A6,Movimientos!$F$6:$F$16,Stocks!I$3,Movimientos!$A$6:$A$16,"&lt;="&amp;Stocks!$A$2)-SUMIFS(Movimientos!$E$6:$E$16,Movimientos!$C$6:$C$16,Stocks!$A6,Movimientos!$G$6:$G$16,Stocks!I$3,Movimientos!$A$6:$A$16,"&lt;="&amp;Stocks!$A$2)</f>
        <v>0</v>
      </c>
      <c r="J6" s="4">
        <f>SUMIFS(Movimientos!$E$6:$E$16,Movimientos!$C$6:$C$16,Stocks!$A6,Movimientos!$F$6:$F$16,Stocks!J$3,Movimientos!$A$6:$A$16,"&lt;="&amp;Stocks!$A$2)-SUMIFS(Movimientos!$E$6:$E$16,Movimientos!$C$6:$C$16,Stocks!$A6,Movimientos!$G$6:$G$16,Stocks!J$3,Movimientos!$A$6:$A$16,"&lt;="&amp;Stocks!$A$2)</f>
        <v>0</v>
      </c>
      <c r="K6" s="4">
        <f>SUMIFS(Movimientos!$E$6:$E$16,Movimientos!$C$6:$C$16,Stocks!$A6,Movimientos!$F$6:$F$16,Stocks!K$3,Movimientos!$A$6:$A$16,"&lt;="&amp;Stocks!$A$2)-SUMIFS(Movimientos!$E$6:$E$16,Movimientos!$C$6:$C$16,Stocks!$A6,Movimientos!$G$6:$G$16,Stocks!K$3,Movimientos!$A$6:$A$16,"&lt;="&amp;Stocks!$A$2)</f>
        <v>0</v>
      </c>
      <c r="L6" s="4">
        <f>SUMIFS(Movimientos!$E$6:$E$16,Movimientos!$C$6:$C$16,Stocks!$A6,Movimientos!$F$6:$F$16,Stocks!L$3,Movimientos!$A$6:$A$16,"&lt;="&amp;Stocks!$A$2)-SUMIFS(Movimientos!$E$6:$E$16,Movimientos!$C$6:$C$16,Stocks!$A6,Movimientos!$G$6:$G$16,Stocks!L$3,Movimientos!$A$6:$A$16,"&lt;="&amp;Stocks!$A$2)</f>
        <v>0</v>
      </c>
    </row>
    <row r="7" spans="1:12" x14ac:dyDescent="0.25">
      <c r="A7">
        <f>Codificación!A6</f>
        <v>4</v>
      </c>
      <c r="B7" s="1" t="str">
        <f>Codificación!B6</f>
        <v>Libros</v>
      </c>
      <c r="C7" s="4">
        <f t="shared" si="0"/>
        <v>22</v>
      </c>
      <c r="E7" s="4">
        <f>SUMIFS(Movimientos!$E$6:$E$16,Movimientos!$C$6:$C$16,Stocks!$A7,Movimientos!$F$6:$F$16,Stocks!E$3,Movimientos!$A$6:$A$16,"&lt;="&amp;Stocks!$A$2)-SUMIFS(Movimientos!$E$6:$E$16,Movimientos!$C$6:$C$16,Stocks!$A7,Movimientos!$G$6:$G$16,Stocks!E$3,Movimientos!$A$6:$A$16,"&lt;="&amp;Stocks!$A$2)</f>
        <v>22</v>
      </c>
      <c r="F7" s="4">
        <f>SUMIFS(Movimientos!$E$6:$E$16,Movimientos!$C$6:$C$16,Stocks!$A7,Movimientos!$F$6:$F$16,Stocks!F$3,Movimientos!$A$6:$A$16,"&lt;="&amp;Stocks!$A$2)-SUMIFS(Movimientos!$E$6:$E$16,Movimientos!$C$6:$C$16,Stocks!$A7,Movimientos!$G$6:$G$16,Stocks!F$3,Movimientos!$A$6:$A$16,"&lt;="&amp;Stocks!$A$2)</f>
        <v>0</v>
      </c>
      <c r="G7" s="4">
        <f>SUMIFS(Movimientos!$E$6:$E$16,Movimientos!$C$6:$C$16,Stocks!$A7,Movimientos!$F$6:$F$16,Stocks!G$3,Movimientos!$A$6:$A$16,"&lt;="&amp;Stocks!$A$2)-SUMIFS(Movimientos!$E$6:$E$16,Movimientos!$C$6:$C$16,Stocks!$A7,Movimientos!$G$6:$G$16,Stocks!G$3,Movimientos!$A$6:$A$16,"&lt;="&amp;Stocks!$A$2)</f>
        <v>0</v>
      </c>
      <c r="H7" s="4">
        <f>SUMIFS(Movimientos!$E$6:$E$16,Movimientos!$C$6:$C$16,Stocks!$A7,Movimientos!$F$6:$F$16,Stocks!H$3,Movimientos!$A$6:$A$16,"&lt;="&amp;Stocks!$A$2)-SUMIFS(Movimientos!$E$6:$E$16,Movimientos!$C$6:$C$16,Stocks!$A7,Movimientos!$G$6:$G$16,Stocks!H$3,Movimientos!$A$6:$A$16,"&lt;="&amp;Stocks!$A$2)</f>
        <v>0</v>
      </c>
      <c r="I7" s="4">
        <f>SUMIFS(Movimientos!$E$6:$E$16,Movimientos!$C$6:$C$16,Stocks!$A7,Movimientos!$F$6:$F$16,Stocks!I$3,Movimientos!$A$6:$A$16,"&lt;="&amp;Stocks!$A$2)-SUMIFS(Movimientos!$E$6:$E$16,Movimientos!$C$6:$C$16,Stocks!$A7,Movimientos!$G$6:$G$16,Stocks!I$3,Movimientos!$A$6:$A$16,"&lt;="&amp;Stocks!$A$2)</f>
        <v>0</v>
      </c>
      <c r="J7" s="4">
        <f>SUMIFS(Movimientos!$E$6:$E$16,Movimientos!$C$6:$C$16,Stocks!$A7,Movimientos!$F$6:$F$16,Stocks!J$3,Movimientos!$A$6:$A$16,"&lt;="&amp;Stocks!$A$2)-SUMIFS(Movimientos!$E$6:$E$16,Movimientos!$C$6:$C$16,Stocks!$A7,Movimientos!$G$6:$G$16,Stocks!J$3,Movimientos!$A$6:$A$16,"&lt;="&amp;Stocks!$A$2)</f>
        <v>0</v>
      </c>
      <c r="K7" s="4">
        <f>SUMIFS(Movimientos!$E$6:$E$16,Movimientos!$C$6:$C$16,Stocks!$A7,Movimientos!$F$6:$F$16,Stocks!K$3,Movimientos!$A$6:$A$16,"&lt;="&amp;Stocks!$A$2)-SUMIFS(Movimientos!$E$6:$E$16,Movimientos!$C$6:$C$16,Stocks!$A7,Movimientos!$G$6:$G$16,Stocks!K$3,Movimientos!$A$6:$A$16,"&lt;="&amp;Stocks!$A$2)</f>
        <v>0</v>
      </c>
      <c r="L7" s="4">
        <f>SUMIFS(Movimientos!$E$6:$E$16,Movimientos!$C$6:$C$16,Stocks!$A7,Movimientos!$F$6:$F$16,Stocks!L$3,Movimientos!$A$6:$A$16,"&lt;="&amp;Stocks!$A$2)-SUMIFS(Movimientos!$E$6:$E$16,Movimientos!$C$6:$C$16,Stocks!$A7,Movimientos!$G$6:$G$16,Stocks!L$3,Movimientos!$A$6:$A$16,"&lt;="&amp;Stocks!$A$2)</f>
        <v>0</v>
      </c>
    </row>
    <row r="8" spans="1:12" x14ac:dyDescent="0.25">
      <c r="A8">
        <f>Codificación!A7</f>
        <v>5</v>
      </c>
      <c r="B8" s="1" t="str">
        <f>Codificación!B7</f>
        <v>Hojas</v>
      </c>
      <c r="C8" s="4">
        <f t="shared" si="0"/>
        <v>0</v>
      </c>
      <c r="E8" s="4">
        <f>SUMIFS(Movimientos!$E$6:$E$16,Movimientos!$C$6:$C$16,Stocks!$A8,Movimientos!$F$6:$F$16,Stocks!E$3,Movimientos!$A$6:$A$16,"&lt;="&amp;Stocks!$A$2)-SUMIFS(Movimientos!$E$6:$E$16,Movimientos!$C$6:$C$16,Stocks!$A8,Movimientos!$G$6:$G$16,Stocks!E$3,Movimientos!$A$6:$A$16,"&lt;="&amp;Stocks!$A$2)</f>
        <v>0</v>
      </c>
      <c r="F8" s="4">
        <f>SUMIFS(Movimientos!$E$6:$E$16,Movimientos!$C$6:$C$16,Stocks!$A8,Movimientos!$F$6:$F$16,Stocks!F$3,Movimientos!$A$6:$A$16,"&lt;="&amp;Stocks!$A$2)-SUMIFS(Movimientos!$E$6:$E$16,Movimientos!$C$6:$C$16,Stocks!$A8,Movimientos!$G$6:$G$16,Stocks!F$3,Movimientos!$A$6:$A$16,"&lt;="&amp;Stocks!$A$2)</f>
        <v>0</v>
      </c>
      <c r="G8" s="4">
        <f>SUMIFS(Movimientos!$E$6:$E$16,Movimientos!$C$6:$C$16,Stocks!$A8,Movimientos!$F$6:$F$16,Stocks!G$3,Movimientos!$A$6:$A$16,"&lt;="&amp;Stocks!$A$2)-SUMIFS(Movimientos!$E$6:$E$16,Movimientos!$C$6:$C$16,Stocks!$A8,Movimientos!$G$6:$G$16,Stocks!G$3,Movimientos!$A$6:$A$16,"&lt;="&amp;Stocks!$A$2)</f>
        <v>0</v>
      </c>
      <c r="H8" s="4">
        <f>SUMIFS(Movimientos!$E$6:$E$16,Movimientos!$C$6:$C$16,Stocks!$A8,Movimientos!$F$6:$F$16,Stocks!H$3,Movimientos!$A$6:$A$16,"&lt;="&amp;Stocks!$A$2)-SUMIFS(Movimientos!$E$6:$E$16,Movimientos!$C$6:$C$16,Stocks!$A8,Movimientos!$G$6:$G$16,Stocks!H$3,Movimientos!$A$6:$A$16,"&lt;="&amp;Stocks!$A$2)</f>
        <v>0</v>
      </c>
      <c r="I8" s="4">
        <f>SUMIFS(Movimientos!$E$6:$E$16,Movimientos!$C$6:$C$16,Stocks!$A8,Movimientos!$F$6:$F$16,Stocks!I$3,Movimientos!$A$6:$A$16,"&lt;="&amp;Stocks!$A$2)-SUMIFS(Movimientos!$E$6:$E$16,Movimientos!$C$6:$C$16,Stocks!$A8,Movimientos!$G$6:$G$16,Stocks!I$3,Movimientos!$A$6:$A$16,"&lt;="&amp;Stocks!$A$2)</f>
        <v>0</v>
      </c>
      <c r="J8" s="4">
        <f>SUMIFS(Movimientos!$E$6:$E$16,Movimientos!$C$6:$C$16,Stocks!$A8,Movimientos!$F$6:$F$16,Stocks!J$3,Movimientos!$A$6:$A$16,"&lt;="&amp;Stocks!$A$2)-SUMIFS(Movimientos!$E$6:$E$16,Movimientos!$C$6:$C$16,Stocks!$A8,Movimientos!$G$6:$G$16,Stocks!J$3,Movimientos!$A$6:$A$16,"&lt;="&amp;Stocks!$A$2)</f>
        <v>0</v>
      </c>
      <c r="K8" s="4">
        <f>SUMIFS(Movimientos!$E$6:$E$16,Movimientos!$C$6:$C$16,Stocks!$A8,Movimientos!$F$6:$F$16,Stocks!K$3,Movimientos!$A$6:$A$16,"&lt;="&amp;Stocks!$A$2)-SUMIFS(Movimientos!$E$6:$E$16,Movimientos!$C$6:$C$16,Stocks!$A8,Movimientos!$G$6:$G$16,Stocks!K$3,Movimientos!$A$6:$A$16,"&lt;="&amp;Stocks!$A$2)</f>
        <v>0</v>
      </c>
      <c r="L8" s="4">
        <f>SUMIFS(Movimientos!$E$6:$E$16,Movimientos!$C$6:$C$16,Stocks!$A8,Movimientos!$F$6:$F$16,Stocks!L$3,Movimientos!$A$6:$A$16,"&lt;="&amp;Stocks!$A$2)-SUMIFS(Movimientos!$E$6:$E$16,Movimientos!$C$6:$C$16,Stocks!$A8,Movimientos!$G$6:$G$16,Stocks!L$3,Movimientos!$A$6:$A$16,"&lt;="&amp;Stocks!$A$2)</f>
        <v>0</v>
      </c>
    </row>
    <row r="9" spans="1:12" x14ac:dyDescent="0.25">
      <c r="A9">
        <f>Codificación!A8</f>
        <v>6</v>
      </c>
      <c r="B9" s="1" t="str">
        <f>Codificación!B8</f>
        <v>Cartulina</v>
      </c>
      <c r="C9" s="4">
        <f t="shared" si="0"/>
        <v>0</v>
      </c>
      <c r="E9" s="4">
        <f>SUMIFS(Movimientos!$E$6:$E$16,Movimientos!$C$6:$C$16,Stocks!$A9,Movimientos!$F$6:$F$16,Stocks!E$3,Movimientos!$A$6:$A$16,"&lt;="&amp;Stocks!$A$2)-SUMIFS(Movimientos!$E$6:$E$16,Movimientos!$C$6:$C$16,Stocks!$A9,Movimientos!$G$6:$G$16,Stocks!E$3,Movimientos!$A$6:$A$16,"&lt;="&amp;Stocks!$A$2)</f>
        <v>0</v>
      </c>
      <c r="F9" s="4">
        <f>SUMIFS(Movimientos!$E$6:$E$16,Movimientos!$C$6:$C$16,Stocks!$A9,Movimientos!$F$6:$F$16,Stocks!F$3,Movimientos!$A$6:$A$16,"&lt;="&amp;Stocks!$A$2)-SUMIFS(Movimientos!$E$6:$E$16,Movimientos!$C$6:$C$16,Stocks!$A9,Movimientos!$G$6:$G$16,Stocks!F$3,Movimientos!$A$6:$A$16,"&lt;="&amp;Stocks!$A$2)</f>
        <v>0</v>
      </c>
      <c r="G9" s="4">
        <f>SUMIFS(Movimientos!$E$6:$E$16,Movimientos!$C$6:$C$16,Stocks!$A9,Movimientos!$F$6:$F$16,Stocks!G$3,Movimientos!$A$6:$A$16,"&lt;="&amp;Stocks!$A$2)-SUMIFS(Movimientos!$E$6:$E$16,Movimientos!$C$6:$C$16,Stocks!$A9,Movimientos!$G$6:$G$16,Stocks!G$3,Movimientos!$A$6:$A$16,"&lt;="&amp;Stocks!$A$2)</f>
        <v>0</v>
      </c>
      <c r="H9" s="4">
        <f>SUMIFS(Movimientos!$E$6:$E$16,Movimientos!$C$6:$C$16,Stocks!$A9,Movimientos!$F$6:$F$16,Stocks!H$3,Movimientos!$A$6:$A$16,"&lt;="&amp;Stocks!$A$2)-SUMIFS(Movimientos!$E$6:$E$16,Movimientos!$C$6:$C$16,Stocks!$A9,Movimientos!$G$6:$G$16,Stocks!H$3,Movimientos!$A$6:$A$16,"&lt;="&amp;Stocks!$A$2)</f>
        <v>0</v>
      </c>
      <c r="I9" s="4">
        <f>SUMIFS(Movimientos!$E$6:$E$16,Movimientos!$C$6:$C$16,Stocks!$A9,Movimientos!$F$6:$F$16,Stocks!I$3,Movimientos!$A$6:$A$16,"&lt;="&amp;Stocks!$A$2)-SUMIFS(Movimientos!$E$6:$E$16,Movimientos!$C$6:$C$16,Stocks!$A9,Movimientos!$G$6:$G$16,Stocks!I$3,Movimientos!$A$6:$A$16,"&lt;="&amp;Stocks!$A$2)</f>
        <v>0</v>
      </c>
      <c r="J9" s="4">
        <f>SUMIFS(Movimientos!$E$6:$E$16,Movimientos!$C$6:$C$16,Stocks!$A9,Movimientos!$F$6:$F$16,Stocks!J$3,Movimientos!$A$6:$A$16,"&lt;="&amp;Stocks!$A$2)-SUMIFS(Movimientos!$E$6:$E$16,Movimientos!$C$6:$C$16,Stocks!$A9,Movimientos!$G$6:$G$16,Stocks!J$3,Movimientos!$A$6:$A$16,"&lt;="&amp;Stocks!$A$2)</f>
        <v>0</v>
      </c>
      <c r="K9" s="4">
        <f>SUMIFS(Movimientos!$E$6:$E$16,Movimientos!$C$6:$C$16,Stocks!$A9,Movimientos!$F$6:$F$16,Stocks!K$3,Movimientos!$A$6:$A$16,"&lt;="&amp;Stocks!$A$2)-SUMIFS(Movimientos!$E$6:$E$16,Movimientos!$C$6:$C$16,Stocks!$A9,Movimientos!$G$6:$G$16,Stocks!K$3,Movimientos!$A$6:$A$16,"&lt;="&amp;Stocks!$A$2)</f>
        <v>0</v>
      </c>
      <c r="L9" s="4">
        <f>SUMIFS(Movimientos!$E$6:$E$16,Movimientos!$C$6:$C$16,Stocks!$A9,Movimientos!$F$6:$F$16,Stocks!L$3,Movimientos!$A$6:$A$16,"&lt;="&amp;Stocks!$A$2)-SUMIFS(Movimientos!$E$6:$E$16,Movimientos!$C$6:$C$16,Stocks!$A9,Movimientos!$G$6:$G$16,Stocks!L$3,Movimientos!$A$6:$A$16,"&lt;="&amp;Stocks!$A$2)</f>
        <v>0</v>
      </c>
    </row>
    <row r="10" spans="1:12" x14ac:dyDescent="0.25">
      <c r="A10">
        <f>Codificación!A9</f>
        <v>7</v>
      </c>
      <c r="B10" s="1" t="str">
        <f>Codificación!B9</f>
        <v>Carpeta</v>
      </c>
      <c r="C10" s="4">
        <f t="shared" si="0"/>
        <v>8</v>
      </c>
      <c r="E10" s="4">
        <f>SUMIFS(Movimientos!$E$6:$E$16,Movimientos!$C$6:$C$16,Stocks!$A10,Movimientos!$F$6:$F$16,Stocks!E$3,Movimientos!$A$6:$A$16,"&lt;="&amp;Stocks!$A$2)-SUMIFS(Movimientos!$E$6:$E$16,Movimientos!$C$6:$C$16,Stocks!$A10,Movimientos!$G$6:$G$16,Stocks!E$3,Movimientos!$A$6:$A$16,"&lt;="&amp;Stocks!$A$2)</f>
        <v>0</v>
      </c>
      <c r="F10" s="4">
        <f>SUMIFS(Movimientos!$E$6:$E$16,Movimientos!$C$6:$C$16,Stocks!$A10,Movimientos!$F$6:$F$16,Stocks!F$3,Movimientos!$A$6:$A$16,"&lt;="&amp;Stocks!$A$2)-SUMIFS(Movimientos!$E$6:$E$16,Movimientos!$C$6:$C$16,Stocks!$A10,Movimientos!$G$6:$G$16,Stocks!F$3,Movimientos!$A$6:$A$16,"&lt;="&amp;Stocks!$A$2)</f>
        <v>0</v>
      </c>
      <c r="G10" s="4">
        <f>SUMIFS(Movimientos!$E$6:$E$16,Movimientos!$C$6:$C$16,Stocks!$A10,Movimientos!$F$6:$F$16,Stocks!G$3,Movimientos!$A$6:$A$16,"&lt;="&amp;Stocks!$A$2)-SUMIFS(Movimientos!$E$6:$E$16,Movimientos!$C$6:$C$16,Stocks!$A10,Movimientos!$G$6:$G$16,Stocks!G$3,Movimientos!$A$6:$A$16,"&lt;="&amp;Stocks!$A$2)</f>
        <v>0</v>
      </c>
      <c r="H10" s="4">
        <f>SUMIFS(Movimientos!$E$6:$E$16,Movimientos!$C$6:$C$16,Stocks!$A10,Movimientos!$F$6:$F$16,Stocks!H$3,Movimientos!$A$6:$A$16,"&lt;="&amp;Stocks!$A$2)-SUMIFS(Movimientos!$E$6:$E$16,Movimientos!$C$6:$C$16,Stocks!$A10,Movimientos!$G$6:$G$16,Stocks!H$3,Movimientos!$A$6:$A$16,"&lt;="&amp;Stocks!$A$2)</f>
        <v>8</v>
      </c>
      <c r="I10" s="4">
        <f>SUMIFS(Movimientos!$E$6:$E$16,Movimientos!$C$6:$C$16,Stocks!$A10,Movimientos!$F$6:$F$16,Stocks!I$3,Movimientos!$A$6:$A$16,"&lt;="&amp;Stocks!$A$2)-SUMIFS(Movimientos!$E$6:$E$16,Movimientos!$C$6:$C$16,Stocks!$A10,Movimientos!$G$6:$G$16,Stocks!I$3,Movimientos!$A$6:$A$16,"&lt;="&amp;Stocks!$A$2)</f>
        <v>0</v>
      </c>
      <c r="J10" s="4">
        <f>SUMIFS(Movimientos!$E$6:$E$16,Movimientos!$C$6:$C$16,Stocks!$A10,Movimientos!$F$6:$F$16,Stocks!J$3,Movimientos!$A$6:$A$16,"&lt;="&amp;Stocks!$A$2)-SUMIFS(Movimientos!$E$6:$E$16,Movimientos!$C$6:$C$16,Stocks!$A10,Movimientos!$G$6:$G$16,Stocks!J$3,Movimientos!$A$6:$A$16,"&lt;="&amp;Stocks!$A$2)</f>
        <v>0</v>
      </c>
      <c r="K10" s="4">
        <f>SUMIFS(Movimientos!$E$6:$E$16,Movimientos!$C$6:$C$16,Stocks!$A10,Movimientos!$F$6:$F$16,Stocks!K$3,Movimientos!$A$6:$A$16,"&lt;="&amp;Stocks!$A$2)-SUMIFS(Movimientos!$E$6:$E$16,Movimientos!$C$6:$C$16,Stocks!$A10,Movimientos!$G$6:$G$16,Stocks!K$3,Movimientos!$A$6:$A$16,"&lt;="&amp;Stocks!$A$2)</f>
        <v>0</v>
      </c>
      <c r="L10" s="4">
        <f>SUMIFS(Movimientos!$E$6:$E$16,Movimientos!$C$6:$C$16,Stocks!$A10,Movimientos!$F$6:$F$16,Stocks!L$3,Movimientos!$A$6:$A$16,"&lt;="&amp;Stocks!$A$2)-SUMIFS(Movimientos!$E$6:$E$16,Movimientos!$C$6:$C$16,Stocks!$A10,Movimientos!$G$6:$G$16,Stocks!L$3,Movimientos!$A$6:$A$16,"&lt;="&amp;Stocks!$A$2)</f>
        <v>0</v>
      </c>
    </row>
    <row r="11" spans="1:12" x14ac:dyDescent="0.25">
      <c r="A11" t="str">
        <f>Codificación!A10</f>
        <v/>
      </c>
      <c r="B11" s="1">
        <f>Codificación!B10</f>
        <v>0</v>
      </c>
      <c r="C11" s="4">
        <f t="shared" si="0"/>
        <v>0</v>
      </c>
      <c r="E11" s="4">
        <f>SUMIFS(Movimientos!$E$6:$E$16,Movimientos!$C$6:$C$16,Stocks!$A11,Movimientos!$F$6:$F$16,Stocks!E$3,Movimientos!$A$6:$A$16,"&lt;="&amp;Stocks!$A$2)-SUMIFS(Movimientos!$E$6:$E$16,Movimientos!$C$6:$C$16,Stocks!$A11,Movimientos!$G$6:$G$16,Stocks!E$3,Movimientos!$A$6:$A$16,"&lt;="&amp;Stocks!$A$2)</f>
        <v>0</v>
      </c>
      <c r="F11" s="4">
        <f>SUMIFS(Movimientos!$E$6:$E$16,Movimientos!$C$6:$C$16,Stocks!$A11,Movimientos!$F$6:$F$16,Stocks!F$3,Movimientos!$A$6:$A$16,"&lt;="&amp;Stocks!$A$2)-SUMIFS(Movimientos!$E$6:$E$16,Movimientos!$C$6:$C$16,Stocks!$A11,Movimientos!$G$6:$G$16,Stocks!F$3,Movimientos!$A$6:$A$16,"&lt;="&amp;Stocks!$A$2)</f>
        <v>0</v>
      </c>
      <c r="G11" s="4">
        <f>SUMIFS(Movimientos!$E$6:$E$16,Movimientos!$C$6:$C$16,Stocks!$A11,Movimientos!$F$6:$F$16,Stocks!G$3,Movimientos!$A$6:$A$16,"&lt;="&amp;Stocks!$A$2)-SUMIFS(Movimientos!$E$6:$E$16,Movimientos!$C$6:$C$16,Stocks!$A11,Movimientos!$G$6:$G$16,Stocks!G$3,Movimientos!$A$6:$A$16,"&lt;="&amp;Stocks!$A$2)</f>
        <v>0</v>
      </c>
      <c r="H11" s="4">
        <f>SUMIFS(Movimientos!$E$6:$E$16,Movimientos!$C$6:$C$16,Stocks!$A11,Movimientos!$F$6:$F$16,Stocks!H$3,Movimientos!$A$6:$A$16,"&lt;="&amp;Stocks!$A$2)-SUMIFS(Movimientos!$E$6:$E$16,Movimientos!$C$6:$C$16,Stocks!$A11,Movimientos!$G$6:$G$16,Stocks!H$3,Movimientos!$A$6:$A$16,"&lt;="&amp;Stocks!$A$2)</f>
        <v>0</v>
      </c>
      <c r="I11" s="4">
        <f>SUMIFS(Movimientos!$E$6:$E$16,Movimientos!$C$6:$C$16,Stocks!$A11,Movimientos!$F$6:$F$16,Stocks!I$3,Movimientos!$A$6:$A$16,"&lt;="&amp;Stocks!$A$2)-SUMIFS(Movimientos!$E$6:$E$16,Movimientos!$C$6:$C$16,Stocks!$A11,Movimientos!$G$6:$G$16,Stocks!I$3,Movimientos!$A$6:$A$16,"&lt;="&amp;Stocks!$A$2)</f>
        <v>0</v>
      </c>
      <c r="J11" s="4">
        <f>SUMIFS(Movimientos!$E$6:$E$16,Movimientos!$C$6:$C$16,Stocks!$A11,Movimientos!$F$6:$F$16,Stocks!J$3,Movimientos!$A$6:$A$16,"&lt;="&amp;Stocks!$A$2)-SUMIFS(Movimientos!$E$6:$E$16,Movimientos!$C$6:$C$16,Stocks!$A11,Movimientos!$G$6:$G$16,Stocks!J$3,Movimientos!$A$6:$A$16,"&lt;="&amp;Stocks!$A$2)</f>
        <v>0</v>
      </c>
      <c r="K11" s="4">
        <f>SUMIFS(Movimientos!$E$6:$E$16,Movimientos!$C$6:$C$16,Stocks!$A11,Movimientos!$F$6:$F$16,Stocks!K$3,Movimientos!$A$6:$A$16,"&lt;="&amp;Stocks!$A$2)-SUMIFS(Movimientos!$E$6:$E$16,Movimientos!$C$6:$C$16,Stocks!$A11,Movimientos!$G$6:$G$16,Stocks!K$3,Movimientos!$A$6:$A$16,"&lt;="&amp;Stocks!$A$2)</f>
        <v>0</v>
      </c>
      <c r="L11" s="4">
        <f>SUMIFS(Movimientos!$E$6:$E$16,Movimientos!$C$6:$C$16,Stocks!$A11,Movimientos!$F$6:$F$16,Stocks!L$3,Movimientos!$A$6:$A$16,"&lt;="&amp;Stocks!$A$2)-SUMIFS(Movimientos!$E$6:$E$16,Movimientos!$C$6:$C$16,Stocks!$A11,Movimientos!$G$6:$G$16,Stocks!L$3,Movimientos!$A$6:$A$16,"&lt;="&amp;Stocks!$A$2)</f>
        <v>0</v>
      </c>
    </row>
    <row r="12" spans="1:12" x14ac:dyDescent="0.25">
      <c r="A12" t="str">
        <f>Codificación!A11</f>
        <v/>
      </c>
      <c r="B12" s="1">
        <f>Codificación!B11</f>
        <v>0</v>
      </c>
      <c r="C12" s="4">
        <f t="shared" si="0"/>
        <v>0</v>
      </c>
      <c r="E12" s="4">
        <f>SUMIFS(Movimientos!$E$6:$E$16,Movimientos!$C$6:$C$16,Stocks!$A12,Movimientos!$F$6:$F$16,Stocks!E$3,Movimientos!$A$6:$A$16,"&lt;="&amp;Stocks!$A$2)-SUMIFS(Movimientos!$E$6:$E$16,Movimientos!$C$6:$C$16,Stocks!$A12,Movimientos!$G$6:$G$16,Stocks!E$3,Movimientos!$A$6:$A$16,"&lt;="&amp;Stocks!$A$2)</f>
        <v>0</v>
      </c>
      <c r="F12" s="4">
        <f>SUMIFS(Movimientos!$E$6:$E$16,Movimientos!$C$6:$C$16,Stocks!$A12,Movimientos!$F$6:$F$16,Stocks!F$3,Movimientos!$A$6:$A$16,"&lt;="&amp;Stocks!$A$2)-SUMIFS(Movimientos!$E$6:$E$16,Movimientos!$C$6:$C$16,Stocks!$A12,Movimientos!$G$6:$G$16,Stocks!F$3,Movimientos!$A$6:$A$16,"&lt;="&amp;Stocks!$A$2)</f>
        <v>0</v>
      </c>
      <c r="G12" s="4">
        <f>SUMIFS(Movimientos!$E$6:$E$16,Movimientos!$C$6:$C$16,Stocks!$A12,Movimientos!$F$6:$F$16,Stocks!G$3,Movimientos!$A$6:$A$16,"&lt;="&amp;Stocks!$A$2)-SUMIFS(Movimientos!$E$6:$E$16,Movimientos!$C$6:$C$16,Stocks!$A12,Movimientos!$G$6:$G$16,Stocks!G$3,Movimientos!$A$6:$A$16,"&lt;="&amp;Stocks!$A$2)</f>
        <v>0</v>
      </c>
      <c r="H12" s="4">
        <f>SUMIFS(Movimientos!$E$6:$E$16,Movimientos!$C$6:$C$16,Stocks!$A12,Movimientos!$F$6:$F$16,Stocks!H$3,Movimientos!$A$6:$A$16,"&lt;="&amp;Stocks!$A$2)-SUMIFS(Movimientos!$E$6:$E$16,Movimientos!$C$6:$C$16,Stocks!$A12,Movimientos!$G$6:$G$16,Stocks!H$3,Movimientos!$A$6:$A$16,"&lt;="&amp;Stocks!$A$2)</f>
        <v>0</v>
      </c>
      <c r="I12" s="4">
        <f>SUMIFS(Movimientos!$E$6:$E$16,Movimientos!$C$6:$C$16,Stocks!$A12,Movimientos!$F$6:$F$16,Stocks!I$3,Movimientos!$A$6:$A$16,"&lt;="&amp;Stocks!$A$2)-SUMIFS(Movimientos!$E$6:$E$16,Movimientos!$C$6:$C$16,Stocks!$A12,Movimientos!$G$6:$G$16,Stocks!I$3,Movimientos!$A$6:$A$16,"&lt;="&amp;Stocks!$A$2)</f>
        <v>0</v>
      </c>
      <c r="J12" s="4">
        <f>SUMIFS(Movimientos!$E$6:$E$16,Movimientos!$C$6:$C$16,Stocks!$A12,Movimientos!$F$6:$F$16,Stocks!J$3,Movimientos!$A$6:$A$16,"&lt;="&amp;Stocks!$A$2)-SUMIFS(Movimientos!$E$6:$E$16,Movimientos!$C$6:$C$16,Stocks!$A12,Movimientos!$G$6:$G$16,Stocks!J$3,Movimientos!$A$6:$A$16,"&lt;="&amp;Stocks!$A$2)</f>
        <v>0</v>
      </c>
      <c r="K12" s="4">
        <f>SUMIFS(Movimientos!$E$6:$E$16,Movimientos!$C$6:$C$16,Stocks!$A12,Movimientos!$F$6:$F$16,Stocks!K$3,Movimientos!$A$6:$A$16,"&lt;="&amp;Stocks!$A$2)-SUMIFS(Movimientos!$E$6:$E$16,Movimientos!$C$6:$C$16,Stocks!$A12,Movimientos!$G$6:$G$16,Stocks!K$3,Movimientos!$A$6:$A$16,"&lt;="&amp;Stocks!$A$2)</f>
        <v>0</v>
      </c>
      <c r="L12" s="4">
        <f>SUMIFS(Movimientos!$E$6:$E$16,Movimientos!$C$6:$C$16,Stocks!$A12,Movimientos!$F$6:$F$16,Stocks!L$3,Movimientos!$A$6:$A$16,"&lt;="&amp;Stocks!$A$2)-SUMIFS(Movimientos!$E$6:$E$16,Movimientos!$C$6:$C$16,Stocks!$A12,Movimientos!$G$6:$G$16,Stocks!L$3,Movimientos!$A$6:$A$16,"&lt;="&amp;Stocks!$A$2)</f>
        <v>0</v>
      </c>
    </row>
    <row r="13" spans="1:12" x14ac:dyDescent="0.25">
      <c r="A13" t="str">
        <f>Codificación!A12</f>
        <v/>
      </c>
      <c r="B13" s="1">
        <f>Codificación!B12</f>
        <v>0</v>
      </c>
      <c r="C13" s="4">
        <f t="shared" si="0"/>
        <v>0</v>
      </c>
      <c r="E13" s="4">
        <f>SUMIFS(Movimientos!$E$6:$E$16,Movimientos!$C$6:$C$16,Stocks!$A13,Movimientos!$F$6:$F$16,Stocks!E$3,Movimientos!$A$6:$A$16,"&lt;="&amp;Stocks!$A$2)-SUMIFS(Movimientos!$E$6:$E$16,Movimientos!$C$6:$C$16,Stocks!$A13,Movimientos!$G$6:$G$16,Stocks!E$3,Movimientos!$A$6:$A$16,"&lt;="&amp;Stocks!$A$2)</f>
        <v>0</v>
      </c>
      <c r="F13" s="4">
        <f>SUMIFS(Movimientos!$E$6:$E$16,Movimientos!$C$6:$C$16,Stocks!$A13,Movimientos!$F$6:$F$16,Stocks!F$3,Movimientos!$A$6:$A$16,"&lt;="&amp;Stocks!$A$2)-SUMIFS(Movimientos!$E$6:$E$16,Movimientos!$C$6:$C$16,Stocks!$A13,Movimientos!$G$6:$G$16,Stocks!F$3,Movimientos!$A$6:$A$16,"&lt;="&amp;Stocks!$A$2)</f>
        <v>0</v>
      </c>
      <c r="G13" s="4">
        <f>SUMIFS(Movimientos!$E$6:$E$16,Movimientos!$C$6:$C$16,Stocks!$A13,Movimientos!$F$6:$F$16,Stocks!G$3,Movimientos!$A$6:$A$16,"&lt;="&amp;Stocks!$A$2)-SUMIFS(Movimientos!$E$6:$E$16,Movimientos!$C$6:$C$16,Stocks!$A13,Movimientos!$G$6:$G$16,Stocks!G$3,Movimientos!$A$6:$A$16,"&lt;="&amp;Stocks!$A$2)</f>
        <v>0</v>
      </c>
      <c r="H13" s="4">
        <f>SUMIFS(Movimientos!$E$6:$E$16,Movimientos!$C$6:$C$16,Stocks!$A13,Movimientos!$F$6:$F$16,Stocks!H$3,Movimientos!$A$6:$A$16,"&lt;="&amp;Stocks!$A$2)-SUMIFS(Movimientos!$E$6:$E$16,Movimientos!$C$6:$C$16,Stocks!$A13,Movimientos!$G$6:$G$16,Stocks!H$3,Movimientos!$A$6:$A$16,"&lt;="&amp;Stocks!$A$2)</f>
        <v>0</v>
      </c>
      <c r="I13" s="4">
        <f>SUMIFS(Movimientos!$E$6:$E$16,Movimientos!$C$6:$C$16,Stocks!$A13,Movimientos!$F$6:$F$16,Stocks!I$3,Movimientos!$A$6:$A$16,"&lt;="&amp;Stocks!$A$2)-SUMIFS(Movimientos!$E$6:$E$16,Movimientos!$C$6:$C$16,Stocks!$A13,Movimientos!$G$6:$G$16,Stocks!I$3,Movimientos!$A$6:$A$16,"&lt;="&amp;Stocks!$A$2)</f>
        <v>0</v>
      </c>
      <c r="J13" s="4">
        <f>SUMIFS(Movimientos!$E$6:$E$16,Movimientos!$C$6:$C$16,Stocks!$A13,Movimientos!$F$6:$F$16,Stocks!J$3,Movimientos!$A$6:$A$16,"&lt;="&amp;Stocks!$A$2)-SUMIFS(Movimientos!$E$6:$E$16,Movimientos!$C$6:$C$16,Stocks!$A13,Movimientos!$G$6:$G$16,Stocks!J$3,Movimientos!$A$6:$A$16,"&lt;="&amp;Stocks!$A$2)</f>
        <v>0</v>
      </c>
      <c r="K13" s="4">
        <f>SUMIFS(Movimientos!$E$6:$E$16,Movimientos!$C$6:$C$16,Stocks!$A13,Movimientos!$F$6:$F$16,Stocks!K$3,Movimientos!$A$6:$A$16,"&lt;="&amp;Stocks!$A$2)-SUMIFS(Movimientos!$E$6:$E$16,Movimientos!$C$6:$C$16,Stocks!$A13,Movimientos!$G$6:$G$16,Stocks!K$3,Movimientos!$A$6:$A$16,"&lt;="&amp;Stocks!$A$2)</f>
        <v>0</v>
      </c>
      <c r="L13" s="4">
        <f>SUMIFS(Movimientos!$E$6:$E$16,Movimientos!$C$6:$C$16,Stocks!$A13,Movimientos!$F$6:$F$16,Stocks!L$3,Movimientos!$A$6:$A$16,"&lt;="&amp;Stocks!$A$2)-SUMIFS(Movimientos!$E$6:$E$16,Movimientos!$C$6:$C$16,Stocks!$A13,Movimientos!$G$6:$G$16,Stocks!L$3,Movimientos!$A$6:$A$16,"&lt;="&amp;Stocks!$A$2)</f>
        <v>0</v>
      </c>
    </row>
    <row r="14" spans="1:12" x14ac:dyDescent="0.25">
      <c r="A14" t="str">
        <f>Codificación!A13</f>
        <v/>
      </c>
      <c r="B14" s="1">
        <f>Codificación!B13</f>
        <v>0</v>
      </c>
      <c r="C14" s="4">
        <f t="shared" si="0"/>
        <v>0</v>
      </c>
      <c r="E14" s="4">
        <f>SUMIFS(Movimientos!$E$6:$E$16,Movimientos!$C$6:$C$16,Stocks!$A14,Movimientos!$F$6:$F$16,Stocks!E$3,Movimientos!$A$6:$A$16,"&lt;="&amp;Stocks!$A$2)-SUMIFS(Movimientos!$E$6:$E$16,Movimientos!$C$6:$C$16,Stocks!$A14,Movimientos!$G$6:$G$16,Stocks!E$3,Movimientos!$A$6:$A$16,"&lt;="&amp;Stocks!$A$2)</f>
        <v>0</v>
      </c>
      <c r="F14" s="4">
        <f>SUMIFS(Movimientos!$E$6:$E$16,Movimientos!$C$6:$C$16,Stocks!$A14,Movimientos!$F$6:$F$16,Stocks!F$3,Movimientos!$A$6:$A$16,"&lt;="&amp;Stocks!$A$2)-SUMIFS(Movimientos!$E$6:$E$16,Movimientos!$C$6:$C$16,Stocks!$A14,Movimientos!$G$6:$G$16,Stocks!F$3,Movimientos!$A$6:$A$16,"&lt;="&amp;Stocks!$A$2)</f>
        <v>0</v>
      </c>
      <c r="G14" s="4">
        <f>SUMIFS(Movimientos!$E$6:$E$16,Movimientos!$C$6:$C$16,Stocks!$A14,Movimientos!$F$6:$F$16,Stocks!G$3,Movimientos!$A$6:$A$16,"&lt;="&amp;Stocks!$A$2)-SUMIFS(Movimientos!$E$6:$E$16,Movimientos!$C$6:$C$16,Stocks!$A14,Movimientos!$G$6:$G$16,Stocks!G$3,Movimientos!$A$6:$A$16,"&lt;="&amp;Stocks!$A$2)</f>
        <v>0</v>
      </c>
      <c r="H14" s="4">
        <f>SUMIFS(Movimientos!$E$6:$E$16,Movimientos!$C$6:$C$16,Stocks!$A14,Movimientos!$F$6:$F$16,Stocks!H$3,Movimientos!$A$6:$A$16,"&lt;="&amp;Stocks!$A$2)-SUMIFS(Movimientos!$E$6:$E$16,Movimientos!$C$6:$C$16,Stocks!$A14,Movimientos!$G$6:$G$16,Stocks!H$3,Movimientos!$A$6:$A$16,"&lt;="&amp;Stocks!$A$2)</f>
        <v>0</v>
      </c>
      <c r="I14" s="4">
        <f>SUMIFS(Movimientos!$E$6:$E$16,Movimientos!$C$6:$C$16,Stocks!$A14,Movimientos!$F$6:$F$16,Stocks!I$3,Movimientos!$A$6:$A$16,"&lt;="&amp;Stocks!$A$2)-SUMIFS(Movimientos!$E$6:$E$16,Movimientos!$C$6:$C$16,Stocks!$A14,Movimientos!$G$6:$G$16,Stocks!I$3,Movimientos!$A$6:$A$16,"&lt;="&amp;Stocks!$A$2)</f>
        <v>0</v>
      </c>
      <c r="J14" s="4">
        <f>SUMIFS(Movimientos!$E$6:$E$16,Movimientos!$C$6:$C$16,Stocks!$A14,Movimientos!$F$6:$F$16,Stocks!J$3,Movimientos!$A$6:$A$16,"&lt;="&amp;Stocks!$A$2)-SUMIFS(Movimientos!$E$6:$E$16,Movimientos!$C$6:$C$16,Stocks!$A14,Movimientos!$G$6:$G$16,Stocks!J$3,Movimientos!$A$6:$A$16,"&lt;="&amp;Stocks!$A$2)</f>
        <v>0</v>
      </c>
      <c r="K14" s="4">
        <f>SUMIFS(Movimientos!$E$6:$E$16,Movimientos!$C$6:$C$16,Stocks!$A14,Movimientos!$F$6:$F$16,Stocks!K$3,Movimientos!$A$6:$A$16,"&lt;="&amp;Stocks!$A$2)-SUMIFS(Movimientos!$E$6:$E$16,Movimientos!$C$6:$C$16,Stocks!$A14,Movimientos!$G$6:$G$16,Stocks!K$3,Movimientos!$A$6:$A$16,"&lt;="&amp;Stocks!$A$2)</f>
        <v>0</v>
      </c>
      <c r="L14" s="4">
        <f>SUMIFS(Movimientos!$E$6:$E$16,Movimientos!$C$6:$C$16,Stocks!$A14,Movimientos!$F$6:$F$16,Stocks!L$3,Movimientos!$A$6:$A$16,"&lt;="&amp;Stocks!$A$2)-SUMIFS(Movimientos!$E$6:$E$16,Movimientos!$C$6:$C$16,Stocks!$A14,Movimientos!$G$6:$G$16,Stocks!L$3,Movimientos!$A$6:$A$16,"&lt;="&amp;Stocks!$A$2)</f>
        <v>0</v>
      </c>
    </row>
    <row r="15" spans="1:12" x14ac:dyDescent="0.25">
      <c r="A15" t="str">
        <f>Codificación!A14</f>
        <v/>
      </c>
      <c r="B15" s="1">
        <f>Codificación!B14</f>
        <v>0</v>
      </c>
      <c r="C15" s="4">
        <f t="shared" si="0"/>
        <v>0</v>
      </c>
      <c r="E15" s="4">
        <f>SUMIFS(Movimientos!$E$6:$E$16,Movimientos!$C$6:$C$16,Stocks!$A15,Movimientos!$F$6:$F$16,Stocks!E$3,Movimientos!$A$6:$A$16,"&lt;="&amp;Stocks!$A$2)-SUMIFS(Movimientos!$E$6:$E$16,Movimientos!$C$6:$C$16,Stocks!$A15,Movimientos!$G$6:$G$16,Stocks!E$3,Movimientos!$A$6:$A$16,"&lt;="&amp;Stocks!$A$2)</f>
        <v>0</v>
      </c>
      <c r="F15" s="4">
        <f>SUMIFS(Movimientos!$E$6:$E$16,Movimientos!$C$6:$C$16,Stocks!$A15,Movimientos!$F$6:$F$16,Stocks!F$3,Movimientos!$A$6:$A$16,"&lt;="&amp;Stocks!$A$2)-SUMIFS(Movimientos!$E$6:$E$16,Movimientos!$C$6:$C$16,Stocks!$A15,Movimientos!$G$6:$G$16,Stocks!F$3,Movimientos!$A$6:$A$16,"&lt;="&amp;Stocks!$A$2)</f>
        <v>0</v>
      </c>
      <c r="G15" s="4">
        <f>SUMIFS(Movimientos!$E$6:$E$16,Movimientos!$C$6:$C$16,Stocks!$A15,Movimientos!$F$6:$F$16,Stocks!G$3,Movimientos!$A$6:$A$16,"&lt;="&amp;Stocks!$A$2)-SUMIFS(Movimientos!$E$6:$E$16,Movimientos!$C$6:$C$16,Stocks!$A15,Movimientos!$G$6:$G$16,Stocks!G$3,Movimientos!$A$6:$A$16,"&lt;="&amp;Stocks!$A$2)</f>
        <v>0</v>
      </c>
      <c r="H15" s="4">
        <f>SUMIFS(Movimientos!$E$6:$E$16,Movimientos!$C$6:$C$16,Stocks!$A15,Movimientos!$F$6:$F$16,Stocks!H$3,Movimientos!$A$6:$A$16,"&lt;="&amp;Stocks!$A$2)-SUMIFS(Movimientos!$E$6:$E$16,Movimientos!$C$6:$C$16,Stocks!$A15,Movimientos!$G$6:$G$16,Stocks!H$3,Movimientos!$A$6:$A$16,"&lt;="&amp;Stocks!$A$2)</f>
        <v>0</v>
      </c>
      <c r="I15" s="4">
        <f>SUMIFS(Movimientos!$E$6:$E$16,Movimientos!$C$6:$C$16,Stocks!$A15,Movimientos!$F$6:$F$16,Stocks!I$3,Movimientos!$A$6:$A$16,"&lt;="&amp;Stocks!$A$2)-SUMIFS(Movimientos!$E$6:$E$16,Movimientos!$C$6:$C$16,Stocks!$A15,Movimientos!$G$6:$G$16,Stocks!I$3,Movimientos!$A$6:$A$16,"&lt;="&amp;Stocks!$A$2)</f>
        <v>0</v>
      </c>
      <c r="J15" s="4">
        <f>SUMIFS(Movimientos!$E$6:$E$16,Movimientos!$C$6:$C$16,Stocks!$A15,Movimientos!$F$6:$F$16,Stocks!J$3,Movimientos!$A$6:$A$16,"&lt;="&amp;Stocks!$A$2)-SUMIFS(Movimientos!$E$6:$E$16,Movimientos!$C$6:$C$16,Stocks!$A15,Movimientos!$G$6:$G$16,Stocks!J$3,Movimientos!$A$6:$A$16,"&lt;="&amp;Stocks!$A$2)</f>
        <v>0</v>
      </c>
      <c r="K15" s="4">
        <f>SUMIFS(Movimientos!$E$6:$E$16,Movimientos!$C$6:$C$16,Stocks!$A15,Movimientos!$F$6:$F$16,Stocks!K$3,Movimientos!$A$6:$A$16,"&lt;="&amp;Stocks!$A$2)-SUMIFS(Movimientos!$E$6:$E$16,Movimientos!$C$6:$C$16,Stocks!$A15,Movimientos!$G$6:$G$16,Stocks!K$3,Movimientos!$A$6:$A$16,"&lt;="&amp;Stocks!$A$2)</f>
        <v>0</v>
      </c>
      <c r="L15" s="4">
        <f>SUMIFS(Movimientos!$E$6:$E$16,Movimientos!$C$6:$C$16,Stocks!$A15,Movimientos!$F$6:$F$16,Stocks!L$3,Movimientos!$A$6:$A$16,"&lt;="&amp;Stocks!$A$2)-SUMIFS(Movimientos!$E$6:$E$16,Movimientos!$C$6:$C$16,Stocks!$A15,Movimientos!$G$6:$G$16,Stocks!L$3,Movimientos!$A$6:$A$16,"&lt;="&amp;Stocks!$A$2)</f>
        <v>0</v>
      </c>
    </row>
    <row r="16" spans="1:12" x14ac:dyDescent="0.25">
      <c r="A16" t="str">
        <f>Codificación!A15</f>
        <v/>
      </c>
      <c r="B16" s="1">
        <f>Codificación!B15</f>
        <v>0</v>
      </c>
      <c r="C16" s="4">
        <f t="shared" si="0"/>
        <v>0</v>
      </c>
      <c r="E16" s="4">
        <f>SUMIFS(Movimientos!$E$6:$E$16,Movimientos!$C$6:$C$16,Stocks!$A16,Movimientos!$F$6:$F$16,Stocks!E$3,Movimientos!$A$6:$A$16,"&lt;="&amp;Stocks!$A$2)-SUMIFS(Movimientos!$E$6:$E$16,Movimientos!$C$6:$C$16,Stocks!$A16,Movimientos!$G$6:$G$16,Stocks!E$3,Movimientos!$A$6:$A$16,"&lt;="&amp;Stocks!$A$2)</f>
        <v>0</v>
      </c>
      <c r="F16" s="4">
        <f>SUMIFS(Movimientos!$E$6:$E$16,Movimientos!$C$6:$C$16,Stocks!$A16,Movimientos!$F$6:$F$16,Stocks!F$3,Movimientos!$A$6:$A$16,"&lt;="&amp;Stocks!$A$2)-SUMIFS(Movimientos!$E$6:$E$16,Movimientos!$C$6:$C$16,Stocks!$A16,Movimientos!$G$6:$G$16,Stocks!F$3,Movimientos!$A$6:$A$16,"&lt;="&amp;Stocks!$A$2)</f>
        <v>0</v>
      </c>
      <c r="G16" s="4">
        <f>SUMIFS(Movimientos!$E$6:$E$16,Movimientos!$C$6:$C$16,Stocks!$A16,Movimientos!$F$6:$F$16,Stocks!G$3,Movimientos!$A$6:$A$16,"&lt;="&amp;Stocks!$A$2)-SUMIFS(Movimientos!$E$6:$E$16,Movimientos!$C$6:$C$16,Stocks!$A16,Movimientos!$G$6:$G$16,Stocks!G$3,Movimientos!$A$6:$A$16,"&lt;="&amp;Stocks!$A$2)</f>
        <v>0</v>
      </c>
      <c r="H16" s="4">
        <f>SUMIFS(Movimientos!$E$6:$E$16,Movimientos!$C$6:$C$16,Stocks!$A16,Movimientos!$F$6:$F$16,Stocks!H$3,Movimientos!$A$6:$A$16,"&lt;="&amp;Stocks!$A$2)-SUMIFS(Movimientos!$E$6:$E$16,Movimientos!$C$6:$C$16,Stocks!$A16,Movimientos!$G$6:$G$16,Stocks!H$3,Movimientos!$A$6:$A$16,"&lt;="&amp;Stocks!$A$2)</f>
        <v>0</v>
      </c>
      <c r="I16" s="4">
        <f>SUMIFS(Movimientos!$E$6:$E$16,Movimientos!$C$6:$C$16,Stocks!$A16,Movimientos!$F$6:$F$16,Stocks!I$3,Movimientos!$A$6:$A$16,"&lt;="&amp;Stocks!$A$2)-SUMIFS(Movimientos!$E$6:$E$16,Movimientos!$C$6:$C$16,Stocks!$A16,Movimientos!$G$6:$G$16,Stocks!I$3,Movimientos!$A$6:$A$16,"&lt;="&amp;Stocks!$A$2)</f>
        <v>0</v>
      </c>
      <c r="J16" s="4">
        <f>SUMIFS(Movimientos!$E$6:$E$16,Movimientos!$C$6:$C$16,Stocks!$A16,Movimientos!$F$6:$F$16,Stocks!J$3,Movimientos!$A$6:$A$16,"&lt;="&amp;Stocks!$A$2)-SUMIFS(Movimientos!$E$6:$E$16,Movimientos!$C$6:$C$16,Stocks!$A16,Movimientos!$G$6:$G$16,Stocks!J$3,Movimientos!$A$6:$A$16,"&lt;="&amp;Stocks!$A$2)</f>
        <v>0</v>
      </c>
      <c r="K16" s="4">
        <f>SUMIFS(Movimientos!$E$6:$E$16,Movimientos!$C$6:$C$16,Stocks!$A16,Movimientos!$F$6:$F$16,Stocks!K$3,Movimientos!$A$6:$A$16,"&lt;="&amp;Stocks!$A$2)-SUMIFS(Movimientos!$E$6:$E$16,Movimientos!$C$6:$C$16,Stocks!$A16,Movimientos!$G$6:$G$16,Stocks!K$3,Movimientos!$A$6:$A$16,"&lt;="&amp;Stocks!$A$2)</f>
        <v>0</v>
      </c>
      <c r="L16" s="4">
        <f>SUMIFS(Movimientos!$E$6:$E$16,Movimientos!$C$6:$C$16,Stocks!$A16,Movimientos!$F$6:$F$16,Stocks!L$3,Movimientos!$A$6:$A$16,"&lt;="&amp;Stocks!$A$2)-SUMIFS(Movimientos!$E$6:$E$16,Movimientos!$C$6:$C$16,Stocks!$A16,Movimientos!$G$6:$G$16,Stocks!L$3,Movimientos!$A$6:$A$16,"&lt;="&amp;Stocks!$A$2)</f>
        <v>0</v>
      </c>
    </row>
    <row r="17" spans="1:12" x14ac:dyDescent="0.25">
      <c r="A17" t="str">
        <f>Codificación!A16</f>
        <v/>
      </c>
      <c r="B17" s="1">
        <f>Codificación!B16</f>
        <v>0</v>
      </c>
      <c r="E17" s="4">
        <f>SUMIFS(Movimientos!$E$6:$E$16,Movimientos!$C$6:$C$16,Stocks!$A17,Movimientos!$F$6:$F$16,Stocks!E$3,Movimientos!$A$6:$A$16,"&lt;="&amp;Stocks!$A$2)-SUMIFS(Movimientos!$E$6:$E$16,Movimientos!$C$6:$C$16,Stocks!$A17,Movimientos!$G$6:$G$16,Stocks!E$3,Movimientos!$A$6:$A$16,"&lt;="&amp;Stocks!$A$2)</f>
        <v>0</v>
      </c>
      <c r="F17" s="4">
        <f>SUMIFS(Movimientos!$E$6:$E$16,Movimientos!$C$6:$C$16,Stocks!$A17,Movimientos!$F$6:$F$16,Stocks!F$3,Movimientos!$A$6:$A$16,"&lt;="&amp;Stocks!$A$2)-SUMIFS(Movimientos!$E$6:$E$16,Movimientos!$C$6:$C$16,Stocks!$A17,Movimientos!$G$6:$G$16,Stocks!F$3,Movimientos!$A$6:$A$16,"&lt;="&amp;Stocks!$A$2)</f>
        <v>0</v>
      </c>
      <c r="G17" s="4">
        <f>SUMIFS(Movimientos!$E$6:$E$16,Movimientos!$C$6:$C$16,Stocks!$A17,Movimientos!$F$6:$F$16,Stocks!G$3,Movimientos!$A$6:$A$16,"&lt;="&amp;Stocks!$A$2)-SUMIFS(Movimientos!$E$6:$E$16,Movimientos!$C$6:$C$16,Stocks!$A17,Movimientos!$G$6:$G$16,Stocks!G$3,Movimientos!$A$6:$A$16,"&lt;="&amp;Stocks!$A$2)</f>
        <v>0</v>
      </c>
      <c r="H17" s="4">
        <f>SUMIFS(Movimientos!$E$6:$E$16,Movimientos!$C$6:$C$16,Stocks!$A17,Movimientos!$F$6:$F$16,Stocks!H$3,Movimientos!$A$6:$A$16,"&lt;="&amp;Stocks!$A$2)-SUMIFS(Movimientos!$E$6:$E$16,Movimientos!$C$6:$C$16,Stocks!$A17,Movimientos!$G$6:$G$16,Stocks!H$3,Movimientos!$A$6:$A$16,"&lt;="&amp;Stocks!$A$2)</f>
        <v>0</v>
      </c>
      <c r="I17" s="4">
        <f>SUMIFS(Movimientos!$E$6:$E$16,Movimientos!$C$6:$C$16,Stocks!$A17,Movimientos!$F$6:$F$16,Stocks!I$3,Movimientos!$A$6:$A$16,"&lt;="&amp;Stocks!$A$2)-SUMIFS(Movimientos!$E$6:$E$16,Movimientos!$C$6:$C$16,Stocks!$A17,Movimientos!$G$6:$G$16,Stocks!I$3,Movimientos!$A$6:$A$16,"&lt;="&amp;Stocks!$A$2)</f>
        <v>0</v>
      </c>
      <c r="J17" s="4">
        <f>SUMIFS(Movimientos!$E$6:$E$16,Movimientos!$C$6:$C$16,Stocks!$A17,Movimientos!$F$6:$F$16,Stocks!J$3,Movimientos!$A$6:$A$16,"&lt;="&amp;Stocks!$A$2)-SUMIFS(Movimientos!$E$6:$E$16,Movimientos!$C$6:$C$16,Stocks!$A17,Movimientos!$G$6:$G$16,Stocks!J$3,Movimientos!$A$6:$A$16,"&lt;="&amp;Stocks!$A$2)</f>
        <v>0</v>
      </c>
      <c r="K17" s="4">
        <f>SUMIFS(Movimientos!$E$6:$E$16,Movimientos!$C$6:$C$16,Stocks!$A17,Movimientos!$F$6:$F$16,Stocks!K$3,Movimientos!$A$6:$A$16,"&lt;="&amp;Stocks!$A$2)-SUMIFS(Movimientos!$E$6:$E$16,Movimientos!$C$6:$C$16,Stocks!$A17,Movimientos!$G$6:$G$16,Stocks!K$3,Movimientos!$A$6:$A$16,"&lt;="&amp;Stocks!$A$2)</f>
        <v>0</v>
      </c>
      <c r="L17" s="4">
        <f>SUMIFS(Movimientos!$E$6:$E$16,Movimientos!$C$6:$C$16,Stocks!$A17,Movimientos!$F$6:$F$16,Stocks!L$3,Movimientos!$A$6:$A$16,"&lt;="&amp;Stocks!$A$2)-SUMIFS(Movimientos!$E$6:$E$16,Movimientos!$C$6:$C$16,Stocks!$A17,Movimientos!$G$6:$G$16,Stocks!L$3,Movimientos!$A$6:$A$16,"&lt;="&amp;Stocks!$A$2)</f>
        <v>0</v>
      </c>
    </row>
    <row r="18" spans="1:12" x14ac:dyDescent="0.25">
      <c r="A18" t="str">
        <f>Codificación!A17</f>
        <v/>
      </c>
      <c r="B18" s="1">
        <f>Codificación!B17</f>
        <v>0</v>
      </c>
      <c r="E18" s="4">
        <f>SUMIFS(Movimientos!$E$6:$E$16,Movimientos!$C$6:$C$16,Stocks!$A18,Movimientos!$F$6:$F$16,Stocks!E$3,Movimientos!$A$6:$A$16,"&lt;="&amp;Stocks!$A$2)-SUMIFS(Movimientos!$E$6:$E$16,Movimientos!$C$6:$C$16,Stocks!$A18,Movimientos!$G$6:$G$16,Stocks!E$3,Movimientos!$A$6:$A$16,"&lt;="&amp;Stocks!$A$2)</f>
        <v>0</v>
      </c>
      <c r="F18" s="4">
        <f>SUMIFS(Movimientos!$E$6:$E$16,Movimientos!$C$6:$C$16,Stocks!$A18,Movimientos!$F$6:$F$16,Stocks!F$3,Movimientos!$A$6:$A$16,"&lt;="&amp;Stocks!$A$2)-SUMIFS(Movimientos!$E$6:$E$16,Movimientos!$C$6:$C$16,Stocks!$A18,Movimientos!$G$6:$G$16,Stocks!F$3,Movimientos!$A$6:$A$16,"&lt;="&amp;Stocks!$A$2)</f>
        <v>0</v>
      </c>
      <c r="G18" s="4">
        <f>SUMIFS(Movimientos!$E$6:$E$16,Movimientos!$C$6:$C$16,Stocks!$A18,Movimientos!$F$6:$F$16,Stocks!G$3,Movimientos!$A$6:$A$16,"&lt;="&amp;Stocks!$A$2)-SUMIFS(Movimientos!$E$6:$E$16,Movimientos!$C$6:$C$16,Stocks!$A18,Movimientos!$G$6:$G$16,Stocks!G$3,Movimientos!$A$6:$A$16,"&lt;="&amp;Stocks!$A$2)</f>
        <v>0</v>
      </c>
      <c r="H18" s="4">
        <f>SUMIFS(Movimientos!$E$6:$E$16,Movimientos!$C$6:$C$16,Stocks!$A18,Movimientos!$F$6:$F$16,Stocks!H$3,Movimientos!$A$6:$A$16,"&lt;="&amp;Stocks!$A$2)-SUMIFS(Movimientos!$E$6:$E$16,Movimientos!$C$6:$C$16,Stocks!$A18,Movimientos!$G$6:$G$16,Stocks!H$3,Movimientos!$A$6:$A$16,"&lt;="&amp;Stocks!$A$2)</f>
        <v>0</v>
      </c>
      <c r="I18" s="4">
        <f>SUMIFS(Movimientos!$E$6:$E$16,Movimientos!$C$6:$C$16,Stocks!$A18,Movimientos!$F$6:$F$16,Stocks!I$3,Movimientos!$A$6:$A$16,"&lt;="&amp;Stocks!$A$2)-SUMIFS(Movimientos!$E$6:$E$16,Movimientos!$C$6:$C$16,Stocks!$A18,Movimientos!$G$6:$G$16,Stocks!I$3,Movimientos!$A$6:$A$16,"&lt;="&amp;Stocks!$A$2)</f>
        <v>0</v>
      </c>
      <c r="J18" s="4">
        <f>SUMIFS(Movimientos!$E$6:$E$16,Movimientos!$C$6:$C$16,Stocks!$A18,Movimientos!$F$6:$F$16,Stocks!J$3,Movimientos!$A$6:$A$16,"&lt;="&amp;Stocks!$A$2)-SUMIFS(Movimientos!$E$6:$E$16,Movimientos!$C$6:$C$16,Stocks!$A18,Movimientos!$G$6:$G$16,Stocks!J$3,Movimientos!$A$6:$A$16,"&lt;="&amp;Stocks!$A$2)</f>
        <v>0</v>
      </c>
      <c r="K18" s="4">
        <f>SUMIFS(Movimientos!$E$6:$E$16,Movimientos!$C$6:$C$16,Stocks!$A18,Movimientos!$F$6:$F$16,Stocks!K$3,Movimientos!$A$6:$A$16,"&lt;="&amp;Stocks!$A$2)-SUMIFS(Movimientos!$E$6:$E$16,Movimientos!$C$6:$C$16,Stocks!$A18,Movimientos!$G$6:$G$16,Stocks!K$3,Movimientos!$A$6:$A$16,"&lt;="&amp;Stocks!$A$2)</f>
        <v>0</v>
      </c>
      <c r="L18" s="4">
        <f>SUMIFS(Movimientos!$E$6:$E$16,Movimientos!$C$6:$C$16,Stocks!$A18,Movimientos!$F$6:$F$16,Stocks!L$3,Movimientos!$A$6:$A$16,"&lt;="&amp;Stocks!$A$2)-SUMIFS(Movimientos!$E$6:$E$16,Movimientos!$C$6:$C$16,Stocks!$A18,Movimientos!$G$6:$G$16,Stocks!L$3,Movimientos!$A$6:$A$16,"&lt;="&amp;Stocks!$A$2)</f>
        <v>0</v>
      </c>
    </row>
    <row r="19" spans="1:12" x14ac:dyDescent="0.25">
      <c r="A19" t="str">
        <f>Codificación!A18</f>
        <v/>
      </c>
      <c r="B19" s="1">
        <f>Codificación!B18</f>
        <v>0</v>
      </c>
      <c r="E19" s="4">
        <f>SUMIFS(Movimientos!$E$6:$E$16,Movimientos!$C$6:$C$16,Stocks!$A19,Movimientos!$F$6:$F$16,Stocks!E$3,Movimientos!$A$6:$A$16,"&lt;="&amp;Stocks!$A$2)-SUMIFS(Movimientos!$E$6:$E$16,Movimientos!$C$6:$C$16,Stocks!$A19,Movimientos!$G$6:$G$16,Stocks!E$3,Movimientos!$A$6:$A$16,"&lt;="&amp;Stocks!$A$2)</f>
        <v>0</v>
      </c>
      <c r="F19" s="4">
        <f>SUMIFS(Movimientos!$E$6:$E$16,Movimientos!$C$6:$C$16,Stocks!$A19,Movimientos!$F$6:$F$16,Stocks!F$3,Movimientos!$A$6:$A$16,"&lt;="&amp;Stocks!$A$2)-SUMIFS(Movimientos!$E$6:$E$16,Movimientos!$C$6:$C$16,Stocks!$A19,Movimientos!$G$6:$G$16,Stocks!F$3,Movimientos!$A$6:$A$16,"&lt;="&amp;Stocks!$A$2)</f>
        <v>0</v>
      </c>
      <c r="G19" s="4">
        <f>SUMIFS(Movimientos!$E$6:$E$16,Movimientos!$C$6:$C$16,Stocks!$A19,Movimientos!$F$6:$F$16,Stocks!G$3,Movimientos!$A$6:$A$16,"&lt;="&amp;Stocks!$A$2)-SUMIFS(Movimientos!$E$6:$E$16,Movimientos!$C$6:$C$16,Stocks!$A19,Movimientos!$G$6:$G$16,Stocks!G$3,Movimientos!$A$6:$A$16,"&lt;="&amp;Stocks!$A$2)</f>
        <v>0</v>
      </c>
      <c r="H19" s="4">
        <f>SUMIFS(Movimientos!$E$6:$E$16,Movimientos!$C$6:$C$16,Stocks!$A19,Movimientos!$F$6:$F$16,Stocks!H$3,Movimientos!$A$6:$A$16,"&lt;="&amp;Stocks!$A$2)-SUMIFS(Movimientos!$E$6:$E$16,Movimientos!$C$6:$C$16,Stocks!$A19,Movimientos!$G$6:$G$16,Stocks!H$3,Movimientos!$A$6:$A$16,"&lt;="&amp;Stocks!$A$2)</f>
        <v>0</v>
      </c>
      <c r="I19" s="4">
        <f>SUMIFS(Movimientos!$E$6:$E$16,Movimientos!$C$6:$C$16,Stocks!$A19,Movimientos!$F$6:$F$16,Stocks!I$3,Movimientos!$A$6:$A$16,"&lt;="&amp;Stocks!$A$2)-SUMIFS(Movimientos!$E$6:$E$16,Movimientos!$C$6:$C$16,Stocks!$A19,Movimientos!$G$6:$G$16,Stocks!I$3,Movimientos!$A$6:$A$16,"&lt;="&amp;Stocks!$A$2)</f>
        <v>0</v>
      </c>
      <c r="J19" s="4">
        <f>SUMIFS(Movimientos!$E$6:$E$16,Movimientos!$C$6:$C$16,Stocks!$A19,Movimientos!$F$6:$F$16,Stocks!J$3,Movimientos!$A$6:$A$16,"&lt;="&amp;Stocks!$A$2)-SUMIFS(Movimientos!$E$6:$E$16,Movimientos!$C$6:$C$16,Stocks!$A19,Movimientos!$G$6:$G$16,Stocks!J$3,Movimientos!$A$6:$A$16,"&lt;="&amp;Stocks!$A$2)</f>
        <v>0</v>
      </c>
      <c r="K19" s="4">
        <f>SUMIFS(Movimientos!$E$6:$E$16,Movimientos!$C$6:$C$16,Stocks!$A19,Movimientos!$F$6:$F$16,Stocks!K$3,Movimientos!$A$6:$A$16,"&lt;="&amp;Stocks!$A$2)-SUMIFS(Movimientos!$E$6:$E$16,Movimientos!$C$6:$C$16,Stocks!$A19,Movimientos!$G$6:$G$16,Stocks!K$3,Movimientos!$A$6:$A$16,"&lt;="&amp;Stocks!$A$2)</f>
        <v>0</v>
      </c>
      <c r="L19" s="4">
        <f>SUMIFS(Movimientos!$E$6:$E$16,Movimientos!$C$6:$C$16,Stocks!$A19,Movimientos!$F$6:$F$16,Stocks!L$3,Movimientos!$A$6:$A$16,"&lt;="&amp;Stocks!$A$2)-SUMIFS(Movimientos!$E$6:$E$16,Movimientos!$C$6:$C$16,Stocks!$A19,Movimientos!$G$6:$G$16,Stocks!L$3,Movimientos!$A$6:$A$16,"&lt;="&amp;Stocks!$A$2)</f>
        <v>0</v>
      </c>
    </row>
    <row r="20" spans="1:12" x14ac:dyDescent="0.25">
      <c r="A20" t="str">
        <f>Codificación!A19</f>
        <v/>
      </c>
      <c r="B20" s="1">
        <f>Codificación!B19</f>
        <v>0</v>
      </c>
      <c r="E20" s="4">
        <f>SUMIFS(Movimientos!$E$6:$E$16,Movimientos!$C$6:$C$16,Stocks!$A20,Movimientos!$F$6:$F$16,Stocks!E$3,Movimientos!$A$6:$A$16,"&lt;="&amp;Stocks!$A$2)-SUMIFS(Movimientos!$E$6:$E$16,Movimientos!$C$6:$C$16,Stocks!$A20,Movimientos!$G$6:$G$16,Stocks!E$3,Movimientos!$A$6:$A$16,"&lt;="&amp;Stocks!$A$2)</f>
        <v>0</v>
      </c>
      <c r="F20" s="4">
        <f>SUMIFS(Movimientos!$E$6:$E$16,Movimientos!$C$6:$C$16,Stocks!$A20,Movimientos!$F$6:$F$16,Stocks!F$3,Movimientos!$A$6:$A$16,"&lt;="&amp;Stocks!$A$2)-SUMIFS(Movimientos!$E$6:$E$16,Movimientos!$C$6:$C$16,Stocks!$A20,Movimientos!$G$6:$G$16,Stocks!F$3,Movimientos!$A$6:$A$16,"&lt;="&amp;Stocks!$A$2)</f>
        <v>0</v>
      </c>
      <c r="G20" s="4">
        <f>SUMIFS(Movimientos!$E$6:$E$16,Movimientos!$C$6:$C$16,Stocks!$A20,Movimientos!$F$6:$F$16,Stocks!G$3,Movimientos!$A$6:$A$16,"&lt;="&amp;Stocks!$A$2)-SUMIFS(Movimientos!$E$6:$E$16,Movimientos!$C$6:$C$16,Stocks!$A20,Movimientos!$G$6:$G$16,Stocks!G$3,Movimientos!$A$6:$A$16,"&lt;="&amp;Stocks!$A$2)</f>
        <v>0</v>
      </c>
      <c r="H20" s="4">
        <f>SUMIFS(Movimientos!$E$6:$E$16,Movimientos!$C$6:$C$16,Stocks!$A20,Movimientos!$F$6:$F$16,Stocks!H$3,Movimientos!$A$6:$A$16,"&lt;="&amp;Stocks!$A$2)-SUMIFS(Movimientos!$E$6:$E$16,Movimientos!$C$6:$C$16,Stocks!$A20,Movimientos!$G$6:$G$16,Stocks!H$3,Movimientos!$A$6:$A$16,"&lt;="&amp;Stocks!$A$2)</f>
        <v>0</v>
      </c>
      <c r="I20" s="4">
        <f>SUMIFS(Movimientos!$E$6:$E$16,Movimientos!$C$6:$C$16,Stocks!$A20,Movimientos!$F$6:$F$16,Stocks!I$3,Movimientos!$A$6:$A$16,"&lt;="&amp;Stocks!$A$2)-SUMIFS(Movimientos!$E$6:$E$16,Movimientos!$C$6:$C$16,Stocks!$A20,Movimientos!$G$6:$G$16,Stocks!I$3,Movimientos!$A$6:$A$16,"&lt;="&amp;Stocks!$A$2)</f>
        <v>0</v>
      </c>
      <c r="J20" s="4">
        <f>SUMIFS(Movimientos!$E$6:$E$16,Movimientos!$C$6:$C$16,Stocks!$A20,Movimientos!$F$6:$F$16,Stocks!J$3,Movimientos!$A$6:$A$16,"&lt;="&amp;Stocks!$A$2)-SUMIFS(Movimientos!$E$6:$E$16,Movimientos!$C$6:$C$16,Stocks!$A20,Movimientos!$G$6:$G$16,Stocks!J$3,Movimientos!$A$6:$A$16,"&lt;="&amp;Stocks!$A$2)</f>
        <v>0</v>
      </c>
      <c r="K20" s="4">
        <f>SUMIFS(Movimientos!$E$6:$E$16,Movimientos!$C$6:$C$16,Stocks!$A20,Movimientos!$F$6:$F$16,Stocks!K$3,Movimientos!$A$6:$A$16,"&lt;="&amp;Stocks!$A$2)-SUMIFS(Movimientos!$E$6:$E$16,Movimientos!$C$6:$C$16,Stocks!$A20,Movimientos!$G$6:$G$16,Stocks!K$3,Movimientos!$A$6:$A$16,"&lt;="&amp;Stocks!$A$2)</f>
        <v>0</v>
      </c>
      <c r="L20" s="4">
        <f>SUMIFS(Movimientos!$E$6:$E$16,Movimientos!$C$6:$C$16,Stocks!$A20,Movimientos!$F$6:$F$16,Stocks!L$3,Movimientos!$A$6:$A$16,"&lt;="&amp;Stocks!$A$2)-SUMIFS(Movimientos!$E$6:$E$16,Movimientos!$C$6:$C$16,Stocks!$A20,Movimientos!$G$6:$G$16,Stocks!L$3,Movimientos!$A$6:$A$16,"&lt;="&amp;Stocks!$A$2)</f>
        <v>0</v>
      </c>
    </row>
    <row r="21" spans="1:12" x14ac:dyDescent="0.25">
      <c r="A21" t="str">
        <f>Codificación!A20</f>
        <v/>
      </c>
      <c r="B21" s="1">
        <f>Codificación!B20</f>
        <v>0</v>
      </c>
      <c r="E21" s="4">
        <f>SUMIFS(Movimientos!$E$6:$E$16,Movimientos!$C$6:$C$16,Stocks!$A21,Movimientos!$F$6:$F$16,Stocks!E$3,Movimientos!$A$6:$A$16,"&lt;="&amp;Stocks!$A$2)-SUMIFS(Movimientos!$E$6:$E$16,Movimientos!$C$6:$C$16,Stocks!$A21,Movimientos!$G$6:$G$16,Stocks!E$3,Movimientos!$A$6:$A$16,"&lt;="&amp;Stocks!$A$2)</f>
        <v>0</v>
      </c>
      <c r="F21" s="4">
        <f>SUMIFS(Movimientos!$E$6:$E$16,Movimientos!$C$6:$C$16,Stocks!$A21,Movimientos!$F$6:$F$16,Stocks!F$3,Movimientos!$A$6:$A$16,"&lt;="&amp;Stocks!$A$2)-SUMIFS(Movimientos!$E$6:$E$16,Movimientos!$C$6:$C$16,Stocks!$A21,Movimientos!$G$6:$G$16,Stocks!F$3,Movimientos!$A$6:$A$16,"&lt;="&amp;Stocks!$A$2)</f>
        <v>0</v>
      </c>
      <c r="G21" s="4">
        <f>SUMIFS(Movimientos!$E$6:$E$16,Movimientos!$C$6:$C$16,Stocks!$A21,Movimientos!$F$6:$F$16,Stocks!G$3,Movimientos!$A$6:$A$16,"&lt;="&amp;Stocks!$A$2)-SUMIFS(Movimientos!$E$6:$E$16,Movimientos!$C$6:$C$16,Stocks!$A21,Movimientos!$G$6:$G$16,Stocks!G$3,Movimientos!$A$6:$A$16,"&lt;="&amp;Stocks!$A$2)</f>
        <v>0</v>
      </c>
      <c r="H21" s="4">
        <f>SUMIFS(Movimientos!$E$6:$E$16,Movimientos!$C$6:$C$16,Stocks!$A21,Movimientos!$F$6:$F$16,Stocks!H$3,Movimientos!$A$6:$A$16,"&lt;="&amp;Stocks!$A$2)-SUMIFS(Movimientos!$E$6:$E$16,Movimientos!$C$6:$C$16,Stocks!$A21,Movimientos!$G$6:$G$16,Stocks!H$3,Movimientos!$A$6:$A$16,"&lt;="&amp;Stocks!$A$2)</f>
        <v>0</v>
      </c>
      <c r="I21" s="4">
        <f>SUMIFS(Movimientos!$E$6:$E$16,Movimientos!$C$6:$C$16,Stocks!$A21,Movimientos!$F$6:$F$16,Stocks!I$3,Movimientos!$A$6:$A$16,"&lt;="&amp;Stocks!$A$2)-SUMIFS(Movimientos!$E$6:$E$16,Movimientos!$C$6:$C$16,Stocks!$A21,Movimientos!$G$6:$G$16,Stocks!I$3,Movimientos!$A$6:$A$16,"&lt;="&amp;Stocks!$A$2)</f>
        <v>0</v>
      </c>
      <c r="J21" s="4">
        <f>SUMIFS(Movimientos!$E$6:$E$16,Movimientos!$C$6:$C$16,Stocks!$A21,Movimientos!$F$6:$F$16,Stocks!J$3,Movimientos!$A$6:$A$16,"&lt;="&amp;Stocks!$A$2)-SUMIFS(Movimientos!$E$6:$E$16,Movimientos!$C$6:$C$16,Stocks!$A21,Movimientos!$G$6:$G$16,Stocks!J$3,Movimientos!$A$6:$A$16,"&lt;="&amp;Stocks!$A$2)</f>
        <v>0</v>
      </c>
      <c r="K21" s="4">
        <f>SUMIFS(Movimientos!$E$6:$E$16,Movimientos!$C$6:$C$16,Stocks!$A21,Movimientos!$F$6:$F$16,Stocks!K$3,Movimientos!$A$6:$A$16,"&lt;="&amp;Stocks!$A$2)-SUMIFS(Movimientos!$E$6:$E$16,Movimientos!$C$6:$C$16,Stocks!$A21,Movimientos!$G$6:$G$16,Stocks!K$3,Movimientos!$A$6:$A$16,"&lt;="&amp;Stocks!$A$2)</f>
        <v>0</v>
      </c>
      <c r="L21" s="4">
        <f>SUMIFS(Movimientos!$E$6:$E$16,Movimientos!$C$6:$C$16,Stocks!$A21,Movimientos!$F$6:$F$16,Stocks!L$3,Movimientos!$A$6:$A$16,"&lt;="&amp;Stocks!$A$2)-SUMIFS(Movimientos!$E$6:$E$16,Movimientos!$C$6:$C$16,Stocks!$A21,Movimientos!$G$6:$G$16,Stocks!L$3,Movimientos!$A$6:$A$16,"&lt;="&amp;Stocks!$A$2)</f>
        <v>0</v>
      </c>
    </row>
    <row r="22" spans="1:12" x14ac:dyDescent="0.25">
      <c r="A22" t="str">
        <f>Codificación!A21</f>
        <v/>
      </c>
      <c r="B22" s="1">
        <f>Codificación!B21</f>
        <v>0</v>
      </c>
      <c r="E22" s="4">
        <f>SUMIFS(Movimientos!$E$6:$E$16,Movimientos!$C$6:$C$16,Stocks!$A22,Movimientos!$F$6:$F$16,Stocks!E$3,Movimientos!$A$6:$A$16,"&lt;="&amp;Stocks!$A$2)-SUMIFS(Movimientos!$E$6:$E$16,Movimientos!$C$6:$C$16,Stocks!$A22,Movimientos!$G$6:$G$16,Stocks!E$3,Movimientos!$A$6:$A$16,"&lt;="&amp;Stocks!$A$2)</f>
        <v>0</v>
      </c>
      <c r="F22" s="4">
        <f>SUMIFS(Movimientos!$E$6:$E$16,Movimientos!$C$6:$C$16,Stocks!$A22,Movimientos!$F$6:$F$16,Stocks!F$3,Movimientos!$A$6:$A$16,"&lt;="&amp;Stocks!$A$2)-SUMIFS(Movimientos!$E$6:$E$16,Movimientos!$C$6:$C$16,Stocks!$A22,Movimientos!$G$6:$G$16,Stocks!F$3,Movimientos!$A$6:$A$16,"&lt;="&amp;Stocks!$A$2)</f>
        <v>0</v>
      </c>
      <c r="G22" s="4">
        <f>SUMIFS(Movimientos!$E$6:$E$16,Movimientos!$C$6:$C$16,Stocks!$A22,Movimientos!$F$6:$F$16,Stocks!G$3,Movimientos!$A$6:$A$16,"&lt;="&amp;Stocks!$A$2)-SUMIFS(Movimientos!$E$6:$E$16,Movimientos!$C$6:$C$16,Stocks!$A22,Movimientos!$G$6:$G$16,Stocks!G$3,Movimientos!$A$6:$A$16,"&lt;="&amp;Stocks!$A$2)</f>
        <v>0</v>
      </c>
      <c r="H22" s="4">
        <f>SUMIFS(Movimientos!$E$6:$E$16,Movimientos!$C$6:$C$16,Stocks!$A22,Movimientos!$F$6:$F$16,Stocks!H$3,Movimientos!$A$6:$A$16,"&lt;="&amp;Stocks!$A$2)-SUMIFS(Movimientos!$E$6:$E$16,Movimientos!$C$6:$C$16,Stocks!$A22,Movimientos!$G$6:$G$16,Stocks!H$3,Movimientos!$A$6:$A$16,"&lt;="&amp;Stocks!$A$2)</f>
        <v>0</v>
      </c>
      <c r="I22" s="4">
        <f>SUMIFS(Movimientos!$E$6:$E$16,Movimientos!$C$6:$C$16,Stocks!$A22,Movimientos!$F$6:$F$16,Stocks!I$3,Movimientos!$A$6:$A$16,"&lt;="&amp;Stocks!$A$2)-SUMIFS(Movimientos!$E$6:$E$16,Movimientos!$C$6:$C$16,Stocks!$A22,Movimientos!$G$6:$G$16,Stocks!I$3,Movimientos!$A$6:$A$16,"&lt;="&amp;Stocks!$A$2)</f>
        <v>0</v>
      </c>
      <c r="J22" s="4">
        <f>SUMIFS(Movimientos!$E$6:$E$16,Movimientos!$C$6:$C$16,Stocks!$A22,Movimientos!$F$6:$F$16,Stocks!J$3,Movimientos!$A$6:$A$16,"&lt;="&amp;Stocks!$A$2)-SUMIFS(Movimientos!$E$6:$E$16,Movimientos!$C$6:$C$16,Stocks!$A22,Movimientos!$G$6:$G$16,Stocks!J$3,Movimientos!$A$6:$A$16,"&lt;="&amp;Stocks!$A$2)</f>
        <v>0</v>
      </c>
      <c r="K22" s="4">
        <f>SUMIFS(Movimientos!$E$6:$E$16,Movimientos!$C$6:$C$16,Stocks!$A22,Movimientos!$F$6:$F$16,Stocks!K$3,Movimientos!$A$6:$A$16,"&lt;="&amp;Stocks!$A$2)-SUMIFS(Movimientos!$E$6:$E$16,Movimientos!$C$6:$C$16,Stocks!$A22,Movimientos!$G$6:$G$16,Stocks!K$3,Movimientos!$A$6:$A$16,"&lt;="&amp;Stocks!$A$2)</f>
        <v>0</v>
      </c>
      <c r="L22" s="4">
        <f>SUMIFS(Movimientos!$E$6:$E$16,Movimientos!$C$6:$C$16,Stocks!$A22,Movimientos!$F$6:$F$16,Stocks!L$3,Movimientos!$A$6:$A$16,"&lt;="&amp;Stocks!$A$2)-SUMIFS(Movimientos!$E$6:$E$16,Movimientos!$C$6:$C$16,Stocks!$A22,Movimientos!$G$6:$G$16,Stocks!L$3,Movimientos!$A$6:$A$16,"&lt;="&amp;Stocks!$A$2)</f>
        <v>0</v>
      </c>
    </row>
    <row r="23" spans="1:12" x14ac:dyDescent="0.25">
      <c r="A23" t="str">
        <f>Codificación!A22</f>
        <v/>
      </c>
      <c r="B23" s="1">
        <f>Codificación!B22</f>
        <v>0</v>
      </c>
      <c r="E23" s="4">
        <f>SUMIFS(Movimientos!$E$6:$E$16,Movimientos!$C$6:$C$16,Stocks!$A23,Movimientos!$F$6:$F$16,Stocks!E$3,Movimientos!$A$6:$A$16,"&lt;="&amp;Stocks!$A$2)-SUMIFS(Movimientos!$E$6:$E$16,Movimientos!$C$6:$C$16,Stocks!$A23,Movimientos!$G$6:$G$16,Stocks!E$3,Movimientos!$A$6:$A$16,"&lt;="&amp;Stocks!$A$2)</f>
        <v>0</v>
      </c>
      <c r="F23" s="4">
        <f>SUMIFS(Movimientos!$E$6:$E$16,Movimientos!$C$6:$C$16,Stocks!$A23,Movimientos!$F$6:$F$16,Stocks!F$3,Movimientos!$A$6:$A$16,"&lt;="&amp;Stocks!$A$2)-SUMIFS(Movimientos!$E$6:$E$16,Movimientos!$C$6:$C$16,Stocks!$A23,Movimientos!$G$6:$G$16,Stocks!F$3,Movimientos!$A$6:$A$16,"&lt;="&amp;Stocks!$A$2)</f>
        <v>0</v>
      </c>
      <c r="G23" s="4">
        <f>SUMIFS(Movimientos!$E$6:$E$16,Movimientos!$C$6:$C$16,Stocks!$A23,Movimientos!$F$6:$F$16,Stocks!G$3,Movimientos!$A$6:$A$16,"&lt;="&amp;Stocks!$A$2)-SUMIFS(Movimientos!$E$6:$E$16,Movimientos!$C$6:$C$16,Stocks!$A23,Movimientos!$G$6:$G$16,Stocks!G$3,Movimientos!$A$6:$A$16,"&lt;="&amp;Stocks!$A$2)</f>
        <v>0</v>
      </c>
      <c r="H23" s="4">
        <f>SUMIFS(Movimientos!$E$6:$E$16,Movimientos!$C$6:$C$16,Stocks!$A23,Movimientos!$F$6:$F$16,Stocks!H$3,Movimientos!$A$6:$A$16,"&lt;="&amp;Stocks!$A$2)-SUMIFS(Movimientos!$E$6:$E$16,Movimientos!$C$6:$C$16,Stocks!$A23,Movimientos!$G$6:$G$16,Stocks!H$3,Movimientos!$A$6:$A$16,"&lt;="&amp;Stocks!$A$2)</f>
        <v>0</v>
      </c>
      <c r="I23" s="4">
        <f>SUMIFS(Movimientos!$E$6:$E$16,Movimientos!$C$6:$C$16,Stocks!$A23,Movimientos!$F$6:$F$16,Stocks!I$3,Movimientos!$A$6:$A$16,"&lt;="&amp;Stocks!$A$2)-SUMIFS(Movimientos!$E$6:$E$16,Movimientos!$C$6:$C$16,Stocks!$A23,Movimientos!$G$6:$G$16,Stocks!I$3,Movimientos!$A$6:$A$16,"&lt;="&amp;Stocks!$A$2)</f>
        <v>0</v>
      </c>
      <c r="J23" s="4">
        <f>SUMIFS(Movimientos!$E$6:$E$16,Movimientos!$C$6:$C$16,Stocks!$A23,Movimientos!$F$6:$F$16,Stocks!J$3,Movimientos!$A$6:$A$16,"&lt;="&amp;Stocks!$A$2)-SUMIFS(Movimientos!$E$6:$E$16,Movimientos!$C$6:$C$16,Stocks!$A23,Movimientos!$G$6:$G$16,Stocks!J$3,Movimientos!$A$6:$A$16,"&lt;="&amp;Stocks!$A$2)</f>
        <v>0</v>
      </c>
      <c r="K23" s="4">
        <f>SUMIFS(Movimientos!$E$6:$E$16,Movimientos!$C$6:$C$16,Stocks!$A23,Movimientos!$F$6:$F$16,Stocks!K$3,Movimientos!$A$6:$A$16,"&lt;="&amp;Stocks!$A$2)-SUMIFS(Movimientos!$E$6:$E$16,Movimientos!$C$6:$C$16,Stocks!$A23,Movimientos!$G$6:$G$16,Stocks!K$3,Movimientos!$A$6:$A$16,"&lt;="&amp;Stocks!$A$2)</f>
        <v>0</v>
      </c>
      <c r="L23" s="4">
        <f>SUMIFS(Movimientos!$E$6:$E$16,Movimientos!$C$6:$C$16,Stocks!$A23,Movimientos!$F$6:$F$16,Stocks!L$3,Movimientos!$A$6:$A$16,"&lt;="&amp;Stocks!$A$2)-SUMIFS(Movimientos!$E$6:$E$16,Movimientos!$C$6:$C$16,Stocks!$A23,Movimientos!$G$6:$G$16,Stocks!L$3,Movimientos!$A$6:$A$16,"&lt;="&amp;Stocks!$A$2)</f>
        <v>0</v>
      </c>
    </row>
    <row r="24" spans="1:12" x14ac:dyDescent="0.25">
      <c r="A24" t="str">
        <f>Codificación!A23</f>
        <v/>
      </c>
      <c r="B24" s="1">
        <f>Codificación!B23</f>
        <v>0</v>
      </c>
      <c r="E24" s="4">
        <f>SUMIFS(Movimientos!$E$6:$E$16,Movimientos!$C$6:$C$16,Stocks!$A24,Movimientos!$F$6:$F$16,Stocks!E$3,Movimientos!$A$6:$A$16,"&lt;="&amp;Stocks!$A$2)-SUMIFS(Movimientos!$E$6:$E$16,Movimientos!$C$6:$C$16,Stocks!$A24,Movimientos!$G$6:$G$16,Stocks!E$3,Movimientos!$A$6:$A$16,"&lt;="&amp;Stocks!$A$2)</f>
        <v>0</v>
      </c>
      <c r="F24" s="4">
        <f>SUMIFS(Movimientos!$E$6:$E$16,Movimientos!$C$6:$C$16,Stocks!$A24,Movimientos!$F$6:$F$16,Stocks!F$3,Movimientos!$A$6:$A$16,"&lt;="&amp;Stocks!$A$2)-SUMIFS(Movimientos!$E$6:$E$16,Movimientos!$C$6:$C$16,Stocks!$A24,Movimientos!$G$6:$G$16,Stocks!F$3,Movimientos!$A$6:$A$16,"&lt;="&amp;Stocks!$A$2)</f>
        <v>0</v>
      </c>
      <c r="G24" s="4">
        <f>SUMIFS(Movimientos!$E$6:$E$16,Movimientos!$C$6:$C$16,Stocks!$A24,Movimientos!$F$6:$F$16,Stocks!G$3,Movimientos!$A$6:$A$16,"&lt;="&amp;Stocks!$A$2)-SUMIFS(Movimientos!$E$6:$E$16,Movimientos!$C$6:$C$16,Stocks!$A24,Movimientos!$G$6:$G$16,Stocks!G$3,Movimientos!$A$6:$A$16,"&lt;="&amp;Stocks!$A$2)</f>
        <v>0</v>
      </c>
      <c r="H24" s="4">
        <f>SUMIFS(Movimientos!$E$6:$E$16,Movimientos!$C$6:$C$16,Stocks!$A24,Movimientos!$F$6:$F$16,Stocks!H$3,Movimientos!$A$6:$A$16,"&lt;="&amp;Stocks!$A$2)-SUMIFS(Movimientos!$E$6:$E$16,Movimientos!$C$6:$C$16,Stocks!$A24,Movimientos!$G$6:$G$16,Stocks!H$3,Movimientos!$A$6:$A$16,"&lt;="&amp;Stocks!$A$2)</f>
        <v>0</v>
      </c>
      <c r="I24" s="4">
        <f>SUMIFS(Movimientos!$E$6:$E$16,Movimientos!$C$6:$C$16,Stocks!$A24,Movimientos!$F$6:$F$16,Stocks!I$3,Movimientos!$A$6:$A$16,"&lt;="&amp;Stocks!$A$2)-SUMIFS(Movimientos!$E$6:$E$16,Movimientos!$C$6:$C$16,Stocks!$A24,Movimientos!$G$6:$G$16,Stocks!I$3,Movimientos!$A$6:$A$16,"&lt;="&amp;Stocks!$A$2)</f>
        <v>0</v>
      </c>
      <c r="J24" s="4">
        <f>SUMIFS(Movimientos!$E$6:$E$16,Movimientos!$C$6:$C$16,Stocks!$A24,Movimientos!$F$6:$F$16,Stocks!J$3,Movimientos!$A$6:$A$16,"&lt;="&amp;Stocks!$A$2)-SUMIFS(Movimientos!$E$6:$E$16,Movimientos!$C$6:$C$16,Stocks!$A24,Movimientos!$G$6:$G$16,Stocks!J$3,Movimientos!$A$6:$A$16,"&lt;="&amp;Stocks!$A$2)</f>
        <v>0</v>
      </c>
      <c r="K24" s="4">
        <f>SUMIFS(Movimientos!$E$6:$E$16,Movimientos!$C$6:$C$16,Stocks!$A24,Movimientos!$F$6:$F$16,Stocks!K$3,Movimientos!$A$6:$A$16,"&lt;="&amp;Stocks!$A$2)-SUMIFS(Movimientos!$E$6:$E$16,Movimientos!$C$6:$C$16,Stocks!$A24,Movimientos!$G$6:$G$16,Stocks!K$3,Movimientos!$A$6:$A$16,"&lt;="&amp;Stocks!$A$2)</f>
        <v>0</v>
      </c>
      <c r="L24" s="4">
        <f>SUMIFS(Movimientos!$E$6:$E$16,Movimientos!$C$6:$C$16,Stocks!$A24,Movimientos!$F$6:$F$16,Stocks!L$3,Movimientos!$A$6:$A$16,"&lt;="&amp;Stocks!$A$2)-SUMIFS(Movimientos!$E$6:$E$16,Movimientos!$C$6:$C$16,Stocks!$A24,Movimientos!$G$6:$G$16,Stocks!L$3,Movimientos!$A$6:$A$16,"&lt;="&amp;Stocks!$A$2)</f>
        <v>0</v>
      </c>
    </row>
    <row r="25" spans="1:12" x14ac:dyDescent="0.25">
      <c r="A25" t="str">
        <f>Codificación!A24</f>
        <v/>
      </c>
      <c r="B25" s="1">
        <f>Codificación!B24</f>
        <v>0</v>
      </c>
      <c r="E25" s="4">
        <f>SUMIFS(Movimientos!$E$6:$E$16,Movimientos!$C$6:$C$16,Stocks!$A25,Movimientos!$F$6:$F$16,Stocks!E$3,Movimientos!$A$6:$A$16,"&lt;="&amp;Stocks!$A$2)-SUMIFS(Movimientos!$E$6:$E$16,Movimientos!$C$6:$C$16,Stocks!$A25,Movimientos!$G$6:$G$16,Stocks!E$3,Movimientos!$A$6:$A$16,"&lt;="&amp;Stocks!$A$2)</f>
        <v>0</v>
      </c>
      <c r="F25" s="4">
        <f>SUMIFS(Movimientos!$E$6:$E$16,Movimientos!$C$6:$C$16,Stocks!$A25,Movimientos!$F$6:$F$16,Stocks!F$3,Movimientos!$A$6:$A$16,"&lt;="&amp;Stocks!$A$2)-SUMIFS(Movimientos!$E$6:$E$16,Movimientos!$C$6:$C$16,Stocks!$A25,Movimientos!$G$6:$G$16,Stocks!F$3,Movimientos!$A$6:$A$16,"&lt;="&amp;Stocks!$A$2)</f>
        <v>0</v>
      </c>
      <c r="G25" s="4">
        <f>SUMIFS(Movimientos!$E$6:$E$16,Movimientos!$C$6:$C$16,Stocks!$A25,Movimientos!$F$6:$F$16,Stocks!G$3,Movimientos!$A$6:$A$16,"&lt;="&amp;Stocks!$A$2)-SUMIFS(Movimientos!$E$6:$E$16,Movimientos!$C$6:$C$16,Stocks!$A25,Movimientos!$G$6:$G$16,Stocks!G$3,Movimientos!$A$6:$A$16,"&lt;="&amp;Stocks!$A$2)</f>
        <v>0</v>
      </c>
      <c r="H25" s="4">
        <f>SUMIFS(Movimientos!$E$6:$E$16,Movimientos!$C$6:$C$16,Stocks!$A25,Movimientos!$F$6:$F$16,Stocks!H$3,Movimientos!$A$6:$A$16,"&lt;="&amp;Stocks!$A$2)-SUMIFS(Movimientos!$E$6:$E$16,Movimientos!$C$6:$C$16,Stocks!$A25,Movimientos!$G$6:$G$16,Stocks!H$3,Movimientos!$A$6:$A$16,"&lt;="&amp;Stocks!$A$2)</f>
        <v>0</v>
      </c>
      <c r="I25" s="4">
        <f>SUMIFS(Movimientos!$E$6:$E$16,Movimientos!$C$6:$C$16,Stocks!$A25,Movimientos!$F$6:$F$16,Stocks!I$3,Movimientos!$A$6:$A$16,"&lt;="&amp;Stocks!$A$2)-SUMIFS(Movimientos!$E$6:$E$16,Movimientos!$C$6:$C$16,Stocks!$A25,Movimientos!$G$6:$G$16,Stocks!I$3,Movimientos!$A$6:$A$16,"&lt;="&amp;Stocks!$A$2)</f>
        <v>0</v>
      </c>
      <c r="J25" s="4">
        <f>SUMIFS(Movimientos!$E$6:$E$16,Movimientos!$C$6:$C$16,Stocks!$A25,Movimientos!$F$6:$F$16,Stocks!J$3,Movimientos!$A$6:$A$16,"&lt;="&amp;Stocks!$A$2)-SUMIFS(Movimientos!$E$6:$E$16,Movimientos!$C$6:$C$16,Stocks!$A25,Movimientos!$G$6:$G$16,Stocks!J$3,Movimientos!$A$6:$A$16,"&lt;="&amp;Stocks!$A$2)</f>
        <v>0</v>
      </c>
      <c r="K25" s="4">
        <f>SUMIFS(Movimientos!$E$6:$E$16,Movimientos!$C$6:$C$16,Stocks!$A25,Movimientos!$F$6:$F$16,Stocks!K$3,Movimientos!$A$6:$A$16,"&lt;="&amp;Stocks!$A$2)-SUMIFS(Movimientos!$E$6:$E$16,Movimientos!$C$6:$C$16,Stocks!$A25,Movimientos!$G$6:$G$16,Stocks!K$3,Movimientos!$A$6:$A$16,"&lt;="&amp;Stocks!$A$2)</f>
        <v>0</v>
      </c>
      <c r="L25" s="4">
        <f>SUMIFS(Movimientos!$E$6:$E$16,Movimientos!$C$6:$C$16,Stocks!$A25,Movimientos!$F$6:$F$16,Stocks!L$3,Movimientos!$A$6:$A$16,"&lt;="&amp;Stocks!$A$2)-SUMIFS(Movimientos!$E$6:$E$16,Movimientos!$C$6:$C$16,Stocks!$A25,Movimientos!$G$6:$G$16,Stocks!L$3,Movimientos!$A$6:$A$16,"&lt;="&amp;Stocks!$A$2)</f>
        <v>0</v>
      </c>
    </row>
    <row r="26" spans="1:12" x14ac:dyDescent="0.25">
      <c r="A26" t="str">
        <f>Codificación!A25</f>
        <v/>
      </c>
      <c r="B26" s="1">
        <f>Codificación!B25</f>
        <v>0</v>
      </c>
      <c r="E26" s="4">
        <f>SUMIFS(Movimientos!$E$6:$E$16,Movimientos!$C$6:$C$16,Stocks!$A26,Movimientos!$F$6:$F$16,Stocks!E$3,Movimientos!$A$6:$A$16,"&lt;="&amp;Stocks!$A$2)-SUMIFS(Movimientos!$E$6:$E$16,Movimientos!$C$6:$C$16,Stocks!$A26,Movimientos!$G$6:$G$16,Stocks!E$3,Movimientos!$A$6:$A$16,"&lt;="&amp;Stocks!$A$2)</f>
        <v>0</v>
      </c>
      <c r="F26" s="4">
        <f>SUMIFS(Movimientos!$E$6:$E$16,Movimientos!$C$6:$C$16,Stocks!$A26,Movimientos!$F$6:$F$16,Stocks!F$3,Movimientos!$A$6:$A$16,"&lt;="&amp;Stocks!$A$2)-SUMIFS(Movimientos!$E$6:$E$16,Movimientos!$C$6:$C$16,Stocks!$A26,Movimientos!$G$6:$G$16,Stocks!F$3,Movimientos!$A$6:$A$16,"&lt;="&amp;Stocks!$A$2)</f>
        <v>0</v>
      </c>
      <c r="G26" s="4">
        <f>SUMIFS(Movimientos!$E$6:$E$16,Movimientos!$C$6:$C$16,Stocks!$A26,Movimientos!$F$6:$F$16,Stocks!G$3,Movimientos!$A$6:$A$16,"&lt;="&amp;Stocks!$A$2)-SUMIFS(Movimientos!$E$6:$E$16,Movimientos!$C$6:$C$16,Stocks!$A26,Movimientos!$G$6:$G$16,Stocks!G$3,Movimientos!$A$6:$A$16,"&lt;="&amp;Stocks!$A$2)</f>
        <v>0</v>
      </c>
      <c r="H26" s="4">
        <f>SUMIFS(Movimientos!$E$6:$E$16,Movimientos!$C$6:$C$16,Stocks!$A26,Movimientos!$F$6:$F$16,Stocks!H$3,Movimientos!$A$6:$A$16,"&lt;="&amp;Stocks!$A$2)-SUMIFS(Movimientos!$E$6:$E$16,Movimientos!$C$6:$C$16,Stocks!$A26,Movimientos!$G$6:$G$16,Stocks!H$3,Movimientos!$A$6:$A$16,"&lt;="&amp;Stocks!$A$2)</f>
        <v>0</v>
      </c>
      <c r="I26" s="4">
        <f>SUMIFS(Movimientos!$E$6:$E$16,Movimientos!$C$6:$C$16,Stocks!$A26,Movimientos!$F$6:$F$16,Stocks!I$3,Movimientos!$A$6:$A$16,"&lt;="&amp;Stocks!$A$2)-SUMIFS(Movimientos!$E$6:$E$16,Movimientos!$C$6:$C$16,Stocks!$A26,Movimientos!$G$6:$G$16,Stocks!I$3,Movimientos!$A$6:$A$16,"&lt;="&amp;Stocks!$A$2)</f>
        <v>0</v>
      </c>
      <c r="J26" s="4">
        <f>SUMIFS(Movimientos!$E$6:$E$16,Movimientos!$C$6:$C$16,Stocks!$A26,Movimientos!$F$6:$F$16,Stocks!J$3,Movimientos!$A$6:$A$16,"&lt;="&amp;Stocks!$A$2)-SUMIFS(Movimientos!$E$6:$E$16,Movimientos!$C$6:$C$16,Stocks!$A26,Movimientos!$G$6:$G$16,Stocks!J$3,Movimientos!$A$6:$A$16,"&lt;="&amp;Stocks!$A$2)</f>
        <v>0</v>
      </c>
      <c r="K26" s="4">
        <f>SUMIFS(Movimientos!$E$6:$E$16,Movimientos!$C$6:$C$16,Stocks!$A26,Movimientos!$F$6:$F$16,Stocks!K$3,Movimientos!$A$6:$A$16,"&lt;="&amp;Stocks!$A$2)-SUMIFS(Movimientos!$E$6:$E$16,Movimientos!$C$6:$C$16,Stocks!$A26,Movimientos!$G$6:$G$16,Stocks!K$3,Movimientos!$A$6:$A$16,"&lt;="&amp;Stocks!$A$2)</f>
        <v>0</v>
      </c>
      <c r="L26" s="4">
        <f>SUMIFS(Movimientos!$E$6:$E$16,Movimientos!$C$6:$C$16,Stocks!$A26,Movimientos!$F$6:$F$16,Stocks!L$3,Movimientos!$A$6:$A$16,"&lt;="&amp;Stocks!$A$2)-SUMIFS(Movimientos!$E$6:$E$16,Movimientos!$C$6:$C$16,Stocks!$A26,Movimientos!$G$6:$G$16,Stocks!L$3,Movimientos!$A$6:$A$16,"&lt;="&amp;Stocks!$A$2)</f>
        <v>0</v>
      </c>
    </row>
    <row r="27" spans="1:12" x14ac:dyDescent="0.25">
      <c r="A27" t="str">
        <f>Codificación!A26</f>
        <v/>
      </c>
      <c r="B27" s="1">
        <f>Codificación!B26</f>
        <v>0</v>
      </c>
      <c r="E27" s="4">
        <f>SUMIFS(Movimientos!$E$6:$E$16,Movimientos!$C$6:$C$16,Stocks!$A27,Movimientos!$F$6:$F$16,Stocks!E$3,Movimientos!$A$6:$A$16,"&lt;="&amp;Stocks!$A$2)-SUMIFS(Movimientos!$E$6:$E$16,Movimientos!$C$6:$C$16,Stocks!$A27,Movimientos!$G$6:$G$16,Stocks!E$3,Movimientos!$A$6:$A$16,"&lt;="&amp;Stocks!$A$2)</f>
        <v>0</v>
      </c>
      <c r="F27" s="4">
        <f>SUMIFS(Movimientos!$E$6:$E$16,Movimientos!$C$6:$C$16,Stocks!$A27,Movimientos!$F$6:$F$16,Stocks!F$3,Movimientos!$A$6:$A$16,"&lt;="&amp;Stocks!$A$2)-SUMIFS(Movimientos!$E$6:$E$16,Movimientos!$C$6:$C$16,Stocks!$A27,Movimientos!$G$6:$G$16,Stocks!F$3,Movimientos!$A$6:$A$16,"&lt;="&amp;Stocks!$A$2)</f>
        <v>0</v>
      </c>
      <c r="G27" s="4">
        <f>SUMIFS(Movimientos!$E$6:$E$16,Movimientos!$C$6:$C$16,Stocks!$A27,Movimientos!$F$6:$F$16,Stocks!G$3,Movimientos!$A$6:$A$16,"&lt;="&amp;Stocks!$A$2)-SUMIFS(Movimientos!$E$6:$E$16,Movimientos!$C$6:$C$16,Stocks!$A27,Movimientos!$G$6:$G$16,Stocks!G$3,Movimientos!$A$6:$A$16,"&lt;="&amp;Stocks!$A$2)</f>
        <v>0</v>
      </c>
      <c r="H27" s="4">
        <f>SUMIFS(Movimientos!$E$6:$E$16,Movimientos!$C$6:$C$16,Stocks!$A27,Movimientos!$F$6:$F$16,Stocks!H$3,Movimientos!$A$6:$A$16,"&lt;="&amp;Stocks!$A$2)-SUMIFS(Movimientos!$E$6:$E$16,Movimientos!$C$6:$C$16,Stocks!$A27,Movimientos!$G$6:$G$16,Stocks!H$3,Movimientos!$A$6:$A$16,"&lt;="&amp;Stocks!$A$2)</f>
        <v>0</v>
      </c>
      <c r="I27" s="4">
        <f>SUMIFS(Movimientos!$E$6:$E$16,Movimientos!$C$6:$C$16,Stocks!$A27,Movimientos!$F$6:$F$16,Stocks!I$3,Movimientos!$A$6:$A$16,"&lt;="&amp;Stocks!$A$2)-SUMIFS(Movimientos!$E$6:$E$16,Movimientos!$C$6:$C$16,Stocks!$A27,Movimientos!$G$6:$G$16,Stocks!I$3,Movimientos!$A$6:$A$16,"&lt;="&amp;Stocks!$A$2)</f>
        <v>0</v>
      </c>
      <c r="J27" s="4">
        <f>SUMIFS(Movimientos!$E$6:$E$16,Movimientos!$C$6:$C$16,Stocks!$A27,Movimientos!$F$6:$F$16,Stocks!J$3,Movimientos!$A$6:$A$16,"&lt;="&amp;Stocks!$A$2)-SUMIFS(Movimientos!$E$6:$E$16,Movimientos!$C$6:$C$16,Stocks!$A27,Movimientos!$G$6:$G$16,Stocks!J$3,Movimientos!$A$6:$A$16,"&lt;="&amp;Stocks!$A$2)</f>
        <v>0</v>
      </c>
      <c r="K27" s="4">
        <f>SUMIFS(Movimientos!$E$6:$E$16,Movimientos!$C$6:$C$16,Stocks!$A27,Movimientos!$F$6:$F$16,Stocks!K$3,Movimientos!$A$6:$A$16,"&lt;="&amp;Stocks!$A$2)-SUMIFS(Movimientos!$E$6:$E$16,Movimientos!$C$6:$C$16,Stocks!$A27,Movimientos!$G$6:$G$16,Stocks!K$3,Movimientos!$A$6:$A$16,"&lt;="&amp;Stocks!$A$2)</f>
        <v>0</v>
      </c>
      <c r="L27" s="4">
        <f>SUMIFS(Movimientos!$E$6:$E$16,Movimientos!$C$6:$C$16,Stocks!$A27,Movimientos!$F$6:$F$16,Stocks!L$3,Movimientos!$A$6:$A$16,"&lt;="&amp;Stocks!$A$2)-SUMIFS(Movimientos!$E$6:$E$16,Movimientos!$C$6:$C$16,Stocks!$A27,Movimientos!$G$6:$G$16,Stocks!L$3,Movimientos!$A$6:$A$16,"&lt;="&amp;Stocks!$A$2)</f>
        <v>0</v>
      </c>
    </row>
    <row r="28" spans="1:12" x14ac:dyDescent="0.25">
      <c r="A28" t="str">
        <f>Codificación!A27</f>
        <v/>
      </c>
      <c r="B28" s="1">
        <f>Codificación!B27</f>
        <v>0</v>
      </c>
      <c r="E28" s="4">
        <f>SUMIFS(Movimientos!$E$6:$E$16,Movimientos!$C$6:$C$16,Stocks!$A28,Movimientos!$F$6:$F$16,Stocks!E$3,Movimientos!$A$6:$A$16,"&lt;="&amp;Stocks!$A$2)-SUMIFS(Movimientos!$E$6:$E$16,Movimientos!$C$6:$C$16,Stocks!$A28,Movimientos!$G$6:$G$16,Stocks!E$3,Movimientos!$A$6:$A$16,"&lt;="&amp;Stocks!$A$2)</f>
        <v>0</v>
      </c>
      <c r="F28" s="4">
        <f>SUMIFS(Movimientos!$E$6:$E$16,Movimientos!$C$6:$C$16,Stocks!$A28,Movimientos!$F$6:$F$16,Stocks!F$3,Movimientos!$A$6:$A$16,"&lt;="&amp;Stocks!$A$2)-SUMIFS(Movimientos!$E$6:$E$16,Movimientos!$C$6:$C$16,Stocks!$A28,Movimientos!$G$6:$G$16,Stocks!F$3,Movimientos!$A$6:$A$16,"&lt;="&amp;Stocks!$A$2)</f>
        <v>0</v>
      </c>
      <c r="G28" s="4">
        <f>SUMIFS(Movimientos!$E$6:$E$16,Movimientos!$C$6:$C$16,Stocks!$A28,Movimientos!$F$6:$F$16,Stocks!G$3,Movimientos!$A$6:$A$16,"&lt;="&amp;Stocks!$A$2)-SUMIFS(Movimientos!$E$6:$E$16,Movimientos!$C$6:$C$16,Stocks!$A28,Movimientos!$G$6:$G$16,Stocks!G$3,Movimientos!$A$6:$A$16,"&lt;="&amp;Stocks!$A$2)</f>
        <v>0</v>
      </c>
      <c r="H28" s="4">
        <f>SUMIFS(Movimientos!$E$6:$E$16,Movimientos!$C$6:$C$16,Stocks!$A28,Movimientos!$F$6:$F$16,Stocks!H$3,Movimientos!$A$6:$A$16,"&lt;="&amp;Stocks!$A$2)-SUMIFS(Movimientos!$E$6:$E$16,Movimientos!$C$6:$C$16,Stocks!$A28,Movimientos!$G$6:$G$16,Stocks!H$3,Movimientos!$A$6:$A$16,"&lt;="&amp;Stocks!$A$2)</f>
        <v>0</v>
      </c>
      <c r="I28" s="4">
        <f>SUMIFS(Movimientos!$E$6:$E$16,Movimientos!$C$6:$C$16,Stocks!$A28,Movimientos!$F$6:$F$16,Stocks!I$3,Movimientos!$A$6:$A$16,"&lt;="&amp;Stocks!$A$2)-SUMIFS(Movimientos!$E$6:$E$16,Movimientos!$C$6:$C$16,Stocks!$A28,Movimientos!$G$6:$G$16,Stocks!I$3,Movimientos!$A$6:$A$16,"&lt;="&amp;Stocks!$A$2)</f>
        <v>0</v>
      </c>
      <c r="J28" s="4">
        <f>SUMIFS(Movimientos!$E$6:$E$16,Movimientos!$C$6:$C$16,Stocks!$A28,Movimientos!$F$6:$F$16,Stocks!J$3,Movimientos!$A$6:$A$16,"&lt;="&amp;Stocks!$A$2)-SUMIFS(Movimientos!$E$6:$E$16,Movimientos!$C$6:$C$16,Stocks!$A28,Movimientos!$G$6:$G$16,Stocks!J$3,Movimientos!$A$6:$A$16,"&lt;="&amp;Stocks!$A$2)</f>
        <v>0</v>
      </c>
      <c r="K28" s="4">
        <f>SUMIFS(Movimientos!$E$6:$E$16,Movimientos!$C$6:$C$16,Stocks!$A28,Movimientos!$F$6:$F$16,Stocks!K$3,Movimientos!$A$6:$A$16,"&lt;="&amp;Stocks!$A$2)-SUMIFS(Movimientos!$E$6:$E$16,Movimientos!$C$6:$C$16,Stocks!$A28,Movimientos!$G$6:$G$16,Stocks!K$3,Movimientos!$A$6:$A$16,"&lt;="&amp;Stocks!$A$2)</f>
        <v>0</v>
      </c>
      <c r="L28" s="4">
        <f>SUMIFS(Movimientos!$E$6:$E$16,Movimientos!$C$6:$C$16,Stocks!$A28,Movimientos!$F$6:$F$16,Stocks!L$3,Movimientos!$A$6:$A$16,"&lt;="&amp;Stocks!$A$2)-SUMIFS(Movimientos!$E$6:$E$16,Movimientos!$C$6:$C$16,Stocks!$A28,Movimientos!$G$6:$G$16,Stocks!L$3,Movimientos!$A$6:$A$16,"&lt;="&amp;Stocks!$A$2)</f>
        <v>0</v>
      </c>
    </row>
    <row r="29" spans="1:12" x14ac:dyDescent="0.25">
      <c r="A29" t="str">
        <f>Codificación!A28</f>
        <v/>
      </c>
      <c r="B29" s="1">
        <f>Codificación!B28</f>
        <v>0</v>
      </c>
      <c r="E29" s="4">
        <f>SUMIFS(Movimientos!$E$6:$E$16,Movimientos!$C$6:$C$16,Stocks!$A29,Movimientos!$F$6:$F$16,Stocks!E$3,Movimientos!$A$6:$A$16,"&lt;="&amp;Stocks!$A$2)-SUMIFS(Movimientos!$E$6:$E$16,Movimientos!$C$6:$C$16,Stocks!$A29,Movimientos!$G$6:$G$16,Stocks!E$3,Movimientos!$A$6:$A$16,"&lt;="&amp;Stocks!$A$2)</f>
        <v>0</v>
      </c>
      <c r="F29" s="4">
        <f>SUMIFS(Movimientos!$E$6:$E$16,Movimientos!$C$6:$C$16,Stocks!$A29,Movimientos!$F$6:$F$16,Stocks!F$3,Movimientos!$A$6:$A$16,"&lt;="&amp;Stocks!$A$2)-SUMIFS(Movimientos!$E$6:$E$16,Movimientos!$C$6:$C$16,Stocks!$A29,Movimientos!$G$6:$G$16,Stocks!F$3,Movimientos!$A$6:$A$16,"&lt;="&amp;Stocks!$A$2)</f>
        <v>0</v>
      </c>
      <c r="G29" s="4">
        <f>SUMIFS(Movimientos!$E$6:$E$16,Movimientos!$C$6:$C$16,Stocks!$A29,Movimientos!$F$6:$F$16,Stocks!G$3,Movimientos!$A$6:$A$16,"&lt;="&amp;Stocks!$A$2)-SUMIFS(Movimientos!$E$6:$E$16,Movimientos!$C$6:$C$16,Stocks!$A29,Movimientos!$G$6:$G$16,Stocks!G$3,Movimientos!$A$6:$A$16,"&lt;="&amp;Stocks!$A$2)</f>
        <v>0</v>
      </c>
      <c r="H29" s="4">
        <f>SUMIFS(Movimientos!$E$6:$E$16,Movimientos!$C$6:$C$16,Stocks!$A29,Movimientos!$F$6:$F$16,Stocks!H$3,Movimientos!$A$6:$A$16,"&lt;="&amp;Stocks!$A$2)-SUMIFS(Movimientos!$E$6:$E$16,Movimientos!$C$6:$C$16,Stocks!$A29,Movimientos!$G$6:$G$16,Stocks!H$3,Movimientos!$A$6:$A$16,"&lt;="&amp;Stocks!$A$2)</f>
        <v>0</v>
      </c>
      <c r="I29" s="4">
        <f>SUMIFS(Movimientos!$E$6:$E$16,Movimientos!$C$6:$C$16,Stocks!$A29,Movimientos!$F$6:$F$16,Stocks!I$3,Movimientos!$A$6:$A$16,"&lt;="&amp;Stocks!$A$2)-SUMIFS(Movimientos!$E$6:$E$16,Movimientos!$C$6:$C$16,Stocks!$A29,Movimientos!$G$6:$G$16,Stocks!I$3,Movimientos!$A$6:$A$16,"&lt;="&amp;Stocks!$A$2)</f>
        <v>0</v>
      </c>
      <c r="J29" s="4">
        <f>SUMIFS(Movimientos!$E$6:$E$16,Movimientos!$C$6:$C$16,Stocks!$A29,Movimientos!$F$6:$F$16,Stocks!J$3,Movimientos!$A$6:$A$16,"&lt;="&amp;Stocks!$A$2)-SUMIFS(Movimientos!$E$6:$E$16,Movimientos!$C$6:$C$16,Stocks!$A29,Movimientos!$G$6:$G$16,Stocks!J$3,Movimientos!$A$6:$A$16,"&lt;="&amp;Stocks!$A$2)</f>
        <v>0</v>
      </c>
      <c r="K29" s="4">
        <f>SUMIFS(Movimientos!$E$6:$E$16,Movimientos!$C$6:$C$16,Stocks!$A29,Movimientos!$F$6:$F$16,Stocks!K$3,Movimientos!$A$6:$A$16,"&lt;="&amp;Stocks!$A$2)-SUMIFS(Movimientos!$E$6:$E$16,Movimientos!$C$6:$C$16,Stocks!$A29,Movimientos!$G$6:$G$16,Stocks!K$3,Movimientos!$A$6:$A$16,"&lt;="&amp;Stocks!$A$2)</f>
        <v>0</v>
      </c>
      <c r="L29" s="4">
        <f>SUMIFS(Movimientos!$E$6:$E$16,Movimientos!$C$6:$C$16,Stocks!$A29,Movimientos!$F$6:$F$16,Stocks!L$3,Movimientos!$A$6:$A$16,"&lt;="&amp;Stocks!$A$2)-SUMIFS(Movimientos!$E$6:$E$16,Movimientos!$C$6:$C$16,Stocks!$A29,Movimientos!$G$6:$G$16,Stocks!L$3,Movimientos!$A$6:$A$16,"&lt;="&amp;Stocks!$A$2)</f>
        <v>0</v>
      </c>
    </row>
    <row r="30" spans="1:12" x14ac:dyDescent="0.25">
      <c r="A30" t="str">
        <f>Codificación!A29</f>
        <v/>
      </c>
      <c r="B30" s="1">
        <f>Codificación!B29</f>
        <v>0</v>
      </c>
      <c r="E30" s="4">
        <f>SUMIFS(Movimientos!$E$6:$E$16,Movimientos!$C$6:$C$16,Stocks!$A30,Movimientos!$F$6:$F$16,Stocks!E$3,Movimientos!$A$6:$A$16,"&lt;="&amp;Stocks!$A$2)-SUMIFS(Movimientos!$E$6:$E$16,Movimientos!$C$6:$C$16,Stocks!$A30,Movimientos!$G$6:$G$16,Stocks!E$3,Movimientos!$A$6:$A$16,"&lt;="&amp;Stocks!$A$2)</f>
        <v>0</v>
      </c>
      <c r="F30" s="4">
        <f>SUMIFS(Movimientos!$E$6:$E$16,Movimientos!$C$6:$C$16,Stocks!$A30,Movimientos!$F$6:$F$16,Stocks!F$3,Movimientos!$A$6:$A$16,"&lt;="&amp;Stocks!$A$2)-SUMIFS(Movimientos!$E$6:$E$16,Movimientos!$C$6:$C$16,Stocks!$A30,Movimientos!$G$6:$G$16,Stocks!F$3,Movimientos!$A$6:$A$16,"&lt;="&amp;Stocks!$A$2)</f>
        <v>0</v>
      </c>
      <c r="G30" s="4">
        <f>SUMIFS(Movimientos!$E$6:$E$16,Movimientos!$C$6:$C$16,Stocks!$A30,Movimientos!$F$6:$F$16,Stocks!G$3,Movimientos!$A$6:$A$16,"&lt;="&amp;Stocks!$A$2)-SUMIFS(Movimientos!$E$6:$E$16,Movimientos!$C$6:$C$16,Stocks!$A30,Movimientos!$G$6:$G$16,Stocks!G$3,Movimientos!$A$6:$A$16,"&lt;="&amp;Stocks!$A$2)</f>
        <v>0</v>
      </c>
      <c r="H30" s="4">
        <f>SUMIFS(Movimientos!$E$6:$E$16,Movimientos!$C$6:$C$16,Stocks!$A30,Movimientos!$F$6:$F$16,Stocks!H$3,Movimientos!$A$6:$A$16,"&lt;="&amp;Stocks!$A$2)-SUMIFS(Movimientos!$E$6:$E$16,Movimientos!$C$6:$C$16,Stocks!$A30,Movimientos!$G$6:$G$16,Stocks!H$3,Movimientos!$A$6:$A$16,"&lt;="&amp;Stocks!$A$2)</f>
        <v>0</v>
      </c>
      <c r="I30" s="4">
        <f>SUMIFS(Movimientos!$E$6:$E$16,Movimientos!$C$6:$C$16,Stocks!$A30,Movimientos!$F$6:$F$16,Stocks!I$3,Movimientos!$A$6:$A$16,"&lt;="&amp;Stocks!$A$2)-SUMIFS(Movimientos!$E$6:$E$16,Movimientos!$C$6:$C$16,Stocks!$A30,Movimientos!$G$6:$G$16,Stocks!I$3,Movimientos!$A$6:$A$16,"&lt;="&amp;Stocks!$A$2)</f>
        <v>0</v>
      </c>
      <c r="J30" s="4">
        <f>SUMIFS(Movimientos!$E$6:$E$16,Movimientos!$C$6:$C$16,Stocks!$A30,Movimientos!$F$6:$F$16,Stocks!J$3,Movimientos!$A$6:$A$16,"&lt;="&amp;Stocks!$A$2)-SUMIFS(Movimientos!$E$6:$E$16,Movimientos!$C$6:$C$16,Stocks!$A30,Movimientos!$G$6:$G$16,Stocks!J$3,Movimientos!$A$6:$A$16,"&lt;="&amp;Stocks!$A$2)</f>
        <v>0</v>
      </c>
      <c r="K30" s="4">
        <f>SUMIFS(Movimientos!$E$6:$E$16,Movimientos!$C$6:$C$16,Stocks!$A30,Movimientos!$F$6:$F$16,Stocks!K$3,Movimientos!$A$6:$A$16,"&lt;="&amp;Stocks!$A$2)-SUMIFS(Movimientos!$E$6:$E$16,Movimientos!$C$6:$C$16,Stocks!$A30,Movimientos!$G$6:$G$16,Stocks!K$3,Movimientos!$A$6:$A$16,"&lt;="&amp;Stocks!$A$2)</f>
        <v>0</v>
      </c>
      <c r="L30" s="4">
        <f>SUMIFS(Movimientos!$E$6:$E$16,Movimientos!$C$6:$C$16,Stocks!$A30,Movimientos!$F$6:$F$16,Stocks!L$3,Movimientos!$A$6:$A$16,"&lt;="&amp;Stocks!$A$2)-SUMIFS(Movimientos!$E$6:$E$16,Movimientos!$C$6:$C$16,Stocks!$A30,Movimientos!$G$6:$G$16,Stocks!L$3,Movimientos!$A$6:$A$16,"&lt;="&amp;Stocks!$A$2)</f>
        <v>0</v>
      </c>
    </row>
    <row r="31" spans="1:12" x14ac:dyDescent="0.25">
      <c r="A31" t="str">
        <f>Codificación!A30</f>
        <v/>
      </c>
      <c r="B31" s="1">
        <f>Codificación!B30</f>
        <v>0</v>
      </c>
      <c r="E31" s="4">
        <f>SUMIFS(Movimientos!$E$6:$E$16,Movimientos!$C$6:$C$16,Stocks!$A31,Movimientos!$F$6:$F$16,Stocks!E$3,Movimientos!$A$6:$A$16,"&lt;="&amp;Stocks!$A$2)-SUMIFS(Movimientos!$E$6:$E$16,Movimientos!$C$6:$C$16,Stocks!$A31,Movimientos!$G$6:$G$16,Stocks!E$3,Movimientos!$A$6:$A$16,"&lt;="&amp;Stocks!$A$2)</f>
        <v>0</v>
      </c>
      <c r="F31" s="4">
        <f>SUMIFS(Movimientos!$E$6:$E$16,Movimientos!$C$6:$C$16,Stocks!$A31,Movimientos!$F$6:$F$16,Stocks!F$3,Movimientos!$A$6:$A$16,"&lt;="&amp;Stocks!$A$2)-SUMIFS(Movimientos!$E$6:$E$16,Movimientos!$C$6:$C$16,Stocks!$A31,Movimientos!$G$6:$G$16,Stocks!F$3,Movimientos!$A$6:$A$16,"&lt;="&amp;Stocks!$A$2)</f>
        <v>0</v>
      </c>
      <c r="G31" s="4">
        <f>SUMIFS(Movimientos!$E$6:$E$16,Movimientos!$C$6:$C$16,Stocks!$A31,Movimientos!$F$6:$F$16,Stocks!G$3,Movimientos!$A$6:$A$16,"&lt;="&amp;Stocks!$A$2)-SUMIFS(Movimientos!$E$6:$E$16,Movimientos!$C$6:$C$16,Stocks!$A31,Movimientos!$G$6:$G$16,Stocks!G$3,Movimientos!$A$6:$A$16,"&lt;="&amp;Stocks!$A$2)</f>
        <v>0</v>
      </c>
      <c r="H31" s="4">
        <f>SUMIFS(Movimientos!$E$6:$E$16,Movimientos!$C$6:$C$16,Stocks!$A31,Movimientos!$F$6:$F$16,Stocks!H$3,Movimientos!$A$6:$A$16,"&lt;="&amp;Stocks!$A$2)-SUMIFS(Movimientos!$E$6:$E$16,Movimientos!$C$6:$C$16,Stocks!$A31,Movimientos!$G$6:$G$16,Stocks!H$3,Movimientos!$A$6:$A$16,"&lt;="&amp;Stocks!$A$2)</f>
        <v>0</v>
      </c>
      <c r="I31" s="4">
        <f>SUMIFS(Movimientos!$E$6:$E$16,Movimientos!$C$6:$C$16,Stocks!$A31,Movimientos!$F$6:$F$16,Stocks!I$3,Movimientos!$A$6:$A$16,"&lt;="&amp;Stocks!$A$2)-SUMIFS(Movimientos!$E$6:$E$16,Movimientos!$C$6:$C$16,Stocks!$A31,Movimientos!$G$6:$G$16,Stocks!I$3,Movimientos!$A$6:$A$16,"&lt;="&amp;Stocks!$A$2)</f>
        <v>0</v>
      </c>
      <c r="J31" s="4">
        <f>SUMIFS(Movimientos!$E$6:$E$16,Movimientos!$C$6:$C$16,Stocks!$A31,Movimientos!$F$6:$F$16,Stocks!J$3,Movimientos!$A$6:$A$16,"&lt;="&amp;Stocks!$A$2)-SUMIFS(Movimientos!$E$6:$E$16,Movimientos!$C$6:$C$16,Stocks!$A31,Movimientos!$G$6:$G$16,Stocks!J$3,Movimientos!$A$6:$A$16,"&lt;="&amp;Stocks!$A$2)</f>
        <v>0</v>
      </c>
      <c r="K31" s="4">
        <f>SUMIFS(Movimientos!$E$6:$E$16,Movimientos!$C$6:$C$16,Stocks!$A31,Movimientos!$F$6:$F$16,Stocks!K$3,Movimientos!$A$6:$A$16,"&lt;="&amp;Stocks!$A$2)-SUMIFS(Movimientos!$E$6:$E$16,Movimientos!$C$6:$C$16,Stocks!$A31,Movimientos!$G$6:$G$16,Stocks!K$3,Movimientos!$A$6:$A$16,"&lt;="&amp;Stocks!$A$2)</f>
        <v>0</v>
      </c>
      <c r="L31" s="4">
        <f>SUMIFS(Movimientos!$E$6:$E$16,Movimientos!$C$6:$C$16,Stocks!$A31,Movimientos!$F$6:$F$16,Stocks!L$3,Movimientos!$A$6:$A$16,"&lt;="&amp;Stocks!$A$2)-SUMIFS(Movimientos!$E$6:$E$16,Movimientos!$C$6:$C$16,Stocks!$A31,Movimientos!$G$6:$G$16,Stocks!L$3,Movimientos!$A$6:$A$16,"&lt;="&amp;Stocks!$A$2)</f>
        <v>0</v>
      </c>
    </row>
    <row r="32" spans="1:12" x14ac:dyDescent="0.25">
      <c r="A32" t="str">
        <f>Codificación!A31</f>
        <v/>
      </c>
      <c r="B32" s="1">
        <f>Codificación!B31</f>
        <v>0</v>
      </c>
      <c r="E32" s="4">
        <f>SUMIFS(Movimientos!$E$6:$E$16,Movimientos!$C$6:$C$16,Stocks!$A32,Movimientos!$F$6:$F$16,Stocks!E$3,Movimientos!$A$6:$A$16,"&lt;="&amp;Stocks!$A$2)-SUMIFS(Movimientos!$E$6:$E$16,Movimientos!$C$6:$C$16,Stocks!$A32,Movimientos!$G$6:$G$16,Stocks!E$3,Movimientos!$A$6:$A$16,"&lt;="&amp;Stocks!$A$2)</f>
        <v>0</v>
      </c>
      <c r="F32" s="4">
        <f>SUMIFS(Movimientos!$E$6:$E$16,Movimientos!$C$6:$C$16,Stocks!$A32,Movimientos!$F$6:$F$16,Stocks!F$3,Movimientos!$A$6:$A$16,"&lt;="&amp;Stocks!$A$2)-SUMIFS(Movimientos!$E$6:$E$16,Movimientos!$C$6:$C$16,Stocks!$A32,Movimientos!$G$6:$G$16,Stocks!F$3,Movimientos!$A$6:$A$16,"&lt;="&amp;Stocks!$A$2)</f>
        <v>0</v>
      </c>
      <c r="G32" s="4">
        <f>SUMIFS(Movimientos!$E$6:$E$16,Movimientos!$C$6:$C$16,Stocks!$A32,Movimientos!$F$6:$F$16,Stocks!G$3,Movimientos!$A$6:$A$16,"&lt;="&amp;Stocks!$A$2)-SUMIFS(Movimientos!$E$6:$E$16,Movimientos!$C$6:$C$16,Stocks!$A32,Movimientos!$G$6:$G$16,Stocks!G$3,Movimientos!$A$6:$A$16,"&lt;="&amp;Stocks!$A$2)</f>
        <v>0</v>
      </c>
      <c r="H32" s="4">
        <f>SUMIFS(Movimientos!$E$6:$E$16,Movimientos!$C$6:$C$16,Stocks!$A32,Movimientos!$F$6:$F$16,Stocks!H$3,Movimientos!$A$6:$A$16,"&lt;="&amp;Stocks!$A$2)-SUMIFS(Movimientos!$E$6:$E$16,Movimientos!$C$6:$C$16,Stocks!$A32,Movimientos!$G$6:$G$16,Stocks!H$3,Movimientos!$A$6:$A$16,"&lt;="&amp;Stocks!$A$2)</f>
        <v>0</v>
      </c>
      <c r="I32" s="4">
        <f>SUMIFS(Movimientos!$E$6:$E$16,Movimientos!$C$6:$C$16,Stocks!$A32,Movimientos!$F$6:$F$16,Stocks!I$3,Movimientos!$A$6:$A$16,"&lt;="&amp;Stocks!$A$2)-SUMIFS(Movimientos!$E$6:$E$16,Movimientos!$C$6:$C$16,Stocks!$A32,Movimientos!$G$6:$G$16,Stocks!I$3,Movimientos!$A$6:$A$16,"&lt;="&amp;Stocks!$A$2)</f>
        <v>0</v>
      </c>
      <c r="J32" s="4">
        <f>SUMIFS(Movimientos!$E$6:$E$16,Movimientos!$C$6:$C$16,Stocks!$A32,Movimientos!$F$6:$F$16,Stocks!J$3,Movimientos!$A$6:$A$16,"&lt;="&amp;Stocks!$A$2)-SUMIFS(Movimientos!$E$6:$E$16,Movimientos!$C$6:$C$16,Stocks!$A32,Movimientos!$G$6:$G$16,Stocks!J$3,Movimientos!$A$6:$A$16,"&lt;="&amp;Stocks!$A$2)</f>
        <v>0</v>
      </c>
      <c r="K32" s="4">
        <f>SUMIFS(Movimientos!$E$6:$E$16,Movimientos!$C$6:$C$16,Stocks!$A32,Movimientos!$F$6:$F$16,Stocks!K$3,Movimientos!$A$6:$A$16,"&lt;="&amp;Stocks!$A$2)-SUMIFS(Movimientos!$E$6:$E$16,Movimientos!$C$6:$C$16,Stocks!$A32,Movimientos!$G$6:$G$16,Stocks!K$3,Movimientos!$A$6:$A$16,"&lt;="&amp;Stocks!$A$2)</f>
        <v>0</v>
      </c>
      <c r="L32" s="4">
        <f>SUMIFS(Movimientos!$E$6:$E$16,Movimientos!$C$6:$C$16,Stocks!$A32,Movimientos!$F$6:$F$16,Stocks!L$3,Movimientos!$A$6:$A$16,"&lt;="&amp;Stocks!$A$2)-SUMIFS(Movimientos!$E$6:$E$16,Movimientos!$C$6:$C$16,Stocks!$A32,Movimientos!$G$6:$G$16,Stocks!L$3,Movimientos!$A$6:$A$16,"&lt;="&amp;Stocks!$A$2)</f>
        <v>0</v>
      </c>
    </row>
    <row r="33" spans="1:12" x14ac:dyDescent="0.25">
      <c r="A33" t="str">
        <f>Codificación!A32</f>
        <v/>
      </c>
      <c r="B33" s="1">
        <f>Codificación!B32</f>
        <v>0</v>
      </c>
      <c r="E33" s="4">
        <f>SUMIFS(Movimientos!$E$6:$E$16,Movimientos!$C$6:$C$16,Stocks!$A33,Movimientos!$F$6:$F$16,Stocks!E$3,Movimientos!$A$6:$A$16,"&lt;="&amp;Stocks!$A$2)-SUMIFS(Movimientos!$E$6:$E$16,Movimientos!$C$6:$C$16,Stocks!$A33,Movimientos!$G$6:$G$16,Stocks!E$3,Movimientos!$A$6:$A$16,"&lt;="&amp;Stocks!$A$2)</f>
        <v>0</v>
      </c>
      <c r="F33" s="4">
        <f>SUMIFS(Movimientos!$E$6:$E$16,Movimientos!$C$6:$C$16,Stocks!$A33,Movimientos!$F$6:$F$16,Stocks!F$3,Movimientos!$A$6:$A$16,"&lt;="&amp;Stocks!$A$2)-SUMIFS(Movimientos!$E$6:$E$16,Movimientos!$C$6:$C$16,Stocks!$A33,Movimientos!$G$6:$G$16,Stocks!F$3,Movimientos!$A$6:$A$16,"&lt;="&amp;Stocks!$A$2)</f>
        <v>0</v>
      </c>
      <c r="G33" s="4">
        <f>SUMIFS(Movimientos!$E$6:$E$16,Movimientos!$C$6:$C$16,Stocks!$A33,Movimientos!$F$6:$F$16,Stocks!G$3,Movimientos!$A$6:$A$16,"&lt;="&amp;Stocks!$A$2)-SUMIFS(Movimientos!$E$6:$E$16,Movimientos!$C$6:$C$16,Stocks!$A33,Movimientos!$G$6:$G$16,Stocks!G$3,Movimientos!$A$6:$A$16,"&lt;="&amp;Stocks!$A$2)</f>
        <v>0</v>
      </c>
      <c r="H33" s="4">
        <f>SUMIFS(Movimientos!$E$6:$E$16,Movimientos!$C$6:$C$16,Stocks!$A33,Movimientos!$F$6:$F$16,Stocks!H$3,Movimientos!$A$6:$A$16,"&lt;="&amp;Stocks!$A$2)-SUMIFS(Movimientos!$E$6:$E$16,Movimientos!$C$6:$C$16,Stocks!$A33,Movimientos!$G$6:$G$16,Stocks!H$3,Movimientos!$A$6:$A$16,"&lt;="&amp;Stocks!$A$2)</f>
        <v>0</v>
      </c>
      <c r="I33" s="4">
        <f>SUMIFS(Movimientos!$E$6:$E$16,Movimientos!$C$6:$C$16,Stocks!$A33,Movimientos!$F$6:$F$16,Stocks!I$3,Movimientos!$A$6:$A$16,"&lt;="&amp;Stocks!$A$2)-SUMIFS(Movimientos!$E$6:$E$16,Movimientos!$C$6:$C$16,Stocks!$A33,Movimientos!$G$6:$G$16,Stocks!I$3,Movimientos!$A$6:$A$16,"&lt;="&amp;Stocks!$A$2)</f>
        <v>0</v>
      </c>
      <c r="J33" s="4">
        <f>SUMIFS(Movimientos!$E$6:$E$16,Movimientos!$C$6:$C$16,Stocks!$A33,Movimientos!$F$6:$F$16,Stocks!J$3,Movimientos!$A$6:$A$16,"&lt;="&amp;Stocks!$A$2)-SUMIFS(Movimientos!$E$6:$E$16,Movimientos!$C$6:$C$16,Stocks!$A33,Movimientos!$G$6:$G$16,Stocks!J$3,Movimientos!$A$6:$A$16,"&lt;="&amp;Stocks!$A$2)</f>
        <v>0</v>
      </c>
      <c r="K33" s="4">
        <f>SUMIFS(Movimientos!$E$6:$E$16,Movimientos!$C$6:$C$16,Stocks!$A33,Movimientos!$F$6:$F$16,Stocks!K$3,Movimientos!$A$6:$A$16,"&lt;="&amp;Stocks!$A$2)-SUMIFS(Movimientos!$E$6:$E$16,Movimientos!$C$6:$C$16,Stocks!$A33,Movimientos!$G$6:$G$16,Stocks!K$3,Movimientos!$A$6:$A$16,"&lt;="&amp;Stocks!$A$2)</f>
        <v>0</v>
      </c>
      <c r="L33" s="4">
        <f>SUMIFS(Movimientos!$E$6:$E$16,Movimientos!$C$6:$C$16,Stocks!$A33,Movimientos!$F$6:$F$16,Stocks!L$3,Movimientos!$A$6:$A$16,"&lt;="&amp;Stocks!$A$2)-SUMIFS(Movimientos!$E$6:$E$16,Movimientos!$C$6:$C$16,Stocks!$A33,Movimientos!$G$6:$G$16,Stocks!L$3,Movimientos!$A$6:$A$16,"&lt;="&amp;Stocks!$A$2)</f>
        <v>0</v>
      </c>
    </row>
    <row r="34" spans="1:12" x14ac:dyDescent="0.25">
      <c r="A34" t="str">
        <f>Codificación!A33</f>
        <v/>
      </c>
      <c r="B34" s="1">
        <f>Codificación!B33</f>
        <v>0</v>
      </c>
      <c r="E34" s="4">
        <f>SUMIFS(Movimientos!$E$6:$E$16,Movimientos!$C$6:$C$16,Stocks!$A34,Movimientos!$F$6:$F$16,Stocks!E$3,Movimientos!$A$6:$A$16,"&lt;="&amp;Stocks!$A$2)-SUMIFS(Movimientos!$E$6:$E$16,Movimientos!$C$6:$C$16,Stocks!$A34,Movimientos!$G$6:$G$16,Stocks!E$3,Movimientos!$A$6:$A$16,"&lt;="&amp;Stocks!$A$2)</f>
        <v>0</v>
      </c>
      <c r="F34" s="4">
        <f>SUMIFS(Movimientos!$E$6:$E$16,Movimientos!$C$6:$C$16,Stocks!$A34,Movimientos!$F$6:$F$16,Stocks!F$3,Movimientos!$A$6:$A$16,"&lt;="&amp;Stocks!$A$2)-SUMIFS(Movimientos!$E$6:$E$16,Movimientos!$C$6:$C$16,Stocks!$A34,Movimientos!$G$6:$G$16,Stocks!F$3,Movimientos!$A$6:$A$16,"&lt;="&amp;Stocks!$A$2)</f>
        <v>0</v>
      </c>
      <c r="G34" s="4">
        <f>SUMIFS(Movimientos!$E$6:$E$16,Movimientos!$C$6:$C$16,Stocks!$A34,Movimientos!$F$6:$F$16,Stocks!G$3,Movimientos!$A$6:$A$16,"&lt;="&amp;Stocks!$A$2)-SUMIFS(Movimientos!$E$6:$E$16,Movimientos!$C$6:$C$16,Stocks!$A34,Movimientos!$G$6:$G$16,Stocks!G$3,Movimientos!$A$6:$A$16,"&lt;="&amp;Stocks!$A$2)</f>
        <v>0</v>
      </c>
      <c r="H34" s="4">
        <f>SUMIFS(Movimientos!$E$6:$E$16,Movimientos!$C$6:$C$16,Stocks!$A34,Movimientos!$F$6:$F$16,Stocks!H$3,Movimientos!$A$6:$A$16,"&lt;="&amp;Stocks!$A$2)-SUMIFS(Movimientos!$E$6:$E$16,Movimientos!$C$6:$C$16,Stocks!$A34,Movimientos!$G$6:$G$16,Stocks!H$3,Movimientos!$A$6:$A$16,"&lt;="&amp;Stocks!$A$2)</f>
        <v>0</v>
      </c>
      <c r="I34" s="4">
        <f>SUMIFS(Movimientos!$E$6:$E$16,Movimientos!$C$6:$C$16,Stocks!$A34,Movimientos!$F$6:$F$16,Stocks!I$3,Movimientos!$A$6:$A$16,"&lt;="&amp;Stocks!$A$2)-SUMIFS(Movimientos!$E$6:$E$16,Movimientos!$C$6:$C$16,Stocks!$A34,Movimientos!$G$6:$G$16,Stocks!I$3,Movimientos!$A$6:$A$16,"&lt;="&amp;Stocks!$A$2)</f>
        <v>0</v>
      </c>
      <c r="J34" s="4">
        <f>SUMIFS(Movimientos!$E$6:$E$16,Movimientos!$C$6:$C$16,Stocks!$A34,Movimientos!$F$6:$F$16,Stocks!J$3,Movimientos!$A$6:$A$16,"&lt;="&amp;Stocks!$A$2)-SUMIFS(Movimientos!$E$6:$E$16,Movimientos!$C$6:$C$16,Stocks!$A34,Movimientos!$G$6:$G$16,Stocks!J$3,Movimientos!$A$6:$A$16,"&lt;="&amp;Stocks!$A$2)</f>
        <v>0</v>
      </c>
      <c r="K34" s="4">
        <f>SUMIFS(Movimientos!$E$6:$E$16,Movimientos!$C$6:$C$16,Stocks!$A34,Movimientos!$F$6:$F$16,Stocks!K$3,Movimientos!$A$6:$A$16,"&lt;="&amp;Stocks!$A$2)-SUMIFS(Movimientos!$E$6:$E$16,Movimientos!$C$6:$C$16,Stocks!$A34,Movimientos!$G$6:$G$16,Stocks!K$3,Movimientos!$A$6:$A$16,"&lt;="&amp;Stocks!$A$2)</f>
        <v>0</v>
      </c>
      <c r="L34" s="4">
        <f>SUMIFS(Movimientos!$E$6:$E$16,Movimientos!$C$6:$C$16,Stocks!$A34,Movimientos!$F$6:$F$16,Stocks!L$3,Movimientos!$A$6:$A$16,"&lt;="&amp;Stocks!$A$2)-SUMIFS(Movimientos!$E$6:$E$16,Movimientos!$C$6:$C$16,Stocks!$A34,Movimientos!$G$6:$G$16,Stocks!L$3,Movimientos!$A$6:$A$16,"&lt;="&amp;Stocks!$A$2)</f>
        <v>0</v>
      </c>
    </row>
    <row r="35" spans="1:12" x14ac:dyDescent="0.25">
      <c r="A35" t="str">
        <f>Codificación!A34</f>
        <v/>
      </c>
      <c r="B35" s="1">
        <f>Codificación!B34</f>
        <v>0</v>
      </c>
      <c r="E35" s="4">
        <f>SUMIFS(Movimientos!$E$6:$E$16,Movimientos!$C$6:$C$16,Stocks!$A35,Movimientos!$F$6:$F$16,Stocks!E$3,Movimientos!$A$6:$A$16,"&lt;="&amp;Stocks!$A$2)-SUMIFS(Movimientos!$E$6:$E$16,Movimientos!$C$6:$C$16,Stocks!$A35,Movimientos!$G$6:$G$16,Stocks!E$3,Movimientos!$A$6:$A$16,"&lt;="&amp;Stocks!$A$2)</f>
        <v>0</v>
      </c>
      <c r="F35" s="4">
        <f>SUMIFS(Movimientos!$E$6:$E$16,Movimientos!$C$6:$C$16,Stocks!$A35,Movimientos!$F$6:$F$16,Stocks!F$3,Movimientos!$A$6:$A$16,"&lt;="&amp;Stocks!$A$2)-SUMIFS(Movimientos!$E$6:$E$16,Movimientos!$C$6:$C$16,Stocks!$A35,Movimientos!$G$6:$G$16,Stocks!F$3,Movimientos!$A$6:$A$16,"&lt;="&amp;Stocks!$A$2)</f>
        <v>0</v>
      </c>
      <c r="G35" s="4">
        <f>SUMIFS(Movimientos!$E$6:$E$16,Movimientos!$C$6:$C$16,Stocks!$A35,Movimientos!$F$6:$F$16,Stocks!G$3,Movimientos!$A$6:$A$16,"&lt;="&amp;Stocks!$A$2)-SUMIFS(Movimientos!$E$6:$E$16,Movimientos!$C$6:$C$16,Stocks!$A35,Movimientos!$G$6:$G$16,Stocks!G$3,Movimientos!$A$6:$A$16,"&lt;="&amp;Stocks!$A$2)</f>
        <v>0</v>
      </c>
      <c r="H35" s="4">
        <f>SUMIFS(Movimientos!$E$6:$E$16,Movimientos!$C$6:$C$16,Stocks!$A35,Movimientos!$F$6:$F$16,Stocks!H$3,Movimientos!$A$6:$A$16,"&lt;="&amp;Stocks!$A$2)-SUMIFS(Movimientos!$E$6:$E$16,Movimientos!$C$6:$C$16,Stocks!$A35,Movimientos!$G$6:$G$16,Stocks!H$3,Movimientos!$A$6:$A$16,"&lt;="&amp;Stocks!$A$2)</f>
        <v>0</v>
      </c>
      <c r="I35" s="4">
        <f>SUMIFS(Movimientos!$E$6:$E$16,Movimientos!$C$6:$C$16,Stocks!$A35,Movimientos!$F$6:$F$16,Stocks!I$3,Movimientos!$A$6:$A$16,"&lt;="&amp;Stocks!$A$2)-SUMIFS(Movimientos!$E$6:$E$16,Movimientos!$C$6:$C$16,Stocks!$A35,Movimientos!$G$6:$G$16,Stocks!I$3,Movimientos!$A$6:$A$16,"&lt;="&amp;Stocks!$A$2)</f>
        <v>0</v>
      </c>
      <c r="J35" s="4">
        <f>SUMIFS(Movimientos!$E$6:$E$16,Movimientos!$C$6:$C$16,Stocks!$A35,Movimientos!$F$6:$F$16,Stocks!J$3,Movimientos!$A$6:$A$16,"&lt;="&amp;Stocks!$A$2)-SUMIFS(Movimientos!$E$6:$E$16,Movimientos!$C$6:$C$16,Stocks!$A35,Movimientos!$G$6:$G$16,Stocks!J$3,Movimientos!$A$6:$A$16,"&lt;="&amp;Stocks!$A$2)</f>
        <v>0</v>
      </c>
      <c r="K35" s="4">
        <f>SUMIFS(Movimientos!$E$6:$E$16,Movimientos!$C$6:$C$16,Stocks!$A35,Movimientos!$F$6:$F$16,Stocks!K$3,Movimientos!$A$6:$A$16,"&lt;="&amp;Stocks!$A$2)-SUMIFS(Movimientos!$E$6:$E$16,Movimientos!$C$6:$C$16,Stocks!$A35,Movimientos!$G$6:$G$16,Stocks!K$3,Movimientos!$A$6:$A$16,"&lt;="&amp;Stocks!$A$2)</f>
        <v>0</v>
      </c>
      <c r="L35" s="4">
        <f>SUMIFS(Movimientos!$E$6:$E$16,Movimientos!$C$6:$C$16,Stocks!$A35,Movimientos!$F$6:$F$16,Stocks!L$3,Movimientos!$A$6:$A$16,"&lt;="&amp;Stocks!$A$2)-SUMIFS(Movimientos!$E$6:$E$16,Movimientos!$C$6:$C$16,Stocks!$A35,Movimientos!$G$6:$G$16,Stocks!L$3,Movimientos!$A$6:$A$16,"&lt;="&amp;Stocks!$A$2)</f>
        <v>0</v>
      </c>
    </row>
    <row r="36" spans="1:12" x14ac:dyDescent="0.25">
      <c r="A36" t="str">
        <f>Codificación!A35</f>
        <v/>
      </c>
      <c r="B36" s="1">
        <f>Codificación!B35</f>
        <v>0</v>
      </c>
      <c r="E36" s="4">
        <f>SUMIFS(Movimientos!$E$6:$E$16,Movimientos!$C$6:$C$16,Stocks!$A36,Movimientos!$F$6:$F$16,Stocks!E$3,Movimientos!$A$6:$A$16,"&lt;="&amp;Stocks!$A$2)-SUMIFS(Movimientos!$E$6:$E$16,Movimientos!$C$6:$C$16,Stocks!$A36,Movimientos!$G$6:$G$16,Stocks!E$3,Movimientos!$A$6:$A$16,"&lt;="&amp;Stocks!$A$2)</f>
        <v>0</v>
      </c>
      <c r="F36" s="4">
        <f>SUMIFS(Movimientos!$E$6:$E$16,Movimientos!$C$6:$C$16,Stocks!$A36,Movimientos!$F$6:$F$16,Stocks!F$3,Movimientos!$A$6:$A$16,"&lt;="&amp;Stocks!$A$2)-SUMIFS(Movimientos!$E$6:$E$16,Movimientos!$C$6:$C$16,Stocks!$A36,Movimientos!$G$6:$G$16,Stocks!F$3,Movimientos!$A$6:$A$16,"&lt;="&amp;Stocks!$A$2)</f>
        <v>0</v>
      </c>
      <c r="G36" s="4">
        <f>SUMIFS(Movimientos!$E$6:$E$16,Movimientos!$C$6:$C$16,Stocks!$A36,Movimientos!$F$6:$F$16,Stocks!G$3,Movimientos!$A$6:$A$16,"&lt;="&amp;Stocks!$A$2)-SUMIFS(Movimientos!$E$6:$E$16,Movimientos!$C$6:$C$16,Stocks!$A36,Movimientos!$G$6:$G$16,Stocks!G$3,Movimientos!$A$6:$A$16,"&lt;="&amp;Stocks!$A$2)</f>
        <v>0</v>
      </c>
      <c r="H36" s="4">
        <f>SUMIFS(Movimientos!$E$6:$E$16,Movimientos!$C$6:$C$16,Stocks!$A36,Movimientos!$F$6:$F$16,Stocks!H$3,Movimientos!$A$6:$A$16,"&lt;="&amp;Stocks!$A$2)-SUMIFS(Movimientos!$E$6:$E$16,Movimientos!$C$6:$C$16,Stocks!$A36,Movimientos!$G$6:$G$16,Stocks!H$3,Movimientos!$A$6:$A$16,"&lt;="&amp;Stocks!$A$2)</f>
        <v>0</v>
      </c>
      <c r="I36" s="4">
        <f>SUMIFS(Movimientos!$E$6:$E$16,Movimientos!$C$6:$C$16,Stocks!$A36,Movimientos!$F$6:$F$16,Stocks!I$3,Movimientos!$A$6:$A$16,"&lt;="&amp;Stocks!$A$2)-SUMIFS(Movimientos!$E$6:$E$16,Movimientos!$C$6:$C$16,Stocks!$A36,Movimientos!$G$6:$G$16,Stocks!I$3,Movimientos!$A$6:$A$16,"&lt;="&amp;Stocks!$A$2)</f>
        <v>0</v>
      </c>
      <c r="J36" s="4">
        <f>SUMIFS(Movimientos!$E$6:$E$16,Movimientos!$C$6:$C$16,Stocks!$A36,Movimientos!$F$6:$F$16,Stocks!J$3,Movimientos!$A$6:$A$16,"&lt;="&amp;Stocks!$A$2)-SUMIFS(Movimientos!$E$6:$E$16,Movimientos!$C$6:$C$16,Stocks!$A36,Movimientos!$G$6:$G$16,Stocks!J$3,Movimientos!$A$6:$A$16,"&lt;="&amp;Stocks!$A$2)</f>
        <v>0</v>
      </c>
      <c r="K36" s="4">
        <f>SUMIFS(Movimientos!$E$6:$E$16,Movimientos!$C$6:$C$16,Stocks!$A36,Movimientos!$F$6:$F$16,Stocks!K$3,Movimientos!$A$6:$A$16,"&lt;="&amp;Stocks!$A$2)-SUMIFS(Movimientos!$E$6:$E$16,Movimientos!$C$6:$C$16,Stocks!$A36,Movimientos!$G$6:$G$16,Stocks!K$3,Movimientos!$A$6:$A$16,"&lt;="&amp;Stocks!$A$2)</f>
        <v>0</v>
      </c>
      <c r="L36" s="4">
        <f>SUMIFS(Movimientos!$E$6:$E$16,Movimientos!$C$6:$C$16,Stocks!$A36,Movimientos!$F$6:$F$16,Stocks!L$3,Movimientos!$A$6:$A$16,"&lt;="&amp;Stocks!$A$2)-SUMIFS(Movimientos!$E$6:$E$16,Movimientos!$C$6:$C$16,Stocks!$A36,Movimientos!$G$6:$G$16,Stocks!L$3,Movimientos!$A$6:$A$16,"&lt;="&amp;Stocks!$A$2)</f>
        <v>0</v>
      </c>
    </row>
    <row r="37" spans="1:12" x14ac:dyDescent="0.25">
      <c r="A37" t="str">
        <f>Codificación!A36</f>
        <v/>
      </c>
      <c r="B37" s="1">
        <f>Codificación!B36</f>
        <v>0</v>
      </c>
      <c r="E37" s="4">
        <f>SUMIFS(Movimientos!$E$6:$E$16,Movimientos!$C$6:$C$16,Stocks!$A37,Movimientos!$F$6:$F$16,Stocks!E$3,Movimientos!$A$6:$A$16,"&lt;="&amp;Stocks!$A$2)-SUMIFS(Movimientos!$E$6:$E$16,Movimientos!$C$6:$C$16,Stocks!$A37,Movimientos!$G$6:$G$16,Stocks!E$3,Movimientos!$A$6:$A$16,"&lt;="&amp;Stocks!$A$2)</f>
        <v>0</v>
      </c>
      <c r="F37" s="4">
        <f>SUMIFS(Movimientos!$E$6:$E$16,Movimientos!$C$6:$C$16,Stocks!$A37,Movimientos!$F$6:$F$16,Stocks!F$3,Movimientos!$A$6:$A$16,"&lt;="&amp;Stocks!$A$2)-SUMIFS(Movimientos!$E$6:$E$16,Movimientos!$C$6:$C$16,Stocks!$A37,Movimientos!$G$6:$G$16,Stocks!F$3,Movimientos!$A$6:$A$16,"&lt;="&amp;Stocks!$A$2)</f>
        <v>0</v>
      </c>
      <c r="G37" s="4">
        <f>SUMIFS(Movimientos!$E$6:$E$16,Movimientos!$C$6:$C$16,Stocks!$A37,Movimientos!$F$6:$F$16,Stocks!G$3,Movimientos!$A$6:$A$16,"&lt;="&amp;Stocks!$A$2)-SUMIFS(Movimientos!$E$6:$E$16,Movimientos!$C$6:$C$16,Stocks!$A37,Movimientos!$G$6:$G$16,Stocks!G$3,Movimientos!$A$6:$A$16,"&lt;="&amp;Stocks!$A$2)</f>
        <v>0</v>
      </c>
      <c r="H37" s="4">
        <f>SUMIFS(Movimientos!$E$6:$E$16,Movimientos!$C$6:$C$16,Stocks!$A37,Movimientos!$F$6:$F$16,Stocks!H$3,Movimientos!$A$6:$A$16,"&lt;="&amp;Stocks!$A$2)-SUMIFS(Movimientos!$E$6:$E$16,Movimientos!$C$6:$C$16,Stocks!$A37,Movimientos!$G$6:$G$16,Stocks!H$3,Movimientos!$A$6:$A$16,"&lt;="&amp;Stocks!$A$2)</f>
        <v>0</v>
      </c>
      <c r="I37" s="4">
        <f>SUMIFS(Movimientos!$E$6:$E$16,Movimientos!$C$6:$C$16,Stocks!$A37,Movimientos!$F$6:$F$16,Stocks!I$3,Movimientos!$A$6:$A$16,"&lt;="&amp;Stocks!$A$2)-SUMIFS(Movimientos!$E$6:$E$16,Movimientos!$C$6:$C$16,Stocks!$A37,Movimientos!$G$6:$G$16,Stocks!I$3,Movimientos!$A$6:$A$16,"&lt;="&amp;Stocks!$A$2)</f>
        <v>0</v>
      </c>
      <c r="J37" s="4">
        <f>SUMIFS(Movimientos!$E$6:$E$16,Movimientos!$C$6:$C$16,Stocks!$A37,Movimientos!$F$6:$F$16,Stocks!J$3,Movimientos!$A$6:$A$16,"&lt;="&amp;Stocks!$A$2)-SUMIFS(Movimientos!$E$6:$E$16,Movimientos!$C$6:$C$16,Stocks!$A37,Movimientos!$G$6:$G$16,Stocks!J$3,Movimientos!$A$6:$A$16,"&lt;="&amp;Stocks!$A$2)</f>
        <v>0</v>
      </c>
      <c r="K37" s="4">
        <f>SUMIFS(Movimientos!$E$6:$E$16,Movimientos!$C$6:$C$16,Stocks!$A37,Movimientos!$F$6:$F$16,Stocks!K$3,Movimientos!$A$6:$A$16,"&lt;="&amp;Stocks!$A$2)-SUMIFS(Movimientos!$E$6:$E$16,Movimientos!$C$6:$C$16,Stocks!$A37,Movimientos!$G$6:$G$16,Stocks!K$3,Movimientos!$A$6:$A$16,"&lt;="&amp;Stocks!$A$2)</f>
        <v>0</v>
      </c>
      <c r="L37" s="4">
        <f>SUMIFS(Movimientos!$E$6:$E$16,Movimientos!$C$6:$C$16,Stocks!$A37,Movimientos!$F$6:$F$16,Stocks!L$3,Movimientos!$A$6:$A$16,"&lt;="&amp;Stocks!$A$2)-SUMIFS(Movimientos!$E$6:$E$16,Movimientos!$C$6:$C$16,Stocks!$A37,Movimientos!$G$6:$G$16,Stocks!L$3,Movimientos!$A$6:$A$16,"&lt;="&amp;Stocks!$A$2)</f>
        <v>0</v>
      </c>
    </row>
    <row r="38" spans="1:12" x14ac:dyDescent="0.25">
      <c r="A38" t="str">
        <f>Codificación!A37</f>
        <v/>
      </c>
      <c r="B38" s="1">
        <f>Codificación!B37</f>
        <v>0</v>
      </c>
      <c r="E38" s="4">
        <f>SUMIFS(Movimientos!$E$6:$E$16,Movimientos!$C$6:$C$16,Stocks!$A38,Movimientos!$F$6:$F$16,Stocks!E$3,Movimientos!$A$6:$A$16,"&lt;="&amp;Stocks!$A$2)-SUMIFS(Movimientos!$E$6:$E$16,Movimientos!$C$6:$C$16,Stocks!$A38,Movimientos!$G$6:$G$16,Stocks!E$3,Movimientos!$A$6:$A$16,"&lt;="&amp;Stocks!$A$2)</f>
        <v>0</v>
      </c>
      <c r="F38" s="4">
        <f>SUMIFS(Movimientos!$E$6:$E$16,Movimientos!$C$6:$C$16,Stocks!$A38,Movimientos!$F$6:$F$16,Stocks!F$3,Movimientos!$A$6:$A$16,"&lt;="&amp;Stocks!$A$2)-SUMIFS(Movimientos!$E$6:$E$16,Movimientos!$C$6:$C$16,Stocks!$A38,Movimientos!$G$6:$G$16,Stocks!F$3,Movimientos!$A$6:$A$16,"&lt;="&amp;Stocks!$A$2)</f>
        <v>0</v>
      </c>
      <c r="G38" s="4">
        <f>SUMIFS(Movimientos!$E$6:$E$16,Movimientos!$C$6:$C$16,Stocks!$A38,Movimientos!$F$6:$F$16,Stocks!G$3,Movimientos!$A$6:$A$16,"&lt;="&amp;Stocks!$A$2)-SUMIFS(Movimientos!$E$6:$E$16,Movimientos!$C$6:$C$16,Stocks!$A38,Movimientos!$G$6:$G$16,Stocks!G$3,Movimientos!$A$6:$A$16,"&lt;="&amp;Stocks!$A$2)</f>
        <v>0</v>
      </c>
      <c r="H38" s="4">
        <f>SUMIFS(Movimientos!$E$6:$E$16,Movimientos!$C$6:$C$16,Stocks!$A38,Movimientos!$F$6:$F$16,Stocks!H$3,Movimientos!$A$6:$A$16,"&lt;="&amp;Stocks!$A$2)-SUMIFS(Movimientos!$E$6:$E$16,Movimientos!$C$6:$C$16,Stocks!$A38,Movimientos!$G$6:$G$16,Stocks!H$3,Movimientos!$A$6:$A$16,"&lt;="&amp;Stocks!$A$2)</f>
        <v>0</v>
      </c>
      <c r="I38" s="4">
        <f>SUMIFS(Movimientos!$E$6:$E$16,Movimientos!$C$6:$C$16,Stocks!$A38,Movimientos!$F$6:$F$16,Stocks!I$3,Movimientos!$A$6:$A$16,"&lt;="&amp;Stocks!$A$2)-SUMIFS(Movimientos!$E$6:$E$16,Movimientos!$C$6:$C$16,Stocks!$A38,Movimientos!$G$6:$G$16,Stocks!I$3,Movimientos!$A$6:$A$16,"&lt;="&amp;Stocks!$A$2)</f>
        <v>0</v>
      </c>
      <c r="J38" s="4">
        <f>SUMIFS(Movimientos!$E$6:$E$16,Movimientos!$C$6:$C$16,Stocks!$A38,Movimientos!$F$6:$F$16,Stocks!J$3,Movimientos!$A$6:$A$16,"&lt;="&amp;Stocks!$A$2)-SUMIFS(Movimientos!$E$6:$E$16,Movimientos!$C$6:$C$16,Stocks!$A38,Movimientos!$G$6:$G$16,Stocks!J$3,Movimientos!$A$6:$A$16,"&lt;="&amp;Stocks!$A$2)</f>
        <v>0</v>
      </c>
      <c r="K38" s="4">
        <f>SUMIFS(Movimientos!$E$6:$E$16,Movimientos!$C$6:$C$16,Stocks!$A38,Movimientos!$F$6:$F$16,Stocks!K$3,Movimientos!$A$6:$A$16,"&lt;="&amp;Stocks!$A$2)-SUMIFS(Movimientos!$E$6:$E$16,Movimientos!$C$6:$C$16,Stocks!$A38,Movimientos!$G$6:$G$16,Stocks!K$3,Movimientos!$A$6:$A$16,"&lt;="&amp;Stocks!$A$2)</f>
        <v>0</v>
      </c>
      <c r="L38" s="4">
        <f>SUMIFS(Movimientos!$E$6:$E$16,Movimientos!$C$6:$C$16,Stocks!$A38,Movimientos!$F$6:$F$16,Stocks!L$3,Movimientos!$A$6:$A$16,"&lt;="&amp;Stocks!$A$2)-SUMIFS(Movimientos!$E$6:$E$16,Movimientos!$C$6:$C$16,Stocks!$A38,Movimientos!$G$6:$G$16,Stocks!L$3,Movimientos!$A$6:$A$16,"&lt;="&amp;Stocks!$A$2)</f>
        <v>0</v>
      </c>
    </row>
    <row r="39" spans="1:12" x14ac:dyDescent="0.25">
      <c r="A39" t="str">
        <f>Codificación!A38</f>
        <v/>
      </c>
      <c r="B39" s="1">
        <f>Codificación!B38</f>
        <v>0</v>
      </c>
      <c r="E39" s="4">
        <f>SUMIFS(Movimientos!$E$6:$E$16,Movimientos!$C$6:$C$16,Stocks!$A39,Movimientos!$F$6:$F$16,Stocks!E$3,Movimientos!$A$6:$A$16,"&lt;="&amp;Stocks!$A$2)-SUMIFS(Movimientos!$E$6:$E$16,Movimientos!$C$6:$C$16,Stocks!$A39,Movimientos!$G$6:$G$16,Stocks!E$3,Movimientos!$A$6:$A$16,"&lt;="&amp;Stocks!$A$2)</f>
        <v>0</v>
      </c>
      <c r="F39" s="4">
        <f>SUMIFS(Movimientos!$E$6:$E$16,Movimientos!$C$6:$C$16,Stocks!$A39,Movimientos!$F$6:$F$16,Stocks!F$3,Movimientos!$A$6:$A$16,"&lt;="&amp;Stocks!$A$2)-SUMIFS(Movimientos!$E$6:$E$16,Movimientos!$C$6:$C$16,Stocks!$A39,Movimientos!$G$6:$G$16,Stocks!F$3,Movimientos!$A$6:$A$16,"&lt;="&amp;Stocks!$A$2)</f>
        <v>0</v>
      </c>
      <c r="G39" s="4">
        <f>SUMIFS(Movimientos!$E$6:$E$16,Movimientos!$C$6:$C$16,Stocks!$A39,Movimientos!$F$6:$F$16,Stocks!G$3,Movimientos!$A$6:$A$16,"&lt;="&amp;Stocks!$A$2)-SUMIFS(Movimientos!$E$6:$E$16,Movimientos!$C$6:$C$16,Stocks!$A39,Movimientos!$G$6:$G$16,Stocks!G$3,Movimientos!$A$6:$A$16,"&lt;="&amp;Stocks!$A$2)</f>
        <v>0</v>
      </c>
      <c r="H39" s="4">
        <f>SUMIFS(Movimientos!$E$6:$E$16,Movimientos!$C$6:$C$16,Stocks!$A39,Movimientos!$F$6:$F$16,Stocks!H$3,Movimientos!$A$6:$A$16,"&lt;="&amp;Stocks!$A$2)-SUMIFS(Movimientos!$E$6:$E$16,Movimientos!$C$6:$C$16,Stocks!$A39,Movimientos!$G$6:$G$16,Stocks!H$3,Movimientos!$A$6:$A$16,"&lt;="&amp;Stocks!$A$2)</f>
        <v>0</v>
      </c>
      <c r="I39" s="4">
        <f>SUMIFS(Movimientos!$E$6:$E$16,Movimientos!$C$6:$C$16,Stocks!$A39,Movimientos!$F$6:$F$16,Stocks!I$3,Movimientos!$A$6:$A$16,"&lt;="&amp;Stocks!$A$2)-SUMIFS(Movimientos!$E$6:$E$16,Movimientos!$C$6:$C$16,Stocks!$A39,Movimientos!$G$6:$G$16,Stocks!I$3,Movimientos!$A$6:$A$16,"&lt;="&amp;Stocks!$A$2)</f>
        <v>0</v>
      </c>
      <c r="J39" s="4">
        <f>SUMIFS(Movimientos!$E$6:$E$16,Movimientos!$C$6:$C$16,Stocks!$A39,Movimientos!$F$6:$F$16,Stocks!J$3,Movimientos!$A$6:$A$16,"&lt;="&amp;Stocks!$A$2)-SUMIFS(Movimientos!$E$6:$E$16,Movimientos!$C$6:$C$16,Stocks!$A39,Movimientos!$G$6:$G$16,Stocks!J$3,Movimientos!$A$6:$A$16,"&lt;="&amp;Stocks!$A$2)</f>
        <v>0</v>
      </c>
      <c r="K39" s="4">
        <f>SUMIFS(Movimientos!$E$6:$E$16,Movimientos!$C$6:$C$16,Stocks!$A39,Movimientos!$F$6:$F$16,Stocks!K$3,Movimientos!$A$6:$A$16,"&lt;="&amp;Stocks!$A$2)-SUMIFS(Movimientos!$E$6:$E$16,Movimientos!$C$6:$C$16,Stocks!$A39,Movimientos!$G$6:$G$16,Stocks!K$3,Movimientos!$A$6:$A$16,"&lt;="&amp;Stocks!$A$2)</f>
        <v>0</v>
      </c>
      <c r="L39" s="4">
        <f>SUMIFS(Movimientos!$E$6:$E$16,Movimientos!$C$6:$C$16,Stocks!$A39,Movimientos!$F$6:$F$16,Stocks!L$3,Movimientos!$A$6:$A$16,"&lt;="&amp;Stocks!$A$2)-SUMIFS(Movimientos!$E$6:$E$16,Movimientos!$C$6:$C$16,Stocks!$A39,Movimientos!$G$6:$G$16,Stocks!L$3,Movimientos!$A$6:$A$16,"&lt;="&amp;Stocks!$A$2)</f>
        <v>0</v>
      </c>
    </row>
    <row r="40" spans="1:12" x14ac:dyDescent="0.25">
      <c r="A40" t="str">
        <f>Codificación!A39</f>
        <v/>
      </c>
      <c r="B40" s="1">
        <f>Codificación!B39</f>
        <v>0</v>
      </c>
      <c r="E40" s="4">
        <f>SUMIFS(Movimientos!$E$6:$E$16,Movimientos!$C$6:$C$16,Stocks!$A40,Movimientos!$F$6:$F$16,Stocks!E$3,Movimientos!$A$6:$A$16,"&lt;="&amp;Stocks!$A$2)-SUMIFS(Movimientos!$E$6:$E$16,Movimientos!$C$6:$C$16,Stocks!$A40,Movimientos!$G$6:$G$16,Stocks!E$3,Movimientos!$A$6:$A$16,"&lt;="&amp;Stocks!$A$2)</f>
        <v>0</v>
      </c>
      <c r="F40" s="4">
        <f>SUMIFS(Movimientos!$E$6:$E$16,Movimientos!$C$6:$C$16,Stocks!$A40,Movimientos!$F$6:$F$16,Stocks!F$3,Movimientos!$A$6:$A$16,"&lt;="&amp;Stocks!$A$2)-SUMIFS(Movimientos!$E$6:$E$16,Movimientos!$C$6:$C$16,Stocks!$A40,Movimientos!$G$6:$G$16,Stocks!F$3,Movimientos!$A$6:$A$16,"&lt;="&amp;Stocks!$A$2)</f>
        <v>0</v>
      </c>
      <c r="G40" s="4">
        <f>SUMIFS(Movimientos!$E$6:$E$16,Movimientos!$C$6:$C$16,Stocks!$A40,Movimientos!$F$6:$F$16,Stocks!G$3,Movimientos!$A$6:$A$16,"&lt;="&amp;Stocks!$A$2)-SUMIFS(Movimientos!$E$6:$E$16,Movimientos!$C$6:$C$16,Stocks!$A40,Movimientos!$G$6:$G$16,Stocks!G$3,Movimientos!$A$6:$A$16,"&lt;="&amp;Stocks!$A$2)</f>
        <v>0</v>
      </c>
      <c r="H40" s="4">
        <f>SUMIFS(Movimientos!$E$6:$E$16,Movimientos!$C$6:$C$16,Stocks!$A40,Movimientos!$F$6:$F$16,Stocks!H$3,Movimientos!$A$6:$A$16,"&lt;="&amp;Stocks!$A$2)-SUMIFS(Movimientos!$E$6:$E$16,Movimientos!$C$6:$C$16,Stocks!$A40,Movimientos!$G$6:$G$16,Stocks!H$3,Movimientos!$A$6:$A$16,"&lt;="&amp;Stocks!$A$2)</f>
        <v>0</v>
      </c>
      <c r="I40" s="4">
        <f>SUMIFS(Movimientos!$E$6:$E$16,Movimientos!$C$6:$C$16,Stocks!$A40,Movimientos!$F$6:$F$16,Stocks!I$3,Movimientos!$A$6:$A$16,"&lt;="&amp;Stocks!$A$2)-SUMIFS(Movimientos!$E$6:$E$16,Movimientos!$C$6:$C$16,Stocks!$A40,Movimientos!$G$6:$G$16,Stocks!I$3,Movimientos!$A$6:$A$16,"&lt;="&amp;Stocks!$A$2)</f>
        <v>0</v>
      </c>
      <c r="J40" s="4">
        <f>SUMIFS(Movimientos!$E$6:$E$16,Movimientos!$C$6:$C$16,Stocks!$A40,Movimientos!$F$6:$F$16,Stocks!J$3,Movimientos!$A$6:$A$16,"&lt;="&amp;Stocks!$A$2)-SUMIFS(Movimientos!$E$6:$E$16,Movimientos!$C$6:$C$16,Stocks!$A40,Movimientos!$G$6:$G$16,Stocks!J$3,Movimientos!$A$6:$A$16,"&lt;="&amp;Stocks!$A$2)</f>
        <v>0</v>
      </c>
      <c r="K40" s="4">
        <f>SUMIFS(Movimientos!$E$6:$E$16,Movimientos!$C$6:$C$16,Stocks!$A40,Movimientos!$F$6:$F$16,Stocks!K$3,Movimientos!$A$6:$A$16,"&lt;="&amp;Stocks!$A$2)-SUMIFS(Movimientos!$E$6:$E$16,Movimientos!$C$6:$C$16,Stocks!$A40,Movimientos!$G$6:$G$16,Stocks!K$3,Movimientos!$A$6:$A$16,"&lt;="&amp;Stocks!$A$2)</f>
        <v>0</v>
      </c>
      <c r="L40" s="4">
        <f>SUMIFS(Movimientos!$E$6:$E$16,Movimientos!$C$6:$C$16,Stocks!$A40,Movimientos!$F$6:$F$16,Stocks!L$3,Movimientos!$A$6:$A$16,"&lt;="&amp;Stocks!$A$2)-SUMIFS(Movimientos!$E$6:$E$16,Movimientos!$C$6:$C$16,Stocks!$A40,Movimientos!$G$6:$G$16,Stocks!L$3,Movimientos!$A$6:$A$16,"&lt;="&amp;Stocks!$A$2)</f>
        <v>0</v>
      </c>
    </row>
    <row r="41" spans="1:12" x14ac:dyDescent="0.25">
      <c r="A41" t="str">
        <f>Codificación!A40</f>
        <v/>
      </c>
      <c r="B41" s="1">
        <f>Codificación!B40</f>
        <v>0</v>
      </c>
      <c r="E41" s="4">
        <f>SUMIFS(Movimientos!$E$6:$E$16,Movimientos!$C$6:$C$16,Stocks!$A41,Movimientos!$F$6:$F$16,Stocks!E$3,Movimientos!$A$6:$A$16,"&lt;="&amp;Stocks!$A$2)-SUMIFS(Movimientos!$E$6:$E$16,Movimientos!$C$6:$C$16,Stocks!$A41,Movimientos!$G$6:$G$16,Stocks!E$3,Movimientos!$A$6:$A$16,"&lt;="&amp;Stocks!$A$2)</f>
        <v>0</v>
      </c>
      <c r="F41" s="4">
        <f>SUMIFS(Movimientos!$E$6:$E$16,Movimientos!$C$6:$C$16,Stocks!$A41,Movimientos!$F$6:$F$16,Stocks!F$3,Movimientos!$A$6:$A$16,"&lt;="&amp;Stocks!$A$2)-SUMIFS(Movimientos!$E$6:$E$16,Movimientos!$C$6:$C$16,Stocks!$A41,Movimientos!$G$6:$G$16,Stocks!F$3,Movimientos!$A$6:$A$16,"&lt;="&amp;Stocks!$A$2)</f>
        <v>0</v>
      </c>
      <c r="G41" s="4">
        <f>SUMIFS(Movimientos!$E$6:$E$16,Movimientos!$C$6:$C$16,Stocks!$A41,Movimientos!$F$6:$F$16,Stocks!G$3,Movimientos!$A$6:$A$16,"&lt;="&amp;Stocks!$A$2)-SUMIFS(Movimientos!$E$6:$E$16,Movimientos!$C$6:$C$16,Stocks!$A41,Movimientos!$G$6:$G$16,Stocks!G$3,Movimientos!$A$6:$A$16,"&lt;="&amp;Stocks!$A$2)</f>
        <v>0</v>
      </c>
      <c r="H41" s="4">
        <f>SUMIFS(Movimientos!$E$6:$E$16,Movimientos!$C$6:$C$16,Stocks!$A41,Movimientos!$F$6:$F$16,Stocks!H$3,Movimientos!$A$6:$A$16,"&lt;="&amp;Stocks!$A$2)-SUMIFS(Movimientos!$E$6:$E$16,Movimientos!$C$6:$C$16,Stocks!$A41,Movimientos!$G$6:$G$16,Stocks!H$3,Movimientos!$A$6:$A$16,"&lt;="&amp;Stocks!$A$2)</f>
        <v>0</v>
      </c>
      <c r="I41" s="4">
        <f>SUMIFS(Movimientos!$E$6:$E$16,Movimientos!$C$6:$C$16,Stocks!$A41,Movimientos!$F$6:$F$16,Stocks!I$3,Movimientos!$A$6:$A$16,"&lt;="&amp;Stocks!$A$2)-SUMIFS(Movimientos!$E$6:$E$16,Movimientos!$C$6:$C$16,Stocks!$A41,Movimientos!$G$6:$G$16,Stocks!I$3,Movimientos!$A$6:$A$16,"&lt;="&amp;Stocks!$A$2)</f>
        <v>0</v>
      </c>
      <c r="J41" s="4">
        <f>SUMIFS(Movimientos!$E$6:$E$16,Movimientos!$C$6:$C$16,Stocks!$A41,Movimientos!$F$6:$F$16,Stocks!J$3,Movimientos!$A$6:$A$16,"&lt;="&amp;Stocks!$A$2)-SUMIFS(Movimientos!$E$6:$E$16,Movimientos!$C$6:$C$16,Stocks!$A41,Movimientos!$G$6:$G$16,Stocks!J$3,Movimientos!$A$6:$A$16,"&lt;="&amp;Stocks!$A$2)</f>
        <v>0</v>
      </c>
      <c r="K41" s="4">
        <f>SUMIFS(Movimientos!$E$6:$E$16,Movimientos!$C$6:$C$16,Stocks!$A41,Movimientos!$F$6:$F$16,Stocks!K$3,Movimientos!$A$6:$A$16,"&lt;="&amp;Stocks!$A$2)-SUMIFS(Movimientos!$E$6:$E$16,Movimientos!$C$6:$C$16,Stocks!$A41,Movimientos!$G$6:$G$16,Stocks!K$3,Movimientos!$A$6:$A$16,"&lt;="&amp;Stocks!$A$2)</f>
        <v>0</v>
      </c>
      <c r="L41" s="4">
        <f>SUMIFS(Movimientos!$E$6:$E$16,Movimientos!$C$6:$C$16,Stocks!$A41,Movimientos!$F$6:$F$16,Stocks!L$3,Movimientos!$A$6:$A$16,"&lt;="&amp;Stocks!$A$2)-SUMIFS(Movimientos!$E$6:$E$16,Movimientos!$C$6:$C$16,Stocks!$A41,Movimientos!$G$6:$G$16,Stocks!L$3,Movimientos!$A$6:$A$16,"&lt;="&amp;Stocks!$A$2)</f>
        <v>0</v>
      </c>
    </row>
    <row r="42" spans="1:12" x14ac:dyDescent="0.25">
      <c r="A42" t="str">
        <f>Codificación!A41</f>
        <v/>
      </c>
      <c r="B42" s="1">
        <f>Codificación!B41</f>
        <v>0</v>
      </c>
      <c r="E42" s="4">
        <f>SUMIFS(Movimientos!$E$6:$E$16,Movimientos!$C$6:$C$16,Stocks!$A42,Movimientos!$F$6:$F$16,Stocks!E$3,Movimientos!$A$6:$A$16,"&lt;="&amp;Stocks!$A$2)-SUMIFS(Movimientos!$E$6:$E$16,Movimientos!$C$6:$C$16,Stocks!$A42,Movimientos!$G$6:$G$16,Stocks!E$3,Movimientos!$A$6:$A$16,"&lt;="&amp;Stocks!$A$2)</f>
        <v>0</v>
      </c>
      <c r="F42" s="4">
        <f>SUMIFS(Movimientos!$E$6:$E$16,Movimientos!$C$6:$C$16,Stocks!$A42,Movimientos!$F$6:$F$16,Stocks!F$3,Movimientos!$A$6:$A$16,"&lt;="&amp;Stocks!$A$2)-SUMIFS(Movimientos!$E$6:$E$16,Movimientos!$C$6:$C$16,Stocks!$A42,Movimientos!$G$6:$G$16,Stocks!F$3,Movimientos!$A$6:$A$16,"&lt;="&amp;Stocks!$A$2)</f>
        <v>0</v>
      </c>
      <c r="G42" s="4">
        <f>SUMIFS(Movimientos!$E$6:$E$16,Movimientos!$C$6:$C$16,Stocks!$A42,Movimientos!$F$6:$F$16,Stocks!G$3,Movimientos!$A$6:$A$16,"&lt;="&amp;Stocks!$A$2)-SUMIFS(Movimientos!$E$6:$E$16,Movimientos!$C$6:$C$16,Stocks!$A42,Movimientos!$G$6:$G$16,Stocks!G$3,Movimientos!$A$6:$A$16,"&lt;="&amp;Stocks!$A$2)</f>
        <v>0</v>
      </c>
      <c r="H42" s="4">
        <f>SUMIFS(Movimientos!$E$6:$E$16,Movimientos!$C$6:$C$16,Stocks!$A42,Movimientos!$F$6:$F$16,Stocks!H$3,Movimientos!$A$6:$A$16,"&lt;="&amp;Stocks!$A$2)-SUMIFS(Movimientos!$E$6:$E$16,Movimientos!$C$6:$C$16,Stocks!$A42,Movimientos!$G$6:$G$16,Stocks!H$3,Movimientos!$A$6:$A$16,"&lt;="&amp;Stocks!$A$2)</f>
        <v>0</v>
      </c>
      <c r="I42" s="4">
        <f>SUMIFS(Movimientos!$E$6:$E$16,Movimientos!$C$6:$C$16,Stocks!$A42,Movimientos!$F$6:$F$16,Stocks!I$3,Movimientos!$A$6:$A$16,"&lt;="&amp;Stocks!$A$2)-SUMIFS(Movimientos!$E$6:$E$16,Movimientos!$C$6:$C$16,Stocks!$A42,Movimientos!$G$6:$G$16,Stocks!I$3,Movimientos!$A$6:$A$16,"&lt;="&amp;Stocks!$A$2)</f>
        <v>0</v>
      </c>
      <c r="J42" s="4">
        <f>SUMIFS(Movimientos!$E$6:$E$16,Movimientos!$C$6:$C$16,Stocks!$A42,Movimientos!$F$6:$F$16,Stocks!J$3,Movimientos!$A$6:$A$16,"&lt;="&amp;Stocks!$A$2)-SUMIFS(Movimientos!$E$6:$E$16,Movimientos!$C$6:$C$16,Stocks!$A42,Movimientos!$G$6:$G$16,Stocks!J$3,Movimientos!$A$6:$A$16,"&lt;="&amp;Stocks!$A$2)</f>
        <v>0</v>
      </c>
      <c r="K42" s="4">
        <f>SUMIFS(Movimientos!$E$6:$E$16,Movimientos!$C$6:$C$16,Stocks!$A42,Movimientos!$F$6:$F$16,Stocks!K$3,Movimientos!$A$6:$A$16,"&lt;="&amp;Stocks!$A$2)-SUMIFS(Movimientos!$E$6:$E$16,Movimientos!$C$6:$C$16,Stocks!$A42,Movimientos!$G$6:$G$16,Stocks!K$3,Movimientos!$A$6:$A$16,"&lt;="&amp;Stocks!$A$2)</f>
        <v>0</v>
      </c>
      <c r="L42" s="4">
        <f>SUMIFS(Movimientos!$E$6:$E$16,Movimientos!$C$6:$C$16,Stocks!$A42,Movimientos!$F$6:$F$16,Stocks!L$3,Movimientos!$A$6:$A$16,"&lt;="&amp;Stocks!$A$2)-SUMIFS(Movimientos!$E$6:$E$16,Movimientos!$C$6:$C$16,Stocks!$A42,Movimientos!$G$6:$G$16,Stocks!L$3,Movimientos!$A$6:$A$16,"&lt;="&amp;Stocks!$A$2)</f>
        <v>0</v>
      </c>
    </row>
    <row r="43" spans="1:12" x14ac:dyDescent="0.25">
      <c r="A43" t="str">
        <f>Codificación!A42</f>
        <v/>
      </c>
      <c r="B43" s="1">
        <f>Codificación!B42</f>
        <v>0</v>
      </c>
      <c r="E43" s="4">
        <f>SUMIFS(Movimientos!$E$6:$E$16,Movimientos!$C$6:$C$16,Stocks!$A43,Movimientos!$F$6:$F$16,Stocks!E$3,Movimientos!$A$6:$A$16,"&lt;="&amp;Stocks!$A$2)-SUMIFS(Movimientos!$E$6:$E$16,Movimientos!$C$6:$C$16,Stocks!$A43,Movimientos!$G$6:$G$16,Stocks!E$3,Movimientos!$A$6:$A$16,"&lt;="&amp;Stocks!$A$2)</f>
        <v>0</v>
      </c>
      <c r="F43" s="4">
        <f>SUMIFS(Movimientos!$E$6:$E$16,Movimientos!$C$6:$C$16,Stocks!$A43,Movimientos!$F$6:$F$16,Stocks!F$3,Movimientos!$A$6:$A$16,"&lt;="&amp;Stocks!$A$2)-SUMIFS(Movimientos!$E$6:$E$16,Movimientos!$C$6:$C$16,Stocks!$A43,Movimientos!$G$6:$G$16,Stocks!F$3,Movimientos!$A$6:$A$16,"&lt;="&amp;Stocks!$A$2)</f>
        <v>0</v>
      </c>
      <c r="G43" s="4">
        <f>SUMIFS(Movimientos!$E$6:$E$16,Movimientos!$C$6:$C$16,Stocks!$A43,Movimientos!$F$6:$F$16,Stocks!G$3,Movimientos!$A$6:$A$16,"&lt;="&amp;Stocks!$A$2)-SUMIFS(Movimientos!$E$6:$E$16,Movimientos!$C$6:$C$16,Stocks!$A43,Movimientos!$G$6:$G$16,Stocks!G$3,Movimientos!$A$6:$A$16,"&lt;="&amp;Stocks!$A$2)</f>
        <v>0</v>
      </c>
      <c r="H43" s="4">
        <f>SUMIFS(Movimientos!$E$6:$E$16,Movimientos!$C$6:$C$16,Stocks!$A43,Movimientos!$F$6:$F$16,Stocks!H$3,Movimientos!$A$6:$A$16,"&lt;="&amp;Stocks!$A$2)-SUMIFS(Movimientos!$E$6:$E$16,Movimientos!$C$6:$C$16,Stocks!$A43,Movimientos!$G$6:$G$16,Stocks!H$3,Movimientos!$A$6:$A$16,"&lt;="&amp;Stocks!$A$2)</f>
        <v>0</v>
      </c>
      <c r="I43" s="4">
        <f>SUMIFS(Movimientos!$E$6:$E$16,Movimientos!$C$6:$C$16,Stocks!$A43,Movimientos!$F$6:$F$16,Stocks!I$3,Movimientos!$A$6:$A$16,"&lt;="&amp;Stocks!$A$2)-SUMIFS(Movimientos!$E$6:$E$16,Movimientos!$C$6:$C$16,Stocks!$A43,Movimientos!$G$6:$G$16,Stocks!I$3,Movimientos!$A$6:$A$16,"&lt;="&amp;Stocks!$A$2)</f>
        <v>0</v>
      </c>
      <c r="J43" s="4">
        <f>SUMIFS(Movimientos!$E$6:$E$16,Movimientos!$C$6:$C$16,Stocks!$A43,Movimientos!$F$6:$F$16,Stocks!J$3,Movimientos!$A$6:$A$16,"&lt;="&amp;Stocks!$A$2)-SUMIFS(Movimientos!$E$6:$E$16,Movimientos!$C$6:$C$16,Stocks!$A43,Movimientos!$G$6:$G$16,Stocks!J$3,Movimientos!$A$6:$A$16,"&lt;="&amp;Stocks!$A$2)</f>
        <v>0</v>
      </c>
      <c r="K43" s="4">
        <f>SUMIFS(Movimientos!$E$6:$E$16,Movimientos!$C$6:$C$16,Stocks!$A43,Movimientos!$F$6:$F$16,Stocks!K$3,Movimientos!$A$6:$A$16,"&lt;="&amp;Stocks!$A$2)-SUMIFS(Movimientos!$E$6:$E$16,Movimientos!$C$6:$C$16,Stocks!$A43,Movimientos!$G$6:$G$16,Stocks!K$3,Movimientos!$A$6:$A$16,"&lt;="&amp;Stocks!$A$2)</f>
        <v>0</v>
      </c>
      <c r="L43" s="4">
        <f>SUMIFS(Movimientos!$E$6:$E$16,Movimientos!$C$6:$C$16,Stocks!$A43,Movimientos!$F$6:$F$16,Stocks!L$3,Movimientos!$A$6:$A$16,"&lt;="&amp;Stocks!$A$2)-SUMIFS(Movimientos!$E$6:$E$16,Movimientos!$C$6:$C$16,Stocks!$A43,Movimientos!$G$6:$G$16,Stocks!L$3,Movimientos!$A$6:$A$16,"&lt;="&amp;Stocks!$A$2)</f>
        <v>0</v>
      </c>
    </row>
    <row r="44" spans="1:12" x14ac:dyDescent="0.25">
      <c r="A44" t="str">
        <f>Codificación!A43</f>
        <v/>
      </c>
      <c r="B44" s="1">
        <f>Codificación!B43</f>
        <v>0</v>
      </c>
      <c r="E44" s="4">
        <f>SUMIFS(Movimientos!$E$6:$E$16,Movimientos!$C$6:$C$16,Stocks!$A44,Movimientos!$F$6:$F$16,Stocks!E$3,Movimientos!$A$6:$A$16,"&lt;="&amp;Stocks!$A$2)-SUMIFS(Movimientos!$E$6:$E$16,Movimientos!$C$6:$C$16,Stocks!$A44,Movimientos!$G$6:$G$16,Stocks!E$3,Movimientos!$A$6:$A$16,"&lt;="&amp;Stocks!$A$2)</f>
        <v>0</v>
      </c>
      <c r="F44" s="4">
        <f>SUMIFS(Movimientos!$E$6:$E$16,Movimientos!$C$6:$C$16,Stocks!$A44,Movimientos!$F$6:$F$16,Stocks!F$3,Movimientos!$A$6:$A$16,"&lt;="&amp;Stocks!$A$2)-SUMIFS(Movimientos!$E$6:$E$16,Movimientos!$C$6:$C$16,Stocks!$A44,Movimientos!$G$6:$G$16,Stocks!F$3,Movimientos!$A$6:$A$16,"&lt;="&amp;Stocks!$A$2)</f>
        <v>0</v>
      </c>
      <c r="G44" s="4">
        <f>SUMIFS(Movimientos!$E$6:$E$16,Movimientos!$C$6:$C$16,Stocks!$A44,Movimientos!$F$6:$F$16,Stocks!G$3,Movimientos!$A$6:$A$16,"&lt;="&amp;Stocks!$A$2)-SUMIFS(Movimientos!$E$6:$E$16,Movimientos!$C$6:$C$16,Stocks!$A44,Movimientos!$G$6:$G$16,Stocks!G$3,Movimientos!$A$6:$A$16,"&lt;="&amp;Stocks!$A$2)</f>
        <v>0</v>
      </c>
      <c r="H44" s="4">
        <f>SUMIFS(Movimientos!$E$6:$E$16,Movimientos!$C$6:$C$16,Stocks!$A44,Movimientos!$F$6:$F$16,Stocks!H$3,Movimientos!$A$6:$A$16,"&lt;="&amp;Stocks!$A$2)-SUMIFS(Movimientos!$E$6:$E$16,Movimientos!$C$6:$C$16,Stocks!$A44,Movimientos!$G$6:$G$16,Stocks!H$3,Movimientos!$A$6:$A$16,"&lt;="&amp;Stocks!$A$2)</f>
        <v>0</v>
      </c>
      <c r="I44" s="4">
        <f>SUMIFS(Movimientos!$E$6:$E$16,Movimientos!$C$6:$C$16,Stocks!$A44,Movimientos!$F$6:$F$16,Stocks!I$3,Movimientos!$A$6:$A$16,"&lt;="&amp;Stocks!$A$2)-SUMIFS(Movimientos!$E$6:$E$16,Movimientos!$C$6:$C$16,Stocks!$A44,Movimientos!$G$6:$G$16,Stocks!I$3,Movimientos!$A$6:$A$16,"&lt;="&amp;Stocks!$A$2)</f>
        <v>0</v>
      </c>
      <c r="J44" s="4">
        <f>SUMIFS(Movimientos!$E$6:$E$16,Movimientos!$C$6:$C$16,Stocks!$A44,Movimientos!$F$6:$F$16,Stocks!J$3,Movimientos!$A$6:$A$16,"&lt;="&amp;Stocks!$A$2)-SUMIFS(Movimientos!$E$6:$E$16,Movimientos!$C$6:$C$16,Stocks!$A44,Movimientos!$G$6:$G$16,Stocks!J$3,Movimientos!$A$6:$A$16,"&lt;="&amp;Stocks!$A$2)</f>
        <v>0</v>
      </c>
      <c r="K44" s="4">
        <f>SUMIFS(Movimientos!$E$6:$E$16,Movimientos!$C$6:$C$16,Stocks!$A44,Movimientos!$F$6:$F$16,Stocks!K$3,Movimientos!$A$6:$A$16,"&lt;="&amp;Stocks!$A$2)-SUMIFS(Movimientos!$E$6:$E$16,Movimientos!$C$6:$C$16,Stocks!$A44,Movimientos!$G$6:$G$16,Stocks!K$3,Movimientos!$A$6:$A$16,"&lt;="&amp;Stocks!$A$2)</f>
        <v>0</v>
      </c>
      <c r="L44" s="4">
        <f>SUMIFS(Movimientos!$E$6:$E$16,Movimientos!$C$6:$C$16,Stocks!$A44,Movimientos!$F$6:$F$16,Stocks!L$3,Movimientos!$A$6:$A$16,"&lt;="&amp;Stocks!$A$2)-SUMIFS(Movimientos!$E$6:$E$16,Movimientos!$C$6:$C$16,Stocks!$A44,Movimientos!$G$6:$G$16,Stocks!L$3,Movimientos!$A$6:$A$16,"&lt;="&amp;Stocks!$A$2)</f>
        <v>0</v>
      </c>
    </row>
    <row r="45" spans="1:12" x14ac:dyDescent="0.25">
      <c r="A45" t="str">
        <f>Codificación!A44</f>
        <v/>
      </c>
      <c r="B45" s="1">
        <f>Codificación!B44</f>
        <v>0</v>
      </c>
      <c r="E45" s="4">
        <f>SUMIFS(Movimientos!$E$6:$E$16,Movimientos!$C$6:$C$16,Stocks!$A45,Movimientos!$F$6:$F$16,Stocks!E$3,Movimientos!$A$6:$A$16,"&lt;="&amp;Stocks!$A$2)-SUMIFS(Movimientos!$E$6:$E$16,Movimientos!$C$6:$C$16,Stocks!$A45,Movimientos!$G$6:$G$16,Stocks!E$3,Movimientos!$A$6:$A$16,"&lt;="&amp;Stocks!$A$2)</f>
        <v>0</v>
      </c>
      <c r="F45" s="4">
        <f>SUMIFS(Movimientos!$E$6:$E$16,Movimientos!$C$6:$C$16,Stocks!$A45,Movimientos!$F$6:$F$16,Stocks!F$3,Movimientos!$A$6:$A$16,"&lt;="&amp;Stocks!$A$2)-SUMIFS(Movimientos!$E$6:$E$16,Movimientos!$C$6:$C$16,Stocks!$A45,Movimientos!$G$6:$G$16,Stocks!F$3,Movimientos!$A$6:$A$16,"&lt;="&amp;Stocks!$A$2)</f>
        <v>0</v>
      </c>
      <c r="G45" s="4">
        <f>SUMIFS(Movimientos!$E$6:$E$16,Movimientos!$C$6:$C$16,Stocks!$A45,Movimientos!$F$6:$F$16,Stocks!G$3,Movimientos!$A$6:$A$16,"&lt;="&amp;Stocks!$A$2)-SUMIFS(Movimientos!$E$6:$E$16,Movimientos!$C$6:$C$16,Stocks!$A45,Movimientos!$G$6:$G$16,Stocks!G$3,Movimientos!$A$6:$A$16,"&lt;="&amp;Stocks!$A$2)</f>
        <v>0</v>
      </c>
      <c r="H45" s="4">
        <f>SUMIFS(Movimientos!$E$6:$E$16,Movimientos!$C$6:$C$16,Stocks!$A45,Movimientos!$F$6:$F$16,Stocks!H$3,Movimientos!$A$6:$A$16,"&lt;="&amp;Stocks!$A$2)-SUMIFS(Movimientos!$E$6:$E$16,Movimientos!$C$6:$C$16,Stocks!$A45,Movimientos!$G$6:$G$16,Stocks!H$3,Movimientos!$A$6:$A$16,"&lt;="&amp;Stocks!$A$2)</f>
        <v>0</v>
      </c>
      <c r="I45" s="4">
        <f>SUMIFS(Movimientos!$E$6:$E$16,Movimientos!$C$6:$C$16,Stocks!$A45,Movimientos!$F$6:$F$16,Stocks!I$3,Movimientos!$A$6:$A$16,"&lt;="&amp;Stocks!$A$2)-SUMIFS(Movimientos!$E$6:$E$16,Movimientos!$C$6:$C$16,Stocks!$A45,Movimientos!$G$6:$G$16,Stocks!I$3,Movimientos!$A$6:$A$16,"&lt;="&amp;Stocks!$A$2)</f>
        <v>0</v>
      </c>
      <c r="J45" s="4">
        <f>SUMIFS(Movimientos!$E$6:$E$16,Movimientos!$C$6:$C$16,Stocks!$A45,Movimientos!$F$6:$F$16,Stocks!J$3,Movimientos!$A$6:$A$16,"&lt;="&amp;Stocks!$A$2)-SUMIFS(Movimientos!$E$6:$E$16,Movimientos!$C$6:$C$16,Stocks!$A45,Movimientos!$G$6:$G$16,Stocks!J$3,Movimientos!$A$6:$A$16,"&lt;="&amp;Stocks!$A$2)</f>
        <v>0</v>
      </c>
      <c r="K45" s="4">
        <f>SUMIFS(Movimientos!$E$6:$E$16,Movimientos!$C$6:$C$16,Stocks!$A45,Movimientos!$F$6:$F$16,Stocks!K$3,Movimientos!$A$6:$A$16,"&lt;="&amp;Stocks!$A$2)-SUMIFS(Movimientos!$E$6:$E$16,Movimientos!$C$6:$C$16,Stocks!$A45,Movimientos!$G$6:$G$16,Stocks!K$3,Movimientos!$A$6:$A$16,"&lt;="&amp;Stocks!$A$2)</f>
        <v>0</v>
      </c>
      <c r="L45" s="4">
        <f>SUMIFS(Movimientos!$E$6:$E$16,Movimientos!$C$6:$C$16,Stocks!$A45,Movimientos!$F$6:$F$16,Stocks!L$3,Movimientos!$A$6:$A$16,"&lt;="&amp;Stocks!$A$2)-SUMIFS(Movimientos!$E$6:$E$16,Movimientos!$C$6:$C$16,Stocks!$A45,Movimientos!$G$6:$G$16,Stocks!L$3,Movimientos!$A$6:$A$16,"&lt;="&amp;Stocks!$A$2)</f>
        <v>0</v>
      </c>
    </row>
    <row r="46" spans="1:12" x14ac:dyDescent="0.25">
      <c r="A46" t="str">
        <f>Codificación!A45</f>
        <v/>
      </c>
      <c r="B46" s="1">
        <f>Codificación!B45</f>
        <v>0</v>
      </c>
      <c r="E46" s="4">
        <f>SUMIFS(Movimientos!$E$6:$E$16,Movimientos!$C$6:$C$16,Stocks!$A46,Movimientos!$F$6:$F$16,Stocks!E$3,Movimientos!$A$6:$A$16,"&lt;="&amp;Stocks!$A$2)-SUMIFS(Movimientos!$E$6:$E$16,Movimientos!$C$6:$C$16,Stocks!$A46,Movimientos!$G$6:$G$16,Stocks!E$3,Movimientos!$A$6:$A$16,"&lt;="&amp;Stocks!$A$2)</f>
        <v>0</v>
      </c>
      <c r="F46" s="4">
        <f>SUMIFS(Movimientos!$E$6:$E$16,Movimientos!$C$6:$C$16,Stocks!$A46,Movimientos!$F$6:$F$16,Stocks!F$3,Movimientos!$A$6:$A$16,"&lt;="&amp;Stocks!$A$2)-SUMIFS(Movimientos!$E$6:$E$16,Movimientos!$C$6:$C$16,Stocks!$A46,Movimientos!$G$6:$G$16,Stocks!F$3,Movimientos!$A$6:$A$16,"&lt;="&amp;Stocks!$A$2)</f>
        <v>0</v>
      </c>
      <c r="G46" s="4">
        <f>SUMIFS(Movimientos!$E$6:$E$16,Movimientos!$C$6:$C$16,Stocks!$A46,Movimientos!$F$6:$F$16,Stocks!G$3,Movimientos!$A$6:$A$16,"&lt;="&amp;Stocks!$A$2)-SUMIFS(Movimientos!$E$6:$E$16,Movimientos!$C$6:$C$16,Stocks!$A46,Movimientos!$G$6:$G$16,Stocks!G$3,Movimientos!$A$6:$A$16,"&lt;="&amp;Stocks!$A$2)</f>
        <v>0</v>
      </c>
      <c r="H46" s="4">
        <f>SUMIFS(Movimientos!$E$6:$E$16,Movimientos!$C$6:$C$16,Stocks!$A46,Movimientos!$F$6:$F$16,Stocks!H$3,Movimientos!$A$6:$A$16,"&lt;="&amp;Stocks!$A$2)-SUMIFS(Movimientos!$E$6:$E$16,Movimientos!$C$6:$C$16,Stocks!$A46,Movimientos!$G$6:$G$16,Stocks!H$3,Movimientos!$A$6:$A$16,"&lt;="&amp;Stocks!$A$2)</f>
        <v>0</v>
      </c>
      <c r="I46" s="4">
        <f>SUMIFS(Movimientos!$E$6:$E$16,Movimientos!$C$6:$C$16,Stocks!$A46,Movimientos!$F$6:$F$16,Stocks!I$3,Movimientos!$A$6:$A$16,"&lt;="&amp;Stocks!$A$2)-SUMIFS(Movimientos!$E$6:$E$16,Movimientos!$C$6:$C$16,Stocks!$A46,Movimientos!$G$6:$G$16,Stocks!I$3,Movimientos!$A$6:$A$16,"&lt;="&amp;Stocks!$A$2)</f>
        <v>0</v>
      </c>
      <c r="J46" s="4">
        <f>SUMIFS(Movimientos!$E$6:$E$16,Movimientos!$C$6:$C$16,Stocks!$A46,Movimientos!$F$6:$F$16,Stocks!J$3,Movimientos!$A$6:$A$16,"&lt;="&amp;Stocks!$A$2)-SUMIFS(Movimientos!$E$6:$E$16,Movimientos!$C$6:$C$16,Stocks!$A46,Movimientos!$G$6:$G$16,Stocks!J$3,Movimientos!$A$6:$A$16,"&lt;="&amp;Stocks!$A$2)</f>
        <v>0</v>
      </c>
      <c r="K46" s="4">
        <f>SUMIFS(Movimientos!$E$6:$E$16,Movimientos!$C$6:$C$16,Stocks!$A46,Movimientos!$F$6:$F$16,Stocks!K$3,Movimientos!$A$6:$A$16,"&lt;="&amp;Stocks!$A$2)-SUMIFS(Movimientos!$E$6:$E$16,Movimientos!$C$6:$C$16,Stocks!$A46,Movimientos!$G$6:$G$16,Stocks!K$3,Movimientos!$A$6:$A$16,"&lt;="&amp;Stocks!$A$2)</f>
        <v>0</v>
      </c>
      <c r="L46" s="4">
        <f>SUMIFS(Movimientos!$E$6:$E$16,Movimientos!$C$6:$C$16,Stocks!$A46,Movimientos!$F$6:$F$16,Stocks!L$3,Movimientos!$A$6:$A$16,"&lt;="&amp;Stocks!$A$2)-SUMIFS(Movimientos!$E$6:$E$16,Movimientos!$C$6:$C$16,Stocks!$A46,Movimientos!$G$6:$G$16,Stocks!L$3,Movimientos!$A$6:$A$16,"&lt;="&amp;Stocks!$A$2)</f>
        <v>0</v>
      </c>
    </row>
    <row r="47" spans="1:12" x14ac:dyDescent="0.25">
      <c r="A47" t="str">
        <f>Codificación!A46</f>
        <v/>
      </c>
      <c r="B47" s="1">
        <f>Codificación!B46</f>
        <v>0</v>
      </c>
      <c r="E47" s="4">
        <f>SUMIFS(Movimientos!$E$6:$E$16,Movimientos!$C$6:$C$16,Stocks!$A47,Movimientos!$F$6:$F$16,Stocks!E$3,Movimientos!$A$6:$A$16,"&lt;="&amp;Stocks!$A$2)-SUMIFS(Movimientos!$E$6:$E$16,Movimientos!$C$6:$C$16,Stocks!$A47,Movimientos!$G$6:$G$16,Stocks!E$3,Movimientos!$A$6:$A$16,"&lt;="&amp;Stocks!$A$2)</f>
        <v>0</v>
      </c>
      <c r="F47" s="4">
        <f>SUMIFS(Movimientos!$E$6:$E$16,Movimientos!$C$6:$C$16,Stocks!$A47,Movimientos!$F$6:$F$16,Stocks!F$3,Movimientos!$A$6:$A$16,"&lt;="&amp;Stocks!$A$2)-SUMIFS(Movimientos!$E$6:$E$16,Movimientos!$C$6:$C$16,Stocks!$A47,Movimientos!$G$6:$G$16,Stocks!F$3,Movimientos!$A$6:$A$16,"&lt;="&amp;Stocks!$A$2)</f>
        <v>0</v>
      </c>
      <c r="G47" s="4">
        <f>SUMIFS(Movimientos!$E$6:$E$16,Movimientos!$C$6:$C$16,Stocks!$A47,Movimientos!$F$6:$F$16,Stocks!G$3,Movimientos!$A$6:$A$16,"&lt;="&amp;Stocks!$A$2)-SUMIFS(Movimientos!$E$6:$E$16,Movimientos!$C$6:$C$16,Stocks!$A47,Movimientos!$G$6:$G$16,Stocks!G$3,Movimientos!$A$6:$A$16,"&lt;="&amp;Stocks!$A$2)</f>
        <v>0</v>
      </c>
      <c r="H47" s="4">
        <f>SUMIFS(Movimientos!$E$6:$E$16,Movimientos!$C$6:$C$16,Stocks!$A47,Movimientos!$F$6:$F$16,Stocks!H$3,Movimientos!$A$6:$A$16,"&lt;="&amp;Stocks!$A$2)-SUMIFS(Movimientos!$E$6:$E$16,Movimientos!$C$6:$C$16,Stocks!$A47,Movimientos!$G$6:$G$16,Stocks!H$3,Movimientos!$A$6:$A$16,"&lt;="&amp;Stocks!$A$2)</f>
        <v>0</v>
      </c>
      <c r="I47" s="4">
        <f>SUMIFS(Movimientos!$E$6:$E$16,Movimientos!$C$6:$C$16,Stocks!$A47,Movimientos!$F$6:$F$16,Stocks!I$3,Movimientos!$A$6:$A$16,"&lt;="&amp;Stocks!$A$2)-SUMIFS(Movimientos!$E$6:$E$16,Movimientos!$C$6:$C$16,Stocks!$A47,Movimientos!$G$6:$G$16,Stocks!I$3,Movimientos!$A$6:$A$16,"&lt;="&amp;Stocks!$A$2)</f>
        <v>0</v>
      </c>
      <c r="J47" s="4">
        <f>SUMIFS(Movimientos!$E$6:$E$16,Movimientos!$C$6:$C$16,Stocks!$A47,Movimientos!$F$6:$F$16,Stocks!J$3,Movimientos!$A$6:$A$16,"&lt;="&amp;Stocks!$A$2)-SUMIFS(Movimientos!$E$6:$E$16,Movimientos!$C$6:$C$16,Stocks!$A47,Movimientos!$G$6:$G$16,Stocks!J$3,Movimientos!$A$6:$A$16,"&lt;="&amp;Stocks!$A$2)</f>
        <v>0</v>
      </c>
      <c r="K47" s="4">
        <f>SUMIFS(Movimientos!$E$6:$E$16,Movimientos!$C$6:$C$16,Stocks!$A47,Movimientos!$F$6:$F$16,Stocks!K$3,Movimientos!$A$6:$A$16,"&lt;="&amp;Stocks!$A$2)-SUMIFS(Movimientos!$E$6:$E$16,Movimientos!$C$6:$C$16,Stocks!$A47,Movimientos!$G$6:$G$16,Stocks!K$3,Movimientos!$A$6:$A$16,"&lt;="&amp;Stocks!$A$2)</f>
        <v>0</v>
      </c>
      <c r="L47" s="4">
        <f>SUMIFS(Movimientos!$E$6:$E$16,Movimientos!$C$6:$C$16,Stocks!$A47,Movimientos!$F$6:$F$16,Stocks!L$3,Movimientos!$A$6:$A$16,"&lt;="&amp;Stocks!$A$2)-SUMIFS(Movimientos!$E$6:$E$16,Movimientos!$C$6:$C$16,Stocks!$A47,Movimientos!$G$6:$G$16,Stocks!L$3,Movimientos!$A$6:$A$16,"&lt;="&amp;Stocks!$A$2)</f>
        <v>0</v>
      </c>
    </row>
    <row r="48" spans="1:12" x14ac:dyDescent="0.25">
      <c r="A48" t="str">
        <f>Codificación!A47</f>
        <v/>
      </c>
      <c r="B48" s="1">
        <f>Codificación!B47</f>
        <v>0</v>
      </c>
      <c r="E48" s="4">
        <f>SUMIFS(Movimientos!$E$6:$E$16,Movimientos!$C$6:$C$16,Stocks!$A48,Movimientos!$F$6:$F$16,Stocks!E$3,Movimientos!$A$6:$A$16,"&lt;="&amp;Stocks!$A$2)-SUMIFS(Movimientos!$E$6:$E$16,Movimientos!$C$6:$C$16,Stocks!$A48,Movimientos!$G$6:$G$16,Stocks!E$3,Movimientos!$A$6:$A$16,"&lt;="&amp;Stocks!$A$2)</f>
        <v>0</v>
      </c>
      <c r="F48" s="4">
        <f>SUMIFS(Movimientos!$E$6:$E$16,Movimientos!$C$6:$C$16,Stocks!$A48,Movimientos!$F$6:$F$16,Stocks!F$3,Movimientos!$A$6:$A$16,"&lt;="&amp;Stocks!$A$2)-SUMIFS(Movimientos!$E$6:$E$16,Movimientos!$C$6:$C$16,Stocks!$A48,Movimientos!$G$6:$G$16,Stocks!F$3,Movimientos!$A$6:$A$16,"&lt;="&amp;Stocks!$A$2)</f>
        <v>0</v>
      </c>
      <c r="G48" s="4">
        <f>SUMIFS(Movimientos!$E$6:$E$16,Movimientos!$C$6:$C$16,Stocks!$A48,Movimientos!$F$6:$F$16,Stocks!G$3,Movimientos!$A$6:$A$16,"&lt;="&amp;Stocks!$A$2)-SUMIFS(Movimientos!$E$6:$E$16,Movimientos!$C$6:$C$16,Stocks!$A48,Movimientos!$G$6:$G$16,Stocks!G$3,Movimientos!$A$6:$A$16,"&lt;="&amp;Stocks!$A$2)</f>
        <v>0</v>
      </c>
      <c r="H48" s="4">
        <f>SUMIFS(Movimientos!$E$6:$E$16,Movimientos!$C$6:$C$16,Stocks!$A48,Movimientos!$F$6:$F$16,Stocks!H$3,Movimientos!$A$6:$A$16,"&lt;="&amp;Stocks!$A$2)-SUMIFS(Movimientos!$E$6:$E$16,Movimientos!$C$6:$C$16,Stocks!$A48,Movimientos!$G$6:$G$16,Stocks!H$3,Movimientos!$A$6:$A$16,"&lt;="&amp;Stocks!$A$2)</f>
        <v>0</v>
      </c>
      <c r="I48" s="4">
        <f>SUMIFS(Movimientos!$E$6:$E$16,Movimientos!$C$6:$C$16,Stocks!$A48,Movimientos!$F$6:$F$16,Stocks!I$3,Movimientos!$A$6:$A$16,"&lt;="&amp;Stocks!$A$2)-SUMIFS(Movimientos!$E$6:$E$16,Movimientos!$C$6:$C$16,Stocks!$A48,Movimientos!$G$6:$G$16,Stocks!I$3,Movimientos!$A$6:$A$16,"&lt;="&amp;Stocks!$A$2)</f>
        <v>0</v>
      </c>
      <c r="J48" s="4">
        <f>SUMIFS(Movimientos!$E$6:$E$16,Movimientos!$C$6:$C$16,Stocks!$A48,Movimientos!$F$6:$F$16,Stocks!J$3,Movimientos!$A$6:$A$16,"&lt;="&amp;Stocks!$A$2)-SUMIFS(Movimientos!$E$6:$E$16,Movimientos!$C$6:$C$16,Stocks!$A48,Movimientos!$G$6:$G$16,Stocks!J$3,Movimientos!$A$6:$A$16,"&lt;="&amp;Stocks!$A$2)</f>
        <v>0</v>
      </c>
      <c r="K48" s="4">
        <f>SUMIFS(Movimientos!$E$6:$E$16,Movimientos!$C$6:$C$16,Stocks!$A48,Movimientos!$F$6:$F$16,Stocks!K$3,Movimientos!$A$6:$A$16,"&lt;="&amp;Stocks!$A$2)-SUMIFS(Movimientos!$E$6:$E$16,Movimientos!$C$6:$C$16,Stocks!$A48,Movimientos!$G$6:$G$16,Stocks!K$3,Movimientos!$A$6:$A$16,"&lt;="&amp;Stocks!$A$2)</f>
        <v>0</v>
      </c>
      <c r="L48" s="4">
        <f>SUMIFS(Movimientos!$E$6:$E$16,Movimientos!$C$6:$C$16,Stocks!$A48,Movimientos!$F$6:$F$16,Stocks!L$3,Movimientos!$A$6:$A$16,"&lt;="&amp;Stocks!$A$2)-SUMIFS(Movimientos!$E$6:$E$16,Movimientos!$C$6:$C$16,Stocks!$A48,Movimientos!$G$6:$G$16,Stocks!L$3,Movimientos!$A$6:$A$16,"&lt;="&amp;Stocks!$A$2)</f>
        <v>0</v>
      </c>
    </row>
    <row r="49" spans="1:12" x14ac:dyDescent="0.25">
      <c r="A49" t="str">
        <f>Codificación!A48</f>
        <v/>
      </c>
      <c r="B49" s="1">
        <f>Codificación!B48</f>
        <v>0</v>
      </c>
      <c r="E49" s="4">
        <f>SUMIFS(Movimientos!$E$6:$E$16,Movimientos!$C$6:$C$16,Stocks!$A49,Movimientos!$F$6:$F$16,Stocks!E$3,Movimientos!$A$6:$A$16,"&lt;="&amp;Stocks!$A$2)-SUMIFS(Movimientos!$E$6:$E$16,Movimientos!$C$6:$C$16,Stocks!$A49,Movimientos!$G$6:$G$16,Stocks!E$3,Movimientos!$A$6:$A$16,"&lt;="&amp;Stocks!$A$2)</f>
        <v>0</v>
      </c>
      <c r="F49" s="4">
        <f>SUMIFS(Movimientos!$E$6:$E$16,Movimientos!$C$6:$C$16,Stocks!$A49,Movimientos!$F$6:$F$16,Stocks!F$3,Movimientos!$A$6:$A$16,"&lt;="&amp;Stocks!$A$2)-SUMIFS(Movimientos!$E$6:$E$16,Movimientos!$C$6:$C$16,Stocks!$A49,Movimientos!$G$6:$G$16,Stocks!F$3,Movimientos!$A$6:$A$16,"&lt;="&amp;Stocks!$A$2)</f>
        <v>0</v>
      </c>
      <c r="G49" s="4">
        <f>SUMIFS(Movimientos!$E$6:$E$16,Movimientos!$C$6:$C$16,Stocks!$A49,Movimientos!$F$6:$F$16,Stocks!G$3,Movimientos!$A$6:$A$16,"&lt;="&amp;Stocks!$A$2)-SUMIFS(Movimientos!$E$6:$E$16,Movimientos!$C$6:$C$16,Stocks!$A49,Movimientos!$G$6:$G$16,Stocks!G$3,Movimientos!$A$6:$A$16,"&lt;="&amp;Stocks!$A$2)</f>
        <v>0</v>
      </c>
      <c r="H49" s="4">
        <f>SUMIFS(Movimientos!$E$6:$E$16,Movimientos!$C$6:$C$16,Stocks!$A49,Movimientos!$F$6:$F$16,Stocks!H$3,Movimientos!$A$6:$A$16,"&lt;="&amp;Stocks!$A$2)-SUMIFS(Movimientos!$E$6:$E$16,Movimientos!$C$6:$C$16,Stocks!$A49,Movimientos!$G$6:$G$16,Stocks!H$3,Movimientos!$A$6:$A$16,"&lt;="&amp;Stocks!$A$2)</f>
        <v>0</v>
      </c>
      <c r="I49" s="4">
        <f>SUMIFS(Movimientos!$E$6:$E$16,Movimientos!$C$6:$C$16,Stocks!$A49,Movimientos!$F$6:$F$16,Stocks!I$3,Movimientos!$A$6:$A$16,"&lt;="&amp;Stocks!$A$2)-SUMIFS(Movimientos!$E$6:$E$16,Movimientos!$C$6:$C$16,Stocks!$A49,Movimientos!$G$6:$G$16,Stocks!I$3,Movimientos!$A$6:$A$16,"&lt;="&amp;Stocks!$A$2)</f>
        <v>0</v>
      </c>
      <c r="J49" s="4">
        <f>SUMIFS(Movimientos!$E$6:$E$16,Movimientos!$C$6:$C$16,Stocks!$A49,Movimientos!$F$6:$F$16,Stocks!J$3,Movimientos!$A$6:$A$16,"&lt;="&amp;Stocks!$A$2)-SUMIFS(Movimientos!$E$6:$E$16,Movimientos!$C$6:$C$16,Stocks!$A49,Movimientos!$G$6:$G$16,Stocks!J$3,Movimientos!$A$6:$A$16,"&lt;="&amp;Stocks!$A$2)</f>
        <v>0</v>
      </c>
      <c r="K49" s="4">
        <f>SUMIFS(Movimientos!$E$6:$E$16,Movimientos!$C$6:$C$16,Stocks!$A49,Movimientos!$F$6:$F$16,Stocks!K$3,Movimientos!$A$6:$A$16,"&lt;="&amp;Stocks!$A$2)-SUMIFS(Movimientos!$E$6:$E$16,Movimientos!$C$6:$C$16,Stocks!$A49,Movimientos!$G$6:$G$16,Stocks!K$3,Movimientos!$A$6:$A$16,"&lt;="&amp;Stocks!$A$2)</f>
        <v>0</v>
      </c>
      <c r="L49" s="4">
        <f>SUMIFS(Movimientos!$E$6:$E$16,Movimientos!$C$6:$C$16,Stocks!$A49,Movimientos!$F$6:$F$16,Stocks!L$3,Movimientos!$A$6:$A$16,"&lt;="&amp;Stocks!$A$2)-SUMIFS(Movimientos!$E$6:$E$16,Movimientos!$C$6:$C$16,Stocks!$A49,Movimientos!$G$6:$G$16,Stocks!L$3,Movimientos!$A$6:$A$16,"&lt;="&amp;Stocks!$A$2)</f>
        <v>0</v>
      </c>
    </row>
    <row r="50" spans="1:12" x14ac:dyDescent="0.25">
      <c r="A50" t="str">
        <f>Codificación!A49</f>
        <v/>
      </c>
      <c r="B50" s="1">
        <f>Codificación!B49</f>
        <v>0</v>
      </c>
      <c r="E50" s="4">
        <f>SUMIFS(Movimientos!$E$6:$E$16,Movimientos!$C$6:$C$16,Stocks!$A50,Movimientos!$F$6:$F$16,Stocks!E$3,Movimientos!$A$6:$A$16,"&lt;="&amp;Stocks!$A$2)-SUMIFS(Movimientos!$E$6:$E$16,Movimientos!$C$6:$C$16,Stocks!$A50,Movimientos!$G$6:$G$16,Stocks!E$3,Movimientos!$A$6:$A$16,"&lt;="&amp;Stocks!$A$2)</f>
        <v>0</v>
      </c>
      <c r="F50" s="4">
        <f>SUMIFS(Movimientos!$E$6:$E$16,Movimientos!$C$6:$C$16,Stocks!$A50,Movimientos!$F$6:$F$16,Stocks!F$3,Movimientos!$A$6:$A$16,"&lt;="&amp;Stocks!$A$2)-SUMIFS(Movimientos!$E$6:$E$16,Movimientos!$C$6:$C$16,Stocks!$A50,Movimientos!$G$6:$G$16,Stocks!F$3,Movimientos!$A$6:$A$16,"&lt;="&amp;Stocks!$A$2)</f>
        <v>0</v>
      </c>
      <c r="G50" s="4">
        <f>SUMIFS(Movimientos!$E$6:$E$16,Movimientos!$C$6:$C$16,Stocks!$A50,Movimientos!$F$6:$F$16,Stocks!G$3,Movimientos!$A$6:$A$16,"&lt;="&amp;Stocks!$A$2)-SUMIFS(Movimientos!$E$6:$E$16,Movimientos!$C$6:$C$16,Stocks!$A50,Movimientos!$G$6:$G$16,Stocks!G$3,Movimientos!$A$6:$A$16,"&lt;="&amp;Stocks!$A$2)</f>
        <v>0</v>
      </c>
      <c r="H50" s="4">
        <f>SUMIFS(Movimientos!$E$6:$E$16,Movimientos!$C$6:$C$16,Stocks!$A50,Movimientos!$F$6:$F$16,Stocks!H$3,Movimientos!$A$6:$A$16,"&lt;="&amp;Stocks!$A$2)-SUMIFS(Movimientos!$E$6:$E$16,Movimientos!$C$6:$C$16,Stocks!$A50,Movimientos!$G$6:$G$16,Stocks!H$3,Movimientos!$A$6:$A$16,"&lt;="&amp;Stocks!$A$2)</f>
        <v>0</v>
      </c>
      <c r="I50" s="4">
        <f>SUMIFS(Movimientos!$E$6:$E$16,Movimientos!$C$6:$C$16,Stocks!$A50,Movimientos!$F$6:$F$16,Stocks!I$3,Movimientos!$A$6:$A$16,"&lt;="&amp;Stocks!$A$2)-SUMIFS(Movimientos!$E$6:$E$16,Movimientos!$C$6:$C$16,Stocks!$A50,Movimientos!$G$6:$G$16,Stocks!I$3,Movimientos!$A$6:$A$16,"&lt;="&amp;Stocks!$A$2)</f>
        <v>0</v>
      </c>
      <c r="J50" s="4">
        <f>SUMIFS(Movimientos!$E$6:$E$16,Movimientos!$C$6:$C$16,Stocks!$A50,Movimientos!$F$6:$F$16,Stocks!J$3,Movimientos!$A$6:$A$16,"&lt;="&amp;Stocks!$A$2)-SUMIFS(Movimientos!$E$6:$E$16,Movimientos!$C$6:$C$16,Stocks!$A50,Movimientos!$G$6:$G$16,Stocks!J$3,Movimientos!$A$6:$A$16,"&lt;="&amp;Stocks!$A$2)</f>
        <v>0</v>
      </c>
      <c r="K50" s="4">
        <f>SUMIFS(Movimientos!$E$6:$E$16,Movimientos!$C$6:$C$16,Stocks!$A50,Movimientos!$F$6:$F$16,Stocks!K$3,Movimientos!$A$6:$A$16,"&lt;="&amp;Stocks!$A$2)-SUMIFS(Movimientos!$E$6:$E$16,Movimientos!$C$6:$C$16,Stocks!$A50,Movimientos!$G$6:$G$16,Stocks!K$3,Movimientos!$A$6:$A$16,"&lt;="&amp;Stocks!$A$2)</f>
        <v>0</v>
      </c>
      <c r="L50" s="4">
        <f>SUMIFS(Movimientos!$E$6:$E$16,Movimientos!$C$6:$C$16,Stocks!$A50,Movimientos!$F$6:$F$16,Stocks!L$3,Movimientos!$A$6:$A$16,"&lt;="&amp;Stocks!$A$2)-SUMIFS(Movimientos!$E$6:$E$16,Movimientos!$C$6:$C$16,Stocks!$A50,Movimientos!$G$6:$G$16,Stocks!L$3,Movimientos!$A$6:$A$16,"&lt;="&amp;Stocks!$A$2)</f>
        <v>0</v>
      </c>
    </row>
    <row r="51" spans="1:12" x14ac:dyDescent="0.25">
      <c r="A51" t="str">
        <f>Codificación!A50</f>
        <v/>
      </c>
      <c r="B51" s="1">
        <f>Codificación!B50</f>
        <v>0</v>
      </c>
      <c r="E51" s="4">
        <f>SUMIFS(Movimientos!$E$6:$E$16,Movimientos!$C$6:$C$16,Stocks!$A51,Movimientos!$F$6:$F$16,Stocks!E$3,Movimientos!$A$6:$A$16,"&lt;="&amp;Stocks!$A$2)-SUMIFS(Movimientos!$E$6:$E$16,Movimientos!$C$6:$C$16,Stocks!$A51,Movimientos!$G$6:$G$16,Stocks!E$3,Movimientos!$A$6:$A$16,"&lt;="&amp;Stocks!$A$2)</f>
        <v>0</v>
      </c>
      <c r="F51" s="4">
        <f>SUMIFS(Movimientos!$E$6:$E$16,Movimientos!$C$6:$C$16,Stocks!$A51,Movimientos!$F$6:$F$16,Stocks!F$3,Movimientos!$A$6:$A$16,"&lt;="&amp;Stocks!$A$2)-SUMIFS(Movimientos!$E$6:$E$16,Movimientos!$C$6:$C$16,Stocks!$A51,Movimientos!$G$6:$G$16,Stocks!F$3,Movimientos!$A$6:$A$16,"&lt;="&amp;Stocks!$A$2)</f>
        <v>0</v>
      </c>
      <c r="G51" s="4">
        <f>SUMIFS(Movimientos!$E$6:$E$16,Movimientos!$C$6:$C$16,Stocks!$A51,Movimientos!$F$6:$F$16,Stocks!G$3,Movimientos!$A$6:$A$16,"&lt;="&amp;Stocks!$A$2)-SUMIFS(Movimientos!$E$6:$E$16,Movimientos!$C$6:$C$16,Stocks!$A51,Movimientos!$G$6:$G$16,Stocks!G$3,Movimientos!$A$6:$A$16,"&lt;="&amp;Stocks!$A$2)</f>
        <v>0</v>
      </c>
      <c r="H51" s="4">
        <f>SUMIFS(Movimientos!$E$6:$E$16,Movimientos!$C$6:$C$16,Stocks!$A51,Movimientos!$F$6:$F$16,Stocks!H$3,Movimientos!$A$6:$A$16,"&lt;="&amp;Stocks!$A$2)-SUMIFS(Movimientos!$E$6:$E$16,Movimientos!$C$6:$C$16,Stocks!$A51,Movimientos!$G$6:$G$16,Stocks!H$3,Movimientos!$A$6:$A$16,"&lt;="&amp;Stocks!$A$2)</f>
        <v>0</v>
      </c>
      <c r="I51" s="4">
        <f>SUMIFS(Movimientos!$E$6:$E$16,Movimientos!$C$6:$C$16,Stocks!$A51,Movimientos!$F$6:$F$16,Stocks!I$3,Movimientos!$A$6:$A$16,"&lt;="&amp;Stocks!$A$2)-SUMIFS(Movimientos!$E$6:$E$16,Movimientos!$C$6:$C$16,Stocks!$A51,Movimientos!$G$6:$G$16,Stocks!I$3,Movimientos!$A$6:$A$16,"&lt;="&amp;Stocks!$A$2)</f>
        <v>0</v>
      </c>
      <c r="J51" s="4">
        <f>SUMIFS(Movimientos!$E$6:$E$16,Movimientos!$C$6:$C$16,Stocks!$A51,Movimientos!$F$6:$F$16,Stocks!J$3,Movimientos!$A$6:$A$16,"&lt;="&amp;Stocks!$A$2)-SUMIFS(Movimientos!$E$6:$E$16,Movimientos!$C$6:$C$16,Stocks!$A51,Movimientos!$G$6:$G$16,Stocks!J$3,Movimientos!$A$6:$A$16,"&lt;="&amp;Stocks!$A$2)</f>
        <v>0</v>
      </c>
      <c r="K51" s="4">
        <f>SUMIFS(Movimientos!$E$6:$E$16,Movimientos!$C$6:$C$16,Stocks!$A51,Movimientos!$F$6:$F$16,Stocks!K$3,Movimientos!$A$6:$A$16,"&lt;="&amp;Stocks!$A$2)-SUMIFS(Movimientos!$E$6:$E$16,Movimientos!$C$6:$C$16,Stocks!$A51,Movimientos!$G$6:$G$16,Stocks!K$3,Movimientos!$A$6:$A$16,"&lt;="&amp;Stocks!$A$2)</f>
        <v>0</v>
      </c>
      <c r="L51" s="4">
        <f>SUMIFS(Movimientos!$E$6:$E$16,Movimientos!$C$6:$C$16,Stocks!$A51,Movimientos!$F$6:$F$16,Stocks!L$3,Movimientos!$A$6:$A$16,"&lt;="&amp;Stocks!$A$2)-SUMIFS(Movimientos!$E$6:$E$16,Movimientos!$C$6:$C$16,Stocks!$A51,Movimientos!$G$6:$G$16,Stocks!L$3,Movimientos!$A$6:$A$16,"&lt;="&amp;Stocks!$A$2)</f>
        <v>0</v>
      </c>
    </row>
    <row r="52" spans="1:12" x14ac:dyDescent="0.25">
      <c r="A52" t="str">
        <f>Codificación!A51</f>
        <v/>
      </c>
      <c r="B52" s="1">
        <f>Codificación!B51</f>
        <v>0</v>
      </c>
      <c r="E52" s="4">
        <f>SUMIFS(Movimientos!$E$6:$E$16,Movimientos!$C$6:$C$16,Stocks!$A52,Movimientos!$F$6:$F$16,Stocks!E$3,Movimientos!$A$6:$A$16,"&lt;="&amp;Stocks!$A$2)-SUMIFS(Movimientos!$E$6:$E$16,Movimientos!$C$6:$C$16,Stocks!$A52,Movimientos!$G$6:$G$16,Stocks!E$3,Movimientos!$A$6:$A$16,"&lt;="&amp;Stocks!$A$2)</f>
        <v>0</v>
      </c>
      <c r="F52" s="4">
        <f>SUMIFS(Movimientos!$E$6:$E$16,Movimientos!$C$6:$C$16,Stocks!$A52,Movimientos!$F$6:$F$16,Stocks!F$3,Movimientos!$A$6:$A$16,"&lt;="&amp;Stocks!$A$2)-SUMIFS(Movimientos!$E$6:$E$16,Movimientos!$C$6:$C$16,Stocks!$A52,Movimientos!$G$6:$G$16,Stocks!F$3,Movimientos!$A$6:$A$16,"&lt;="&amp;Stocks!$A$2)</f>
        <v>0</v>
      </c>
      <c r="G52" s="4">
        <f>SUMIFS(Movimientos!$E$6:$E$16,Movimientos!$C$6:$C$16,Stocks!$A52,Movimientos!$F$6:$F$16,Stocks!G$3,Movimientos!$A$6:$A$16,"&lt;="&amp;Stocks!$A$2)-SUMIFS(Movimientos!$E$6:$E$16,Movimientos!$C$6:$C$16,Stocks!$A52,Movimientos!$G$6:$G$16,Stocks!G$3,Movimientos!$A$6:$A$16,"&lt;="&amp;Stocks!$A$2)</f>
        <v>0</v>
      </c>
      <c r="H52" s="4">
        <f>SUMIFS(Movimientos!$E$6:$E$16,Movimientos!$C$6:$C$16,Stocks!$A52,Movimientos!$F$6:$F$16,Stocks!H$3,Movimientos!$A$6:$A$16,"&lt;="&amp;Stocks!$A$2)-SUMIFS(Movimientos!$E$6:$E$16,Movimientos!$C$6:$C$16,Stocks!$A52,Movimientos!$G$6:$G$16,Stocks!H$3,Movimientos!$A$6:$A$16,"&lt;="&amp;Stocks!$A$2)</f>
        <v>0</v>
      </c>
      <c r="I52" s="4">
        <f>SUMIFS(Movimientos!$E$6:$E$16,Movimientos!$C$6:$C$16,Stocks!$A52,Movimientos!$F$6:$F$16,Stocks!I$3,Movimientos!$A$6:$A$16,"&lt;="&amp;Stocks!$A$2)-SUMIFS(Movimientos!$E$6:$E$16,Movimientos!$C$6:$C$16,Stocks!$A52,Movimientos!$G$6:$G$16,Stocks!I$3,Movimientos!$A$6:$A$16,"&lt;="&amp;Stocks!$A$2)</f>
        <v>0</v>
      </c>
      <c r="J52" s="4">
        <f>SUMIFS(Movimientos!$E$6:$E$16,Movimientos!$C$6:$C$16,Stocks!$A52,Movimientos!$F$6:$F$16,Stocks!J$3,Movimientos!$A$6:$A$16,"&lt;="&amp;Stocks!$A$2)-SUMIFS(Movimientos!$E$6:$E$16,Movimientos!$C$6:$C$16,Stocks!$A52,Movimientos!$G$6:$G$16,Stocks!J$3,Movimientos!$A$6:$A$16,"&lt;="&amp;Stocks!$A$2)</f>
        <v>0</v>
      </c>
      <c r="K52" s="4">
        <f>SUMIFS(Movimientos!$E$6:$E$16,Movimientos!$C$6:$C$16,Stocks!$A52,Movimientos!$F$6:$F$16,Stocks!K$3,Movimientos!$A$6:$A$16,"&lt;="&amp;Stocks!$A$2)-SUMIFS(Movimientos!$E$6:$E$16,Movimientos!$C$6:$C$16,Stocks!$A52,Movimientos!$G$6:$G$16,Stocks!K$3,Movimientos!$A$6:$A$16,"&lt;="&amp;Stocks!$A$2)</f>
        <v>0</v>
      </c>
      <c r="L52" s="4">
        <f>SUMIFS(Movimientos!$E$6:$E$16,Movimientos!$C$6:$C$16,Stocks!$A52,Movimientos!$F$6:$F$16,Stocks!L$3,Movimientos!$A$6:$A$16,"&lt;="&amp;Stocks!$A$2)-SUMIFS(Movimientos!$E$6:$E$16,Movimientos!$C$6:$C$16,Stocks!$A52,Movimientos!$G$6:$G$16,Stocks!L$3,Movimientos!$A$6:$A$16,"&lt;="&amp;Stocks!$A$2)</f>
        <v>0</v>
      </c>
    </row>
    <row r="53" spans="1:12" x14ac:dyDescent="0.25">
      <c r="A53" t="str">
        <f>Codificación!A52</f>
        <v/>
      </c>
      <c r="B53" s="1">
        <f>Codificación!B52</f>
        <v>0</v>
      </c>
      <c r="E53" s="4">
        <f>SUMIFS(Movimientos!$E$6:$E$16,Movimientos!$C$6:$C$16,Stocks!$A53,Movimientos!$F$6:$F$16,Stocks!E$3,Movimientos!$A$6:$A$16,"&lt;="&amp;Stocks!$A$2)-SUMIFS(Movimientos!$E$6:$E$16,Movimientos!$C$6:$C$16,Stocks!$A53,Movimientos!$G$6:$G$16,Stocks!E$3,Movimientos!$A$6:$A$16,"&lt;="&amp;Stocks!$A$2)</f>
        <v>0</v>
      </c>
      <c r="F53" s="4">
        <f>SUMIFS(Movimientos!$E$6:$E$16,Movimientos!$C$6:$C$16,Stocks!$A53,Movimientos!$F$6:$F$16,Stocks!F$3,Movimientos!$A$6:$A$16,"&lt;="&amp;Stocks!$A$2)-SUMIFS(Movimientos!$E$6:$E$16,Movimientos!$C$6:$C$16,Stocks!$A53,Movimientos!$G$6:$G$16,Stocks!F$3,Movimientos!$A$6:$A$16,"&lt;="&amp;Stocks!$A$2)</f>
        <v>0</v>
      </c>
      <c r="G53" s="4">
        <f>SUMIFS(Movimientos!$E$6:$E$16,Movimientos!$C$6:$C$16,Stocks!$A53,Movimientos!$F$6:$F$16,Stocks!G$3,Movimientos!$A$6:$A$16,"&lt;="&amp;Stocks!$A$2)-SUMIFS(Movimientos!$E$6:$E$16,Movimientos!$C$6:$C$16,Stocks!$A53,Movimientos!$G$6:$G$16,Stocks!G$3,Movimientos!$A$6:$A$16,"&lt;="&amp;Stocks!$A$2)</f>
        <v>0</v>
      </c>
      <c r="H53" s="4">
        <f>SUMIFS(Movimientos!$E$6:$E$16,Movimientos!$C$6:$C$16,Stocks!$A53,Movimientos!$F$6:$F$16,Stocks!H$3,Movimientos!$A$6:$A$16,"&lt;="&amp;Stocks!$A$2)-SUMIFS(Movimientos!$E$6:$E$16,Movimientos!$C$6:$C$16,Stocks!$A53,Movimientos!$G$6:$G$16,Stocks!H$3,Movimientos!$A$6:$A$16,"&lt;="&amp;Stocks!$A$2)</f>
        <v>0</v>
      </c>
      <c r="I53" s="4">
        <f>SUMIFS(Movimientos!$E$6:$E$16,Movimientos!$C$6:$C$16,Stocks!$A53,Movimientos!$F$6:$F$16,Stocks!I$3,Movimientos!$A$6:$A$16,"&lt;="&amp;Stocks!$A$2)-SUMIFS(Movimientos!$E$6:$E$16,Movimientos!$C$6:$C$16,Stocks!$A53,Movimientos!$G$6:$G$16,Stocks!I$3,Movimientos!$A$6:$A$16,"&lt;="&amp;Stocks!$A$2)</f>
        <v>0</v>
      </c>
      <c r="J53" s="4">
        <f>SUMIFS(Movimientos!$E$6:$E$16,Movimientos!$C$6:$C$16,Stocks!$A53,Movimientos!$F$6:$F$16,Stocks!J$3,Movimientos!$A$6:$A$16,"&lt;="&amp;Stocks!$A$2)-SUMIFS(Movimientos!$E$6:$E$16,Movimientos!$C$6:$C$16,Stocks!$A53,Movimientos!$G$6:$G$16,Stocks!J$3,Movimientos!$A$6:$A$16,"&lt;="&amp;Stocks!$A$2)</f>
        <v>0</v>
      </c>
      <c r="K53" s="4">
        <f>SUMIFS(Movimientos!$E$6:$E$16,Movimientos!$C$6:$C$16,Stocks!$A53,Movimientos!$F$6:$F$16,Stocks!K$3,Movimientos!$A$6:$A$16,"&lt;="&amp;Stocks!$A$2)-SUMIFS(Movimientos!$E$6:$E$16,Movimientos!$C$6:$C$16,Stocks!$A53,Movimientos!$G$6:$G$16,Stocks!K$3,Movimientos!$A$6:$A$16,"&lt;="&amp;Stocks!$A$2)</f>
        <v>0</v>
      </c>
      <c r="L53" s="4">
        <f>SUMIFS(Movimientos!$E$6:$E$16,Movimientos!$C$6:$C$16,Stocks!$A53,Movimientos!$F$6:$F$16,Stocks!L$3,Movimientos!$A$6:$A$16,"&lt;="&amp;Stocks!$A$2)-SUMIFS(Movimientos!$E$6:$E$16,Movimientos!$C$6:$C$16,Stocks!$A53,Movimientos!$G$6:$G$16,Stocks!L$3,Movimientos!$A$6:$A$16,"&lt;="&amp;Stocks!$A$2)</f>
        <v>0</v>
      </c>
    </row>
    <row r="54" spans="1:12" x14ac:dyDescent="0.25">
      <c r="A54" t="str">
        <f>Codificación!A53</f>
        <v/>
      </c>
      <c r="B54" s="1">
        <f>Codificación!B53</f>
        <v>0</v>
      </c>
      <c r="E54" s="4">
        <f>SUMIFS(Movimientos!$E$6:$E$16,Movimientos!$C$6:$C$16,Stocks!$A54,Movimientos!$F$6:$F$16,Stocks!E$3,Movimientos!$A$6:$A$16,"&lt;="&amp;Stocks!$A$2)-SUMIFS(Movimientos!$E$6:$E$16,Movimientos!$C$6:$C$16,Stocks!$A54,Movimientos!$G$6:$G$16,Stocks!E$3,Movimientos!$A$6:$A$16,"&lt;="&amp;Stocks!$A$2)</f>
        <v>0</v>
      </c>
      <c r="F54" s="4">
        <f>SUMIFS(Movimientos!$E$6:$E$16,Movimientos!$C$6:$C$16,Stocks!$A54,Movimientos!$F$6:$F$16,Stocks!F$3,Movimientos!$A$6:$A$16,"&lt;="&amp;Stocks!$A$2)-SUMIFS(Movimientos!$E$6:$E$16,Movimientos!$C$6:$C$16,Stocks!$A54,Movimientos!$G$6:$G$16,Stocks!F$3,Movimientos!$A$6:$A$16,"&lt;="&amp;Stocks!$A$2)</f>
        <v>0</v>
      </c>
      <c r="G54" s="4">
        <f>SUMIFS(Movimientos!$E$6:$E$16,Movimientos!$C$6:$C$16,Stocks!$A54,Movimientos!$F$6:$F$16,Stocks!G$3,Movimientos!$A$6:$A$16,"&lt;="&amp;Stocks!$A$2)-SUMIFS(Movimientos!$E$6:$E$16,Movimientos!$C$6:$C$16,Stocks!$A54,Movimientos!$G$6:$G$16,Stocks!G$3,Movimientos!$A$6:$A$16,"&lt;="&amp;Stocks!$A$2)</f>
        <v>0</v>
      </c>
      <c r="H54" s="4">
        <f>SUMIFS(Movimientos!$E$6:$E$16,Movimientos!$C$6:$C$16,Stocks!$A54,Movimientos!$F$6:$F$16,Stocks!H$3,Movimientos!$A$6:$A$16,"&lt;="&amp;Stocks!$A$2)-SUMIFS(Movimientos!$E$6:$E$16,Movimientos!$C$6:$C$16,Stocks!$A54,Movimientos!$G$6:$G$16,Stocks!H$3,Movimientos!$A$6:$A$16,"&lt;="&amp;Stocks!$A$2)</f>
        <v>0</v>
      </c>
      <c r="I54" s="4">
        <f>SUMIFS(Movimientos!$E$6:$E$16,Movimientos!$C$6:$C$16,Stocks!$A54,Movimientos!$F$6:$F$16,Stocks!I$3,Movimientos!$A$6:$A$16,"&lt;="&amp;Stocks!$A$2)-SUMIFS(Movimientos!$E$6:$E$16,Movimientos!$C$6:$C$16,Stocks!$A54,Movimientos!$G$6:$G$16,Stocks!I$3,Movimientos!$A$6:$A$16,"&lt;="&amp;Stocks!$A$2)</f>
        <v>0</v>
      </c>
      <c r="J54" s="4">
        <f>SUMIFS(Movimientos!$E$6:$E$16,Movimientos!$C$6:$C$16,Stocks!$A54,Movimientos!$F$6:$F$16,Stocks!J$3,Movimientos!$A$6:$A$16,"&lt;="&amp;Stocks!$A$2)-SUMIFS(Movimientos!$E$6:$E$16,Movimientos!$C$6:$C$16,Stocks!$A54,Movimientos!$G$6:$G$16,Stocks!J$3,Movimientos!$A$6:$A$16,"&lt;="&amp;Stocks!$A$2)</f>
        <v>0</v>
      </c>
      <c r="K54" s="4">
        <f>SUMIFS(Movimientos!$E$6:$E$16,Movimientos!$C$6:$C$16,Stocks!$A54,Movimientos!$F$6:$F$16,Stocks!K$3,Movimientos!$A$6:$A$16,"&lt;="&amp;Stocks!$A$2)-SUMIFS(Movimientos!$E$6:$E$16,Movimientos!$C$6:$C$16,Stocks!$A54,Movimientos!$G$6:$G$16,Stocks!K$3,Movimientos!$A$6:$A$16,"&lt;="&amp;Stocks!$A$2)</f>
        <v>0</v>
      </c>
      <c r="L54" s="4">
        <f>SUMIFS(Movimientos!$E$6:$E$16,Movimientos!$C$6:$C$16,Stocks!$A54,Movimientos!$F$6:$F$16,Stocks!L$3,Movimientos!$A$6:$A$16,"&lt;="&amp;Stocks!$A$2)-SUMIFS(Movimientos!$E$6:$E$16,Movimientos!$C$6:$C$16,Stocks!$A54,Movimientos!$G$6:$G$16,Stocks!L$3,Movimientos!$A$6:$A$16,"&lt;="&amp;Stocks!$A$2)</f>
        <v>0</v>
      </c>
    </row>
    <row r="55" spans="1:12" x14ac:dyDescent="0.25">
      <c r="A55" t="str">
        <f>Codificación!A54</f>
        <v/>
      </c>
      <c r="B55" s="1">
        <f>Codificación!B54</f>
        <v>0</v>
      </c>
      <c r="E55" s="4">
        <f>SUMIFS(Movimientos!$E$6:$E$16,Movimientos!$C$6:$C$16,Stocks!$A55,Movimientos!$F$6:$F$16,Stocks!E$3,Movimientos!$A$6:$A$16,"&lt;="&amp;Stocks!$A$2)-SUMIFS(Movimientos!$E$6:$E$16,Movimientos!$C$6:$C$16,Stocks!$A55,Movimientos!$G$6:$G$16,Stocks!E$3,Movimientos!$A$6:$A$16,"&lt;="&amp;Stocks!$A$2)</f>
        <v>0</v>
      </c>
      <c r="F55" s="4">
        <f>SUMIFS(Movimientos!$E$6:$E$16,Movimientos!$C$6:$C$16,Stocks!$A55,Movimientos!$F$6:$F$16,Stocks!F$3,Movimientos!$A$6:$A$16,"&lt;="&amp;Stocks!$A$2)-SUMIFS(Movimientos!$E$6:$E$16,Movimientos!$C$6:$C$16,Stocks!$A55,Movimientos!$G$6:$G$16,Stocks!F$3,Movimientos!$A$6:$A$16,"&lt;="&amp;Stocks!$A$2)</f>
        <v>0</v>
      </c>
      <c r="G55" s="4">
        <f>SUMIFS(Movimientos!$E$6:$E$16,Movimientos!$C$6:$C$16,Stocks!$A55,Movimientos!$F$6:$F$16,Stocks!G$3,Movimientos!$A$6:$A$16,"&lt;="&amp;Stocks!$A$2)-SUMIFS(Movimientos!$E$6:$E$16,Movimientos!$C$6:$C$16,Stocks!$A55,Movimientos!$G$6:$G$16,Stocks!G$3,Movimientos!$A$6:$A$16,"&lt;="&amp;Stocks!$A$2)</f>
        <v>0</v>
      </c>
      <c r="H55" s="4">
        <f>SUMIFS(Movimientos!$E$6:$E$16,Movimientos!$C$6:$C$16,Stocks!$A55,Movimientos!$F$6:$F$16,Stocks!H$3,Movimientos!$A$6:$A$16,"&lt;="&amp;Stocks!$A$2)-SUMIFS(Movimientos!$E$6:$E$16,Movimientos!$C$6:$C$16,Stocks!$A55,Movimientos!$G$6:$G$16,Stocks!H$3,Movimientos!$A$6:$A$16,"&lt;="&amp;Stocks!$A$2)</f>
        <v>0</v>
      </c>
      <c r="I55" s="4">
        <f>SUMIFS(Movimientos!$E$6:$E$16,Movimientos!$C$6:$C$16,Stocks!$A55,Movimientos!$F$6:$F$16,Stocks!I$3,Movimientos!$A$6:$A$16,"&lt;="&amp;Stocks!$A$2)-SUMIFS(Movimientos!$E$6:$E$16,Movimientos!$C$6:$C$16,Stocks!$A55,Movimientos!$G$6:$G$16,Stocks!I$3,Movimientos!$A$6:$A$16,"&lt;="&amp;Stocks!$A$2)</f>
        <v>0</v>
      </c>
      <c r="J55" s="4">
        <f>SUMIFS(Movimientos!$E$6:$E$16,Movimientos!$C$6:$C$16,Stocks!$A55,Movimientos!$F$6:$F$16,Stocks!J$3,Movimientos!$A$6:$A$16,"&lt;="&amp;Stocks!$A$2)-SUMIFS(Movimientos!$E$6:$E$16,Movimientos!$C$6:$C$16,Stocks!$A55,Movimientos!$G$6:$G$16,Stocks!J$3,Movimientos!$A$6:$A$16,"&lt;="&amp;Stocks!$A$2)</f>
        <v>0</v>
      </c>
      <c r="K55" s="4">
        <f>SUMIFS(Movimientos!$E$6:$E$16,Movimientos!$C$6:$C$16,Stocks!$A55,Movimientos!$F$6:$F$16,Stocks!K$3,Movimientos!$A$6:$A$16,"&lt;="&amp;Stocks!$A$2)-SUMIFS(Movimientos!$E$6:$E$16,Movimientos!$C$6:$C$16,Stocks!$A55,Movimientos!$G$6:$G$16,Stocks!K$3,Movimientos!$A$6:$A$16,"&lt;="&amp;Stocks!$A$2)</f>
        <v>0</v>
      </c>
      <c r="L55" s="4">
        <f>SUMIFS(Movimientos!$E$6:$E$16,Movimientos!$C$6:$C$16,Stocks!$A55,Movimientos!$F$6:$F$16,Stocks!L$3,Movimientos!$A$6:$A$16,"&lt;="&amp;Stocks!$A$2)-SUMIFS(Movimientos!$E$6:$E$16,Movimientos!$C$6:$C$16,Stocks!$A55,Movimientos!$G$6:$G$16,Stocks!L$3,Movimientos!$A$6:$A$16,"&lt;="&amp;Stocks!$A$2)</f>
        <v>0</v>
      </c>
    </row>
    <row r="56" spans="1:12" x14ac:dyDescent="0.25">
      <c r="A56" t="str">
        <f>Codificación!A55</f>
        <v/>
      </c>
      <c r="B56" s="1">
        <f>Codificación!B55</f>
        <v>0</v>
      </c>
      <c r="E56" s="4">
        <f>SUMIFS(Movimientos!$E$6:$E$16,Movimientos!$C$6:$C$16,Stocks!$A56,Movimientos!$F$6:$F$16,Stocks!E$3,Movimientos!$A$6:$A$16,"&lt;="&amp;Stocks!$A$2)-SUMIFS(Movimientos!$E$6:$E$16,Movimientos!$C$6:$C$16,Stocks!$A56,Movimientos!$G$6:$G$16,Stocks!E$3,Movimientos!$A$6:$A$16,"&lt;="&amp;Stocks!$A$2)</f>
        <v>0</v>
      </c>
      <c r="F56" s="4">
        <f>SUMIFS(Movimientos!$E$6:$E$16,Movimientos!$C$6:$C$16,Stocks!$A56,Movimientos!$F$6:$F$16,Stocks!F$3,Movimientos!$A$6:$A$16,"&lt;="&amp;Stocks!$A$2)-SUMIFS(Movimientos!$E$6:$E$16,Movimientos!$C$6:$C$16,Stocks!$A56,Movimientos!$G$6:$G$16,Stocks!F$3,Movimientos!$A$6:$A$16,"&lt;="&amp;Stocks!$A$2)</f>
        <v>0</v>
      </c>
      <c r="G56" s="4">
        <f>SUMIFS(Movimientos!$E$6:$E$16,Movimientos!$C$6:$C$16,Stocks!$A56,Movimientos!$F$6:$F$16,Stocks!G$3,Movimientos!$A$6:$A$16,"&lt;="&amp;Stocks!$A$2)-SUMIFS(Movimientos!$E$6:$E$16,Movimientos!$C$6:$C$16,Stocks!$A56,Movimientos!$G$6:$G$16,Stocks!G$3,Movimientos!$A$6:$A$16,"&lt;="&amp;Stocks!$A$2)</f>
        <v>0</v>
      </c>
      <c r="H56" s="4">
        <f>SUMIFS(Movimientos!$E$6:$E$16,Movimientos!$C$6:$C$16,Stocks!$A56,Movimientos!$F$6:$F$16,Stocks!H$3,Movimientos!$A$6:$A$16,"&lt;="&amp;Stocks!$A$2)-SUMIFS(Movimientos!$E$6:$E$16,Movimientos!$C$6:$C$16,Stocks!$A56,Movimientos!$G$6:$G$16,Stocks!H$3,Movimientos!$A$6:$A$16,"&lt;="&amp;Stocks!$A$2)</f>
        <v>0</v>
      </c>
      <c r="I56" s="4">
        <f>SUMIFS(Movimientos!$E$6:$E$16,Movimientos!$C$6:$C$16,Stocks!$A56,Movimientos!$F$6:$F$16,Stocks!I$3,Movimientos!$A$6:$A$16,"&lt;="&amp;Stocks!$A$2)-SUMIFS(Movimientos!$E$6:$E$16,Movimientos!$C$6:$C$16,Stocks!$A56,Movimientos!$G$6:$G$16,Stocks!I$3,Movimientos!$A$6:$A$16,"&lt;="&amp;Stocks!$A$2)</f>
        <v>0</v>
      </c>
      <c r="J56" s="4">
        <f>SUMIFS(Movimientos!$E$6:$E$16,Movimientos!$C$6:$C$16,Stocks!$A56,Movimientos!$F$6:$F$16,Stocks!J$3,Movimientos!$A$6:$A$16,"&lt;="&amp;Stocks!$A$2)-SUMIFS(Movimientos!$E$6:$E$16,Movimientos!$C$6:$C$16,Stocks!$A56,Movimientos!$G$6:$G$16,Stocks!J$3,Movimientos!$A$6:$A$16,"&lt;="&amp;Stocks!$A$2)</f>
        <v>0</v>
      </c>
      <c r="K56" s="4">
        <f>SUMIFS(Movimientos!$E$6:$E$16,Movimientos!$C$6:$C$16,Stocks!$A56,Movimientos!$F$6:$F$16,Stocks!K$3,Movimientos!$A$6:$A$16,"&lt;="&amp;Stocks!$A$2)-SUMIFS(Movimientos!$E$6:$E$16,Movimientos!$C$6:$C$16,Stocks!$A56,Movimientos!$G$6:$G$16,Stocks!K$3,Movimientos!$A$6:$A$16,"&lt;="&amp;Stocks!$A$2)</f>
        <v>0</v>
      </c>
      <c r="L56" s="4">
        <f>SUMIFS(Movimientos!$E$6:$E$16,Movimientos!$C$6:$C$16,Stocks!$A56,Movimientos!$F$6:$F$16,Stocks!L$3,Movimientos!$A$6:$A$16,"&lt;="&amp;Stocks!$A$2)-SUMIFS(Movimientos!$E$6:$E$16,Movimientos!$C$6:$C$16,Stocks!$A56,Movimientos!$G$6:$G$16,Stocks!L$3,Movimientos!$A$6:$A$16,"&lt;="&amp;Stocks!$A$2)</f>
        <v>0</v>
      </c>
    </row>
    <row r="57" spans="1:12" x14ac:dyDescent="0.25">
      <c r="A57" t="str">
        <f>Codificación!A56</f>
        <v/>
      </c>
      <c r="B57" s="1">
        <f>Codificación!B56</f>
        <v>0</v>
      </c>
      <c r="E57" s="4">
        <f>SUMIFS(Movimientos!$E$6:$E$16,Movimientos!$C$6:$C$16,Stocks!$A57,Movimientos!$F$6:$F$16,Stocks!E$3,Movimientos!$A$6:$A$16,"&lt;="&amp;Stocks!$A$2)-SUMIFS(Movimientos!$E$6:$E$16,Movimientos!$C$6:$C$16,Stocks!$A57,Movimientos!$G$6:$G$16,Stocks!E$3,Movimientos!$A$6:$A$16,"&lt;="&amp;Stocks!$A$2)</f>
        <v>0</v>
      </c>
      <c r="F57" s="4">
        <f>SUMIFS(Movimientos!$E$6:$E$16,Movimientos!$C$6:$C$16,Stocks!$A57,Movimientos!$F$6:$F$16,Stocks!F$3,Movimientos!$A$6:$A$16,"&lt;="&amp;Stocks!$A$2)-SUMIFS(Movimientos!$E$6:$E$16,Movimientos!$C$6:$C$16,Stocks!$A57,Movimientos!$G$6:$G$16,Stocks!F$3,Movimientos!$A$6:$A$16,"&lt;="&amp;Stocks!$A$2)</f>
        <v>0</v>
      </c>
      <c r="G57" s="4">
        <f>SUMIFS(Movimientos!$E$6:$E$16,Movimientos!$C$6:$C$16,Stocks!$A57,Movimientos!$F$6:$F$16,Stocks!G$3,Movimientos!$A$6:$A$16,"&lt;="&amp;Stocks!$A$2)-SUMIFS(Movimientos!$E$6:$E$16,Movimientos!$C$6:$C$16,Stocks!$A57,Movimientos!$G$6:$G$16,Stocks!G$3,Movimientos!$A$6:$A$16,"&lt;="&amp;Stocks!$A$2)</f>
        <v>0</v>
      </c>
      <c r="H57" s="4">
        <f>SUMIFS(Movimientos!$E$6:$E$16,Movimientos!$C$6:$C$16,Stocks!$A57,Movimientos!$F$6:$F$16,Stocks!H$3,Movimientos!$A$6:$A$16,"&lt;="&amp;Stocks!$A$2)-SUMIFS(Movimientos!$E$6:$E$16,Movimientos!$C$6:$C$16,Stocks!$A57,Movimientos!$G$6:$G$16,Stocks!H$3,Movimientos!$A$6:$A$16,"&lt;="&amp;Stocks!$A$2)</f>
        <v>0</v>
      </c>
      <c r="I57" s="4">
        <f>SUMIFS(Movimientos!$E$6:$E$16,Movimientos!$C$6:$C$16,Stocks!$A57,Movimientos!$F$6:$F$16,Stocks!I$3,Movimientos!$A$6:$A$16,"&lt;="&amp;Stocks!$A$2)-SUMIFS(Movimientos!$E$6:$E$16,Movimientos!$C$6:$C$16,Stocks!$A57,Movimientos!$G$6:$G$16,Stocks!I$3,Movimientos!$A$6:$A$16,"&lt;="&amp;Stocks!$A$2)</f>
        <v>0</v>
      </c>
      <c r="J57" s="4">
        <f>SUMIFS(Movimientos!$E$6:$E$16,Movimientos!$C$6:$C$16,Stocks!$A57,Movimientos!$F$6:$F$16,Stocks!J$3,Movimientos!$A$6:$A$16,"&lt;="&amp;Stocks!$A$2)-SUMIFS(Movimientos!$E$6:$E$16,Movimientos!$C$6:$C$16,Stocks!$A57,Movimientos!$G$6:$G$16,Stocks!J$3,Movimientos!$A$6:$A$16,"&lt;="&amp;Stocks!$A$2)</f>
        <v>0</v>
      </c>
      <c r="K57" s="4">
        <f>SUMIFS(Movimientos!$E$6:$E$16,Movimientos!$C$6:$C$16,Stocks!$A57,Movimientos!$F$6:$F$16,Stocks!K$3,Movimientos!$A$6:$A$16,"&lt;="&amp;Stocks!$A$2)-SUMIFS(Movimientos!$E$6:$E$16,Movimientos!$C$6:$C$16,Stocks!$A57,Movimientos!$G$6:$G$16,Stocks!K$3,Movimientos!$A$6:$A$16,"&lt;="&amp;Stocks!$A$2)</f>
        <v>0</v>
      </c>
      <c r="L57" s="4">
        <f>SUMIFS(Movimientos!$E$6:$E$16,Movimientos!$C$6:$C$16,Stocks!$A57,Movimientos!$F$6:$F$16,Stocks!L$3,Movimientos!$A$6:$A$16,"&lt;="&amp;Stocks!$A$2)-SUMIFS(Movimientos!$E$6:$E$16,Movimientos!$C$6:$C$16,Stocks!$A57,Movimientos!$G$6:$G$16,Stocks!L$3,Movimientos!$A$6:$A$16,"&lt;="&amp;Stocks!$A$2)</f>
        <v>0</v>
      </c>
    </row>
    <row r="58" spans="1:12" x14ac:dyDescent="0.25">
      <c r="A58" t="str">
        <f>Codificación!A57</f>
        <v/>
      </c>
      <c r="B58" s="1">
        <f>Codificación!B57</f>
        <v>0</v>
      </c>
      <c r="E58" s="4">
        <f>SUMIFS(Movimientos!$E$6:$E$16,Movimientos!$C$6:$C$16,Stocks!$A58,Movimientos!$F$6:$F$16,Stocks!E$3,Movimientos!$A$6:$A$16,"&lt;="&amp;Stocks!$A$2)-SUMIFS(Movimientos!$E$6:$E$16,Movimientos!$C$6:$C$16,Stocks!$A58,Movimientos!$G$6:$G$16,Stocks!E$3,Movimientos!$A$6:$A$16,"&lt;="&amp;Stocks!$A$2)</f>
        <v>0</v>
      </c>
      <c r="F58" s="4">
        <f>SUMIFS(Movimientos!$E$6:$E$16,Movimientos!$C$6:$C$16,Stocks!$A58,Movimientos!$F$6:$F$16,Stocks!F$3,Movimientos!$A$6:$A$16,"&lt;="&amp;Stocks!$A$2)-SUMIFS(Movimientos!$E$6:$E$16,Movimientos!$C$6:$C$16,Stocks!$A58,Movimientos!$G$6:$G$16,Stocks!F$3,Movimientos!$A$6:$A$16,"&lt;="&amp;Stocks!$A$2)</f>
        <v>0</v>
      </c>
      <c r="G58" s="4">
        <f>SUMIFS(Movimientos!$E$6:$E$16,Movimientos!$C$6:$C$16,Stocks!$A58,Movimientos!$F$6:$F$16,Stocks!G$3,Movimientos!$A$6:$A$16,"&lt;="&amp;Stocks!$A$2)-SUMIFS(Movimientos!$E$6:$E$16,Movimientos!$C$6:$C$16,Stocks!$A58,Movimientos!$G$6:$G$16,Stocks!G$3,Movimientos!$A$6:$A$16,"&lt;="&amp;Stocks!$A$2)</f>
        <v>0</v>
      </c>
      <c r="H58" s="4">
        <f>SUMIFS(Movimientos!$E$6:$E$16,Movimientos!$C$6:$C$16,Stocks!$A58,Movimientos!$F$6:$F$16,Stocks!H$3,Movimientos!$A$6:$A$16,"&lt;="&amp;Stocks!$A$2)-SUMIFS(Movimientos!$E$6:$E$16,Movimientos!$C$6:$C$16,Stocks!$A58,Movimientos!$G$6:$G$16,Stocks!H$3,Movimientos!$A$6:$A$16,"&lt;="&amp;Stocks!$A$2)</f>
        <v>0</v>
      </c>
      <c r="I58" s="4">
        <f>SUMIFS(Movimientos!$E$6:$E$16,Movimientos!$C$6:$C$16,Stocks!$A58,Movimientos!$F$6:$F$16,Stocks!I$3,Movimientos!$A$6:$A$16,"&lt;="&amp;Stocks!$A$2)-SUMIFS(Movimientos!$E$6:$E$16,Movimientos!$C$6:$C$16,Stocks!$A58,Movimientos!$G$6:$G$16,Stocks!I$3,Movimientos!$A$6:$A$16,"&lt;="&amp;Stocks!$A$2)</f>
        <v>0</v>
      </c>
      <c r="J58" s="4">
        <f>SUMIFS(Movimientos!$E$6:$E$16,Movimientos!$C$6:$C$16,Stocks!$A58,Movimientos!$F$6:$F$16,Stocks!J$3,Movimientos!$A$6:$A$16,"&lt;="&amp;Stocks!$A$2)-SUMIFS(Movimientos!$E$6:$E$16,Movimientos!$C$6:$C$16,Stocks!$A58,Movimientos!$G$6:$G$16,Stocks!J$3,Movimientos!$A$6:$A$16,"&lt;="&amp;Stocks!$A$2)</f>
        <v>0</v>
      </c>
      <c r="K58" s="4">
        <f>SUMIFS(Movimientos!$E$6:$E$16,Movimientos!$C$6:$C$16,Stocks!$A58,Movimientos!$F$6:$F$16,Stocks!K$3,Movimientos!$A$6:$A$16,"&lt;="&amp;Stocks!$A$2)-SUMIFS(Movimientos!$E$6:$E$16,Movimientos!$C$6:$C$16,Stocks!$A58,Movimientos!$G$6:$G$16,Stocks!K$3,Movimientos!$A$6:$A$16,"&lt;="&amp;Stocks!$A$2)</f>
        <v>0</v>
      </c>
      <c r="L58" s="4">
        <f>SUMIFS(Movimientos!$E$6:$E$16,Movimientos!$C$6:$C$16,Stocks!$A58,Movimientos!$F$6:$F$16,Stocks!L$3,Movimientos!$A$6:$A$16,"&lt;="&amp;Stocks!$A$2)-SUMIFS(Movimientos!$E$6:$E$16,Movimientos!$C$6:$C$16,Stocks!$A58,Movimientos!$G$6:$G$16,Stocks!L$3,Movimientos!$A$6:$A$16,"&lt;="&amp;Stocks!$A$2)</f>
        <v>0</v>
      </c>
    </row>
    <row r="59" spans="1:12" x14ac:dyDescent="0.25">
      <c r="A59" t="str">
        <f>Codificación!A58</f>
        <v/>
      </c>
      <c r="B59" s="1">
        <f>Codificación!B58</f>
        <v>0</v>
      </c>
      <c r="E59" s="4">
        <f>SUMIFS(Movimientos!$E$6:$E$16,Movimientos!$C$6:$C$16,Stocks!$A59,Movimientos!$F$6:$F$16,Stocks!E$3,Movimientos!$A$6:$A$16,"&lt;="&amp;Stocks!$A$2)-SUMIFS(Movimientos!$E$6:$E$16,Movimientos!$C$6:$C$16,Stocks!$A59,Movimientos!$G$6:$G$16,Stocks!E$3,Movimientos!$A$6:$A$16,"&lt;="&amp;Stocks!$A$2)</f>
        <v>0</v>
      </c>
      <c r="F59" s="4">
        <f>SUMIFS(Movimientos!$E$6:$E$16,Movimientos!$C$6:$C$16,Stocks!$A59,Movimientos!$F$6:$F$16,Stocks!F$3,Movimientos!$A$6:$A$16,"&lt;="&amp;Stocks!$A$2)-SUMIFS(Movimientos!$E$6:$E$16,Movimientos!$C$6:$C$16,Stocks!$A59,Movimientos!$G$6:$G$16,Stocks!F$3,Movimientos!$A$6:$A$16,"&lt;="&amp;Stocks!$A$2)</f>
        <v>0</v>
      </c>
      <c r="G59" s="4">
        <f>SUMIFS(Movimientos!$E$6:$E$16,Movimientos!$C$6:$C$16,Stocks!$A59,Movimientos!$F$6:$F$16,Stocks!G$3,Movimientos!$A$6:$A$16,"&lt;="&amp;Stocks!$A$2)-SUMIFS(Movimientos!$E$6:$E$16,Movimientos!$C$6:$C$16,Stocks!$A59,Movimientos!$G$6:$G$16,Stocks!G$3,Movimientos!$A$6:$A$16,"&lt;="&amp;Stocks!$A$2)</f>
        <v>0</v>
      </c>
      <c r="H59" s="4">
        <f>SUMIFS(Movimientos!$E$6:$E$16,Movimientos!$C$6:$C$16,Stocks!$A59,Movimientos!$F$6:$F$16,Stocks!H$3,Movimientos!$A$6:$A$16,"&lt;="&amp;Stocks!$A$2)-SUMIFS(Movimientos!$E$6:$E$16,Movimientos!$C$6:$C$16,Stocks!$A59,Movimientos!$G$6:$G$16,Stocks!H$3,Movimientos!$A$6:$A$16,"&lt;="&amp;Stocks!$A$2)</f>
        <v>0</v>
      </c>
      <c r="I59" s="4">
        <f>SUMIFS(Movimientos!$E$6:$E$16,Movimientos!$C$6:$C$16,Stocks!$A59,Movimientos!$F$6:$F$16,Stocks!I$3,Movimientos!$A$6:$A$16,"&lt;="&amp;Stocks!$A$2)-SUMIFS(Movimientos!$E$6:$E$16,Movimientos!$C$6:$C$16,Stocks!$A59,Movimientos!$G$6:$G$16,Stocks!I$3,Movimientos!$A$6:$A$16,"&lt;="&amp;Stocks!$A$2)</f>
        <v>0</v>
      </c>
      <c r="J59" s="4">
        <f>SUMIFS(Movimientos!$E$6:$E$16,Movimientos!$C$6:$C$16,Stocks!$A59,Movimientos!$F$6:$F$16,Stocks!J$3,Movimientos!$A$6:$A$16,"&lt;="&amp;Stocks!$A$2)-SUMIFS(Movimientos!$E$6:$E$16,Movimientos!$C$6:$C$16,Stocks!$A59,Movimientos!$G$6:$G$16,Stocks!J$3,Movimientos!$A$6:$A$16,"&lt;="&amp;Stocks!$A$2)</f>
        <v>0</v>
      </c>
      <c r="K59" s="4">
        <f>SUMIFS(Movimientos!$E$6:$E$16,Movimientos!$C$6:$C$16,Stocks!$A59,Movimientos!$F$6:$F$16,Stocks!K$3,Movimientos!$A$6:$A$16,"&lt;="&amp;Stocks!$A$2)-SUMIFS(Movimientos!$E$6:$E$16,Movimientos!$C$6:$C$16,Stocks!$A59,Movimientos!$G$6:$G$16,Stocks!K$3,Movimientos!$A$6:$A$16,"&lt;="&amp;Stocks!$A$2)</f>
        <v>0</v>
      </c>
      <c r="L59" s="4">
        <f>SUMIFS(Movimientos!$E$6:$E$16,Movimientos!$C$6:$C$16,Stocks!$A59,Movimientos!$F$6:$F$16,Stocks!L$3,Movimientos!$A$6:$A$16,"&lt;="&amp;Stocks!$A$2)-SUMIFS(Movimientos!$E$6:$E$16,Movimientos!$C$6:$C$16,Stocks!$A59,Movimientos!$G$6:$G$16,Stocks!L$3,Movimientos!$A$6:$A$16,"&lt;="&amp;Stocks!$A$2)</f>
        <v>0</v>
      </c>
    </row>
    <row r="60" spans="1:12" x14ac:dyDescent="0.25">
      <c r="A60" t="str">
        <f>Codificación!A59</f>
        <v/>
      </c>
      <c r="B60" s="1">
        <f>Codificación!B59</f>
        <v>0</v>
      </c>
      <c r="E60" s="4">
        <f>SUMIFS(Movimientos!$E$6:$E$16,Movimientos!$C$6:$C$16,Stocks!$A60,Movimientos!$F$6:$F$16,Stocks!E$3,Movimientos!$A$6:$A$16,"&lt;="&amp;Stocks!$A$2)-SUMIFS(Movimientos!$E$6:$E$16,Movimientos!$C$6:$C$16,Stocks!$A60,Movimientos!$G$6:$G$16,Stocks!E$3,Movimientos!$A$6:$A$16,"&lt;="&amp;Stocks!$A$2)</f>
        <v>0</v>
      </c>
      <c r="F60" s="4">
        <f>SUMIFS(Movimientos!$E$6:$E$16,Movimientos!$C$6:$C$16,Stocks!$A60,Movimientos!$F$6:$F$16,Stocks!F$3,Movimientos!$A$6:$A$16,"&lt;="&amp;Stocks!$A$2)-SUMIFS(Movimientos!$E$6:$E$16,Movimientos!$C$6:$C$16,Stocks!$A60,Movimientos!$G$6:$G$16,Stocks!F$3,Movimientos!$A$6:$A$16,"&lt;="&amp;Stocks!$A$2)</f>
        <v>0</v>
      </c>
      <c r="G60" s="4">
        <f>SUMIFS(Movimientos!$E$6:$E$16,Movimientos!$C$6:$C$16,Stocks!$A60,Movimientos!$F$6:$F$16,Stocks!G$3,Movimientos!$A$6:$A$16,"&lt;="&amp;Stocks!$A$2)-SUMIFS(Movimientos!$E$6:$E$16,Movimientos!$C$6:$C$16,Stocks!$A60,Movimientos!$G$6:$G$16,Stocks!G$3,Movimientos!$A$6:$A$16,"&lt;="&amp;Stocks!$A$2)</f>
        <v>0</v>
      </c>
      <c r="H60" s="4">
        <f>SUMIFS(Movimientos!$E$6:$E$16,Movimientos!$C$6:$C$16,Stocks!$A60,Movimientos!$F$6:$F$16,Stocks!H$3,Movimientos!$A$6:$A$16,"&lt;="&amp;Stocks!$A$2)-SUMIFS(Movimientos!$E$6:$E$16,Movimientos!$C$6:$C$16,Stocks!$A60,Movimientos!$G$6:$G$16,Stocks!H$3,Movimientos!$A$6:$A$16,"&lt;="&amp;Stocks!$A$2)</f>
        <v>0</v>
      </c>
      <c r="I60" s="4">
        <f>SUMIFS(Movimientos!$E$6:$E$16,Movimientos!$C$6:$C$16,Stocks!$A60,Movimientos!$F$6:$F$16,Stocks!I$3,Movimientos!$A$6:$A$16,"&lt;="&amp;Stocks!$A$2)-SUMIFS(Movimientos!$E$6:$E$16,Movimientos!$C$6:$C$16,Stocks!$A60,Movimientos!$G$6:$G$16,Stocks!I$3,Movimientos!$A$6:$A$16,"&lt;="&amp;Stocks!$A$2)</f>
        <v>0</v>
      </c>
      <c r="J60" s="4">
        <f>SUMIFS(Movimientos!$E$6:$E$16,Movimientos!$C$6:$C$16,Stocks!$A60,Movimientos!$F$6:$F$16,Stocks!J$3,Movimientos!$A$6:$A$16,"&lt;="&amp;Stocks!$A$2)-SUMIFS(Movimientos!$E$6:$E$16,Movimientos!$C$6:$C$16,Stocks!$A60,Movimientos!$G$6:$G$16,Stocks!J$3,Movimientos!$A$6:$A$16,"&lt;="&amp;Stocks!$A$2)</f>
        <v>0</v>
      </c>
      <c r="K60" s="4">
        <f>SUMIFS(Movimientos!$E$6:$E$16,Movimientos!$C$6:$C$16,Stocks!$A60,Movimientos!$F$6:$F$16,Stocks!K$3,Movimientos!$A$6:$A$16,"&lt;="&amp;Stocks!$A$2)-SUMIFS(Movimientos!$E$6:$E$16,Movimientos!$C$6:$C$16,Stocks!$A60,Movimientos!$G$6:$G$16,Stocks!K$3,Movimientos!$A$6:$A$16,"&lt;="&amp;Stocks!$A$2)</f>
        <v>0</v>
      </c>
      <c r="L60" s="4">
        <f>SUMIFS(Movimientos!$E$6:$E$16,Movimientos!$C$6:$C$16,Stocks!$A60,Movimientos!$F$6:$F$16,Stocks!L$3,Movimientos!$A$6:$A$16,"&lt;="&amp;Stocks!$A$2)-SUMIFS(Movimientos!$E$6:$E$16,Movimientos!$C$6:$C$16,Stocks!$A60,Movimientos!$G$6:$G$16,Stocks!L$3,Movimientos!$A$6:$A$16,"&lt;="&amp;Stocks!$A$2)</f>
        <v>0</v>
      </c>
    </row>
    <row r="61" spans="1:12" x14ac:dyDescent="0.25">
      <c r="A61" t="str">
        <f>Codificación!A60</f>
        <v/>
      </c>
      <c r="B61" s="1">
        <f>Codificación!B60</f>
        <v>0</v>
      </c>
      <c r="E61" s="4">
        <f>SUMIFS(Movimientos!$E$6:$E$16,Movimientos!$C$6:$C$16,Stocks!$A61,Movimientos!$F$6:$F$16,Stocks!E$3,Movimientos!$A$6:$A$16,"&lt;="&amp;Stocks!$A$2)-SUMIFS(Movimientos!$E$6:$E$16,Movimientos!$C$6:$C$16,Stocks!$A61,Movimientos!$G$6:$G$16,Stocks!E$3,Movimientos!$A$6:$A$16,"&lt;="&amp;Stocks!$A$2)</f>
        <v>0</v>
      </c>
      <c r="F61" s="4">
        <f>SUMIFS(Movimientos!$E$6:$E$16,Movimientos!$C$6:$C$16,Stocks!$A61,Movimientos!$F$6:$F$16,Stocks!F$3,Movimientos!$A$6:$A$16,"&lt;="&amp;Stocks!$A$2)-SUMIFS(Movimientos!$E$6:$E$16,Movimientos!$C$6:$C$16,Stocks!$A61,Movimientos!$G$6:$G$16,Stocks!F$3,Movimientos!$A$6:$A$16,"&lt;="&amp;Stocks!$A$2)</f>
        <v>0</v>
      </c>
      <c r="G61" s="4">
        <f>SUMIFS(Movimientos!$E$6:$E$16,Movimientos!$C$6:$C$16,Stocks!$A61,Movimientos!$F$6:$F$16,Stocks!G$3,Movimientos!$A$6:$A$16,"&lt;="&amp;Stocks!$A$2)-SUMIFS(Movimientos!$E$6:$E$16,Movimientos!$C$6:$C$16,Stocks!$A61,Movimientos!$G$6:$G$16,Stocks!G$3,Movimientos!$A$6:$A$16,"&lt;="&amp;Stocks!$A$2)</f>
        <v>0</v>
      </c>
      <c r="H61" s="4">
        <f>SUMIFS(Movimientos!$E$6:$E$16,Movimientos!$C$6:$C$16,Stocks!$A61,Movimientos!$F$6:$F$16,Stocks!H$3,Movimientos!$A$6:$A$16,"&lt;="&amp;Stocks!$A$2)-SUMIFS(Movimientos!$E$6:$E$16,Movimientos!$C$6:$C$16,Stocks!$A61,Movimientos!$G$6:$G$16,Stocks!H$3,Movimientos!$A$6:$A$16,"&lt;="&amp;Stocks!$A$2)</f>
        <v>0</v>
      </c>
      <c r="I61" s="4">
        <f>SUMIFS(Movimientos!$E$6:$E$16,Movimientos!$C$6:$C$16,Stocks!$A61,Movimientos!$F$6:$F$16,Stocks!I$3,Movimientos!$A$6:$A$16,"&lt;="&amp;Stocks!$A$2)-SUMIFS(Movimientos!$E$6:$E$16,Movimientos!$C$6:$C$16,Stocks!$A61,Movimientos!$G$6:$G$16,Stocks!I$3,Movimientos!$A$6:$A$16,"&lt;="&amp;Stocks!$A$2)</f>
        <v>0</v>
      </c>
      <c r="J61" s="4">
        <f>SUMIFS(Movimientos!$E$6:$E$16,Movimientos!$C$6:$C$16,Stocks!$A61,Movimientos!$F$6:$F$16,Stocks!J$3,Movimientos!$A$6:$A$16,"&lt;="&amp;Stocks!$A$2)-SUMIFS(Movimientos!$E$6:$E$16,Movimientos!$C$6:$C$16,Stocks!$A61,Movimientos!$G$6:$G$16,Stocks!J$3,Movimientos!$A$6:$A$16,"&lt;="&amp;Stocks!$A$2)</f>
        <v>0</v>
      </c>
      <c r="K61" s="4">
        <f>SUMIFS(Movimientos!$E$6:$E$16,Movimientos!$C$6:$C$16,Stocks!$A61,Movimientos!$F$6:$F$16,Stocks!K$3,Movimientos!$A$6:$A$16,"&lt;="&amp;Stocks!$A$2)-SUMIFS(Movimientos!$E$6:$E$16,Movimientos!$C$6:$C$16,Stocks!$A61,Movimientos!$G$6:$G$16,Stocks!K$3,Movimientos!$A$6:$A$16,"&lt;="&amp;Stocks!$A$2)</f>
        <v>0</v>
      </c>
      <c r="L61" s="4">
        <f>SUMIFS(Movimientos!$E$6:$E$16,Movimientos!$C$6:$C$16,Stocks!$A61,Movimientos!$F$6:$F$16,Stocks!L$3,Movimientos!$A$6:$A$16,"&lt;="&amp;Stocks!$A$2)-SUMIFS(Movimientos!$E$6:$E$16,Movimientos!$C$6:$C$16,Stocks!$A61,Movimientos!$G$6:$G$16,Stocks!L$3,Movimientos!$A$6:$A$16,"&lt;="&amp;Stocks!$A$2)</f>
        <v>0</v>
      </c>
    </row>
    <row r="62" spans="1:12" x14ac:dyDescent="0.25">
      <c r="A62" t="str">
        <f>Codificación!A61</f>
        <v/>
      </c>
      <c r="B62" s="1">
        <f>Codificación!B61</f>
        <v>0</v>
      </c>
      <c r="E62" s="4">
        <f>SUMIFS(Movimientos!$E$6:$E$16,Movimientos!$C$6:$C$16,Stocks!$A62,Movimientos!$F$6:$F$16,Stocks!E$3,Movimientos!$A$6:$A$16,"&lt;="&amp;Stocks!$A$2)-SUMIFS(Movimientos!$E$6:$E$16,Movimientos!$C$6:$C$16,Stocks!$A62,Movimientos!$G$6:$G$16,Stocks!E$3,Movimientos!$A$6:$A$16,"&lt;="&amp;Stocks!$A$2)</f>
        <v>0</v>
      </c>
      <c r="F62" s="4">
        <f>SUMIFS(Movimientos!$E$6:$E$16,Movimientos!$C$6:$C$16,Stocks!$A62,Movimientos!$F$6:$F$16,Stocks!F$3,Movimientos!$A$6:$A$16,"&lt;="&amp;Stocks!$A$2)-SUMIFS(Movimientos!$E$6:$E$16,Movimientos!$C$6:$C$16,Stocks!$A62,Movimientos!$G$6:$G$16,Stocks!F$3,Movimientos!$A$6:$A$16,"&lt;="&amp;Stocks!$A$2)</f>
        <v>0</v>
      </c>
      <c r="G62" s="4">
        <f>SUMIFS(Movimientos!$E$6:$E$16,Movimientos!$C$6:$C$16,Stocks!$A62,Movimientos!$F$6:$F$16,Stocks!G$3,Movimientos!$A$6:$A$16,"&lt;="&amp;Stocks!$A$2)-SUMIFS(Movimientos!$E$6:$E$16,Movimientos!$C$6:$C$16,Stocks!$A62,Movimientos!$G$6:$G$16,Stocks!G$3,Movimientos!$A$6:$A$16,"&lt;="&amp;Stocks!$A$2)</f>
        <v>0</v>
      </c>
      <c r="H62" s="4">
        <f>SUMIFS(Movimientos!$E$6:$E$16,Movimientos!$C$6:$C$16,Stocks!$A62,Movimientos!$F$6:$F$16,Stocks!H$3,Movimientos!$A$6:$A$16,"&lt;="&amp;Stocks!$A$2)-SUMIFS(Movimientos!$E$6:$E$16,Movimientos!$C$6:$C$16,Stocks!$A62,Movimientos!$G$6:$G$16,Stocks!H$3,Movimientos!$A$6:$A$16,"&lt;="&amp;Stocks!$A$2)</f>
        <v>0</v>
      </c>
      <c r="I62" s="4">
        <f>SUMIFS(Movimientos!$E$6:$E$16,Movimientos!$C$6:$C$16,Stocks!$A62,Movimientos!$F$6:$F$16,Stocks!I$3,Movimientos!$A$6:$A$16,"&lt;="&amp;Stocks!$A$2)-SUMIFS(Movimientos!$E$6:$E$16,Movimientos!$C$6:$C$16,Stocks!$A62,Movimientos!$G$6:$G$16,Stocks!I$3,Movimientos!$A$6:$A$16,"&lt;="&amp;Stocks!$A$2)</f>
        <v>0</v>
      </c>
      <c r="J62" s="4">
        <f>SUMIFS(Movimientos!$E$6:$E$16,Movimientos!$C$6:$C$16,Stocks!$A62,Movimientos!$F$6:$F$16,Stocks!J$3,Movimientos!$A$6:$A$16,"&lt;="&amp;Stocks!$A$2)-SUMIFS(Movimientos!$E$6:$E$16,Movimientos!$C$6:$C$16,Stocks!$A62,Movimientos!$G$6:$G$16,Stocks!J$3,Movimientos!$A$6:$A$16,"&lt;="&amp;Stocks!$A$2)</f>
        <v>0</v>
      </c>
      <c r="K62" s="4">
        <f>SUMIFS(Movimientos!$E$6:$E$16,Movimientos!$C$6:$C$16,Stocks!$A62,Movimientos!$F$6:$F$16,Stocks!K$3,Movimientos!$A$6:$A$16,"&lt;="&amp;Stocks!$A$2)-SUMIFS(Movimientos!$E$6:$E$16,Movimientos!$C$6:$C$16,Stocks!$A62,Movimientos!$G$6:$G$16,Stocks!K$3,Movimientos!$A$6:$A$16,"&lt;="&amp;Stocks!$A$2)</f>
        <v>0</v>
      </c>
      <c r="L62" s="4">
        <f>SUMIFS(Movimientos!$E$6:$E$16,Movimientos!$C$6:$C$16,Stocks!$A62,Movimientos!$F$6:$F$16,Stocks!L$3,Movimientos!$A$6:$A$16,"&lt;="&amp;Stocks!$A$2)-SUMIFS(Movimientos!$E$6:$E$16,Movimientos!$C$6:$C$16,Stocks!$A62,Movimientos!$G$6:$G$16,Stocks!L$3,Movimientos!$A$6:$A$16,"&lt;="&amp;Stocks!$A$2)</f>
        <v>0</v>
      </c>
    </row>
    <row r="63" spans="1:12" x14ac:dyDescent="0.25">
      <c r="A63" t="str">
        <f>Codificación!A62</f>
        <v/>
      </c>
      <c r="B63" s="1">
        <f>Codificación!B62</f>
        <v>0</v>
      </c>
      <c r="E63" s="4">
        <f>SUMIFS(Movimientos!$E$6:$E$16,Movimientos!$C$6:$C$16,Stocks!$A63,Movimientos!$F$6:$F$16,Stocks!E$3,Movimientos!$A$6:$A$16,"&lt;="&amp;Stocks!$A$2)-SUMIFS(Movimientos!$E$6:$E$16,Movimientos!$C$6:$C$16,Stocks!$A63,Movimientos!$G$6:$G$16,Stocks!E$3,Movimientos!$A$6:$A$16,"&lt;="&amp;Stocks!$A$2)</f>
        <v>0</v>
      </c>
      <c r="F63" s="4">
        <f>SUMIFS(Movimientos!$E$6:$E$16,Movimientos!$C$6:$C$16,Stocks!$A63,Movimientos!$F$6:$F$16,Stocks!F$3,Movimientos!$A$6:$A$16,"&lt;="&amp;Stocks!$A$2)-SUMIFS(Movimientos!$E$6:$E$16,Movimientos!$C$6:$C$16,Stocks!$A63,Movimientos!$G$6:$G$16,Stocks!F$3,Movimientos!$A$6:$A$16,"&lt;="&amp;Stocks!$A$2)</f>
        <v>0</v>
      </c>
      <c r="G63" s="4">
        <f>SUMIFS(Movimientos!$E$6:$E$16,Movimientos!$C$6:$C$16,Stocks!$A63,Movimientos!$F$6:$F$16,Stocks!G$3,Movimientos!$A$6:$A$16,"&lt;="&amp;Stocks!$A$2)-SUMIFS(Movimientos!$E$6:$E$16,Movimientos!$C$6:$C$16,Stocks!$A63,Movimientos!$G$6:$G$16,Stocks!G$3,Movimientos!$A$6:$A$16,"&lt;="&amp;Stocks!$A$2)</f>
        <v>0</v>
      </c>
      <c r="H63" s="4">
        <f>SUMIFS(Movimientos!$E$6:$E$16,Movimientos!$C$6:$C$16,Stocks!$A63,Movimientos!$F$6:$F$16,Stocks!H$3,Movimientos!$A$6:$A$16,"&lt;="&amp;Stocks!$A$2)-SUMIFS(Movimientos!$E$6:$E$16,Movimientos!$C$6:$C$16,Stocks!$A63,Movimientos!$G$6:$G$16,Stocks!H$3,Movimientos!$A$6:$A$16,"&lt;="&amp;Stocks!$A$2)</f>
        <v>0</v>
      </c>
      <c r="I63" s="4">
        <f>SUMIFS(Movimientos!$E$6:$E$16,Movimientos!$C$6:$C$16,Stocks!$A63,Movimientos!$F$6:$F$16,Stocks!I$3,Movimientos!$A$6:$A$16,"&lt;="&amp;Stocks!$A$2)-SUMIFS(Movimientos!$E$6:$E$16,Movimientos!$C$6:$C$16,Stocks!$A63,Movimientos!$G$6:$G$16,Stocks!I$3,Movimientos!$A$6:$A$16,"&lt;="&amp;Stocks!$A$2)</f>
        <v>0</v>
      </c>
      <c r="J63" s="4">
        <f>SUMIFS(Movimientos!$E$6:$E$16,Movimientos!$C$6:$C$16,Stocks!$A63,Movimientos!$F$6:$F$16,Stocks!J$3,Movimientos!$A$6:$A$16,"&lt;="&amp;Stocks!$A$2)-SUMIFS(Movimientos!$E$6:$E$16,Movimientos!$C$6:$C$16,Stocks!$A63,Movimientos!$G$6:$G$16,Stocks!J$3,Movimientos!$A$6:$A$16,"&lt;="&amp;Stocks!$A$2)</f>
        <v>0</v>
      </c>
      <c r="K63" s="4">
        <f>SUMIFS(Movimientos!$E$6:$E$16,Movimientos!$C$6:$C$16,Stocks!$A63,Movimientos!$F$6:$F$16,Stocks!K$3,Movimientos!$A$6:$A$16,"&lt;="&amp;Stocks!$A$2)-SUMIFS(Movimientos!$E$6:$E$16,Movimientos!$C$6:$C$16,Stocks!$A63,Movimientos!$G$6:$G$16,Stocks!K$3,Movimientos!$A$6:$A$16,"&lt;="&amp;Stocks!$A$2)</f>
        <v>0</v>
      </c>
      <c r="L63" s="4">
        <f>SUMIFS(Movimientos!$E$6:$E$16,Movimientos!$C$6:$C$16,Stocks!$A63,Movimientos!$F$6:$F$16,Stocks!L$3,Movimientos!$A$6:$A$16,"&lt;="&amp;Stocks!$A$2)-SUMIFS(Movimientos!$E$6:$E$16,Movimientos!$C$6:$C$16,Stocks!$A63,Movimientos!$G$6:$G$16,Stocks!L$3,Movimientos!$A$6:$A$16,"&lt;="&amp;Stocks!$A$2)</f>
        <v>0</v>
      </c>
    </row>
    <row r="64" spans="1:12" x14ac:dyDescent="0.25">
      <c r="A64" t="str">
        <f>Codificación!A63</f>
        <v/>
      </c>
      <c r="B64" s="1">
        <f>Codificación!B63</f>
        <v>0</v>
      </c>
      <c r="E64" s="4">
        <f>SUMIFS(Movimientos!$E$6:$E$16,Movimientos!$C$6:$C$16,Stocks!$A64,Movimientos!$F$6:$F$16,Stocks!E$3,Movimientos!$A$6:$A$16,"&lt;="&amp;Stocks!$A$2)-SUMIFS(Movimientos!$E$6:$E$16,Movimientos!$C$6:$C$16,Stocks!$A64,Movimientos!$G$6:$G$16,Stocks!E$3,Movimientos!$A$6:$A$16,"&lt;="&amp;Stocks!$A$2)</f>
        <v>0</v>
      </c>
      <c r="F64" s="4">
        <f>SUMIFS(Movimientos!$E$6:$E$16,Movimientos!$C$6:$C$16,Stocks!$A64,Movimientos!$F$6:$F$16,Stocks!F$3,Movimientos!$A$6:$A$16,"&lt;="&amp;Stocks!$A$2)-SUMIFS(Movimientos!$E$6:$E$16,Movimientos!$C$6:$C$16,Stocks!$A64,Movimientos!$G$6:$G$16,Stocks!F$3,Movimientos!$A$6:$A$16,"&lt;="&amp;Stocks!$A$2)</f>
        <v>0</v>
      </c>
      <c r="G64" s="4">
        <f>SUMIFS(Movimientos!$E$6:$E$16,Movimientos!$C$6:$C$16,Stocks!$A64,Movimientos!$F$6:$F$16,Stocks!G$3,Movimientos!$A$6:$A$16,"&lt;="&amp;Stocks!$A$2)-SUMIFS(Movimientos!$E$6:$E$16,Movimientos!$C$6:$C$16,Stocks!$A64,Movimientos!$G$6:$G$16,Stocks!G$3,Movimientos!$A$6:$A$16,"&lt;="&amp;Stocks!$A$2)</f>
        <v>0</v>
      </c>
      <c r="H64" s="4">
        <f>SUMIFS(Movimientos!$E$6:$E$16,Movimientos!$C$6:$C$16,Stocks!$A64,Movimientos!$F$6:$F$16,Stocks!H$3,Movimientos!$A$6:$A$16,"&lt;="&amp;Stocks!$A$2)-SUMIFS(Movimientos!$E$6:$E$16,Movimientos!$C$6:$C$16,Stocks!$A64,Movimientos!$G$6:$G$16,Stocks!H$3,Movimientos!$A$6:$A$16,"&lt;="&amp;Stocks!$A$2)</f>
        <v>0</v>
      </c>
      <c r="I64" s="4">
        <f>SUMIFS(Movimientos!$E$6:$E$16,Movimientos!$C$6:$C$16,Stocks!$A64,Movimientos!$F$6:$F$16,Stocks!I$3,Movimientos!$A$6:$A$16,"&lt;="&amp;Stocks!$A$2)-SUMIFS(Movimientos!$E$6:$E$16,Movimientos!$C$6:$C$16,Stocks!$A64,Movimientos!$G$6:$G$16,Stocks!I$3,Movimientos!$A$6:$A$16,"&lt;="&amp;Stocks!$A$2)</f>
        <v>0</v>
      </c>
      <c r="J64" s="4">
        <f>SUMIFS(Movimientos!$E$6:$E$16,Movimientos!$C$6:$C$16,Stocks!$A64,Movimientos!$F$6:$F$16,Stocks!J$3,Movimientos!$A$6:$A$16,"&lt;="&amp;Stocks!$A$2)-SUMIFS(Movimientos!$E$6:$E$16,Movimientos!$C$6:$C$16,Stocks!$A64,Movimientos!$G$6:$G$16,Stocks!J$3,Movimientos!$A$6:$A$16,"&lt;="&amp;Stocks!$A$2)</f>
        <v>0</v>
      </c>
      <c r="K64" s="4">
        <f>SUMIFS(Movimientos!$E$6:$E$16,Movimientos!$C$6:$C$16,Stocks!$A64,Movimientos!$F$6:$F$16,Stocks!K$3,Movimientos!$A$6:$A$16,"&lt;="&amp;Stocks!$A$2)-SUMIFS(Movimientos!$E$6:$E$16,Movimientos!$C$6:$C$16,Stocks!$A64,Movimientos!$G$6:$G$16,Stocks!K$3,Movimientos!$A$6:$A$16,"&lt;="&amp;Stocks!$A$2)</f>
        <v>0</v>
      </c>
      <c r="L64" s="4">
        <f>SUMIFS(Movimientos!$E$6:$E$16,Movimientos!$C$6:$C$16,Stocks!$A64,Movimientos!$F$6:$F$16,Stocks!L$3,Movimientos!$A$6:$A$16,"&lt;="&amp;Stocks!$A$2)-SUMIFS(Movimientos!$E$6:$E$16,Movimientos!$C$6:$C$16,Stocks!$A64,Movimientos!$G$6:$G$16,Stocks!L$3,Movimientos!$A$6:$A$16,"&lt;="&amp;Stocks!$A$2)</f>
        <v>0</v>
      </c>
    </row>
    <row r="65" spans="1:12" x14ac:dyDescent="0.25">
      <c r="A65" t="str">
        <f>Codificación!A64</f>
        <v/>
      </c>
      <c r="B65" s="1">
        <f>Codificación!B64</f>
        <v>0</v>
      </c>
      <c r="E65" s="4">
        <f>SUMIFS(Movimientos!$E$6:$E$16,Movimientos!$C$6:$C$16,Stocks!$A65,Movimientos!$F$6:$F$16,Stocks!E$3,Movimientos!$A$6:$A$16,"&lt;="&amp;Stocks!$A$2)-SUMIFS(Movimientos!$E$6:$E$16,Movimientos!$C$6:$C$16,Stocks!$A65,Movimientos!$G$6:$G$16,Stocks!E$3,Movimientos!$A$6:$A$16,"&lt;="&amp;Stocks!$A$2)</f>
        <v>0</v>
      </c>
      <c r="F65" s="4">
        <f>SUMIFS(Movimientos!$E$6:$E$16,Movimientos!$C$6:$C$16,Stocks!$A65,Movimientos!$F$6:$F$16,Stocks!F$3,Movimientos!$A$6:$A$16,"&lt;="&amp;Stocks!$A$2)-SUMIFS(Movimientos!$E$6:$E$16,Movimientos!$C$6:$C$16,Stocks!$A65,Movimientos!$G$6:$G$16,Stocks!F$3,Movimientos!$A$6:$A$16,"&lt;="&amp;Stocks!$A$2)</f>
        <v>0</v>
      </c>
      <c r="G65" s="4">
        <f>SUMIFS(Movimientos!$E$6:$E$16,Movimientos!$C$6:$C$16,Stocks!$A65,Movimientos!$F$6:$F$16,Stocks!G$3,Movimientos!$A$6:$A$16,"&lt;="&amp;Stocks!$A$2)-SUMIFS(Movimientos!$E$6:$E$16,Movimientos!$C$6:$C$16,Stocks!$A65,Movimientos!$G$6:$G$16,Stocks!G$3,Movimientos!$A$6:$A$16,"&lt;="&amp;Stocks!$A$2)</f>
        <v>0</v>
      </c>
      <c r="H65" s="4">
        <f>SUMIFS(Movimientos!$E$6:$E$16,Movimientos!$C$6:$C$16,Stocks!$A65,Movimientos!$F$6:$F$16,Stocks!H$3,Movimientos!$A$6:$A$16,"&lt;="&amp;Stocks!$A$2)-SUMIFS(Movimientos!$E$6:$E$16,Movimientos!$C$6:$C$16,Stocks!$A65,Movimientos!$G$6:$G$16,Stocks!H$3,Movimientos!$A$6:$A$16,"&lt;="&amp;Stocks!$A$2)</f>
        <v>0</v>
      </c>
      <c r="I65" s="4">
        <f>SUMIFS(Movimientos!$E$6:$E$16,Movimientos!$C$6:$C$16,Stocks!$A65,Movimientos!$F$6:$F$16,Stocks!I$3,Movimientos!$A$6:$A$16,"&lt;="&amp;Stocks!$A$2)-SUMIFS(Movimientos!$E$6:$E$16,Movimientos!$C$6:$C$16,Stocks!$A65,Movimientos!$G$6:$G$16,Stocks!I$3,Movimientos!$A$6:$A$16,"&lt;="&amp;Stocks!$A$2)</f>
        <v>0</v>
      </c>
      <c r="J65" s="4">
        <f>SUMIFS(Movimientos!$E$6:$E$16,Movimientos!$C$6:$C$16,Stocks!$A65,Movimientos!$F$6:$F$16,Stocks!J$3,Movimientos!$A$6:$A$16,"&lt;="&amp;Stocks!$A$2)-SUMIFS(Movimientos!$E$6:$E$16,Movimientos!$C$6:$C$16,Stocks!$A65,Movimientos!$G$6:$G$16,Stocks!J$3,Movimientos!$A$6:$A$16,"&lt;="&amp;Stocks!$A$2)</f>
        <v>0</v>
      </c>
      <c r="K65" s="4">
        <f>SUMIFS(Movimientos!$E$6:$E$16,Movimientos!$C$6:$C$16,Stocks!$A65,Movimientos!$F$6:$F$16,Stocks!K$3,Movimientos!$A$6:$A$16,"&lt;="&amp;Stocks!$A$2)-SUMIFS(Movimientos!$E$6:$E$16,Movimientos!$C$6:$C$16,Stocks!$A65,Movimientos!$G$6:$G$16,Stocks!K$3,Movimientos!$A$6:$A$16,"&lt;="&amp;Stocks!$A$2)</f>
        <v>0</v>
      </c>
      <c r="L65" s="4">
        <f>SUMIFS(Movimientos!$E$6:$E$16,Movimientos!$C$6:$C$16,Stocks!$A65,Movimientos!$F$6:$F$16,Stocks!L$3,Movimientos!$A$6:$A$16,"&lt;="&amp;Stocks!$A$2)-SUMIFS(Movimientos!$E$6:$E$16,Movimientos!$C$6:$C$16,Stocks!$A65,Movimientos!$G$6:$G$16,Stocks!L$3,Movimientos!$A$6:$A$16,"&lt;="&amp;Stocks!$A$2)</f>
        <v>0</v>
      </c>
    </row>
    <row r="66" spans="1:12" x14ac:dyDescent="0.25">
      <c r="A66" t="str">
        <f>Codificación!A65</f>
        <v/>
      </c>
      <c r="B66" s="1">
        <f>Codificación!B65</f>
        <v>0</v>
      </c>
      <c r="E66" s="4">
        <f>SUMIFS(Movimientos!$E$6:$E$16,Movimientos!$C$6:$C$16,Stocks!$A66,Movimientos!$F$6:$F$16,Stocks!E$3,Movimientos!$A$6:$A$16,"&lt;="&amp;Stocks!$A$2)-SUMIFS(Movimientos!$E$6:$E$16,Movimientos!$C$6:$C$16,Stocks!$A66,Movimientos!$G$6:$G$16,Stocks!E$3,Movimientos!$A$6:$A$16,"&lt;="&amp;Stocks!$A$2)</f>
        <v>0</v>
      </c>
      <c r="F66" s="4">
        <f>SUMIFS(Movimientos!$E$6:$E$16,Movimientos!$C$6:$C$16,Stocks!$A66,Movimientos!$F$6:$F$16,Stocks!F$3,Movimientos!$A$6:$A$16,"&lt;="&amp;Stocks!$A$2)-SUMIFS(Movimientos!$E$6:$E$16,Movimientos!$C$6:$C$16,Stocks!$A66,Movimientos!$G$6:$G$16,Stocks!F$3,Movimientos!$A$6:$A$16,"&lt;="&amp;Stocks!$A$2)</f>
        <v>0</v>
      </c>
      <c r="G66" s="4">
        <f>SUMIFS(Movimientos!$E$6:$E$16,Movimientos!$C$6:$C$16,Stocks!$A66,Movimientos!$F$6:$F$16,Stocks!G$3,Movimientos!$A$6:$A$16,"&lt;="&amp;Stocks!$A$2)-SUMIFS(Movimientos!$E$6:$E$16,Movimientos!$C$6:$C$16,Stocks!$A66,Movimientos!$G$6:$G$16,Stocks!G$3,Movimientos!$A$6:$A$16,"&lt;="&amp;Stocks!$A$2)</f>
        <v>0</v>
      </c>
      <c r="H66" s="4">
        <f>SUMIFS(Movimientos!$E$6:$E$16,Movimientos!$C$6:$C$16,Stocks!$A66,Movimientos!$F$6:$F$16,Stocks!H$3,Movimientos!$A$6:$A$16,"&lt;="&amp;Stocks!$A$2)-SUMIFS(Movimientos!$E$6:$E$16,Movimientos!$C$6:$C$16,Stocks!$A66,Movimientos!$G$6:$G$16,Stocks!H$3,Movimientos!$A$6:$A$16,"&lt;="&amp;Stocks!$A$2)</f>
        <v>0</v>
      </c>
      <c r="I66" s="4">
        <f>SUMIFS(Movimientos!$E$6:$E$16,Movimientos!$C$6:$C$16,Stocks!$A66,Movimientos!$F$6:$F$16,Stocks!I$3,Movimientos!$A$6:$A$16,"&lt;="&amp;Stocks!$A$2)-SUMIFS(Movimientos!$E$6:$E$16,Movimientos!$C$6:$C$16,Stocks!$A66,Movimientos!$G$6:$G$16,Stocks!I$3,Movimientos!$A$6:$A$16,"&lt;="&amp;Stocks!$A$2)</f>
        <v>0</v>
      </c>
      <c r="J66" s="4">
        <f>SUMIFS(Movimientos!$E$6:$E$16,Movimientos!$C$6:$C$16,Stocks!$A66,Movimientos!$F$6:$F$16,Stocks!J$3,Movimientos!$A$6:$A$16,"&lt;="&amp;Stocks!$A$2)-SUMIFS(Movimientos!$E$6:$E$16,Movimientos!$C$6:$C$16,Stocks!$A66,Movimientos!$G$6:$G$16,Stocks!J$3,Movimientos!$A$6:$A$16,"&lt;="&amp;Stocks!$A$2)</f>
        <v>0</v>
      </c>
      <c r="K66" s="4">
        <f>SUMIFS(Movimientos!$E$6:$E$16,Movimientos!$C$6:$C$16,Stocks!$A66,Movimientos!$F$6:$F$16,Stocks!K$3,Movimientos!$A$6:$A$16,"&lt;="&amp;Stocks!$A$2)-SUMIFS(Movimientos!$E$6:$E$16,Movimientos!$C$6:$C$16,Stocks!$A66,Movimientos!$G$6:$G$16,Stocks!K$3,Movimientos!$A$6:$A$16,"&lt;="&amp;Stocks!$A$2)</f>
        <v>0</v>
      </c>
      <c r="L66" s="4">
        <f>SUMIFS(Movimientos!$E$6:$E$16,Movimientos!$C$6:$C$16,Stocks!$A66,Movimientos!$F$6:$F$16,Stocks!L$3,Movimientos!$A$6:$A$16,"&lt;="&amp;Stocks!$A$2)-SUMIFS(Movimientos!$E$6:$E$16,Movimientos!$C$6:$C$16,Stocks!$A66,Movimientos!$G$6:$G$16,Stocks!L$3,Movimientos!$A$6:$A$16,"&lt;="&amp;Stocks!$A$2)</f>
        <v>0</v>
      </c>
    </row>
    <row r="67" spans="1:12" x14ac:dyDescent="0.25">
      <c r="A67" t="str">
        <f>Codificación!A66</f>
        <v/>
      </c>
      <c r="B67" s="1">
        <f>Codificación!B66</f>
        <v>0</v>
      </c>
      <c r="E67" s="4">
        <f>SUMIFS(Movimientos!$E$6:$E$16,Movimientos!$C$6:$C$16,Stocks!$A67,Movimientos!$F$6:$F$16,Stocks!E$3,Movimientos!$A$6:$A$16,"&lt;="&amp;Stocks!$A$2)-SUMIFS(Movimientos!$E$6:$E$16,Movimientos!$C$6:$C$16,Stocks!$A67,Movimientos!$G$6:$G$16,Stocks!E$3,Movimientos!$A$6:$A$16,"&lt;="&amp;Stocks!$A$2)</f>
        <v>0</v>
      </c>
      <c r="F67" s="4">
        <f>SUMIFS(Movimientos!$E$6:$E$16,Movimientos!$C$6:$C$16,Stocks!$A67,Movimientos!$F$6:$F$16,Stocks!F$3,Movimientos!$A$6:$A$16,"&lt;="&amp;Stocks!$A$2)-SUMIFS(Movimientos!$E$6:$E$16,Movimientos!$C$6:$C$16,Stocks!$A67,Movimientos!$G$6:$G$16,Stocks!F$3,Movimientos!$A$6:$A$16,"&lt;="&amp;Stocks!$A$2)</f>
        <v>0</v>
      </c>
      <c r="G67" s="4">
        <f>SUMIFS(Movimientos!$E$6:$E$16,Movimientos!$C$6:$C$16,Stocks!$A67,Movimientos!$F$6:$F$16,Stocks!G$3,Movimientos!$A$6:$A$16,"&lt;="&amp;Stocks!$A$2)-SUMIFS(Movimientos!$E$6:$E$16,Movimientos!$C$6:$C$16,Stocks!$A67,Movimientos!$G$6:$G$16,Stocks!G$3,Movimientos!$A$6:$A$16,"&lt;="&amp;Stocks!$A$2)</f>
        <v>0</v>
      </c>
      <c r="H67" s="4">
        <f>SUMIFS(Movimientos!$E$6:$E$16,Movimientos!$C$6:$C$16,Stocks!$A67,Movimientos!$F$6:$F$16,Stocks!H$3,Movimientos!$A$6:$A$16,"&lt;="&amp;Stocks!$A$2)-SUMIFS(Movimientos!$E$6:$E$16,Movimientos!$C$6:$C$16,Stocks!$A67,Movimientos!$G$6:$G$16,Stocks!H$3,Movimientos!$A$6:$A$16,"&lt;="&amp;Stocks!$A$2)</f>
        <v>0</v>
      </c>
      <c r="I67" s="4">
        <f>SUMIFS(Movimientos!$E$6:$E$16,Movimientos!$C$6:$C$16,Stocks!$A67,Movimientos!$F$6:$F$16,Stocks!I$3,Movimientos!$A$6:$A$16,"&lt;="&amp;Stocks!$A$2)-SUMIFS(Movimientos!$E$6:$E$16,Movimientos!$C$6:$C$16,Stocks!$A67,Movimientos!$G$6:$G$16,Stocks!I$3,Movimientos!$A$6:$A$16,"&lt;="&amp;Stocks!$A$2)</f>
        <v>0</v>
      </c>
      <c r="J67" s="4">
        <f>SUMIFS(Movimientos!$E$6:$E$16,Movimientos!$C$6:$C$16,Stocks!$A67,Movimientos!$F$6:$F$16,Stocks!J$3,Movimientos!$A$6:$A$16,"&lt;="&amp;Stocks!$A$2)-SUMIFS(Movimientos!$E$6:$E$16,Movimientos!$C$6:$C$16,Stocks!$A67,Movimientos!$G$6:$G$16,Stocks!J$3,Movimientos!$A$6:$A$16,"&lt;="&amp;Stocks!$A$2)</f>
        <v>0</v>
      </c>
      <c r="K67" s="4">
        <f>SUMIFS(Movimientos!$E$6:$E$16,Movimientos!$C$6:$C$16,Stocks!$A67,Movimientos!$F$6:$F$16,Stocks!K$3,Movimientos!$A$6:$A$16,"&lt;="&amp;Stocks!$A$2)-SUMIFS(Movimientos!$E$6:$E$16,Movimientos!$C$6:$C$16,Stocks!$A67,Movimientos!$G$6:$G$16,Stocks!K$3,Movimientos!$A$6:$A$16,"&lt;="&amp;Stocks!$A$2)</f>
        <v>0</v>
      </c>
      <c r="L67" s="4">
        <f>SUMIFS(Movimientos!$E$6:$E$16,Movimientos!$C$6:$C$16,Stocks!$A67,Movimientos!$F$6:$F$16,Stocks!L$3,Movimientos!$A$6:$A$16,"&lt;="&amp;Stocks!$A$2)-SUMIFS(Movimientos!$E$6:$E$16,Movimientos!$C$6:$C$16,Stocks!$A67,Movimientos!$G$6:$G$16,Stocks!L$3,Movimientos!$A$6:$A$16,"&lt;="&amp;Stocks!$A$2)</f>
        <v>0</v>
      </c>
    </row>
    <row r="68" spans="1:12" x14ac:dyDescent="0.25">
      <c r="A68" t="str">
        <f>Codificación!A67</f>
        <v/>
      </c>
      <c r="B68" s="1">
        <f>Codificación!B67</f>
        <v>0</v>
      </c>
      <c r="E68" s="4">
        <f>SUMIFS(Movimientos!$E$6:$E$16,Movimientos!$C$6:$C$16,Stocks!$A68,Movimientos!$F$6:$F$16,Stocks!E$3,Movimientos!$A$6:$A$16,"&lt;="&amp;Stocks!$A$2)-SUMIFS(Movimientos!$E$6:$E$16,Movimientos!$C$6:$C$16,Stocks!$A68,Movimientos!$G$6:$G$16,Stocks!E$3,Movimientos!$A$6:$A$16,"&lt;="&amp;Stocks!$A$2)</f>
        <v>0</v>
      </c>
      <c r="F68" s="4">
        <f>SUMIFS(Movimientos!$E$6:$E$16,Movimientos!$C$6:$C$16,Stocks!$A68,Movimientos!$F$6:$F$16,Stocks!F$3,Movimientos!$A$6:$A$16,"&lt;="&amp;Stocks!$A$2)-SUMIFS(Movimientos!$E$6:$E$16,Movimientos!$C$6:$C$16,Stocks!$A68,Movimientos!$G$6:$G$16,Stocks!F$3,Movimientos!$A$6:$A$16,"&lt;="&amp;Stocks!$A$2)</f>
        <v>0</v>
      </c>
      <c r="G68" s="4">
        <f>SUMIFS(Movimientos!$E$6:$E$16,Movimientos!$C$6:$C$16,Stocks!$A68,Movimientos!$F$6:$F$16,Stocks!G$3,Movimientos!$A$6:$A$16,"&lt;="&amp;Stocks!$A$2)-SUMIFS(Movimientos!$E$6:$E$16,Movimientos!$C$6:$C$16,Stocks!$A68,Movimientos!$G$6:$G$16,Stocks!G$3,Movimientos!$A$6:$A$16,"&lt;="&amp;Stocks!$A$2)</f>
        <v>0</v>
      </c>
      <c r="H68" s="4">
        <f>SUMIFS(Movimientos!$E$6:$E$16,Movimientos!$C$6:$C$16,Stocks!$A68,Movimientos!$F$6:$F$16,Stocks!H$3,Movimientos!$A$6:$A$16,"&lt;="&amp;Stocks!$A$2)-SUMIFS(Movimientos!$E$6:$E$16,Movimientos!$C$6:$C$16,Stocks!$A68,Movimientos!$G$6:$G$16,Stocks!H$3,Movimientos!$A$6:$A$16,"&lt;="&amp;Stocks!$A$2)</f>
        <v>0</v>
      </c>
      <c r="I68" s="4">
        <f>SUMIFS(Movimientos!$E$6:$E$16,Movimientos!$C$6:$C$16,Stocks!$A68,Movimientos!$F$6:$F$16,Stocks!I$3,Movimientos!$A$6:$A$16,"&lt;="&amp;Stocks!$A$2)-SUMIFS(Movimientos!$E$6:$E$16,Movimientos!$C$6:$C$16,Stocks!$A68,Movimientos!$G$6:$G$16,Stocks!I$3,Movimientos!$A$6:$A$16,"&lt;="&amp;Stocks!$A$2)</f>
        <v>0</v>
      </c>
      <c r="J68" s="4">
        <f>SUMIFS(Movimientos!$E$6:$E$16,Movimientos!$C$6:$C$16,Stocks!$A68,Movimientos!$F$6:$F$16,Stocks!J$3,Movimientos!$A$6:$A$16,"&lt;="&amp;Stocks!$A$2)-SUMIFS(Movimientos!$E$6:$E$16,Movimientos!$C$6:$C$16,Stocks!$A68,Movimientos!$G$6:$G$16,Stocks!J$3,Movimientos!$A$6:$A$16,"&lt;="&amp;Stocks!$A$2)</f>
        <v>0</v>
      </c>
      <c r="K68" s="4">
        <f>SUMIFS(Movimientos!$E$6:$E$16,Movimientos!$C$6:$C$16,Stocks!$A68,Movimientos!$F$6:$F$16,Stocks!K$3,Movimientos!$A$6:$A$16,"&lt;="&amp;Stocks!$A$2)-SUMIFS(Movimientos!$E$6:$E$16,Movimientos!$C$6:$C$16,Stocks!$A68,Movimientos!$G$6:$G$16,Stocks!K$3,Movimientos!$A$6:$A$16,"&lt;="&amp;Stocks!$A$2)</f>
        <v>0</v>
      </c>
      <c r="L68" s="4">
        <f>SUMIFS(Movimientos!$E$6:$E$16,Movimientos!$C$6:$C$16,Stocks!$A68,Movimientos!$F$6:$F$16,Stocks!L$3,Movimientos!$A$6:$A$16,"&lt;="&amp;Stocks!$A$2)-SUMIFS(Movimientos!$E$6:$E$16,Movimientos!$C$6:$C$16,Stocks!$A68,Movimientos!$G$6:$G$16,Stocks!L$3,Movimientos!$A$6:$A$16,"&lt;="&amp;Stocks!$A$2)</f>
        <v>0</v>
      </c>
    </row>
    <row r="69" spans="1:12" x14ac:dyDescent="0.25">
      <c r="A69" t="str">
        <f>Codificación!A68</f>
        <v/>
      </c>
      <c r="B69" s="1">
        <f>Codificación!B68</f>
        <v>0</v>
      </c>
      <c r="E69" s="4">
        <f>SUMIFS(Movimientos!$E$6:$E$16,Movimientos!$C$6:$C$16,Stocks!$A69,Movimientos!$F$6:$F$16,Stocks!E$3,Movimientos!$A$6:$A$16,"&lt;="&amp;Stocks!$A$2)-SUMIFS(Movimientos!$E$6:$E$16,Movimientos!$C$6:$C$16,Stocks!$A69,Movimientos!$G$6:$G$16,Stocks!E$3,Movimientos!$A$6:$A$16,"&lt;="&amp;Stocks!$A$2)</f>
        <v>0</v>
      </c>
      <c r="F69" s="4">
        <f>SUMIFS(Movimientos!$E$6:$E$16,Movimientos!$C$6:$C$16,Stocks!$A69,Movimientos!$F$6:$F$16,Stocks!F$3,Movimientos!$A$6:$A$16,"&lt;="&amp;Stocks!$A$2)-SUMIFS(Movimientos!$E$6:$E$16,Movimientos!$C$6:$C$16,Stocks!$A69,Movimientos!$G$6:$G$16,Stocks!F$3,Movimientos!$A$6:$A$16,"&lt;="&amp;Stocks!$A$2)</f>
        <v>0</v>
      </c>
      <c r="G69" s="4">
        <f>SUMIFS(Movimientos!$E$6:$E$16,Movimientos!$C$6:$C$16,Stocks!$A69,Movimientos!$F$6:$F$16,Stocks!G$3,Movimientos!$A$6:$A$16,"&lt;="&amp;Stocks!$A$2)-SUMIFS(Movimientos!$E$6:$E$16,Movimientos!$C$6:$C$16,Stocks!$A69,Movimientos!$G$6:$G$16,Stocks!G$3,Movimientos!$A$6:$A$16,"&lt;="&amp;Stocks!$A$2)</f>
        <v>0</v>
      </c>
      <c r="H69" s="4">
        <f>SUMIFS(Movimientos!$E$6:$E$16,Movimientos!$C$6:$C$16,Stocks!$A69,Movimientos!$F$6:$F$16,Stocks!H$3,Movimientos!$A$6:$A$16,"&lt;="&amp;Stocks!$A$2)-SUMIFS(Movimientos!$E$6:$E$16,Movimientos!$C$6:$C$16,Stocks!$A69,Movimientos!$G$6:$G$16,Stocks!H$3,Movimientos!$A$6:$A$16,"&lt;="&amp;Stocks!$A$2)</f>
        <v>0</v>
      </c>
      <c r="I69" s="4">
        <f>SUMIFS(Movimientos!$E$6:$E$16,Movimientos!$C$6:$C$16,Stocks!$A69,Movimientos!$F$6:$F$16,Stocks!I$3,Movimientos!$A$6:$A$16,"&lt;="&amp;Stocks!$A$2)-SUMIFS(Movimientos!$E$6:$E$16,Movimientos!$C$6:$C$16,Stocks!$A69,Movimientos!$G$6:$G$16,Stocks!I$3,Movimientos!$A$6:$A$16,"&lt;="&amp;Stocks!$A$2)</f>
        <v>0</v>
      </c>
      <c r="J69" s="4">
        <f>SUMIFS(Movimientos!$E$6:$E$16,Movimientos!$C$6:$C$16,Stocks!$A69,Movimientos!$F$6:$F$16,Stocks!J$3,Movimientos!$A$6:$A$16,"&lt;="&amp;Stocks!$A$2)-SUMIFS(Movimientos!$E$6:$E$16,Movimientos!$C$6:$C$16,Stocks!$A69,Movimientos!$G$6:$G$16,Stocks!J$3,Movimientos!$A$6:$A$16,"&lt;="&amp;Stocks!$A$2)</f>
        <v>0</v>
      </c>
      <c r="K69" s="4">
        <f>SUMIFS(Movimientos!$E$6:$E$16,Movimientos!$C$6:$C$16,Stocks!$A69,Movimientos!$F$6:$F$16,Stocks!K$3,Movimientos!$A$6:$A$16,"&lt;="&amp;Stocks!$A$2)-SUMIFS(Movimientos!$E$6:$E$16,Movimientos!$C$6:$C$16,Stocks!$A69,Movimientos!$G$6:$G$16,Stocks!K$3,Movimientos!$A$6:$A$16,"&lt;="&amp;Stocks!$A$2)</f>
        <v>0</v>
      </c>
      <c r="L69" s="4">
        <f>SUMIFS(Movimientos!$E$6:$E$16,Movimientos!$C$6:$C$16,Stocks!$A69,Movimientos!$F$6:$F$16,Stocks!L$3,Movimientos!$A$6:$A$16,"&lt;="&amp;Stocks!$A$2)-SUMIFS(Movimientos!$E$6:$E$16,Movimientos!$C$6:$C$16,Stocks!$A69,Movimientos!$G$6:$G$16,Stocks!L$3,Movimientos!$A$6:$A$16,"&lt;="&amp;Stocks!$A$2)</f>
        <v>0</v>
      </c>
    </row>
    <row r="70" spans="1:12" x14ac:dyDescent="0.25">
      <c r="A70" t="str">
        <f>Codificación!A69</f>
        <v/>
      </c>
      <c r="B70" s="1">
        <f>Codificación!B69</f>
        <v>0</v>
      </c>
      <c r="E70" s="4">
        <f>SUMIFS(Movimientos!$E$6:$E$16,Movimientos!$C$6:$C$16,Stocks!$A70,Movimientos!$F$6:$F$16,Stocks!E$3,Movimientos!$A$6:$A$16,"&lt;="&amp;Stocks!$A$2)-SUMIFS(Movimientos!$E$6:$E$16,Movimientos!$C$6:$C$16,Stocks!$A70,Movimientos!$G$6:$G$16,Stocks!E$3,Movimientos!$A$6:$A$16,"&lt;="&amp;Stocks!$A$2)</f>
        <v>0</v>
      </c>
      <c r="F70" s="4">
        <f>SUMIFS(Movimientos!$E$6:$E$16,Movimientos!$C$6:$C$16,Stocks!$A70,Movimientos!$F$6:$F$16,Stocks!F$3,Movimientos!$A$6:$A$16,"&lt;="&amp;Stocks!$A$2)-SUMIFS(Movimientos!$E$6:$E$16,Movimientos!$C$6:$C$16,Stocks!$A70,Movimientos!$G$6:$G$16,Stocks!F$3,Movimientos!$A$6:$A$16,"&lt;="&amp;Stocks!$A$2)</f>
        <v>0</v>
      </c>
      <c r="G70" s="4">
        <f>SUMIFS(Movimientos!$E$6:$E$16,Movimientos!$C$6:$C$16,Stocks!$A70,Movimientos!$F$6:$F$16,Stocks!G$3,Movimientos!$A$6:$A$16,"&lt;="&amp;Stocks!$A$2)-SUMIFS(Movimientos!$E$6:$E$16,Movimientos!$C$6:$C$16,Stocks!$A70,Movimientos!$G$6:$G$16,Stocks!G$3,Movimientos!$A$6:$A$16,"&lt;="&amp;Stocks!$A$2)</f>
        <v>0</v>
      </c>
      <c r="H70" s="4">
        <f>SUMIFS(Movimientos!$E$6:$E$16,Movimientos!$C$6:$C$16,Stocks!$A70,Movimientos!$F$6:$F$16,Stocks!H$3,Movimientos!$A$6:$A$16,"&lt;="&amp;Stocks!$A$2)-SUMIFS(Movimientos!$E$6:$E$16,Movimientos!$C$6:$C$16,Stocks!$A70,Movimientos!$G$6:$G$16,Stocks!H$3,Movimientos!$A$6:$A$16,"&lt;="&amp;Stocks!$A$2)</f>
        <v>0</v>
      </c>
      <c r="I70" s="4">
        <f>SUMIFS(Movimientos!$E$6:$E$16,Movimientos!$C$6:$C$16,Stocks!$A70,Movimientos!$F$6:$F$16,Stocks!I$3,Movimientos!$A$6:$A$16,"&lt;="&amp;Stocks!$A$2)-SUMIFS(Movimientos!$E$6:$E$16,Movimientos!$C$6:$C$16,Stocks!$A70,Movimientos!$G$6:$G$16,Stocks!I$3,Movimientos!$A$6:$A$16,"&lt;="&amp;Stocks!$A$2)</f>
        <v>0</v>
      </c>
      <c r="J70" s="4">
        <f>SUMIFS(Movimientos!$E$6:$E$16,Movimientos!$C$6:$C$16,Stocks!$A70,Movimientos!$F$6:$F$16,Stocks!J$3,Movimientos!$A$6:$A$16,"&lt;="&amp;Stocks!$A$2)-SUMIFS(Movimientos!$E$6:$E$16,Movimientos!$C$6:$C$16,Stocks!$A70,Movimientos!$G$6:$G$16,Stocks!J$3,Movimientos!$A$6:$A$16,"&lt;="&amp;Stocks!$A$2)</f>
        <v>0</v>
      </c>
      <c r="K70" s="4">
        <f>SUMIFS(Movimientos!$E$6:$E$16,Movimientos!$C$6:$C$16,Stocks!$A70,Movimientos!$F$6:$F$16,Stocks!K$3,Movimientos!$A$6:$A$16,"&lt;="&amp;Stocks!$A$2)-SUMIFS(Movimientos!$E$6:$E$16,Movimientos!$C$6:$C$16,Stocks!$A70,Movimientos!$G$6:$G$16,Stocks!K$3,Movimientos!$A$6:$A$16,"&lt;="&amp;Stocks!$A$2)</f>
        <v>0</v>
      </c>
      <c r="L70" s="4">
        <f>SUMIFS(Movimientos!$E$6:$E$16,Movimientos!$C$6:$C$16,Stocks!$A70,Movimientos!$F$6:$F$16,Stocks!L$3,Movimientos!$A$6:$A$16,"&lt;="&amp;Stocks!$A$2)-SUMIFS(Movimientos!$E$6:$E$16,Movimientos!$C$6:$C$16,Stocks!$A70,Movimientos!$G$6:$G$16,Stocks!L$3,Movimientos!$A$6:$A$16,"&lt;="&amp;Stocks!$A$2)</f>
        <v>0</v>
      </c>
    </row>
    <row r="71" spans="1:12" x14ac:dyDescent="0.25">
      <c r="A71" t="str">
        <f>Codificación!A70</f>
        <v/>
      </c>
      <c r="B71" s="1">
        <f>Codificación!B70</f>
        <v>0</v>
      </c>
      <c r="E71" s="4">
        <f>SUMIFS(Movimientos!$E$6:$E$16,Movimientos!$C$6:$C$16,Stocks!$A71,Movimientos!$F$6:$F$16,Stocks!E$3,Movimientos!$A$6:$A$16,"&lt;="&amp;Stocks!$A$2)-SUMIFS(Movimientos!$E$6:$E$16,Movimientos!$C$6:$C$16,Stocks!$A71,Movimientos!$G$6:$G$16,Stocks!E$3,Movimientos!$A$6:$A$16,"&lt;="&amp;Stocks!$A$2)</f>
        <v>0</v>
      </c>
      <c r="F71" s="4">
        <f>SUMIFS(Movimientos!$E$6:$E$16,Movimientos!$C$6:$C$16,Stocks!$A71,Movimientos!$F$6:$F$16,Stocks!F$3,Movimientos!$A$6:$A$16,"&lt;="&amp;Stocks!$A$2)-SUMIFS(Movimientos!$E$6:$E$16,Movimientos!$C$6:$C$16,Stocks!$A71,Movimientos!$G$6:$G$16,Stocks!F$3,Movimientos!$A$6:$A$16,"&lt;="&amp;Stocks!$A$2)</f>
        <v>0</v>
      </c>
      <c r="G71" s="4">
        <f>SUMIFS(Movimientos!$E$6:$E$16,Movimientos!$C$6:$C$16,Stocks!$A71,Movimientos!$F$6:$F$16,Stocks!G$3,Movimientos!$A$6:$A$16,"&lt;="&amp;Stocks!$A$2)-SUMIFS(Movimientos!$E$6:$E$16,Movimientos!$C$6:$C$16,Stocks!$A71,Movimientos!$G$6:$G$16,Stocks!G$3,Movimientos!$A$6:$A$16,"&lt;="&amp;Stocks!$A$2)</f>
        <v>0</v>
      </c>
      <c r="H71" s="4">
        <f>SUMIFS(Movimientos!$E$6:$E$16,Movimientos!$C$6:$C$16,Stocks!$A71,Movimientos!$F$6:$F$16,Stocks!H$3,Movimientos!$A$6:$A$16,"&lt;="&amp;Stocks!$A$2)-SUMIFS(Movimientos!$E$6:$E$16,Movimientos!$C$6:$C$16,Stocks!$A71,Movimientos!$G$6:$G$16,Stocks!H$3,Movimientos!$A$6:$A$16,"&lt;="&amp;Stocks!$A$2)</f>
        <v>0</v>
      </c>
      <c r="I71" s="4">
        <f>SUMIFS(Movimientos!$E$6:$E$16,Movimientos!$C$6:$C$16,Stocks!$A71,Movimientos!$F$6:$F$16,Stocks!I$3,Movimientos!$A$6:$A$16,"&lt;="&amp;Stocks!$A$2)-SUMIFS(Movimientos!$E$6:$E$16,Movimientos!$C$6:$C$16,Stocks!$A71,Movimientos!$G$6:$G$16,Stocks!I$3,Movimientos!$A$6:$A$16,"&lt;="&amp;Stocks!$A$2)</f>
        <v>0</v>
      </c>
      <c r="J71" s="4">
        <f>SUMIFS(Movimientos!$E$6:$E$16,Movimientos!$C$6:$C$16,Stocks!$A71,Movimientos!$F$6:$F$16,Stocks!J$3,Movimientos!$A$6:$A$16,"&lt;="&amp;Stocks!$A$2)-SUMIFS(Movimientos!$E$6:$E$16,Movimientos!$C$6:$C$16,Stocks!$A71,Movimientos!$G$6:$G$16,Stocks!J$3,Movimientos!$A$6:$A$16,"&lt;="&amp;Stocks!$A$2)</f>
        <v>0</v>
      </c>
      <c r="K71" s="4">
        <f>SUMIFS(Movimientos!$E$6:$E$16,Movimientos!$C$6:$C$16,Stocks!$A71,Movimientos!$F$6:$F$16,Stocks!K$3,Movimientos!$A$6:$A$16,"&lt;="&amp;Stocks!$A$2)-SUMIFS(Movimientos!$E$6:$E$16,Movimientos!$C$6:$C$16,Stocks!$A71,Movimientos!$G$6:$G$16,Stocks!K$3,Movimientos!$A$6:$A$16,"&lt;="&amp;Stocks!$A$2)</f>
        <v>0</v>
      </c>
      <c r="L71" s="4">
        <f>SUMIFS(Movimientos!$E$6:$E$16,Movimientos!$C$6:$C$16,Stocks!$A71,Movimientos!$F$6:$F$16,Stocks!L$3,Movimientos!$A$6:$A$16,"&lt;="&amp;Stocks!$A$2)-SUMIFS(Movimientos!$E$6:$E$16,Movimientos!$C$6:$C$16,Stocks!$A71,Movimientos!$G$6:$G$16,Stocks!L$3,Movimientos!$A$6:$A$16,"&lt;="&amp;Stocks!$A$2)</f>
        <v>0</v>
      </c>
    </row>
    <row r="72" spans="1:12" x14ac:dyDescent="0.25">
      <c r="A72" t="str">
        <f>Codificación!A71</f>
        <v/>
      </c>
      <c r="B72" s="1">
        <f>Codificación!B71</f>
        <v>0</v>
      </c>
      <c r="E72" s="4">
        <f>SUMIFS(Movimientos!$E$6:$E$16,Movimientos!$C$6:$C$16,Stocks!$A72,Movimientos!$F$6:$F$16,Stocks!E$3,Movimientos!$A$6:$A$16,"&lt;="&amp;Stocks!$A$2)-SUMIFS(Movimientos!$E$6:$E$16,Movimientos!$C$6:$C$16,Stocks!$A72,Movimientos!$G$6:$G$16,Stocks!E$3,Movimientos!$A$6:$A$16,"&lt;="&amp;Stocks!$A$2)</f>
        <v>0</v>
      </c>
      <c r="F72" s="4">
        <f>SUMIFS(Movimientos!$E$6:$E$16,Movimientos!$C$6:$C$16,Stocks!$A72,Movimientos!$F$6:$F$16,Stocks!F$3,Movimientos!$A$6:$A$16,"&lt;="&amp;Stocks!$A$2)-SUMIFS(Movimientos!$E$6:$E$16,Movimientos!$C$6:$C$16,Stocks!$A72,Movimientos!$G$6:$G$16,Stocks!F$3,Movimientos!$A$6:$A$16,"&lt;="&amp;Stocks!$A$2)</f>
        <v>0</v>
      </c>
      <c r="G72" s="4">
        <f>SUMIFS(Movimientos!$E$6:$E$16,Movimientos!$C$6:$C$16,Stocks!$A72,Movimientos!$F$6:$F$16,Stocks!G$3,Movimientos!$A$6:$A$16,"&lt;="&amp;Stocks!$A$2)-SUMIFS(Movimientos!$E$6:$E$16,Movimientos!$C$6:$C$16,Stocks!$A72,Movimientos!$G$6:$G$16,Stocks!G$3,Movimientos!$A$6:$A$16,"&lt;="&amp;Stocks!$A$2)</f>
        <v>0</v>
      </c>
      <c r="H72" s="4">
        <f>SUMIFS(Movimientos!$E$6:$E$16,Movimientos!$C$6:$C$16,Stocks!$A72,Movimientos!$F$6:$F$16,Stocks!H$3,Movimientos!$A$6:$A$16,"&lt;="&amp;Stocks!$A$2)-SUMIFS(Movimientos!$E$6:$E$16,Movimientos!$C$6:$C$16,Stocks!$A72,Movimientos!$G$6:$G$16,Stocks!H$3,Movimientos!$A$6:$A$16,"&lt;="&amp;Stocks!$A$2)</f>
        <v>0</v>
      </c>
      <c r="I72" s="4">
        <f>SUMIFS(Movimientos!$E$6:$E$16,Movimientos!$C$6:$C$16,Stocks!$A72,Movimientos!$F$6:$F$16,Stocks!I$3,Movimientos!$A$6:$A$16,"&lt;="&amp;Stocks!$A$2)-SUMIFS(Movimientos!$E$6:$E$16,Movimientos!$C$6:$C$16,Stocks!$A72,Movimientos!$G$6:$G$16,Stocks!I$3,Movimientos!$A$6:$A$16,"&lt;="&amp;Stocks!$A$2)</f>
        <v>0</v>
      </c>
      <c r="J72" s="4">
        <f>SUMIFS(Movimientos!$E$6:$E$16,Movimientos!$C$6:$C$16,Stocks!$A72,Movimientos!$F$6:$F$16,Stocks!J$3,Movimientos!$A$6:$A$16,"&lt;="&amp;Stocks!$A$2)-SUMIFS(Movimientos!$E$6:$E$16,Movimientos!$C$6:$C$16,Stocks!$A72,Movimientos!$G$6:$G$16,Stocks!J$3,Movimientos!$A$6:$A$16,"&lt;="&amp;Stocks!$A$2)</f>
        <v>0</v>
      </c>
      <c r="K72" s="4">
        <f>SUMIFS(Movimientos!$E$6:$E$16,Movimientos!$C$6:$C$16,Stocks!$A72,Movimientos!$F$6:$F$16,Stocks!K$3,Movimientos!$A$6:$A$16,"&lt;="&amp;Stocks!$A$2)-SUMIFS(Movimientos!$E$6:$E$16,Movimientos!$C$6:$C$16,Stocks!$A72,Movimientos!$G$6:$G$16,Stocks!K$3,Movimientos!$A$6:$A$16,"&lt;="&amp;Stocks!$A$2)</f>
        <v>0</v>
      </c>
      <c r="L72" s="4">
        <f>SUMIFS(Movimientos!$E$6:$E$16,Movimientos!$C$6:$C$16,Stocks!$A72,Movimientos!$F$6:$F$16,Stocks!L$3,Movimientos!$A$6:$A$16,"&lt;="&amp;Stocks!$A$2)-SUMIFS(Movimientos!$E$6:$E$16,Movimientos!$C$6:$C$16,Stocks!$A72,Movimientos!$G$6:$G$16,Stocks!L$3,Movimientos!$A$6:$A$16,"&lt;="&amp;Stocks!$A$2)</f>
        <v>0</v>
      </c>
    </row>
    <row r="73" spans="1:12" x14ac:dyDescent="0.25">
      <c r="A73" t="str">
        <f>Codificación!A72</f>
        <v/>
      </c>
      <c r="B73" s="1">
        <f>Codificación!B72</f>
        <v>0</v>
      </c>
      <c r="E73" s="4">
        <f>SUMIFS(Movimientos!$E$6:$E$16,Movimientos!$C$6:$C$16,Stocks!$A73,Movimientos!$F$6:$F$16,Stocks!E$3,Movimientos!$A$6:$A$16,"&lt;="&amp;Stocks!$A$2)-SUMIFS(Movimientos!$E$6:$E$16,Movimientos!$C$6:$C$16,Stocks!$A73,Movimientos!$G$6:$G$16,Stocks!E$3,Movimientos!$A$6:$A$16,"&lt;="&amp;Stocks!$A$2)</f>
        <v>0</v>
      </c>
      <c r="F73" s="4">
        <f>SUMIFS(Movimientos!$E$6:$E$16,Movimientos!$C$6:$C$16,Stocks!$A73,Movimientos!$F$6:$F$16,Stocks!F$3,Movimientos!$A$6:$A$16,"&lt;="&amp;Stocks!$A$2)-SUMIFS(Movimientos!$E$6:$E$16,Movimientos!$C$6:$C$16,Stocks!$A73,Movimientos!$G$6:$G$16,Stocks!F$3,Movimientos!$A$6:$A$16,"&lt;="&amp;Stocks!$A$2)</f>
        <v>0</v>
      </c>
      <c r="G73" s="4">
        <f>SUMIFS(Movimientos!$E$6:$E$16,Movimientos!$C$6:$C$16,Stocks!$A73,Movimientos!$F$6:$F$16,Stocks!G$3,Movimientos!$A$6:$A$16,"&lt;="&amp;Stocks!$A$2)-SUMIFS(Movimientos!$E$6:$E$16,Movimientos!$C$6:$C$16,Stocks!$A73,Movimientos!$G$6:$G$16,Stocks!G$3,Movimientos!$A$6:$A$16,"&lt;="&amp;Stocks!$A$2)</f>
        <v>0</v>
      </c>
      <c r="H73" s="4">
        <f>SUMIFS(Movimientos!$E$6:$E$16,Movimientos!$C$6:$C$16,Stocks!$A73,Movimientos!$F$6:$F$16,Stocks!H$3,Movimientos!$A$6:$A$16,"&lt;="&amp;Stocks!$A$2)-SUMIFS(Movimientos!$E$6:$E$16,Movimientos!$C$6:$C$16,Stocks!$A73,Movimientos!$G$6:$G$16,Stocks!H$3,Movimientos!$A$6:$A$16,"&lt;="&amp;Stocks!$A$2)</f>
        <v>0</v>
      </c>
      <c r="I73" s="4">
        <f>SUMIFS(Movimientos!$E$6:$E$16,Movimientos!$C$6:$C$16,Stocks!$A73,Movimientos!$F$6:$F$16,Stocks!I$3,Movimientos!$A$6:$A$16,"&lt;="&amp;Stocks!$A$2)-SUMIFS(Movimientos!$E$6:$E$16,Movimientos!$C$6:$C$16,Stocks!$A73,Movimientos!$G$6:$G$16,Stocks!I$3,Movimientos!$A$6:$A$16,"&lt;="&amp;Stocks!$A$2)</f>
        <v>0</v>
      </c>
      <c r="J73" s="4">
        <f>SUMIFS(Movimientos!$E$6:$E$16,Movimientos!$C$6:$C$16,Stocks!$A73,Movimientos!$F$6:$F$16,Stocks!J$3,Movimientos!$A$6:$A$16,"&lt;="&amp;Stocks!$A$2)-SUMIFS(Movimientos!$E$6:$E$16,Movimientos!$C$6:$C$16,Stocks!$A73,Movimientos!$G$6:$G$16,Stocks!J$3,Movimientos!$A$6:$A$16,"&lt;="&amp;Stocks!$A$2)</f>
        <v>0</v>
      </c>
      <c r="K73" s="4">
        <f>SUMIFS(Movimientos!$E$6:$E$16,Movimientos!$C$6:$C$16,Stocks!$A73,Movimientos!$F$6:$F$16,Stocks!K$3,Movimientos!$A$6:$A$16,"&lt;="&amp;Stocks!$A$2)-SUMIFS(Movimientos!$E$6:$E$16,Movimientos!$C$6:$C$16,Stocks!$A73,Movimientos!$G$6:$G$16,Stocks!K$3,Movimientos!$A$6:$A$16,"&lt;="&amp;Stocks!$A$2)</f>
        <v>0</v>
      </c>
      <c r="L73" s="4">
        <f>SUMIFS(Movimientos!$E$6:$E$16,Movimientos!$C$6:$C$16,Stocks!$A73,Movimientos!$F$6:$F$16,Stocks!L$3,Movimientos!$A$6:$A$16,"&lt;="&amp;Stocks!$A$2)-SUMIFS(Movimientos!$E$6:$E$16,Movimientos!$C$6:$C$16,Stocks!$A73,Movimientos!$G$6:$G$16,Stocks!L$3,Movimientos!$A$6:$A$16,"&lt;="&amp;Stocks!$A$2)</f>
        <v>0</v>
      </c>
    </row>
    <row r="74" spans="1:12" x14ac:dyDescent="0.25">
      <c r="A74" t="str">
        <f>Codificación!A73</f>
        <v/>
      </c>
      <c r="B74" s="1">
        <f>Codificación!B73</f>
        <v>0</v>
      </c>
      <c r="E74" s="4">
        <f>SUMIFS(Movimientos!$E$6:$E$16,Movimientos!$C$6:$C$16,Stocks!$A74,Movimientos!$F$6:$F$16,Stocks!E$3,Movimientos!$A$6:$A$16,"&lt;="&amp;Stocks!$A$2)-SUMIFS(Movimientos!$E$6:$E$16,Movimientos!$C$6:$C$16,Stocks!$A74,Movimientos!$G$6:$G$16,Stocks!E$3,Movimientos!$A$6:$A$16,"&lt;="&amp;Stocks!$A$2)</f>
        <v>0</v>
      </c>
      <c r="F74" s="4">
        <f>SUMIFS(Movimientos!$E$6:$E$16,Movimientos!$C$6:$C$16,Stocks!$A74,Movimientos!$F$6:$F$16,Stocks!F$3,Movimientos!$A$6:$A$16,"&lt;="&amp;Stocks!$A$2)-SUMIFS(Movimientos!$E$6:$E$16,Movimientos!$C$6:$C$16,Stocks!$A74,Movimientos!$G$6:$G$16,Stocks!F$3,Movimientos!$A$6:$A$16,"&lt;="&amp;Stocks!$A$2)</f>
        <v>0</v>
      </c>
      <c r="G74" s="4">
        <f>SUMIFS(Movimientos!$E$6:$E$16,Movimientos!$C$6:$C$16,Stocks!$A74,Movimientos!$F$6:$F$16,Stocks!G$3,Movimientos!$A$6:$A$16,"&lt;="&amp;Stocks!$A$2)-SUMIFS(Movimientos!$E$6:$E$16,Movimientos!$C$6:$C$16,Stocks!$A74,Movimientos!$G$6:$G$16,Stocks!G$3,Movimientos!$A$6:$A$16,"&lt;="&amp;Stocks!$A$2)</f>
        <v>0</v>
      </c>
      <c r="H74" s="4">
        <f>SUMIFS(Movimientos!$E$6:$E$16,Movimientos!$C$6:$C$16,Stocks!$A74,Movimientos!$F$6:$F$16,Stocks!H$3,Movimientos!$A$6:$A$16,"&lt;="&amp;Stocks!$A$2)-SUMIFS(Movimientos!$E$6:$E$16,Movimientos!$C$6:$C$16,Stocks!$A74,Movimientos!$G$6:$G$16,Stocks!H$3,Movimientos!$A$6:$A$16,"&lt;="&amp;Stocks!$A$2)</f>
        <v>0</v>
      </c>
      <c r="I74" s="4">
        <f>SUMIFS(Movimientos!$E$6:$E$16,Movimientos!$C$6:$C$16,Stocks!$A74,Movimientos!$F$6:$F$16,Stocks!I$3,Movimientos!$A$6:$A$16,"&lt;="&amp;Stocks!$A$2)-SUMIFS(Movimientos!$E$6:$E$16,Movimientos!$C$6:$C$16,Stocks!$A74,Movimientos!$G$6:$G$16,Stocks!I$3,Movimientos!$A$6:$A$16,"&lt;="&amp;Stocks!$A$2)</f>
        <v>0</v>
      </c>
      <c r="J74" s="4">
        <f>SUMIFS(Movimientos!$E$6:$E$16,Movimientos!$C$6:$C$16,Stocks!$A74,Movimientos!$F$6:$F$16,Stocks!J$3,Movimientos!$A$6:$A$16,"&lt;="&amp;Stocks!$A$2)-SUMIFS(Movimientos!$E$6:$E$16,Movimientos!$C$6:$C$16,Stocks!$A74,Movimientos!$G$6:$G$16,Stocks!J$3,Movimientos!$A$6:$A$16,"&lt;="&amp;Stocks!$A$2)</f>
        <v>0</v>
      </c>
      <c r="K74" s="4">
        <f>SUMIFS(Movimientos!$E$6:$E$16,Movimientos!$C$6:$C$16,Stocks!$A74,Movimientos!$F$6:$F$16,Stocks!K$3,Movimientos!$A$6:$A$16,"&lt;="&amp;Stocks!$A$2)-SUMIFS(Movimientos!$E$6:$E$16,Movimientos!$C$6:$C$16,Stocks!$A74,Movimientos!$G$6:$G$16,Stocks!K$3,Movimientos!$A$6:$A$16,"&lt;="&amp;Stocks!$A$2)</f>
        <v>0</v>
      </c>
      <c r="L74" s="4">
        <f>SUMIFS(Movimientos!$E$6:$E$16,Movimientos!$C$6:$C$16,Stocks!$A74,Movimientos!$F$6:$F$16,Stocks!L$3,Movimientos!$A$6:$A$16,"&lt;="&amp;Stocks!$A$2)-SUMIFS(Movimientos!$E$6:$E$16,Movimientos!$C$6:$C$16,Stocks!$A74,Movimientos!$G$6:$G$16,Stocks!L$3,Movimientos!$A$6:$A$16,"&lt;="&amp;Stocks!$A$2)</f>
        <v>0</v>
      </c>
    </row>
    <row r="75" spans="1:12" x14ac:dyDescent="0.25">
      <c r="A75" t="str">
        <f>Codificación!A74</f>
        <v/>
      </c>
      <c r="B75" s="1">
        <f>Codificación!B74</f>
        <v>0</v>
      </c>
      <c r="E75" s="4">
        <f>SUMIFS(Movimientos!$E$6:$E$16,Movimientos!$C$6:$C$16,Stocks!$A75,Movimientos!$F$6:$F$16,Stocks!E$3,Movimientos!$A$6:$A$16,"&lt;="&amp;Stocks!$A$2)-SUMIFS(Movimientos!$E$6:$E$16,Movimientos!$C$6:$C$16,Stocks!$A75,Movimientos!$G$6:$G$16,Stocks!E$3,Movimientos!$A$6:$A$16,"&lt;="&amp;Stocks!$A$2)</f>
        <v>0</v>
      </c>
      <c r="F75" s="4">
        <f>SUMIFS(Movimientos!$E$6:$E$16,Movimientos!$C$6:$C$16,Stocks!$A75,Movimientos!$F$6:$F$16,Stocks!F$3,Movimientos!$A$6:$A$16,"&lt;="&amp;Stocks!$A$2)-SUMIFS(Movimientos!$E$6:$E$16,Movimientos!$C$6:$C$16,Stocks!$A75,Movimientos!$G$6:$G$16,Stocks!F$3,Movimientos!$A$6:$A$16,"&lt;="&amp;Stocks!$A$2)</f>
        <v>0</v>
      </c>
      <c r="G75" s="4">
        <f>SUMIFS(Movimientos!$E$6:$E$16,Movimientos!$C$6:$C$16,Stocks!$A75,Movimientos!$F$6:$F$16,Stocks!G$3,Movimientos!$A$6:$A$16,"&lt;="&amp;Stocks!$A$2)-SUMIFS(Movimientos!$E$6:$E$16,Movimientos!$C$6:$C$16,Stocks!$A75,Movimientos!$G$6:$G$16,Stocks!G$3,Movimientos!$A$6:$A$16,"&lt;="&amp;Stocks!$A$2)</f>
        <v>0</v>
      </c>
      <c r="H75" s="4">
        <f>SUMIFS(Movimientos!$E$6:$E$16,Movimientos!$C$6:$C$16,Stocks!$A75,Movimientos!$F$6:$F$16,Stocks!H$3,Movimientos!$A$6:$A$16,"&lt;="&amp;Stocks!$A$2)-SUMIFS(Movimientos!$E$6:$E$16,Movimientos!$C$6:$C$16,Stocks!$A75,Movimientos!$G$6:$G$16,Stocks!H$3,Movimientos!$A$6:$A$16,"&lt;="&amp;Stocks!$A$2)</f>
        <v>0</v>
      </c>
      <c r="I75" s="4">
        <f>SUMIFS(Movimientos!$E$6:$E$16,Movimientos!$C$6:$C$16,Stocks!$A75,Movimientos!$F$6:$F$16,Stocks!I$3,Movimientos!$A$6:$A$16,"&lt;="&amp;Stocks!$A$2)-SUMIFS(Movimientos!$E$6:$E$16,Movimientos!$C$6:$C$16,Stocks!$A75,Movimientos!$G$6:$G$16,Stocks!I$3,Movimientos!$A$6:$A$16,"&lt;="&amp;Stocks!$A$2)</f>
        <v>0</v>
      </c>
      <c r="J75" s="4">
        <f>SUMIFS(Movimientos!$E$6:$E$16,Movimientos!$C$6:$C$16,Stocks!$A75,Movimientos!$F$6:$F$16,Stocks!J$3,Movimientos!$A$6:$A$16,"&lt;="&amp;Stocks!$A$2)-SUMIFS(Movimientos!$E$6:$E$16,Movimientos!$C$6:$C$16,Stocks!$A75,Movimientos!$G$6:$G$16,Stocks!J$3,Movimientos!$A$6:$A$16,"&lt;="&amp;Stocks!$A$2)</f>
        <v>0</v>
      </c>
      <c r="K75" s="4">
        <f>SUMIFS(Movimientos!$E$6:$E$16,Movimientos!$C$6:$C$16,Stocks!$A75,Movimientos!$F$6:$F$16,Stocks!K$3,Movimientos!$A$6:$A$16,"&lt;="&amp;Stocks!$A$2)-SUMIFS(Movimientos!$E$6:$E$16,Movimientos!$C$6:$C$16,Stocks!$A75,Movimientos!$G$6:$G$16,Stocks!K$3,Movimientos!$A$6:$A$16,"&lt;="&amp;Stocks!$A$2)</f>
        <v>0</v>
      </c>
      <c r="L75" s="4">
        <f>SUMIFS(Movimientos!$E$6:$E$16,Movimientos!$C$6:$C$16,Stocks!$A75,Movimientos!$F$6:$F$16,Stocks!L$3,Movimientos!$A$6:$A$16,"&lt;="&amp;Stocks!$A$2)-SUMIFS(Movimientos!$E$6:$E$16,Movimientos!$C$6:$C$16,Stocks!$A75,Movimientos!$G$6:$G$16,Stocks!L$3,Movimientos!$A$6:$A$16,"&lt;="&amp;Stocks!$A$2)</f>
        <v>0</v>
      </c>
    </row>
    <row r="76" spans="1:12" x14ac:dyDescent="0.25">
      <c r="A76" t="str">
        <f>Codificación!A75</f>
        <v/>
      </c>
      <c r="B76" s="1">
        <f>Codificación!B75</f>
        <v>0</v>
      </c>
      <c r="E76" s="4">
        <f>SUMIFS(Movimientos!$E$6:$E$16,Movimientos!$C$6:$C$16,Stocks!$A76,Movimientos!$F$6:$F$16,Stocks!E$3,Movimientos!$A$6:$A$16,"&lt;="&amp;Stocks!$A$2)-SUMIFS(Movimientos!$E$6:$E$16,Movimientos!$C$6:$C$16,Stocks!$A76,Movimientos!$G$6:$G$16,Stocks!E$3,Movimientos!$A$6:$A$16,"&lt;="&amp;Stocks!$A$2)</f>
        <v>0</v>
      </c>
      <c r="F76" s="4">
        <f>SUMIFS(Movimientos!$E$6:$E$16,Movimientos!$C$6:$C$16,Stocks!$A76,Movimientos!$F$6:$F$16,Stocks!F$3,Movimientos!$A$6:$A$16,"&lt;="&amp;Stocks!$A$2)-SUMIFS(Movimientos!$E$6:$E$16,Movimientos!$C$6:$C$16,Stocks!$A76,Movimientos!$G$6:$G$16,Stocks!F$3,Movimientos!$A$6:$A$16,"&lt;="&amp;Stocks!$A$2)</f>
        <v>0</v>
      </c>
      <c r="G76" s="4">
        <f>SUMIFS(Movimientos!$E$6:$E$16,Movimientos!$C$6:$C$16,Stocks!$A76,Movimientos!$F$6:$F$16,Stocks!G$3,Movimientos!$A$6:$A$16,"&lt;="&amp;Stocks!$A$2)-SUMIFS(Movimientos!$E$6:$E$16,Movimientos!$C$6:$C$16,Stocks!$A76,Movimientos!$G$6:$G$16,Stocks!G$3,Movimientos!$A$6:$A$16,"&lt;="&amp;Stocks!$A$2)</f>
        <v>0</v>
      </c>
      <c r="H76" s="4">
        <f>SUMIFS(Movimientos!$E$6:$E$16,Movimientos!$C$6:$C$16,Stocks!$A76,Movimientos!$F$6:$F$16,Stocks!H$3,Movimientos!$A$6:$A$16,"&lt;="&amp;Stocks!$A$2)-SUMIFS(Movimientos!$E$6:$E$16,Movimientos!$C$6:$C$16,Stocks!$A76,Movimientos!$G$6:$G$16,Stocks!H$3,Movimientos!$A$6:$A$16,"&lt;="&amp;Stocks!$A$2)</f>
        <v>0</v>
      </c>
      <c r="I76" s="4">
        <f>SUMIFS(Movimientos!$E$6:$E$16,Movimientos!$C$6:$C$16,Stocks!$A76,Movimientos!$F$6:$F$16,Stocks!I$3,Movimientos!$A$6:$A$16,"&lt;="&amp;Stocks!$A$2)-SUMIFS(Movimientos!$E$6:$E$16,Movimientos!$C$6:$C$16,Stocks!$A76,Movimientos!$G$6:$G$16,Stocks!I$3,Movimientos!$A$6:$A$16,"&lt;="&amp;Stocks!$A$2)</f>
        <v>0</v>
      </c>
      <c r="J76" s="4">
        <f>SUMIFS(Movimientos!$E$6:$E$16,Movimientos!$C$6:$C$16,Stocks!$A76,Movimientos!$F$6:$F$16,Stocks!J$3,Movimientos!$A$6:$A$16,"&lt;="&amp;Stocks!$A$2)-SUMIFS(Movimientos!$E$6:$E$16,Movimientos!$C$6:$C$16,Stocks!$A76,Movimientos!$G$6:$G$16,Stocks!J$3,Movimientos!$A$6:$A$16,"&lt;="&amp;Stocks!$A$2)</f>
        <v>0</v>
      </c>
      <c r="K76" s="4">
        <f>SUMIFS(Movimientos!$E$6:$E$16,Movimientos!$C$6:$C$16,Stocks!$A76,Movimientos!$F$6:$F$16,Stocks!K$3,Movimientos!$A$6:$A$16,"&lt;="&amp;Stocks!$A$2)-SUMIFS(Movimientos!$E$6:$E$16,Movimientos!$C$6:$C$16,Stocks!$A76,Movimientos!$G$6:$G$16,Stocks!K$3,Movimientos!$A$6:$A$16,"&lt;="&amp;Stocks!$A$2)</f>
        <v>0</v>
      </c>
      <c r="L76" s="4">
        <f>SUMIFS(Movimientos!$E$6:$E$16,Movimientos!$C$6:$C$16,Stocks!$A76,Movimientos!$F$6:$F$16,Stocks!L$3,Movimientos!$A$6:$A$16,"&lt;="&amp;Stocks!$A$2)-SUMIFS(Movimientos!$E$6:$E$16,Movimientos!$C$6:$C$16,Stocks!$A76,Movimientos!$G$6:$G$16,Stocks!L$3,Movimientos!$A$6:$A$16,"&lt;="&amp;Stocks!$A$2)</f>
        <v>0</v>
      </c>
    </row>
    <row r="77" spans="1:12" x14ac:dyDescent="0.25">
      <c r="A77" t="str">
        <f>Codificación!A76</f>
        <v/>
      </c>
      <c r="B77" s="1">
        <f>Codificación!B76</f>
        <v>0</v>
      </c>
      <c r="E77" s="4">
        <f>SUMIFS(Movimientos!$E$6:$E$16,Movimientos!$C$6:$C$16,Stocks!$A77,Movimientos!$F$6:$F$16,Stocks!E$3,Movimientos!$A$6:$A$16,"&lt;="&amp;Stocks!$A$2)-SUMIFS(Movimientos!$E$6:$E$16,Movimientos!$C$6:$C$16,Stocks!$A77,Movimientos!$G$6:$G$16,Stocks!E$3,Movimientos!$A$6:$A$16,"&lt;="&amp;Stocks!$A$2)</f>
        <v>0</v>
      </c>
      <c r="F77" s="4">
        <f>SUMIFS(Movimientos!$E$6:$E$16,Movimientos!$C$6:$C$16,Stocks!$A77,Movimientos!$F$6:$F$16,Stocks!F$3,Movimientos!$A$6:$A$16,"&lt;="&amp;Stocks!$A$2)-SUMIFS(Movimientos!$E$6:$E$16,Movimientos!$C$6:$C$16,Stocks!$A77,Movimientos!$G$6:$G$16,Stocks!F$3,Movimientos!$A$6:$A$16,"&lt;="&amp;Stocks!$A$2)</f>
        <v>0</v>
      </c>
      <c r="G77" s="4">
        <f>SUMIFS(Movimientos!$E$6:$E$16,Movimientos!$C$6:$C$16,Stocks!$A77,Movimientos!$F$6:$F$16,Stocks!G$3,Movimientos!$A$6:$A$16,"&lt;="&amp;Stocks!$A$2)-SUMIFS(Movimientos!$E$6:$E$16,Movimientos!$C$6:$C$16,Stocks!$A77,Movimientos!$G$6:$G$16,Stocks!G$3,Movimientos!$A$6:$A$16,"&lt;="&amp;Stocks!$A$2)</f>
        <v>0</v>
      </c>
      <c r="H77" s="4">
        <f>SUMIFS(Movimientos!$E$6:$E$16,Movimientos!$C$6:$C$16,Stocks!$A77,Movimientos!$F$6:$F$16,Stocks!H$3,Movimientos!$A$6:$A$16,"&lt;="&amp;Stocks!$A$2)-SUMIFS(Movimientos!$E$6:$E$16,Movimientos!$C$6:$C$16,Stocks!$A77,Movimientos!$G$6:$G$16,Stocks!H$3,Movimientos!$A$6:$A$16,"&lt;="&amp;Stocks!$A$2)</f>
        <v>0</v>
      </c>
      <c r="I77" s="4">
        <f>SUMIFS(Movimientos!$E$6:$E$16,Movimientos!$C$6:$C$16,Stocks!$A77,Movimientos!$F$6:$F$16,Stocks!I$3,Movimientos!$A$6:$A$16,"&lt;="&amp;Stocks!$A$2)-SUMIFS(Movimientos!$E$6:$E$16,Movimientos!$C$6:$C$16,Stocks!$A77,Movimientos!$G$6:$G$16,Stocks!I$3,Movimientos!$A$6:$A$16,"&lt;="&amp;Stocks!$A$2)</f>
        <v>0</v>
      </c>
      <c r="J77" s="4">
        <f>SUMIFS(Movimientos!$E$6:$E$16,Movimientos!$C$6:$C$16,Stocks!$A77,Movimientos!$F$6:$F$16,Stocks!J$3,Movimientos!$A$6:$A$16,"&lt;="&amp;Stocks!$A$2)-SUMIFS(Movimientos!$E$6:$E$16,Movimientos!$C$6:$C$16,Stocks!$A77,Movimientos!$G$6:$G$16,Stocks!J$3,Movimientos!$A$6:$A$16,"&lt;="&amp;Stocks!$A$2)</f>
        <v>0</v>
      </c>
      <c r="K77" s="4">
        <f>SUMIFS(Movimientos!$E$6:$E$16,Movimientos!$C$6:$C$16,Stocks!$A77,Movimientos!$F$6:$F$16,Stocks!K$3,Movimientos!$A$6:$A$16,"&lt;="&amp;Stocks!$A$2)-SUMIFS(Movimientos!$E$6:$E$16,Movimientos!$C$6:$C$16,Stocks!$A77,Movimientos!$G$6:$G$16,Stocks!K$3,Movimientos!$A$6:$A$16,"&lt;="&amp;Stocks!$A$2)</f>
        <v>0</v>
      </c>
      <c r="L77" s="4">
        <f>SUMIFS(Movimientos!$E$6:$E$16,Movimientos!$C$6:$C$16,Stocks!$A77,Movimientos!$F$6:$F$16,Stocks!L$3,Movimientos!$A$6:$A$16,"&lt;="&amp;Stocks!$A$2)-SUMIFS(Movimientos!$E$6:$E$16,Movimientos!$C$6:$C$16,Stocks!$A77,Movimientos!$G$6:$G$16,Stocks!L$3,Movimientos!$A$6:$A$16,"&lt;="&amp;Stocks!$A$2)</f>
        <v>0</v>
      </c>
    </row>
    <row r="78" spans="1:12" x14ac:dyDescent="0.25">
      <c r="A78" t="str">
        <f>Codificación!A77</f>
        <v/>
      </c>
      <c r="B78" s="1">
        <f>Codificación!B77</f>
        <v>0</v>
      </c>
      <c r="E78" s="4">
        <f>SUMIFS(Movimientos!$E$6:$E$16,Movimientos!$C$6:$C$16,Stocks!$A78,Movimientos!$F$6:$F$16,Stocks!E$3,Movimientos!$A$6:$A$16,"&lt;="&amp;Stocks!$A$2)-SUMIFS(Movimientos!$E$6:$E$16,Movimientos!$C$6:$C$16,Stocks!$A78,Movimientos!$G$6:$G$16,Stocks!E$3,Movimientos!$A$6:$A$16,"&lt;="&amp;Stocks!$A$2)</f>
        <v>0</v>
      </c>
      <c r="F78" s="4">
        <f>SUMIFS(Movimientos!$E$6:$E$16,Movimientos!$C$6:$C$16,Stocks!$A78,Movimientos!$F$6:$F$16,Stocks!F$3,Movimientos!$A$6:$A$16,"&lt;="&amp;Stocks!$A$2)-SUMIFS(Movimientos!$E$6:$E$16,Movimientos!$C$6:$C$16,Stocks!$A78,Movimientos!$G$6:$G$16,Stocks!F$3,Movimientos!$A$6:$A$16,"&lt;="&amp;Stocks!$A$2)</f>
        <v>0</v>
      </c>
      <c r="G78" s="4">
        <f>SUMIFS(Movimientos!$E$6:$E$16,Movimientos!$C$6:$C$16,Stocks!$A78,Movimientos!$F$6:$F$16,Stocks!G$3,Movimientos!$A$6:$A$16,"&lt;="&amp;Stocks!$A$2)-SUMIFS(Movimientos!$E$6:$E$16,Movimientos!$C$6:$C$16,Stocks!$A78,Movimientos!$G$6:$G$16,Stocks!G$3,Movimientos!$A$6:$A$16,"&lt;="&amp;Stocks!$A$2)</f>
        <v>0</v>
      </c>
      <c r="H78" s="4">
        <f>SUMIFS(Movimientos!$E$6:$E$16,Movimientos!$C$6:$C$16,Stocks!$A78,Movimientos!$F$6:$F$16,Stocks!H$3,Movimientos!$A$6:$A$16,"&lt;="&amp;Stocks!$A$2)-SUMIFS(Movimientos!$E$6:$E$16,Movimientos!$C$6:$C$16,Stocks!$A78,Movimientos!$G$6:$G$16,Stocks!H$3,Movimientos!$A$6:$A$16,"&lt;="&amp;Stocks!$A$2)</f>
        <v>0</v>
      </c>
      <c r="I78" s="4">
        <f>SUMIFS(Movimientos!$E$6:$E$16,Movimientos!$C$6:$C$16,Stocks!$A78,Movimientos!$F$6:$F$16,Stocks!I$3,Movimientos!$A$6:$A$16,"&lt;="&amp;Stocks!$A$2)-SUMIFS(Movimientos!$E$6:$E$16,Movimientos!$C$6:$C$16,Stocks!$A78,Movimientos!$G$6:$G$16,Stocks!I$3,Movimientos!$A$6:$A$16,"&lt;="&amp;Stocks!$A$2)</f>
        <v>0</v>
      </c>
      <c r="J78" s="4">
        <f>SUMIFS(Movimientos!$E$6:$E$16,Movimientos!$C$6:$C$16,Stocks!$A78,Movimientos!$F$6:$F$16,Stocks!J$3,Movimientos!$A$6:$A$16,"&lt;="&amp;Stocks!$A$2)-SUMIFS(Movimientos!$E$6:$E$16,Movimientos!$C$6:$C$16,Stocks!$A78,Movimientos!$G$6:$G$16,Stocks!J$3,Movimientos!$A$6:$A$16,"&lt;="&amp;Stocks!$A$2)</f>
        <v>0</v>
      </c>
      <c r="K78" s="4">
        <f>SUMIFS(Movimientos!$E$6:$E$16,Movimientos!$C$6:$C$16,Stocks!$A78,Movimientos!$F$6:$F$16,Stocks!K$3,Movimientos!$A$6:$A$16,"&lt;="&amp;Stocks!$A$2)-SUMIFS(Movimientos!$E$6:$E$16,Movimientos!$C$6:$C$16,Stocks!$A78,Movimientos!$G$6:$G$16,Stocks!K$3,Movimientos!$A$6:$A$16,"&lt;="&amp;Stocks!$A$2)</f>
        <v>0</v>
      </c>
      <c r="L78" s="4">
        <f>SUMIFS(Movimientos!$E$6:$E$16,Movimientos!$C$6:$C$16,Stocks!$A78,Movimientos!$F$6:$F$16,Stocks!L$3,Movimientos!$A$6:$A$16,"&lt;="&amp;Stocks!$A$2)-SUMIFS(Movimientos!$E$6:$E$16,Movimientos!$C$6:$C$16,Stocks!$A78,Movimientos!$G$6:$G$16,Stocks!L$3,Movimientos!$A$6:$A$16,"&lt;="&amp;Stocks!$A$2)</f>
        <v>0</v>
      </c>
    </row>
    <row r="79" spans="1:12" x14ac:dyDescent="0.25">
      <c r="A79" t="str">
        <f>Codificación!A78</f>
        <v/>
      </c>
      <c r="B79" s="1">
        <f>Codificación!B78</f>
        <v>0</v>
      </c>
      <c r="E79" s="4">
        <f>SUMIFS(Movimientos!$E$6:$E$16,Movimientos!$C$6:$C$16,Stocks!$A79,Movimientos!$F$6:$F$16,Stocks!E$3,Movimientos!$A$6:$A$16,"&lt;="&amp;Stocks!$A$2)-SUMIFS(Movimientos!$E$6:$E$16,Movimientos!$C$6:$C$16,Stocks!$A79,Movimientos!$G$6:$G$16,Stocks!E$3,Movimientos!$A$6:$A$16,"&lt;="&amp;Stocks!$A$2)</f>
        <v>0</v>
      </c>
      <c r="F79" s="4">
        <f>SUMIFS(Movimientos!$E$6:$E$16,Movimientos!$C$6:$C$16,Stocks!$A79,Movimientos!$F$6:$F$16,Stocks!F$3,Movimientos!$A$6:$A$16,"&lt;="&amp;Stocks!$A$2)-SUMIFS(Movimientos!$E$6:$E$16,Movimientos!$C$6:$C$16,Stocks!$A79,Movimientos!$G$6:$G$16,Stocks!F$3,Movimientos!$A$6:$A$16,"&lt;="&amp;Stocks!$A$2)</f>
        <v>0</v>
      </c>
      <c r="G79" s="4">
        <f>SUMIFS(Movimientos!$E$6:$E$16,Movimientos!$C$6:$C$16,Stocks!$A79,Movimientos!$F$6:$F$16,Stocks!G$3,Movimientos!$A$6:$A$16,"&lt;="&amp;Stocks!$A$2)-SUMIFS(Movimientos!$E$6:$E$16,Movimientos!$C$6:$C$16,Stocks!$A79,Movimientos!$G$6:$G$16,Stocks!G$3,Movimientos!$A$6:$A$16,"&lt;="&amp;Stocks!$A$2)</f>
        <v>0</v>
      </c>
      <c r="H79" s="4">
        <f>SUMIFS(Movimientos!$E$6:$E$16,Movimientos!$C$6:$C$16,Stocks!$A79,Movimientos!$F$6:$F$16,Stocks!H$3,Movimientos!$A$6:$A$16,"&lt;="&amp;Stocks!$A$2)-SUMIFS(Movimientos!$E$6:$E$16,Movimientos!$C$6:$C$16,Stocks!$A79,Movimientos!$G$6:$G$16,Stocks!H$3,Movimientos!$A$6:$A$16,"&lt;="&amp;Stocks!$A$2)</f>
        <v>0</v>
      </c>
      <c r="I79" s="4">
        <f>SUMIFS(Movimientos!$E$6:$E$16,Movimientos!$C$6:$C$16,Stocks!$A79,Movimientos!$F$6:$F$16,Stocks!I$3,Movimientos!$A$6:$A$16,"&lt;="&amp;Stocks!$A$2)-SUMIFS(Movimientos!$E$6:$E$16,Movimientos!$C$6:$C$16,Stocks!$A79,Movimientos!$G$6:$G$16,Stocks!I$3,Movimientos!$A$6:$A$16,"&lt;="&amp;Stocks!$A$2)</f>
        <v>0</v>
      </c>
      <c r="J79" s="4">
        <f>SUMIFS(Movimientos!$E$6:$E$16,Movimientos!$C$6:$C$16,Stocks!$A79,Movimientos!$F$6:$F$16,Stocks!J$3,Movimientos!$A$6:$A$16,"&lt;="&amp;Stocks!$A$2)-SUMIFS(Movimientos!$E$6:$E$16,Movimientos!$C$6:$C$16,Stocks!$A79,Movimientos!$G$6:$G$16,Stocks!J$3,Movimientos!$A$6:$A$16,"&lt;="&amp;Stocks!$A$2)</f>
        <v>0</v>
      </c>
      <c r="K79" s="4">
        <f>SUMIFS(Movimientos!$E$6:$E$16,Movimientos!$C$6:$C$16,Stocks!$A79,Movimientos!$F$6:$F$16,Stocks!K$3,Movimientos!$A$6:$A$16,"&lt;="&amp;Stocks!$A$2)-SUMIFS(Movimientos!$E$6:$E$16,Movimientos!$C$6:$C$16,Stocks!$A79,Movimientos!$G$6:$G$16,Stocks!K$3,Movimientos!$A$6:$A$16,"&lt;="&amp;Stocks!$A$2)</f>
        <v>0</v>
      </c>
      <c r="L79" s="4">
        <f>SUMIFS(Movimientos!$E$6:$E$16,Movimientos!$C$6:$C$16,Stocks!$A79,Movimientos!$F$6:$F$16,Stocks!L$3,Movimientos!$A$6:$A$16,"&lt;="&amp;Stocks!$A$2)-SUMIFS(Movimientos!$E$6:$E$16,Movimientos!$C$6:$C$16,Stocks!$A79,Movimientos!$G$6:$G$16,Stocks!L$3,Movimientos!$A$6:$A$16,"&lt;="&amp;Stocks!$A$2)</f>
        <v>0</v>
      </c>
    </row>
    <row r="80" spans="1:12" x14ac:dyDescent="0.25">
      <c r="A80" t="str">
        <f>Codificación!A79</f>
        <v/>
      </c>
      <c r="B80" s="1">
        <f>Codificación!B79</f>
        <v>0</v>
      </c>
      <c r="E80" s="4">
        <f>SUMIFS(Movimientos!$E$6:$E$16,Movimientos!$C$6:$C$16,Stocks!$A80,Movimientos!$F$6:$F$16,Stocks!E$3,Movimientos!$A$6:$A$16,"&lt;="&amp;Stocks!$A$2)-SUMIFS(Movimientos!$E$6:$E$16,Movimientos!$C$6:$C$16,Stocks!$A80,Movimientos!$G$6:$G$16,Stocks!E$3,Movimientos!$A$6:$A$16,"&lt;="&amp;Stocks!$A$2)</f>
        <v>0</v>
      </c>
      <c r="F80" s="4">
        <f>SUMIFS(Movimientos!$E$6:$E$16,Movimientos!$C$6:$C$16,Stocks!$A80,Movimientos!$F$6:$F$16,Stocks!F$3,Movimientos!$A$6:$A$16,"&lt;="&amp;Stocks!$A$2)-SUMIFS(Movimientos!$E$6:$E$16,Movimientos!$C$6:$C$16,Stocks!$A80,Movimientos!$G$6:$G$16,Stocks!F$3,Movimientos!$A$6:$A$16,"&lt;="&amp;Stocks!$A$2)</f>
        <v>0</v>
      </c>
      <c r="G80" s="4">
        <f>SUMIFS(Movimientos!$E$6:$E$16,Movimientos!$C$6:$C$16,Stocks!$A80,Movimientos!$F$6:$F$16,Stocks!G$3,Movimientos!$A$6:$A$16,"&lt;="&amp;Stocks!$A$2)-SUMIFS(Movimientos!$E$6:$E$16,Movimientos!$C$6:$C$16,Stocks!$A80,Movimientos!$G$6:$G$16,Stocks!G$3,Movimientos!$A$6:$A$16,"&lt;="&amp;Stocks!$A$2)</f>
        <v>0</v>
      </c>
      <c r="H80" s="4">
        <f>SUMIFS(Movimientos!$E$6:$E$16,Movimientos!$C$6:$C$16,Stocks!$A80,Movimientos!$F$6:$F$16,Stocks!H$3,Movimientos!$A$6:$A$16,"&lt;="&amp;Stocks!$A$2)-SUMIFS(Movimientos!$E$6:$E$16,Movimientos!$C$6:$C$16,Stocks!$A80,Movimientos!$G$6:$G$16,Stocks!H$3,Movimientos!$A$6:$A$16,"&lt;="&amp;Stocks!$A$2)</f>
        <v>0</v>
      </c>
      <c r="I80" s="4">
        <f>SUMIFS(Movimientos!$E$6:$E$16,Movimientos!$C$6:$C$16,Stocks!$A80,Movimientos!$F$6:$F$16,Stocks!I$3,Movimientos!$A$6:$A$16,"&lt;="&amp;Stocks!$A$2)-SUMIFS(Movimientos!$E$6:$E$16,Movimientos!$C$6:$C$16,Stocks!$A80,Movimientos!$G$6:$G$16,Stocks!I$3,Movimientos!$A$6:$A$16,"&lt;="&amp;Stocks!$A$2)</f>
        <v>0</v>
      </c>
      <c r="J80" s="4">
        <f>SUMIFS(Movimientos!$E$6:$E$16,Movimientos!$C$6:$C$16,Stocks!$A80,Movimientos!$F$6:$F$16,Stocks!J$3,Movimientos!$A$6:$A$16,"&lt;="&amp;Stocks!$A$2)-SUMIFS(Movimientos!$E$6:$E$16,Movimientos!$C$6:$C$16,Stocks!$A80,Movimientos!$G$6:$G$16,Stocks!J$3,Movimientos!$A$6:$A$16,"&lt;="&amp;Stocks!$A$2)</f>
        <v>0</v>
      </c>
      <c r="K80" s="4">
        <f>SUMIFS(Movimientos!$E$6:$E$16,Movimientos!$C$6:$C$16,Stocks!$A80,Movimientos!$F$6:$F$16,Stocks!K$3,Movimientos!$A$6:$A$16,"&lt;="&amp;Stocks!$A$2)-SUMIFS(Movimientos!$E$6:$E$16,Movimientos!$C$6:$C$16,Stocks!$A80,Movimientos!$G$6:$G$16,Stocks!K$3,Movimientos!$A$6:$A$16,"&lt;="&amp;Stocks!$A$2)</f>
        <v>0</v>
      </c>
      <c r="L80" s="4">
        <f>SUMIFS(Movimientos!$E$6:$E$16,Movimientos!$C$6:$C$16,Stocks!$A80,Movimientos!$F$6:$F$16,Stocks!L$3,Movimientos!$A$6:$A$16,"&lt;="&amp;Stocks!$A$2)-SUMIFS(Movimientos!$E$6:$E$16,Movimientos!$C$6:$C$16,Stocks!$A80,Movimientos!$G$6:$G$16,Stocks!L$3,Movimientos!$A$6:$A$16,"&lt;="&amp;Stocks!$A$2)</f>
        <v>0</v>
      </c>
    </row>
    <row r="81" spans="1:12" x14ac:dyDescent="0.25">
      <c r="A81" t="str">
        <f>Codificación!A80</f>
        <v/>
      </c>
      <c r="B81" s="1">
        <f>Codificación!B80</f>
        <v>0</v>
      </c>
      <c r="E81" s="4">
        <f>SUMIFS(Movimientos!$E$6:$E$16,Movimientos!$C$6:$C$16,Stocks!$A81,Movimientos!$F$6:$F$16,Stocks!E$3,Movimientos!$A$6:$A$16,"&lt;="&amp;Stocks!$A$2)-SUMIFS(Movimientos!$E$6:$E$16,Movimientos!$C$6:$C$16,Stocks!$A81,Movimientos!$G$6:$G$16,Stocks!E$3,Movimientos!$A$6:$A$16,"&lt;="&amp;Stocks!$A$2)</f>
        <v>0</v>
      </c>
      <c r="F81" s="4">
        <f>SUMIFS(Movimientos!$E$6:$E$16,Movimientos!$C$6:$C$16,Stocks!$A81,Movimientos!$F$6:$F$16,Stocks!F$3,Movimientos!$A$6:$A$16,"&lt;="&amp;Stocks!$A$2)-SUMIFS(Movimientos!$E$6:$E$16,Movimientos!$C$6:$C$16,Stocks!$A81,Movimientos!$G$6:$G$16,Stocks!F$3,Movimientos!$A$6:$A$16,"&lt;="&amp;Stocks!$A$2)</f>
        <v>0</v>
      </c>
      <c r="G81" s="4">
        <f>SUMIFS(Movimientos!$E$6:$E$16,Movimientos!$C$6:$C$16,Stocks!$A81,Movimientos!$F$6:$F$16,Stocks!G$3,Movimientos!$A$6:$A$16,"&lt;="&amp;Stocks!$A$2)-SUMIFS(Movimientos!$E$6:$E$16,Movimientos!$C$6:$C$16,Stocks!$A81,Movimientos!$G$6:$G$16,Stocks!G$3,Movimientos!$A$6:$A$16,"&lt;="&amp;Stocks!$A$2)</f>
        <v>0</v>
      </c>
      <c r="H81" s="4">
        <f>SUMIFS(Movimientos!$E$6:$E$16,Movimientos!$C$6:$C$16,Stocks!$A81,Movimientos!$F$6:$F$16,Stocks!H$3,Movimientos!$A$6:$A$16,"&lt;="&amp;Stocks!$A$2)-SUMIFS(Movimientos!$E$6:$E$16,Movimientos!$C$6:$C$16,Stocks!$A81,Movimientos!$G$6:$G$16,Stocks!H$3,Movimientos!$A$6:$A$16,"&lt;="&amp;Stocks!$A$2)</f>
        <v>0</v>
      </c>
      <c r="I81" s="4">
        <f>SUMIFS(Movimientos!$E$6:$E$16,Movimientos!$C$6:$C$16,Stocks!$A81,Movimientos!$F$6:$F$16,Stocks!I$3,Movimientos!$A$6:$A$16,"&lt;="&amp;Stocks!$A$2)-SUMIFS(Movimientos!$E$6:$E$16,Movimientos!$C$6:$C$16,Stocks!$A81,Movimientos!$G$6:$G$16,Stocks!I$3,Movimientos!$A$6:$A$16,"&lt;="&amp;Stocks!$A$2)</f>
        <v>0</v>
      </c>
      <c r="J81" s="4">
        <f>SUMIFS(Movimientos!$E$6:$E$16,Movimientos!$C$6:$C$16,Stocks!$A81,Movimientos!$F$6:$F$16,Stocks!J$3,Movimientos!$A$6:$A$16,"&lt;="&amp;Stocks!$A$2)-SUMIFS(Movimientos!$E$6:$E$16,Movimientos!$C$6:$C$16,Stocks!$A81,Movimientos!$G$6:$G$16,Stocks!J$3,Movimientos!$A$6:$A$16,"&lt;="&amp;Stocks!$A$2)</f>
        <v>0</v>
      </c>
      <c r="K81" s="4">
        <f>SUMIFS(Movimientos!$E$6:$E$16,Movimientos!$C$6:$C$16,Stocks!$A81,Movimientos!$F$6:$F$16,Stocks!K$3,Movimientos!$A$6:$A$16,"&lt;="&amp;Stocks!$A$2)-SUMIFS(Movimientos!$E$6:$E$16,Movimientos!$C$6:$C$16,Stocks!$A81,Movimientos!$G$6:$G$16,Stocks!K$3,Movimientos!$A$6:$A$16,"&lt;="&amp;Stocks!$A$2)</f>
        <v>0</v>
      </c>
      <c r="L81" s="4">
        <f>SUMIFS(Movimientos!$E$6:$E$16,Movimientos!$C$6:$C$16,Stocks!$A81,Movimientos!$F$6:$F$16,Stocks!L$3,Movimientos!$A$6:$A$16,"&lt;="&amp;Stocks!$A$2)-SUMIFS(Movimientos!$E$6:$E$16,Movimientos!$C$6:$C$16,Stocks!$A81,Movimientos!$G$6:$G$16,Stocks!L$3,Movimientos!$A$6:$A$16,"&lt;="&amp;Stocks!$A$2)</f>
        <v>0</v>
      </c>
    </row>
    <row r="82" spans="1:12" x14ac:dyDescent="0.25">
      <c r="A82" t="str">
        <f>Codificación!A81</f>
        <v/>
      </c>
      <c r="B82" s="1">
        <f>Codificación!B81</f>
        <v>0</v>
      </c>
      <c r="E82" s="4">
        <f>SUMIFS(Movimientos!$E$6:$E$16,Movimientos!$C$6:$C$16,Stocks!$A82,Movimientos!$F$6:$F$16,Stocks!E$3,Movimientos!$A$6:$A$16,"&lt;="&amp;Stocks!$A$2)-SUMIFS(Movimientos!$E$6:$E$16,Movimientos!$C$6:$C$16,Stocks!$A82,Movimientos!$G$6:$G$16,Stocks!E$3,Movimientos!$A$6:$A$16,"&lt;="&amp;Stocks!$A$2)</f>
        <v>0</v>
      </c>
      <c r="F82" s="4">
        <f>SUMIFS(Movimientos!$E$6:$E$16,Movimientos!$C$6:$C$16,Stocks!$A82,Movimientos!$F$6:$F$16,Stocks!F$3,Movimientos!$A$6:$A$16,"&lt;="&amp;Stocks!$A$2)-SUMIFS(Movimientos!$E$6:$E$16,Movimientos!$C$6:$C$16,Stocks!$A82,Movimientos!$G$6:$G$16,Stocks!F$3,Movimientos!$A$6:$A$16,"&lt;="&amp;Stocks!$A$2)</f>
        <v>0</v>
      </c>
      <c r="G82" s="4">
        <f>SUMIFS(Movimientos!$E$6:$E$16,Movimientos!$C$6:$C$16,Stocks!$A82,Movimientos!$F$6:$F$16,Stocks!G$3,Movimientos!$A$6:$A$16,"&lt;="&amp;Stocks!$A$2)-SUMIFS(Movimientos!$E$6:$E$16,Movimientos!$C$6:$C$16,Stocks!$A82,Movimientos!$G$6:$G$16,Stocks!G$3,Movimientos!$A$6:$A$16,"&lt;="&amp;Stocks!$A$2)</f>
        <v>0</v>
      </c>
      <c r="H82" s="4">
        <f>SUMIFS(Movimientos!$E$6:$E$16,Movimientos!$C$6:$C$16,Stocks!$A82,Movimientos!$F$6:$F$16,Stocks!H$3,Movimientos!$A$6:$A$16,"&lt;="&amp;Stocks!$A$2)-SUMIFS(Movimientos!$E$6:$E$16,Movimientos!$C$6:$C$16,Stocks!$A82,Movimientos!$G$6:$G$16,Stocks!H$3,Movimientos!$A$6:$A$16,"&lt;="&amp;Stocks!$A$2)</f>
        <v>0</v>
      </c>
      <c r="I82" s="4">
        <f>SUMIFS(Movimientos!$E$6:$E$16,Movimientos!$C$6:$C$16,Stocks!$A82,Movimientos!$F$6:$F$16,Stocks!I$3,Movimientos!$A$6:$A$16,"&lt;="&amp;Stocks!$A$2)-SUMIFS(Movimientos!$E$6:$E$16,Movimientos!$C$6:$C$16,Stocks!$A82,Movimientos!$G$6:$G$16,Stocks!I$3,Movimientos!$A$6:$A$16,"&lt;="&amp;Stocks!$A$2)</f>
        <v>0</v>
      </c>
      <c r="J82" s="4">
        <f>SUMIFS(Movimientos!$E$6:$E$16,Movimientos!$C$6:$C$16,Stocks!$A82,Movimientos!$F$6:$F$16,Stocks!J$3,Movimientos!$A$6:$A$16,"&lt;="&amp;Stocks!$A$2)-SUMIFS(Movimientos!$E$6:$E$16,Movimientos!$C$6:$C$16,Stocks!$A82,Movimientos!$G$6:$G$16,Stocks!J$3,Movimientos!$A$6:$A$16,"&lt;="&amp;Stocks!$A$2)</f>
        <v>0</v>
      </c>
      <c r="K82" s="4">
        <f>SUMIFS(Movimientos!$E$6:$E$16,Movimientos!$C$6:$C$16,Stocks!$A82,Movimientos!$F$6:$F$16,Stocks!K$3,Movimientos!$A$6:$A$16,"&lt;="&amp;Stocks!$A$2)-SUMIFS(Movimientos!$E$6:$E$16,Movimientos!$C$6:$C$16,Stocks!$A82,Movimientos!$G$6:$G$16,Stocks!K$3,Movimientos!$A$6:$A$16,"&lt;="&amp;Stocks!$A$2)</f>
        <v>0</v>
      </c>
      <c r="L82" s="4">
        <f>SUMIFS(Movimientos!$E$6:$E$16,Movimientos!$C$6:$C$16,Stocks!$A82,Movimientos!$F$6:$F$16,Stocks!L$3,Movimientos!$A$6:$A$16,"&lt;="&amp;Stocks!$A$2)-SUMIFS(Movimientos!$E$6:$E$16,Movimientos!$C$6:$C$16,Stocks!$A82,Movimientos!$G$6:$G$16,Stocks!L$3,Movimientos!$A$6:$A$16,"&lt;="&amp;Stocks!$A$2)</f>
        <v>0</v>
      </c>
    </row>
    <row r="83" spans="1:12" x14ac:dyDescent="0.25">
      <c r="A83" t="str">
        <f>Codificación!A82</f>
        <v/>
      </c>
      <c r="B83" s="1">
        <f>Codificación!B82</f>
        <v>0</v>
      </c>
      <c r="E83" s="4">
        <f>SUMIFS(Movimientos!$E$6:$E$16,Movimientos!$C$6:$C$16,Stocks!$A83,Movimientos!$F$6:$F$16,Stocks!E$3,Movimientos!$A$6:$A$16,"&lt;="&amp;Stocks!$A$2)-SUMIFS(Movimientos!$E$6:$E$16,Movimientos!$C$6:$C$16,Stocks!$A83,Movimientos!$G$6:$G$16,Stocks!E$3,Movimientos!$A$6:$A$16,"&lt;="&amp;Stocks!$A$2)</f>
        <v>0</v>
      </c>
      <c r="F83" s="4">
        <f>SUMIFS(Movimientos!$E$6:$E$16,Movimientos!$C$6:$C$16,Stocks!$A83,Movimientos!$F$6:$F$16,Stocks!F$3,Movimientos!$A$6:$A$16,"&lt;="&amp;Stocks!$A$2)-SUMIFS(Movimientos!$E$6:$E$16,Movimientos!$C$6:$C$16,Stocks!$A83,Movimientos!$G$6:$G$16,Stocks!F$3,Movimientos!$A$6:$A$16,"&lt;="&amp;Stocks!$A$2)</f>
        <v>0</v>
      </c>
      <c r="G83" s="4">
        <f>SUMIFS(Movimientos!$E$6:$E$16,Movimientos!$C$6:$C$16,Stocks!$A83,Movimientos!$F$6:$F$16,Stocks!G$3,Movimientos!$A$6:$A$16,"&lt;="&amp;Stocks!$A$2)-SUMIFS(Movimientos!$E$6:$E$16,Movimientos!$C$6:$C$16,Stocks!$A83,Movimientos!$G$6:$G$16,Stocks!G$3,Movimientos!$A$6:$A$16,"&lt;="&amp;Stocks!$A$2)</f>
        <v>0</v>
      </c>
      <c r="H83" s="4">
        <f>SUMIFS(Movimientos!$E$6:$E$16,Movimientos!$C$6:$C$16,Stocks!$A83,Movimientos!$F$6:$F$16,Stocks!H$3,Movimientos!$A$6:$A$16,"&lt;="&amp;Stocks!$A$2)-SUMIFS(Movimientos!$E$6:$E$16,Movimientos!$C$6:$C$16,Stocks!$A83,Movimientos!$G$6:$G$16,Stocks!H$3,Movimientos!$A$6:$A$16,"&lt;="&amp;Stocks!$A$2)</f>
        <v>0</v>
      </c>
      <c r="I83" s="4">
        <f>SUMIFS(Movimientos!$E$6:$E$16,Movimientos!$C$6:$C$16,Stocks!$A83,Movimientos!$F$6:$F$16,Stocks!I$3,Movimientos!$A$6:$A$16,"&lt;="&amp;Stocks!$A$2)-SUMIFS(Movimientos!$E$6:$E$16,Movimientos!$C$6:$C$16,Stocks!$A83,Movimientos!$G$6:$G$16,Stocks!I$3,Movimientos!$A$6:$A$16,"&lt;="&amp;Stocks!$A$2)</f>
        <v>0</v>
      </c>
      <c r="J83" s="4">
        <f>SUMIFS(Movimientos!$E$6:$E$16,Movimientos!$C$6:$C$16,Stocks!$A83,Movimientos!$F$6:$F$16,Stocks!J$3,Movimientos!$A$6:$A$16,"&lt;="&amp;Stocks!$A$2)-SUMIFS(Movimientos!$E$6:$E$16,Movimientos!$C$6:$C$16,Stocks!$A83,Movimientos!$G$6:$G$16,Stocks!J$3,Movimientos!$A$6:$A$16,"&lt;="&amp;Stocks!$A$2)</f>
        <v>0</v>
      </c>
      <c r="K83" s="4">
        <f>SUMIFS(Movimientos!$E$6:$E$16,Movimientos!$C$6:$C$16,Stocks!$A83,Movimientos!$F$6:$F$16,Stocks!K$3,Movimientos!$A$6:$A$16,"&lt;="&amp;Stocks!$A$2)-SUMIFS(Movimientos!$E$6:$E$16,Movimientos!$C$6:$C$16,Stocks!$A83,Movimientos!$G$6:$G$16,Stocks!K$3,Movimientos!$A$6:$A$16,"&lt;="&amp;Stocks!$A$2)</f>
        <v>0</v>
      </c>
      <c r="L83" s="4">
        <f>SUMIFS(Movimientos!$E$6:$E$16,Movimientos!$C$6:$C$16,Stocks!$A83,Movimientos!$F$6:$F$16,Stocks!L$3,Movimientos!$A$6:$A$16,"&lt;="&amp;Stocks!$A$2)-SUMIFS(Movimientos!$E$6:$E$16,Movimientos!$C$6:$C$16,Stocks!$A83,Movimientos!$G$6:$G$16,Stocks!L$3,Movimientos!$A$6:$A$16,"&lt;="&amp;Stocks!$A$2)</f>
        <v>0</v>
      </c>
    </row>
    <row r="84" spans="1:12" x14ac:dyDescent="0.25">
      <c r="A84" t="str">
        <f>Codificación!A83</f>
        <v/>
      </c>
      <c r="B84" s="1">
        <f>Codificación!B83</f>
        <v>0</v>
      </c>
      <c r="E84" s="4">
        <f>SUMIFS(Movimientos!$E$6:$E$16,Movimientos!$C$6:$C$16,Stocks!$A84,Movimientos!$F$6:$F$16,Stocks!E$3,Movimientos!$A$6:$A$16,"&lt;="&amp;Stocks!$A$2)-SUMIFS(Movimientos!$E$6:$E$16,Movimientos!$C$6:$C$16,Stocks!$A84,Movimientos!$G$6:$G$16,Stocks!E$3,Movimientos!$A$6:$A$16,"&lt;="&amp;Stocks!$A$2)</f>
        <v>0</v>
      </c>
      <c r="F84" s="4">
        <f>SUMIFS(Movimientos!$E$6:$E$16,Movimientos!$C$6:$C$16,Stocks!$A84,Movimientos!$F$6:$F$16,Stocks!F$3,Movimientos!$A$6:$A$16,"&lt;="&amp;Stocks!$A$2)-SUMIFS(Movimientos!$E$6:$E$16,Movimientos!$C$6:$C$16,Stocks!$A84,Movimientos!$G$6:$G$16,Stocks!F$3,Movimientos!$A$6:$A$16,"&lt;="&amp;Stocks!$A$2)</f>
        <v>0</v>
      </c>
      <c r="G84" s="4">
        <f>SUMIFS(Movimientos!$E$6:$E$16,Movimientos!$C$6:$C$16,Stocks!$A84,Movimientos!$F$6:$F$16,Stocks!G$3,Movimientos!$A$6:$A$16,"&lt;="&amp;Stocks!$A$2)-SUMIFS(Movimientos!$E$6:$E$16,Movimientos!$C$6:$C$16,Stocks!$A84,Movimientos!$G$6:$G$16,Stocks!G$3,Movimientos!$A$6:$A$16,"&lt;="&amp;Stocks!$A$2)</f>
        <v>0</v>
      </c>
      <c r="H84" s="4">
        <f>SUMIFS(Movimientos!$E$6:$E$16,Movimientos!$C$6:$C$16,Stocks!$A84,Movimientos!$F$6:$F$16,Stocks!H$3,Movimientos!$A$6:$A$16,"&lt;="&amp;Stocks!$A$2)-SUMIFS(Movimientos!$E$6:$E$16,Movimientos!$C$6:$C$16,Stocks!$A84,Movimientos!$G$6:$G$16,Stocks!H$3,Movimientos!$A$6:$A$16,"&lt;="&amp;Stocks!$A$2)</f>
        <v>0</v>
      </c>
      <c r="I84" s="4">
        <f>SUMIFS(Movimientos!$E$6:$E$16,Movimientos!$C$6:$C$16,Stocks!$A84,Movimientos!$F$6:$F$16,Stocks!I$3,Movimientos!$A$6:$A$16,"&lt;="&amp;Stocks!$A$2)-SUMIFS(Movimientos!$E$6:$E$16,Movimientos!$C$6:$C$16,Stocks!$A84,Movimientos!$G$6:$G$16,Stocks!I$3,Movimientos!$A$6:$A$16,"&lt;="&amp;Stocks!$A$2)</f>
        <v>0</v>
      </c>
      <c r="J84" s="4">
        <f>SUMIFS(Movimientos!$E$6:$E$16,Movimientos!$C$6:$C$16,Stocks!$A84,Movimientos!$F$6:$F$16,Stocks!J$3,Movimientos!$A$6:$A$16,"&lt;="&amp;Stocks!$A$2)-SUMIFS(Movimientos!$E$6:$E$16,Movimientos!$C$6:$C$16,Stocks!$A84,Movimientos!$G$6:$G$16,Stocks!J$3,Movimientos!$A$6:$A$16,"&lt;="&amp;Stocks!$A$2)</f>
        <v>0</v>
      </c>
      <c r="K84" s="4">
        <f>SUMIFS(Movimientos!$E$6:$E$16,Movimientos!$C$6:$C$16,Stocks!$A84,Movimientos!$F$6:$F$16,Stocks!K$3,Movimientos!$A$6:$A$16,"&lt;="&amp;Stocks!$A$2)-SUMIFS(Movimientos!$E$6:$E$16,Movimientos!$C$6:$C$16,Stocks!$A84,Movimientos!$G$6:$G$16,Stocks!K$3,Movimientos!$A$6:$A$16,"&lt;="&amp;Stocks!$A$2)</f>
        <v>0</v>
      </c>
      <c r="L84" s="4">
        <f>SUMIFS(Movimientos!$E$6:$E$16,Movimientos!$C$6:$C$16,Stocks!$A84,Movimientos!$F$6:$F$16,Stocks!L$3,Movimientos!$A$6:$A$16,"&lt;="&amp;Stocks!$A$2)-SUMIFS(Movimientos!$E$6:$E$16,Movimientos!$C$6:$C$16,Stocks!$A84,Movimientos!$G$6:$G$16,Stocks!L$3,Movimientos!$A$6:$A$16,"&lt;="&amp;Stocks!$A$2)</f>
        <v>0</v>
      </c>
    </row>
    <row r="85" spans="1:12" x14ac:dyDescent="0.25">
      <c r="A85" t="str">
        <f>Codificación!A84</f>
        <v/>
      </c>
      <c r="B85" s="1">
        <f>Codificación!B84</f>
        <v>0</v>
      </c>
      <c r="E85" s="4">
        <f>SUMIFS(Movimientos!$E$6:$E$16,Movimientos!$C$6:$C$16,Stocks!$A85,Movimientos!$F$6:$F$16,Stocks!E$3,Movimientos!$A$6:$A$16,"&lt;="&amp;Stocks!$A$2)-SUMIFS(Movimientos!$E$6:$E$16,Movimientos!$C$6:$C$16,Stocks!$A85,Movimientos!$G$6:$G$16,Stocks!E$3,Movimientos!$A$6:$A$16,"&lt;="&amp;Stocks!$A$2)</f>
        <v>0</v>
      </c>
      <c r="F85" s="4">
        <f>SUMIFS(Movimientos!$E$6:$E$16,Movimientos!$C$6:$C$16,Stocks!$A85,Movimientos!$F$6:$F$16,Stocks!F$3,Movimientos!$A$6:$A$16,"&lt;="&amp;Stocks!$A$2)-SUMIFS(Movimientos!$E$6:$E$16,Movimientos!$C$6:$C$16,Stocks!$A85,Movimientos!$G$6:$G$16,Stocks!F$3,Movimientos!$A$6:$A$16,"&lt;="&amp;Stocks!$A$2)</f>
        <v>0</v>
      </c>
      <c r="G85" s="4">
        <f>SUMIFS(Movimientos!$E$6:$E$16,Movimientos!$C$6:$C$16,Stocks!$A85,Movimientos!$F$6:$F$16,Stocks!G$3,Movimientos!$A$6:$A$16,"&lt;="&amp;Stocks!$A$2)-SUMIFS(Movimientos!$E$6:$E$16,Movimientos!$C$6:$C$16,Stocks!$A85,Movimientos!$G$6:$G$16,Stocks!G$3,Movimientos!$A$6:$A$16,"&lt;="&amp;Stocks!$A$2)</f>
        <v>0</v>
      </c>
      <c r="H85" s="4">
        <f>SUMIFS(Movimientos!$E$6:$E$16,Movimientos!$C$6:$C$16,Stocks!$A85,Movimientos!$F$6:$F$16,Stocks!H$3,Movimientos!$A$6:$A$16,"&lt;="&amp;Stocks!$A$2)-SUMIFS(Movimientos!$E$6:$E$16,Movimientos!$C$6:$C$16,Stocks!$A85,Movimientos!$G$6:$G$16,Stocks!H$3,Movimientos!$A$6:$A$16,"&lt;="&amp;Stocks!$A$2)</f>
        <v>0</v>
      </c>
      <c r="I85" s="4">
        <f>SUMIFS(Movimientos!$E$6:$E$16,Movimientos!$C$6:$C$16,Stocks!$A85,Movimientos!$F$6:$F$16,Stocks!I$3,Movimientos!$A$6:$A$16,"&lt;="&amp;Stocks!$A$2)-SUMIFS(Movimientos!$E$6:$E$16,Movimientos!$C$6:$C$16,Stocks!$A85,Movimientos!$G$6:$G$16,Stocks!I$3,Movimientos!$A$6:$A$16,"&lt;="&amp;Stocks!$A$2)</f>
        <v>0</v>
      </c>
      <c r="J85" s="4">
        <f>SUMIFS(Movimientos!$E$6:$E$16,Movimientos!$C$6:$C$16,Stocks!$A85,Movimientos!$F$6:$F$16,Stocks!J$3,Movimientos!$A$6:$A$16,"&lt;="&amp;Stocks!$A$2)-SUMIFS(Movimientos!$E$6:$E$16,Movimientos!$C$6:$C$16,Stocks!$A85,Movimientos!$G$6:$G$16,Stocks!J$3,Movimientos!$A$6:$A$16,"&lt;="&amp;Stocks!$A$2)</f>
        <v>0</v>
      </c>
      <c r="K85" s="4">
        <f>SUMIFS(Movimientos!$E$6:$E$16,Movimientos!$C$6:$C$16,Stocks!$A85,Movimientos!$F$6:$F$16,Stocks!K$3,Movimientos!$A$6:$A$16,"&lt;="&amp;Stocks!$A$2)-SUMIFS(Movimientos!$E$6:$E$16,Movimientos!$C$6:$C$16,Stocks!$A85,Movimientos!$G$6:$G$16,Stocks!K$3,Movimientos!$A$6:$A$16,"&lt;="&amp;Stocks!$A$2)</f>
        <v>0</v>
      </c>
      <c r="L85" s="4">
        <f>SUMIFS(Movimientos!$E$6:$E$16,Movimientos!$C$6:$C$16,Stocks!$A85,Movimientos!$F$6:$F$16,Stocks!L$3,Movimientos!$A$6:$A$16,"&lt;="&amp;Stocks!$A$2)-SUMIFS(Movimientos!$E$6:$E$16,Movimientos!$C$6:$C$16,Stocks!$A85,Movimientos!$G$6:$G$16,Stocks!L$3,Movimientos!$A$6:$A$16,"&lt;="&amp;Stocks!$A$2)</f>
        <v>0</v>
      </c>
    </row>
    <row r="86" spans="1:12" x14ac:dyDescent="0.25">
      <c r="A86" t="str">
        <f>Codificación!A85</f>
        <v/>
      </c>
      <c r="B86" s="1">
        <f>Codificación!B85</f>
        <v>0</v>
      </c>
      <c r="E86" s="4">
        <f>SUMIFS(Movimientos!$E$6:$E$16,Movimientos!$C$6:$C$16,Stocks!$A86,Movimientos!$F$6:$F$16,Stocks!E$3,Movimientos!$A$6:$A$16,"&lt;="&amp;Stocks!$A$2)-SUMIFS(Movimientos!$E$6:$E$16,Movimientos!$C$6:$C$16,Stocks!$A86,Movimientos!$G$6:$G$16,Stocks!E$3,Movimientos!$A$6:$A$16,"&lt;="&amp;Stocks!$A$2)</f>
        <v>0</v>
      </c>
      <c r="F86" s="4">
        <f>SUMIFS(Movimientos!$E$6:$E$16,Movimientos!$C$6:$C$16,Stocks!$A86,Movimientos!$F$6:$F$16,Stocks!F$3,Movimientos!$A$6:$A$16,"&lt;="&amp;Stocks!$A$2)-SUMIFS(Movimientos!$E$6:$E$16,Movimientos!$C$6:$C$16,Stocks!$A86,Movimientos!$G$6:$G$16,Stocks!F$3,Movimientos!$A$6:$A$16,"&lt;="&amp;Stocks!$A$2)</f>
        <v>0</v>
      </c>
      <c r="G86" s="4">
        <f>SUMIFS(Movimientos!$E$6:$E$16,Movimientos!$C$6:$C$16,Stocks!$A86,Movimientos!$F$6:$F$16,Stocks!G$3,Movimientos!$A$6:$A$16,"&lt;="&amp;Stocks!$A$2)-SUMIFS(Movimientos!$E$6:$E$16,Movimientos!$C$6:$C$16,Stocks!$A86,Movimientos!$G$6:$G$16,Stocks!G$3,Movimientos!$A$6:$A$16,"&lt;="&amp;Stocks!$A$2)</f>
        <v>0</v>
      </c>
      <c r="H86" s="4">
        <f>SUMIFS(Movimientos!$E$6:$E$16,Movimientos!$C$6:$C$16,Stocks!$A86,Movimientos!$F$6:$F$16,Stocks!H$3,Movimientos!$A$6:$A$16,"&lt;="&amp;Stocks!$A$2)-SUMIFS(Movimientos!$E$6:$E$16,Movimientos!$C$6:$C$16,Stocks!$A86,Movimientos!$G$6:$G$16,Stocks!H$3,Movimientos!$A$6:$A$16,"&lt;="&amp;Stocks!$A$2)</f>
        <v>0</v>
      </c>
      <c r="I86" s="4">
        <f>SUMIFS(Movimientos!$E$6:$E$16,Movimientos!$C$6:$C$16,Stocks!$A86,Movimientos!$F$6:$F$16,Stocks!I$3,Movimientos!$A$6:$A$16,"&lt;="&amp;Stocks!$A$2)-SUMIFS(Movimientos!$E$6:$E$16,Movimientos!$C$6:$C$16,Stocks!$A86,Movimientos!$G$6:$G$16,Stocks!I$3,Movimientos!$A$6:$A$16,"&lt;="&amp;Stocks!$A$2)</f>
        <v>0</v>
      </c>
      <c r="J86" s="4">
        <f>SUMIFS(Movimientos!$E$6:$E$16,Movimientos!$C$6:$C$16,Stocks!$A86,Movimientos!$F$6:$F$16,Stocks!J$3,Movimientos!$A$6:$A$16,"&lt;="&amp;Stocks!$A$2)-SUMIFS(Movimientos!$E$6:$E$16,Movimientos!$C$6:$C$16,Stocks!$A86,Movimientos!$G$6:$G$16,Stocks!J$3,Movimientos!$A$6:$A$16,"&lt;="&amp;Stocks!$A$2)</f>
        <v>0</v>
      </c>
      <c r="K86" s="4">
        <f>SUMIFS(Movimientos!$E$6:$E$16,Movimientos!$C$6:$C$16,Stocks!$A86,Movimientos!$F$6:$F$16,Stocks!K$3,Movimientos!$A$6:$A$16,"&lt;="&amp;Stocks!$A$2)-SUMIFS(Movimientos!$E$6:$E$16,Movimientos!$C$6:$C$16,Stocks!$A86,Movimientos!$G$6:$G$16,Stocks!K$3,Movimientos!$A$6:$A$16,"&lt;="&amp;Stocks!$A$2)</f>
        <v>0</v>
      </c>
      <c r="L86" s="4">
        <f>SUMIFS(Movimientos!$E$6:$E$16,Movimientos!$C$6:$C$16,Stocks!$A86,Movimientos!$F$6:$F$16,Stocks!L$3,Movimientos!$A$6:$A$16,"&lt;="&amp;Stocks!$A$2)-SUMIFS(Movimientos!$E$6:$E$16,Movimientos!$C$6:$C$16,Stocks!$A86,Movimientos!$G$6:$G$16,Stocks!L$3,Movimientos!$A$6:$A$16,"&lt;="&amp;Stocks!$A$2)</f>
        <v>0</v>
      </c>
    </row>
    <row r="87" spans="1:12" x14ac:dyDescent="0.25">
      <c r="A87" t="str">
        <f>Codificación!A86</f>
        <v/>
      </c>
      <c r="B87" s="1">
        <f>Codificación!B86</f>
        <v>0</v>
      </c>
      <c r="E87" s="4">
        <f>SUMIFS(Movimientos!$E$6:$E$16,Movimientos!$C$6:$C$16,Stocks!$A87,Movimientos!$F$6:$F$16,Stocks!E$3,Movimientos!$A$6:$A$16,"&lt;="&amp;Stocks!$A$2)-SUMIFS(Movimientos!$E$6:$E$16,Movimientos!$C$6:$C$16,Stocks!$A87,Movimientos!$G$6:$G$16,Stocks!E$3,Movimientos!$A$6:$A$16,"&lt;="&amp;Stocks!$A$2)</f>
        <v>0</v>
      </c>
      <c r="F87" s="4">
        <f>SUMIFS(Movimientos!$E$6:$E$16,Movimientos!$C$6:$C$16,Stocks!$A87,Movimientos!$F$6:$F$16,Stocks!F$3,Movimientos!$A$6:$A$16,"&lt;="&amp;Stocks!$A$2)-SUMIFS(Movimientos!$E$6:$E$16,Movimientos!$C$6:$C$16,Stocks!$A87,Movimientos!$G$6:$G$16,Stocks!F$3,Movimientos!$A$6:$A$16,"&lt;="&amp;Stocks!$A$2)</f>
        <v>0</v>
      </c>
      <c r="G87" s="4">
        <f>SUMIFS(Movimientos!$E$6:$E$16,Movimientos!$C$6:$C$16,Stocks!$A87,Movimientos!$F$6:$F$16,Stocks!G$3,Movimientos!$A$6:$A$16,"&lt;="&amp;Stocks!$A$2)-SUMIFS(Movimientos!$E$6:$E$16,Movimientos!$C$6:$C$16,Stocks!$A87,Movimientos!$G$6:$G$16,Stocks!G$3,Movimientos!$A$6:$A$16,"&lt;="&amp;Stocks!$A$2)</f>
        <v>0</v>
      </c>
      <c r="H87" s="4">
        <f>SUMIFS(Movimientos!$E$6:$E$16,Movimientos!$C$6:$C$16,Stocks!$A87,Movimientos!$F$6:$F$16,Stocks!H$3,Movimientos!$A$6:$A$16,"&lt;="&amp;Stocks!$A$2)-SUMIFS(Movimientos!$E$6:$E$16,Movimientos!$C$6:$C$16,Stocks!$A87,Movimientos!$G$6:$G$16,Stocks!H$3,Movimientos!$A$6:$A$16,"&lt;="&amp;Stocks!$A$2)</f>
        <v>0</v>
      </c>
      <c r="I87" s="4">
        <f>SUMIFS(Movimientos!$E$6:$E$16,Movimientos!$C$6:$C$16,Stocks!$A87,Movimientos!$F$6:$F$16,Stocks!I$3,Movimientos!$A$6:$A$16,"&lt;="&amp;Stocks!$A$2)-SUMIFS(Movimientos!$E$6:$E$16,Movimientos!$C$6:$C$16,Stocks!$A87,Movimientos!$G$6:$G$16,Stocks!I$3,Movimientos!$A$6:$A$16,"&lt;="&amp;Stocks!$A$2)</f>
        <v>0</v>
      </c>
      <c r="J87" s="4">
        <f>SUMIFS(Movimientos!$E$6:$E$16,Movimientos!$C$6:$C$16,Stocks!$A87,Movimientos!$F$6:$F$16,Stocks!J$3,Movimientos!$A$6:$A$16,"&lt;="&amp;Stocks!$A$2)-SUMIFS(Movimientos!$E$6:$E$16,Movimientos!$C$6:$C$16,Stocks!$A87,Movimientos!$G$6:$G$16,Stocks!J$3,Movimientos!$A$6:$A$16,"&lt;="&amp;Stocks!$A$2)</f>
        <v>0</v>
      </c>
      <c r="K87" s="4">
        <f>SUMIFS(Movimientos!$E$6:$E$16,Movimientos!$C$6:$C$16,Stocks!$A87,Movimientos!$F$6:$F$16,Stocks!K$3,Movimientos!$A$6:$A$16,"&lt;="&amp;Stocks!$A$2)-SUMIFS(Movimientos!$E$6:$E$16,Movimientos!$C$6:$C$16,Stocks!$A87,Movimientos!$G$6:$G$16,Stocks!K$3,Movimientos!$A$6:$A$16,"&lt;="&amp;Stocks!$A$2)</f>
        <v>0</v>
      </c>
      <c r="L87" s="4">
        <f>SUMIFS(Movimientos!$E$6:$E$16,Movimientos!$C$6:$C$16,Stocks!$A87,Movimientos!$F$6:$F$16,Stocks!L$3,Movimientos!$A$6:$A$16,"&lt;="&amp;Stocks!$A$2)-SUMIFS(Movimientos!$E$6:$E$16,Movimientos!$C$6:$C$16,Stocks!$A87,Movimientos!$G$6:$G$16,Stocks!L$3,Movimientos!$A$6:$A$16,"&lt;="&amp;Stocks!$A$2)</f>
        <v>0</v>
      </c>
    </row>
    <row r="88" spans="1:12" x14ac:dyDescent="0.25">
      <c r="A88" t="str">
        <f>Codificación!A87</f>
        <v/>
      </c>
      <c r="B88" s="1">
        <f>Codificación!B87</f>
        <v>0</v>
      </c>
      <c r="E88" s="4">
        <f>SUMIFS(Movimientos!$E$6:$E$16,Movimientos!$C$6:$C$16,Stocks!$A88,Movimientos!$F$6:$F$16,Stocks!E$3,Movimientos!$A$6:$A$16,"&lt;="&amp;Stocks!$A$2)-SUMIFS(Movimientos!$E$6:$E$16,Movimientos!$C$6:$C$16,Stocks!$A88,Movimientos!$G$6:$G$16,Stocks!E$3,Movimientos!$A$6:$A$16,"&lt;="&amp;Stocks!$A$2)</f>
        <v>0</v>
      </c>
      <c r="F88" s="4">
        <f>SUMIFS(Movimientos!$E$6:$E$16,Movimientos!$C$6:$C$16,Stocks!$A88,Movimientos!$F$6:$F$16,Stocks!F$3,Movimientos!$A$6:$A$16,"&lt;="&amp;Stocks!$A$2)-SUMIFS(Movimientos!$E$6:$E$16,Movimientos!$C$6:$C$16,Stocks!$A88,Movimientos!$G$6:$G$16,Stocks!F$3,Movimientos!$A$6:$A$16,"&lt;="&amp;Stocks!$A$2)</f>
        <v>0</v>
      </c>
      <c r="G88" s="4">
        <f>SUMIFS(Movimientos!$E$6:$E$16,Movimientos!$C$6:$C$16,Stocks!$A88,Movimientos!$F$6:$F$16,Stocks!G$3,Movimientos!$A$6:$A$16,"&lt;="&amp;Stocks!$A$2)-SUMIFS(Movimientos!$E$6:$E$16,Movimientos!$C$6:$C$16,Stocks!$A88,Movimientos!$G$6:$G$16,Stocks!G$3,Movimientos!$A$6:$A$16,"&lt;="&amp;Stocks!$A$2)</f>
        <v>0</v>
      </c>
      <c r="H88" s="4">
        <f>SUMIFS(Movimientos!$E$6:$E$16,Movimientos!$C$6:$C$16,Stocks!$A88,Movimientos!$F$6:$F$16,Stocks!H$3,Movimientos!$A$6:$A$16,"&lt;="&amp;Stocks!$A$2)-SUMIFS(Movimientos!$E$6:$E$16,Movimientos!$C$6:$C$16,Stocks!$A88,Movimientos!$G$6:$G$16,Stocks!H$3,Movimientos!$A$6:$A$16,"&lt;="&amp;Stocks!$A$2)</f>
        <v>0</v>
      </c>
      <c r="I88" s="4">
        <f>SUMIFS(Movimientos!$E$6:$E$16,Movimientos!$C$6:$C$16,Stocks!$A88,Movimientos!$F$6:$F$16,Stocks!I$3,Movimientos!$A$6:$A$16,"&lt;="&amp;Stocks!$A$2)-SUMIFS(Movimientos!$E$6:$E$16,Movimientos!$C$6:$C$16,Stocks!$A88,Movimientos!$G$6:$G$16,Stocks!I$3,Movimientos!$A$6:$A$16,"&lt;="&amp;Stocks!$A$2)</f>
        <v>0</v>
      </c>
      <c r="J88" s="4">
        <f>SUMIFS(Movimientos!$E$6:$E$16,Movimientos!$C$6:$C$16,Stocks!$A88,Movimientos!$F$6:$F$16,Stocks!J$3,Movimientos!$A$6:$A$16,"&lt;="&amp;Stocks!$A$2)-SUMIFS(Movimientos!$E$6:$E$16,Movimientos!$C$6:$C$16,Stocks!$A88,Movimientos!$G$6:$G$16,Stocks!J$3,Movimientos!$A$6:$A$16,"&lt;="&amp;Stocks!$A$2)</f>
        <v>0</v>
      </c>
      <c r="K88" s="4">
        <f>SUMIFS(Movimientos!$E$6:$E$16,Movimientos!$C$6:$C$16,Stocks!$A88,Movimientos!$F$6:$F$16,Stocks!K$3,Movimientos!$A$6:$A$16,"&lt;="&amp;Stocks!$A$2)-SUMIFS(Movimientos!$E$6:$E$16,Movimientos!$C$6:$C$16,Stocks!$A88,Movimientos!$G$6:$G$16,Stocks!K$3,Movimientos!$A$6:$A$16,"&lt;="&amp;Stocks!$A$2)</f>
        <v>0</v>
      </c>
      <c r="L88" s="4">
        <f>SUMIFS(Movimientos!$E$6:$E$16,Movimientos!$C$6:$C$16,Stocks!$A88,Movimientos!$F$6:$F$16,Stocks!L$3,Movimientos!$A$6:$A$16,"&lt;="&amp;Stocks!$A$2)-SUMIFS(Movimientos!$E$6:$E$16,Movimientos!$C$6:$C$16,Stocks!$A88,Movimientos!$G$6:$G$16,Stocks!L$3,Movimientos!$A$6:$A$16,"&lt;="&amp;Stocks!$A$2)</f>
        <v>0</v>
      </c>
    </row>
    <row r="89" spans="1:12" x14ac:dyDescent="0.25">
      <c r="A89" t="str">
        <f>Codificación!A88</f>
        <v/>
      </c>
      <c r="B89" s="1">
        <f>Codificación!B88</f>
        <v>0</v>
      </c>
      <c r="E89" s="4">
        <f>SUMIFS(Movimientos!$E$6:$E$16,Movimientos!$C$6:$C$16,Stocks!$A89,Movimientos!$F$6:$F$16,Stocks!E$3,Movimientos!$A$6:$A$16,"&lt;="&amp;Stocks!$A$2)-SUMIFS(Movimientos!$E$6:$E$16,Movimientos!$C$6:$C$16,Stocks!$A89,Movimientos!$G$6:$G$16,Stocks!E$3,Movimientos!$A$6:$A$16,"&lt;="&amp;Stocks!$A$2)</f>
        <v>0</v>
      </c>
      <c r="F89" s="4">
        <f>SUMIFS(Movimientos!$E$6:$E$16,Movimientos!$C$6:$C$16,Stocks!$A89,Movimientos!$F$6:$F$16,Stocks!F$3,Movimientos!$A$6:$A$16,"&lt;="&amp;Stocks!$A$2)-SUMIFS(Movimientos!$E$6:$E$16,Movimientos!$C$6:$C$16,Stocks!$A89,Movimientos!$G$6:$G$16,Stocks!F$3,Movimientos!$A$6:$A$16,"&lt;="&amp;Stocks!$A$2)</f>
        <v>0</v>
      </c>
      <c r="G89" s="4">
        <f>SUMIFS(Movimientos!$E$6:$E$16,Movimientos!$C$6:$C$16,Stocks!$A89,Movimientos!$F$6:$F$16,Stocks!G$3,Movimientos!$A$6:$A$16,"&lt;="&amp;Stocks!$A$2)-SUMIFS(Movimientos!$E$6:$E$16,Movimientos!$C$6:$C$16,Stocks!$A89,Movimientos!$G$6:$G$16,Stocks!G$3,Movimientos!$A$6:$A$16,"&lt;="&amp;Stocks!$A$2)</f>
        <v>0</v>
      </c>
      <c r="H89" s="4">
        <f>SUMIFS(Movimientos!$E$6:$E$16,Movimientos!$C$6:$C$16,Stocks!$A89,Movimientos!$F$6:$F$16,Stocks!H$3,Movimientos!$A$6:$A$16,"&lt;="&amp;Stocks!$A$2)-SUMIFS(Movimientos!$E$6:$E$16,Movimientos!$C$6:$C$16,Stocks!$A89,Movimientos!$G$6:$G$16,Stocks!H$3,Movimientos!$A$6:$A$16,"&lt;="&amp;Stocks!$A$2)</f>
        <v>0</v>
      </c>
      <c r="I89" s="4">
        <f>SUMIFS(Movimientos!$E$6:$E$16,Movimientos!$C$6:$C$16,Stocks!$A89,Movimientos!$F$6:$F$16,Stocks!I$3,Movimientos!$A$6:$A$16,"&lt;="&amp;Stocks!$A$2)-SUMIFS(Movimientos!$E$6:$E$16,Movimientos!$C$6:$C$16,Stocks!$A89,Movimientos!$G$6:$G$16,Stocks!I$3,Movimientos!$A$6:$A$16,"&lt;="&amp;Stocks!$A$2)</f>
        <v>0</v>
      </c>
      <c r="J89" s="4">
        <f>SUMIFS(Movimientos!$E$6:$E$16,Movimientos!$C$6:$C$16,Stocks!$A89,Movimientos!$F$6:$F$16,Stocks!J$3,Movimientos!$A$6:$A$16,"&lt;="&amp;Stocks!$A$2)-SUMIFS(Movimientos!$E$6:$E$16,Movimientos!$C$6:$C$16,Stocks!$A89,Movimientos!$G$6:$G$16,Stocks!J$3,Movimientos!$A$6:$A$16,"&lt;="&amp;Stocks!$A$2)</f>
        <v>0</v>
      </c>
      <c r="K89" s="4">
        <f>SUMIFS(Movimientos!$E$6:$E$16,Movimientos!$C$6:$C$16,Stocks!$A89,Movimientos!$F$6:$F$16,Stocks!K$3,Movimientos!$A$6:$A$16,"&lt;="&amp;Stocks!$A$2)-SUMIFS(Movimientos!$E$6:$E$16,Movimientos!$C$6:$C$16,Stocks!$A89,Movimientos!$G$6:$G$16,Stocks!K$3,Movimientos!$A$6:$A$16,"&lt;="&amp;Stocks!$A$2)</f>
        <v>0</v>
      </c>
      <c r="L89" s="4">
        <f>SUMIFS(Movimientos!$E$6:$E$16,Movimientos!$C$6:$C$16,Stocks!$A89,Movimientos!$F$6:$F$16,Stocks!L$3,Movimientos!$A$6:$A$16,"&lt;="&amp;Stocks!$A$2)-SUMIFS(Movimientos!$E$6:$E$16,Movimientos!$C$6:$C$16,Stocks!$A89,Movimientos!$G$6:$G$16,Stocks!L$3,Movimientos!$A$6:$A$16,"&lt;="&amp;Stocks!$A$2)</f>
        <v>0</v>
      </c>
    </row>
    <row r="90" spans="1:12" x14ac:dyDescent="0.25">
      <c r="A90" t="str">
        <f>Codificación!A89</f>
        <v/>
      </c>
      <c r="B90" s="1">
        <f>Codificación!B89</f>
        <v>0</v>
      </c>
      <c r="E90" s="4">
        <f>SUMIFS(Movimientos!$E$6:$E$16,Movimientos!$C$6:$C$16,Stocks!$A90,Movimientos!$F$6:$F$16,Stocks!E$3,Movimientos!$A$6:$A$16,"&lt;="&amp;Stocks!$A$2)-SUMIFS(Movimientos!$E$6:$E$16,Movimientos!$C$6:$C$16,Stocks!$A90,Movimientos!$G$6:$G$16,Stocks!E$3,Movimientos!$A$6:$A$16,"&lt;="&amp;Stocks!$A$2)</f>
        <v>0</v>
      </c>
      <c r="F90" s="4">
        <f>SUMIFS(Movimientos!$E$6:$E$16,Movimientos!$C$6:$C$16,Stocks!$A90,Movimientos!$F$6:$F$16,Stocks!F$3,Movimientos!$A$6:$A$16,"&lt;="&amp;Stocks!$A$2)-SUMIFS(Movimientos!$E$6:$E$16,Movimientos!$C$6:$C$16,Stocks!$A90,Movimientos!$G$6:$G$16,Stocks!F$3,Movimientos!$A$6:$A$16,"&lt;="&amp;Stocks!$A$2)</f>
        <v>0</v>
      </c>
      <c r="G90" s="4">
        <f>SUMIFS(Movimientos!$E$6:$E$16,Movimientos!$C$6:$C$16,Stocks!$A90,Movimientos!$F$6:$F$16,Stocks!G$3,Movimientos!$A$6:$A$16,"&lt;="&amp;Stocks!$A$2)-SUMIFS(Movimientos!$E$6:$E$16,Movimientos!$C$6:$C$16,Stocks!$A90,Movimientos!$G$6:$G$16,Stocks!G$3,Movimientos!$A$6:$A$16,"&lt;="&amp;Stocks!$A$2)</f>
        <v>0</v>
      </c>
      <c r="H90" s="4">
        <f>SUMIFS(Movimientos!$E$6:$E$16,Movimientos!$C$6:$C$16,Stocks!$A90,Movimientos!$F$6:$F$16,Stocks!H$3,Movimientos!$A$6:$A$16,"&lt;="&amp;Stocks!$A$2)-SUMIFS(Movimientos!$E$6:$E$16,Movimientos!$C$6:$C$16,Stocks!$A90,Movimientos!$G$6:$G$16,Stocks!H$3,Movimientos!$A$6:$A$16,"&lt;="&amp;Stocks!$A$2)</f>
        <v>0</v>
      </c>
      <c r="I90" s="4">
        <f>SUMIFS(Movimientos!$E$6:$E$16,Movimientos!$C$6:$C$16,Stocks!$A90,Movimientos!$F$6:$F$16,Stocks!I$3,Movimientos!$A$6:$A$16,"&lt;="&amp;Stocks!$A$2)-SUMIFS(Movimientos!$E$6:$E$16,Movimientos!$C$6:$C$16,Stocks!$A90,Movimientos!$G$6:$G$16,Stocks!I$3,Movimientos!$A$6:$A$16,"&lt;="&amp;Stocks!$A$2)</f>
        <v>0</v>
      </c>
      <c r="J90" s="4">
        <f>SUMIFS(Movimientos!$E$6:$E$16,Movimientos!$C$6:$C$16,Stocks!$A90,Movimientos!$F$6:$F$16,Stocks!J$3,Movimientos!$A$6:$A$16,"&lt;="&amp;Stocks!$A$2)-SUMIFS(Movimientos!$E$6:$E$16,Movimientos!$C$6:$C$16,Stocks!$A90,Movimientos!$G$6:$G$16,Stocks!J$3,Movimientos!$A$6:$A$16,"&lt;="&amp;Stocks!$A$2)</f>
        <v>0</v>
      </c>
      <c r="K90" s="4">
        <f>SUMIFS(Movimientos!$E$6:$E$16,Movimientos!$C$6:$C$16,Stocks!$A90,Movimientos!$F$6:$F$16,Stocks!K$3,Movimientos!$A$6:$A$16,"&lt;="&amp;Stocks!$A$2)-SUMIFS(Movimientos!$E$6:$E$16,Movimientos!$C$6:$C$16,Stocks!$A90,Movimientos!$G$6:$G$16,Stocks!K$3,Movimientos!$A$6:$A$16,"&lt;="&amp;Stocks!$A$2)</f>
        <v>0</v>
      </c>
      <c r="L90" s="4">
        <f>SUMIFS(Movimientos!$E$6:$E$16,Movimientos!$C$6:$C$16,Stocks!$A90,Movimientos!$F$6:$F$16,Stocks!L$3,Movimientos!$A$6:$A$16,"&lt;="&amp;Stocks!$A$2)-SUMIFS(Movimientos!$E$6:$E$16,Movimientos!$C$6:$C$16,Stocks!$A90,Movimientos!$G$6:$G$16,Stocks!L$3,Movimientos!$A$6:$A$16,"&lt;="&amp;Stocks!$A$2)</f>
        <v>0</v>
      </c>
    </row>
    <row r="91" spans="1:12" x14ac:dyDescent="0.25">
      <c r="A91" t="str">
        <f>Codificación!A90</f>
        <v/>
      </c>
      <c r="B91" s="1">
        <f>Codificación!B90</f>
        <v>0</v>
      </c>
      <c r="E91" s="4">
        <f>SUMIFS(Movimientos!$E$6:$E$16,Movimientos!$C$6:$C$16,Stocks!$A91,Movimientos!$F$6:$F$16,Stocks!E$3,Movimientos!$A$6:$A$16,"&lt;="&amp;Stocks!$A$2)-SUMIFS(Movimientos!$E$6:$E$16,Movimientos!$C$6:$C$16,Stocks!$A91,Movimientos!$G$6:$G$16,Stocks!E$3,Movimientos!$A$6:$A$16,"&lt;="&amp;Stocks!$A$2)</f>
        <v>0</v>
      </c>
      <c r="F91" s="4">
        <f>SUMIFS(Movimientos!$E$6:$E$16,Movimientos!$C$6:$C$16,Stocks!$A91,Movimientos!$F$6:$F$16,Stocks!F$3,Movimientos!$A$6:$A$16,"&lt;="&amp;Stocks!$A$2)-SUMIFS(Movimientos!$E$6:$E$16,Movimientos!$C$6:$C$16,Stocks!$A91,Movimientos!$G$6:$G$16,Stocks!F$3,Movimientos!$A$6:$A$16,"&lt;="&amp;Stocks!$A$2)</f>
        <v>0</v>
      </c>
      <c r="G91" s="4">
        <f>SUMIFS(Movimientos!$E$6:$E$16,Movimientos!$C$6:$C$16,Stocks!$A91,Movimientos!$F$6:$F$16,Stocks!G$3,Movimientos!$A$6:$A$16,"&lt;="&amp;Stocks!$A$2)-SUMIFS(Movimientos!$E$6:$E$16,Movimientos!$C$6:$C$16,Stocks!$A91,Movimientos!$G$6:$G$16,Stocks!G$3,Movimientos!$A$6:$A$16,"&lt;="&amp;Stocks!$A$2)</f>
        <v>0</v>
      </c>
      <c r="H91" s="4">
        <f>SUMIFS(Movimientos!$E$6:$E$16,Movimientos!$C$6:$C$16,Stocks!$A91,Movimientos!$F$6:$F$16,Stocks!H$3,Movimientos!$A$6:$A$16,"&lt;="&amp;Stocks!$A$2)-SUMIFS(Movimientos!$E$6:$E$16,Movimientos!$C$6:$C$16,Stocks!$A91,Movimientos!$G$6:$G$16,Stocks!H$3,Movimientos!$A$6:$A$16,"&lt;="&amp;Stocks!$A$2)</f>
        <v>0</v>
      </c>
      <c r="I91" s="4">
        <f>SUMIFS(Movimientos!$E$6:$E$16,Movimientos!$C$6:$C$16,Stocks!$A91,Movimientos!$F$6:$F$16,Stocks!I$3,Movimientos!$A$6:$A$16,"&lt;="&amp;Stocks!$A$2)-SUMIFS(Movimientos!$E$6:$E$16,Movimientos!$C$6:$C$16,Stocks!$A91,Movimientos!$G$6:$G$16,Stocks!I$3,Movimientos!$A$6:$A$16,"&lt;="&amp;Stocks!$A$2)</f>
        <v>0</v>
      </c>
      <c r="J91" s="4">
        <f>SUMIFS(Movimientos!$E$6:$E$16,Movimientos!$C$6:$C$16,Stocks!$A91,Movimientos!$F$6:$F$16,Stocks!J$3,Movimientos!$A$6:$A$16,"&lt;="&amp;Stocks!$A$2)-SUMIFS(Movimientos!$E$6:$E$16,Movimientos!$C$6:$C$16,Stocks!$A91,Movimientos!$G$6:$G$16,Stocks!J$3,Movimientos!$A$6:$A$16,"&lt;="&amp;Stocks!$A$2)</f>
        <v>0</v>
      </c>
      <c r="K91" s="4">
        <f>SUMIFS(Movimientos!$E$6:$E$16,Movimientos!$C$6:$C$16,Stocks!$A91,Movimientos!$F$6:$F$16,Stocks!K$3,Movimientos!$A$6:$A$16,"&lt;="&amp;Stocks!$A$2)-SUMIFS(Movimientos!$E$6:$E$16,Movimientos!$C$6:$C$16,Stocks!$A91,Movimientos!$G$6:$G$16,Stocks!K$3,Movimientos!$A$6:$A$16,"&lt;="&amp;Stocks!$A$2)</f>
        <v>0</v>
      </c>
      <c r="L91" s="4">
        <f>SUMIFS(Movimientos!$E$6:$E$16,Movimientos!$C$6:$C$16,Stocks!$A91,Movimientos!$F$6:$F$16,Stocks!L$3,Movimientos!$A$6:$A$16,"&lt;="&amp;Stocks!$A$2)-SUMIFS(Movimientos!$E$6:$E$16,Movimientos!$C$6:$C$16,Stocks!$A91,Movimientos!$G$6:$G$16,Stocks!L$3,Movimientos!$A$6:$A$16,"&lt;="&amp;Stocks!$A$2)</f>
        <v>0</v>
      </c>
    </row>
    <row r="92" spans="1:12" x14ac:dyDescent="0.25">
      <c r="A92" t="str">
        <f>Codificación!A91</f>
        <v/>
      </c>
      <c r="B92" s="1">
        <f>Codificación!B91</f>
        <v>0</v>
      </c>
      <c r="E92" s="4">
        <f>SUMIFS(Movimientos!$E$6:$E$16,Movimientos!$C$6:$C$16,Stocks!$A92,Movimientos!$F$6:$F$16,Stocks!E$3,Movimientos!$A$6:$A$16,"&lt;="&amp;Stocks!$A$2)-SUMIFS(Movimientos!$E$6:$E$16,Movimientos!$C$6:$C$16,Stocks!$A92,Movimientos!$G$6:$G$16,Stocks!E$3,Movimientos!$A$6:$A$16,"&lt;="&amp;Stocks!$A$2)</f>
        <v>0</v>
      </c>
      <c r="F92" s="4">
        <f>SUMIFS(Movimientos!$E$6:$E$16,Movimientos!$C$6:$C$16,Stocks!$A92,Movimientos!$F$6:$F$16,Stocks!F$3,Movimientos!$A$6:$A$16,"&lt;="&amp;Stocks!$A$2)-SUMIFS(Movimientos!$E$6:$E$16,Movimientos!$C$6:$C$16,Stocks!$A92,Movimientos!$G$6:$G$16,Stocks!F$3,Movimientos!$A$6:$A$16,"&lt;="&amp;Stocks!$A$2)</f>
        <v>0</v>
      </c>
      <c r="G92" s="4">
        <f>SUMIFS(Movimientos!$E$6:$E$16,Movimientos!$C$6:$C$16,Stocks!$A92,Movimientos!$F$6:$F$16,Stocks!G$3,Movimientos!$A$6:$A$16,"&lt;="&amp;Stocks!$A$2)-SUMIFS(Movimientos!$E$6:$E$16,Movimientos!$C$6:$C$16,Stocks!$A92,Movimientos!$G$6:$G$16,Stocks!G$3,Movimientos!$A$6:$A$16,"&lt;="&amp;Stocks!$A$2)</f>
        <v>0</v>
      </c>
      <c r="H92" s="4">
        <f>SUMIFS(Movimientos!$E$6:$E$16,Movimientos!$C$6:$C$16,Stocks!$A92,Movimientos!$F$6:$F$16,Stocks!H$3,Movimientos!$A$6:$A$16,"&lt;="&amp;Stocks!$A$2)-SUMIFS(Movimientos!$E$6:$E$16,Movimientos!$C$6:$C$16,Stocks!$A92,Movimientos!$G$6:$G$16,Stocks!H$3,Movimientos!$A$6:$A$16,"&lt;="&amp;Stocks!$A$2)</f>
        <v>0</v>
      </c>
      <c r="I92" s="4">
        <f>SUMIFS(Movimientos!$E$6:$E$16,Movimientos!$C$6:$C$16,Stocks!$A92,Movimientos!$F$6:$F$16,Stocks!I$3,Movimientos!$A$6:$A$16,"&lt;="&amp;Stocks!$A$2)-SUMIFS(Movimientos!$E$6:$E$16,Movimientos!$C$6:$C$16,Stocks!$A92,Movimientos!$G$6:$G$16,Stocks!I$3,Movimientos!$A$6:$A$16,"&lt;="&amp;Stocks!$A$2)</f>
        <v>0</v>
      </c>
      <c r="J92" s="4">
        <f>SUMIFS(Movimientos!$E$6:$E$16,Movimientos!$C$6:$C$16,Stocks!$A92,Movimientos!$F$6:$F$16,Stocks!J$3,Movimientos!$A$6:$A$16,"&lt;="&amp;Stocks!$A$2)-SUMIFS(Movimientos!$E$6:$E$16,Movimientos!$C$6:$C$16,Stocks!$A92,Movimientos!$G$6:$G$16,Stocks!J$3,Movimientos!$A$6:$A$16,"&lt;="&amp;Stocks!$A$2)</f>
        <v>0</v>
      </c>
      <c r="K92" s="4">
        <f>SUMIFS(Movimientos!$E$6:$E$16,Movimientos!$C$6:$C$16,Stocks!$A92,Movimientos!$F$6:$F$16,Stocks!K$3,Movimientos!$A$6:$A$16,"&lt;="&amp;Stocks!$A$2)-SUMIFS(Movimientos!$E$6:$E$16,Movimientos!$C$6:$C$16,Stocks!$A92,Movimientos!$G$6:$G$16,Stocks!K$3,Movimientos!$A$6:$A$16,"&lt;="&amp;Stocks!$A$2)</f>
        <v>0</v>
      </c>
      <c r="L92" s="4">
        <f>SUMIFS(Movimientos!$E$6:$E$16,Movimientos!$C$6:$C$16,Stocks!$A92,Movimientos!$F$6:$F$16,Stocks!L$3,Movimientos!$A$6:$A$16,"&lt;="&amp;Stocks!$A$2)-SUMIFS(Movimientos!$E$6:$E$16,Movimientos!$C$6:$C$16,Stocks!$A92,Movimientos!$G$6:$G$16,Stocks!L$3,Movimientos!$A$6:$A$16,"&lt;="&amp;Stocks!$A$2)</f>
        <v>0</v>
      </c>
    </row>
    <row r="93" spans="1:12" x14ac:dyDescent="0.25">
      <c r="A93" t="str">
        <f>Codificación!A92</f>
        <v/>
      </c>
      <c r="B93" s="1">
        <f>Codificación!B92</f>
        <v>0</v>
      </c>
      <c r="E93" s="4">
        <f>SUMIFS(Movimientos!$E$6:$E$16,Movimientos!$C$6:$C$16,Stocks!$A93,Movimientos!$F$6:$F$16,Stocks!E$3,Movimientos!$A$6:$A$16,"&lt;="&amp;Stocks!$A$2)-SUMIFS(Movimientos!$E$6:$E$16,Movimientos!$C$6:$C$16,Stocks!$A93,Movimientos!$G$6:$G$16,Stocks!E$3,Movimientos!$A$6:$A$16,"&lt;="&amp;Stocks!$A$2)</f>
        <v>0</v>
      </c>
      <c r="F93" s="4">
        <f>SUMIFS(Movimientos!$E$6:$E$16,Movimientos!$C$6:$C$16,Stocks!$A93,Movimientos!$F$6:$F$16,Stocks!F$3,Movimientos!$A$6:$A$16,"&lt;="&amp;Stocks!$A$2)-SUMIFS(Movimientos!$E$6:$E$16,Movimientos!$C$6:$C$16,Stocks!$A93,Movimientos!$G$6:$G$16,Stocks!F$3,Movimientos!$A$6:$A$16,"&lt;="&amp;Stocks!$A$2)</f>
        <v>0</v>
      </c>
      <c r="G93" s="4">
        <f>SUMIFS(Movimientos!$E$6:$E$16,Movimientos!$C$6:$C$16,Stocks!$A93,Movimientos!$F$6:$F$16,Stocks!G$3,Movimientos!$A$6:$A$16,"&lt;="&amp;Stocks!$A$2)-SUMIFS(Movimientos!$E$6:$E$16,Movimientos!$C$6:$C$16,Stocks!$A93,Movimientos!$G$6:$G$16,Stocks!G$3,Movimientos!$A$6:$A$16,"&lt;="&amp;Stocks!$A$2)</f>
        <v>0</v>
      </c>
      <c r="H93" s="4">
        <f>SUMIFS(Movimientos!$E$6:$E$16,Movimientos!$C$6:$C$16,Stocks!$A93,Movimientos!$F$6:$F$16,Stocks!H$3,Movimientos!$A$6:$A$16,"&lt;="&amp;Stocks!$A$2)-SUMIFS(Movimientos!$E$6:$E$16,Movimientos!$C$6:$C$16,Stocks!$A93,Movimientos!$G$6:$G$16,Stocks!H$3,Movimientos!$A$6:$A$16,"&lt;="&amp;Stocks!$A$2)</f>
        <v>0</v>
      </c>
      <c r="I93" s="4">
        <f>SUMIFS(Movimientos!$E$6:$E$16,Movimientos!$C$6:$C$16,Stocks!$A93,Movimientos!$F$6:$F$16,Stocks!I$3,Movimientos!$A$6:$A$16,"&lt;="&amp;Stocks!$A$2)-SUMIFS(Movimientos!$E$6:$E$16,Movimientos!$C$6:$C$16,Stocks!$A93,Movimientos!$G$6:$G$16,Stocks!I$3,Movimientos!$A$6:$A$16,"&lt;="&amp;Stocks!$A$2)</f>
        <v>0</v>
      </c>
      <c r="J93" s="4">
        <f>SUMIFS(Movimientos!$E$6:$E$16,Movimientos!$C$6:$C$16,Stocks!$A93,Movimientos!$F$6:$F$16,Stocks!J$3,Movimientos!$A$6:$A$16,"&lt;="&amp;Stocks!$A$2)-SUMIFS(Movimientos!$E$6:$E$16,Movimientos!$C$6:$C$16,Stocks!$A93,Movimientos!$G$6:$G$16,Stocks!J$3,Movimientos!$A$6:$A$16,"&lt;="&amp;Stocks!$A$2)</f>
        <v>0</v>
      </c>
      <c r="K93" s="4">
        <f>SUMIFS(Movimientos!$E$6:$E$16,Movimientos!$C$6:$C$16,Stocks!$A93,Movimientos!$F$6:$F$16,Stocks!K$3,Movimientos!$A$6:$A$16,"&lt;="&amp;Stocks!$A$2)-SUMIFS(Movimientos!$E$6:$E$16,Movimientos!$C$6:$C$16,Stocks!$A93,Movimientos!$G$6:$G$16,Stocks!K$3,Movimientos!$A$6:$A$16,"&lt;="&amp;Stocks!$A$2)</f>
        <v>0</v>
      </c>
      <c r="L93" s="4">
        <f>SUMIFS(Movimientos!$E$6:$E$16,Movimientos!$C$6:$C$16,Stocks!$A93,Movimientos!$F$6:$F$16,Stocks!L$3,Movimientos!$A$6:$A$16,"&lt;="&amp;Stocks!$A$2)-SUMIFS(Movimientos!$E$6:$E$16,Movimientos!$C$6:$C$16,Stocks!$A93,Movimientos!$G$6:$G$16,Stocks!L$3,Movimientos!$A$6:$A$16,"&lt;="&amp;Stocks!$A$2)</f>
        <v>0</v>
      </c>
    </row>
    <row r="94" spans="1:12" x14ac:dyDescent="0.25">
      <c r="A94" t="str">
        <f>Codificación!A93</f>
        <v/>
      </c>
      <c r="B94" s="1">
        <f>Codificación!B93</f>
        <v>0</v>
      </c>
      <c r="E94" s="4">
        <f>SUMIFS(Movimientos!$E$6:$E$16,Movimientos!$C$6:$C$16,Stocks!$A94,Movimientos!$F$6:$F$16,Stocks!E$3,Movimientos!$A$6:$A$16,"&lt;="&amp;Stocks!$A$2)-SUMIFS(Movimientos!$E$6:$E$16,Movimientos!$C$6:$C$16,Stocks!$A94,Movimientos!$G$6:$G$16,Stocks!E$3,Movimientos!$A$6:$A$16,"&lt;="&amp;Stocks!$A$2)</f>
        <v>0</v>
      </c>
      <c r="F94" s="4">
        <f>SUMIFS(Movimientos!$E$6:$E$16,Movimientos!$C$6:$C$16,Stocks!$A94,Movimientos!$F$6:$F$16,Stocks!F$3,Movimientos!$A$6:$A$16,"&lt;="&amp;Stocks!$A$2)-SUMIFS(Movimientos!$E$6:$E$16,Movimientos!$C$6:$C$16,Stocks!$A94,Movimientos!$G$6:$G$16,Stocks!F$3,Movimientos!$A$6:$A$16,"&lt;="&amp;Stocks!$A$2)</f>
        <v>0</v>
      </c>
      <c r="G94" s="4">
        <f>SUMIFS(Movimientos!$E$6:$E$16,Movimientos!$C$6:$C$16,Stocks!$A94,Movimientos!$F$6:$F$16,Stocks!G$3,Movimientos!$A$6:$A$16,"&lt;="&amp;Stocks!$A$2)-SUMIFS(Movimientos!$E$6:$E$16,Movimientos!$C$6:$C$16,Stocks!$A94,Movimientos!$G$6:$G$16,Stocks!G$3,Movimientos!$A$6:$A$16,"&lt;="&amp;Stocks!$A$2)</f>
        <v>0</v>
      </c>
      <c r="H94" s="4">
        <f>SUMIFS(Movimientos!$E$6:$E$16,Movimientos!$C$6:$C$16,Stocks!$A94,Movimientos!$F$6:$F$16,Stocks!H$3,Movimientos!$A$6:$A$16,"&lt;="&amp;Stocks!$A$2)-SUMIFS(Movimientos!$E$6:$E$16,Movimientos!$C$6:$C$16,Stocks!$A94,Movimientos!$G$6:$G$16,Stocks!H$3,Movimientos!$A$6:$A$16,"&lt;="&amp;Stocks!$A$2)</f>
        <v>0</v>
      </c>
      <c r="I94" s="4">
        <f>SUMIFS(Movimientos!$E$6:$E$16,Movimientos!$C$6:$C$16,Stocks!$A94,Movimientos!$F$6:$F$16,Stocks!I$3,Movimientos!$A$6:$A$16,"&lt;="&amp;Stocks!$A$2)-SUMIFS(Movimientos!$E$6:$E$16,Movimientos!$C$6:$C$16,Stocks!$A94,Movimientos!$G$6:$G$16,Stocks!I$3,Movimientos!$A$6:$A$16,"&lt;="&amp;Stocks!$A$2)</f>
        <v>0</v>
      </c>
      <c r="J94" s="4">
        <f>SUMIFS(Movimientos!$E$6:$E$16,Movimientos!$C$6:$C$16,Stocks!$A94,Movimientos!$F$6:$F$16,Stocks!J$3,Movimientos!$A$6:$A$16,"&lt;="&amp;Stocks!$A$2)-SUMIFS(Movimientos!$E$6:$E$16,Movimientos!$C$6:$C$16,Stocks!$A94,Movimientos!$G$6:$G$16,Stocks!J$3,Movimientos!$A$6:$A$16,"&lt;="&amp;Stocks!$A$2)</f>
        <v>0</v>
      </c>
      <c r="K94" s="4">
        <f>SUMIFS(Movimientos!$E$6:$E$16,Movimientos!$C$6:$C$16,Stocks!$A94,Movimientos!$F$6:$F$16,Stocks!K$3,Movimientos!$A$6:$A$16,"&lt;="&amp;Stocks!$A$2)-SUMIFS(Movimientos!$E$6:$E$16,Movimientos!$C$6:$C$16,Stocks!$A94,Movimientos!$G$6:$G$16,Stocks!K$3,Movimientos!$A$6:$A$16,"&lt;="&amp;Stocks!$A$2)</f>
        <v>0</v>
      </c>
      <c r="L94" s="4">
        <f>SUMIFS(Movimientos!$E$6:$E$16,Movimientos!$C$6:$C$16,Stocks!$A94,Movimientos!$F$6:$F$16,Stocks!L$3,Movimientos!$A$6:$A$16,"&lt;="&amp;Stocks!$A$2)-SUMIFS(Movimientos!$E$6:$E$16,Movimientos!$C$6:$C$16,Stocks!$A94,Movimientos!$G$6:$G$16,Stocks!L$3,Movimientos!$A$6:$A$16,"&lt;="&amp;Stocks!$A$2)</f>
        <v>0</v>
      </c>
    </row>
    <row r="95" spans="1:12" x14ac:dyDescent="0.25">
      <c r="A95" t="str">
        <f>Codificación!A94</f>
        <v/>
      </c>
      <c r="B95" s="1">
        <f>Codificación!B94</f>
        <v>0</v>
      </c>
      <c r="E95" s="4">
        <f>SUMIFS(Movimientos!$E$6:$E$16,Movimientos!$C$6:$C$16,Stocks!$A95,Movimientos!$F$6:$F$16,Stocks!E$3,Movimientos!$A$6:$A$16,"&lt;="&amp;Stocks!$A$2)-SUMIFS(Movimientos!$E$6:$E$16,Movimientos!$C$6:$C$16,Stocks!$A95,Movimientos!$G$6:$G$16,Stocks!E$3,Movimientos!$A$6:$A$16,"&lt;="&amp;Stocks!$A$2)</f>
        <v>0</v>
      </c>
      <c r="F95" s="4">
        <f>SUMIFS(Movimientos!$E$6:$E$16,Movimientos!$C$6:$C$16,Stocks!$A95,Movimientos!$F$6:$F$16,Stocks!F$3,Movimientos!$A$6:$A$16,"&lt;="&amp;Stocks!$A$2)-SUMIFS(Movimientos!$E$6:$E$16,Movimientos!$C$6:$C$16,Stocks!$A95,Movimientos!$G$6:$G$16,Stocks!F$3,Movimientos!$A$6:$A$16,"&lt;="&amp;Stocks!$A$2)</f>
        <v>0</v>
      </c>
      <c r="G95" s="4">
        <f>SUMIFS(Movimientos!$E$6:$E$16,Movimientos!$C$6:$C$16,Stocks!$A95,Movimientos!$F$6:$F$16,Stocks!G$3,Movimientos!$A$6:$A$16,"&lt;="&amp;Stocks!$A$2)-SUMIFS(Movimientos!$E$6:$E$16,Movimientos!$C$6:$C$16,Stocks!$A95,Movimientos!$G$6:$G$16,Stocks!G$3,Movimientos!$A$6:$A$16,"&lt;="&amp;Stocks!$A$2)</f>
        <v>0</v>
      </c>
      <c r="H95" s="4">
        <f>SUMIFS(Movimientos!$E$6:$E$16,Movimientos!$C$6:$C$16,Stocks!$A95,Movimientos!$F$6:$F$16,Stocks!H$3,Movimientos!$A$6:$A$16,"&lt;="&amp;Stocks!$A$2)-SUMIFS(Movimientos!$E$6:$E$16,Movimientos!$C$6:$C$16,Stocks!$A95,Movimientos!$G$6:$G$16,Stocks!H$3,Movimientos!$A$6:$A$16,"&lt;="&amp;Stocks!$A$2)</f>
        <v>0</v>
      </c>
      <c r="I95" s="4">
        <f>SUMIFS(Movimientos!$E$6:$E$16,Movimientos!$C$6:$C$16,Stocks!$A95,Movimientos!$F$6:$F$16,Stocks!I$3,Movimientos!$A$6:$A$16,"&lt;="&amp;Stocks!$A$2)-SUMIFS(Movimientos!$E$6:$E$16,Movimientos!$C$6:$C$16,Stocks!$A95,Movimientos!$G$6:$G$16,Stocks!I$3,Movimientos!$A$6:$A$16,"&lt;="&amp;Stocks!$A$2)</f>
        <v>0</v>
      </c>
      <c r="J95" s="4">
        <f>SUMIFS(Movimientos!$E$6:$E$16,Movimientos!$C$6:$C$16,Stocks!$A95,Movimientos!$F$6:$F$16,Stocks!J$3,Movimientos!$A$6:$A$16,"&lt;="&amp;Stocks!$A$2)-SUMIFS(Movimientos!$E$6:$E$16,Movimientos!$C$6:$C$16,Stocks!$A95,Movimientos!$G$6:$G$16,Stocks!J$3,Movimientos!$A$6:$A$16,"&lt;="&amp;Stocks!$A$2)</f>
        <v>0</v>
      </c>
      <c r="K95" s="4">
        <f>SUMIFS(Movimientos!$E$6:$E$16,Movimientos!$C$6:$C$16,Stocks!$A95,Movimientos!$F$6:$F$16,Stocks!K$3,Movimientos!$A$6:$A$16,"&lt;="&amp;Stocks!$A$2)-SUMIFS(Movimientos!$E$6:$E$16,Movimientos!$C$6:$C$16,Stocks!$A95,Movimientos!$G$6:$G$16,Stocks!K$3,Movimientos!$A$6:$A$16,"&lt;="&amp;Stocks!$A$2)</f>
        <v>0</v>
      </c>
      <c r="L95" s="4">
        <f>SUMIFS(Movimientos!$E$6:$E$16,Movimientos!$C$6:$C$16,Stocks!$A95,Movimientos!$F$6:$F$16,Stocks!L$3,Movimientos!$A$6:$A$16,"&lt;="&amp;Stocks!$A$2)-SUMIFS(Movimientos!$E$6:$E$16,Movimientos!$C$6:$C$16,Stocks!$A95,Movimientos!$G$6:$G$16,Stocks!L$3,Movimientos!$A$6:$A$16,"&lt;="&amp;Stocks!$A$2)</f>
        <v>0</v>
      </c>
    </row>
    <row r="96" spans="1:12" x14ac:dyDescent="0.25">
      <c r="A96" t="str">
        <f>Codificación!A95</f>
        <v/>
      </c>
      <c r="B96" s="1">
        <f>Codificación!B95</f>
        <v>0</v>
      </c>
      <c r="E96" s="4">
        <f>SUMIFS(Movimientos!$E$6:$E$16,Movimientos!$C$6:$C$16,Stocks!$A96,Movimientos!$F$6:$F$16,Stocks!E$3,Movimientos!$A$6:$A$16,"&lt;="&amp;Stocks!$A$2)-SUMIFS(Movimientos!$E$6:$E$16,Movimientos!$C$6:$C$16,Stocks!$A96,Movimientos!$G$6:$G$16,Stocks!E$3,Movimientos!$A$6:$A$16,"&lt;="&amp;Stocks!$A$2)</f>
        <v>0</v>
      </c>
      <c r="F96" s="4">
        <f>SUMIFS(Movimientos!$E$6:$E$16,Movimientos!$C$6:$C$16,Stocks!$A96,Movimientos!$F$6:$F$16,Stocks!F$3,Movimientos!$A$6:$A$16,"&lt;="&amp;Stocks!$A$2)-SUMIFS(Movimientos!$E$6:$E$16,Movimientos!$C$6:$C$16,Stocks!$A96,Movimientos!$G$6:$G$16,Stocks!F$3,Movimientos!$A$6:$A$16,"&lt;="&amp;Stocks!$A$2)</f>
        <v>0</v>
      </c>
      <c r="G96" s="4">
        <f>SUMIFS(Movimientos!$E$6:$E$16,Movimientos!$C$6:$C$16,Stocks!$A96,Movimientos!$F$6:$F$16,Stocks!G$3,Movimientos!$A$6:$A$16,"&lt;="&amp;Stocks!$A$2)-SUMIFS(Movimientos!$E$6:$E$16,Movimientos!$C$6:$C$16,Stocks!$A96,Movimientos!$G$6:$G$16,Stocks!G$3,Movimientos!$A$6:$A$16,"&lt;="&amp;Stocks!$A$2)</f>
        <v>0</v>
      </c>
      <c r="H96" s="4">
        <f>SUMIFS(Movimientos!$E$6:$E$16,Movimientos!$C$6:$C$16,Stocks!$A96,Movimientos!$F$6:$F$16,Stocks!H$3,Movimientos!$A$6:$A$16,"&lt;="&amp;Stocks!$A$2)-SUMIFS(Movimientos!$E$6:$E$16,Movimientos!$C$6:$C$16,Stocks!$A96,Movimientos!$G$6:$G$16,Stocks!H$3,Movimientos!$A$6:$A$16,"&lt;="&amp;Stocks!$A$2)</f>
        <v>0</v>
      </c>
      <c r="I96" s="4">
        <f>SUMIFS(Movimientos!$E$6:$E$16,Movimientos!$C$6:$C$16,Stocks!$A96,Movimientos!$F$6:$F$16,Stocks!I$3,Movimientos!$A$6:$A$16,"&lt;="&amp;Stocks!$A$2)-SUMIFS(Movimientos!$E$6:$E$16,Movimientos!$C$6:$C$16,Stocks!$A96,Movimientos!$G$6:$G$16,Stocks!I$3,Movimientos!$A$6:$A$16,"&lt;="&amp;Stocks!$A$2)</f>
        <v>0</v>
      </c>
      <c r="J96" s="4">
        <f>SUMIFS(Movimientos!$E$6:$E$16,Movimientos!$C$6:$C$16,Stocks!$A96,Movimientos!$F$6:$F$16,Stocks!J$3,Movimientos!$A$6:$A$16,"&lt;="&amp;Stocks!$A$2)-SUMIFS(Movimientos!$E$6:$E$16,Movimientos!$C$6:$C$16,Stocks!$A96,Movimientos!$G$6:$G$16,Stocks!J$3,Movimientos!$A$6:$A$16,"&lt;="&amp;Stocks!$A$2)</f>
        <v>0</v>
      </c>
      <c r="K96" s="4">
        <f>SUMIFS(Movimientos!$E$6:$E$16,Movimientos!$C$6:$C$16,Stocks!$A96,Movimientos!$F$6:$F$16,Stocks!K$3,Movimientos!$A$6:$A$16,"&lt;="&amp;Stocks!$A$2)-SUMIFS(Movimientos!$E$6:$E$16,Movimientos!$C$6:$C$16,Stocks!$A96,Movimientos!$G$6:$G$16,Stocks!K$3,Movimientos!$A$6:$A$16,"&lt;="&amp;Stocks!$A$2)</f>
        <v>0</v>
      </c>
      <c r="L96" s="4">
        <f>SUMIFS(Movimientos!$E$6:$E$16,Movimientos!$C$6:$C$16,Stocks!$A96,Movimientos!$F$6:$F$16,Stocks!L$3,Movimientos!$A$6:$A$16,"&lt;="&amp;Stocks!$A$2)-SUMIFS(Movimientos!$E$6:$E$16,Movimientos!$C$6:$C$16,Stocks!$A96,Movimientos!$G$6:$G$16,Stocks!L$3,Movimientos!$A$6:$A$16,"&lt;="&amp;Stocks!$A$2)</f>
        <v>0</v>
      </c>
    </row>
    <row r="97" spans="1:12" x14ac:dyDescent="0.25">
      <c r="A97" t="str">
        <f>Codificación!A96</f>
        <v/>
      </c>
      <c r="B97" s="1">
        <f>Codificación!B96</f>
        <v>0</v>
      </c>
      <c r="E97" s="4">
        <f>SUMIFS(Movimientos!$E$6:$E$16,Movimientos!$C$6:$C$16,Stocks!$A97,Movimientos!$F$6:$F$16,Stocks!E$3,Movimientos!$A$6:$A$16,"&lt;="&amp;Stocks!$A$2)-SUMIFS(Movimientos!$E$6:$E$16,Movimientos!$C$6:$C$16,Stocks!$A97,Movimientos!$G$6:$G$16,Stocks!E$3,Movimientos!$A$6:$A$16,"&lt;="&amp;Stocks!$A$2)</f>
        <v>0</v>
      </c>
      <c r="F97" s="4">
        <f>SUMIFS(Movimientos!$E$6:$E$16,Movimientos!$C$6:$C$16,Stocks!$A97,Movimientos!$F$6:$F$16,Stocks!F$3,Movimientos!$A$6:$A$16,"&lt;="&amp;Stocks!$A$2)-SUMIFS(Movimientos!$E$6:$E$16,Movimientos!$C$6:$C$16,Stocks!$A97,Movimientos!$G$6:$G$16,Stocks!F$3,Movimientos!$A$6:$A$16,"&lt;="&amp;Stocks!$A$2)</f>
        <v>0</v>
      </c>
      <c r="G97" s="4">
        <f>SUMIFS(Movimientos!$E$6:$E$16,Movimientos!$C$6:$C$16,Stocks!$A97,Movimientos!$F$6:$F$16,Stocks!G$3,Movimientos!$A$6:$A$16,"&lt;="&amp;Stocks!$A$2)-SUMIFS(Movimientos!$E$6:$E$16,Movimientos!$C$6:$C$16,Stocks!$A97,Movimientos!$G$6:$G$16,Stocks!G$3,Movimientos!$A$6:$A$16,"&lt;="&amp;Stocks!$A$2)</f>
        <v>0</v>
      </c>
      <c r="H97" s="4">
        <f>SUMIFS(Movimientos!$E$6:$E$16,Movimientos!$C$6:$C$16,Stocks!$A97,Movimientos!$F$6:$F$16,Stocks!H$3,Movimientos!$A$6:$A$16,"&lt;="&amp;Stocks!$A$2)-SUMIFS(Movimientos!$E$6:$E$16,Movimientos!$C$6:$C$16,Stocks!$A97,Movimientos!$G$6:$G$16,Stocks!H$3,Movimientos!$A$6:$A$16,"&lt;="&amp;Stocks!$A$2)</f>
        <v>0</v>
      </c>
      <c r="I97" s="4">
        <f>SUMIFS(Movimientos!$E$6:$E$16,Movimientos!$C$6:$C$16,Stocks!$A97,Movimientos!$F$6:$F$16,Stocks!I$3,Movimientos!$A$6:$A$16,"&lt;="&amp;Stocks!$A$2)-SUMIFS(Movimientos!$E$6:$E$16,Movimientos!$C$6:$C$16,Stocks!$A97,Movimientos!$G$6:$G$16,Stocks!I$3,Movimientos!$A$6:$A$16,"&lt;="&amp;Stocks!$A$2)</f>
        <v>0</v>
      </c>
      <c r="J97" s="4">
        <f>SUMIFS(Movimientos!$E$6:$E$16,Movimientos!$C$6:$C$16,Stocks!$A97,Movimientos!$F$6:$F$16,Stocks!J$3,Movimientos!$A$6:$A$16,"&lt;="&amp;Stocks!$A$2)-SUMIFS(Movimientos!$E$6:$E$16,Movimientos!$C$6:$C$16,Stocks!$A97,Movimientos!$G$6:$G$16,Stocks!J$3,Movimientos!$A$6:$A$16,"&lt;="&amp;Stocks!$A$2)</f>
        <v>0</v>
      </c>
      <c r="K97" s="4">
        <f>SUMIFS(Movimientos!$E$6:$E$16,Movimientos!$C$6:$C$16,Stocks!$A97,Movimientos!$F$6:$F$16,Stocks!K$3,Movimientos!$A$6:$A$16,"&lt;="&amp;Stocks!$A$2)-SUMIFS(Movimientos!$E$6:$E$16,Movimientos!$C$6:$C$16,Stocks!$A97,Movimientos!$G$6:$G$16,Stocks!K$3,Movimientos!$A$6:$A$16,"&lt;="&amp;Stocks!$A$2)</f>
        <v>0</v>
      </c>
      <c r="L97" s="4">
        <f>SUMIFS(Movimientos!$E$6:$E$16,Movimientos!$C$6:$C$16,Stocks!$A97,Movimientos!$F$6:$F$16,Stocks!L$3,Movimientos!$A$6:$A$16,"&lt;="&amp;Stocks!$A$2)-SUMIFS(Movimientos!$E$6:$E$16,Movimientos!$C$6:$C$16,Stocks!$A97,Movimientos!$G$6:$G$16,Stocks!L$3,Movimientos!$A$6:$A$16,"&lt;="&amp;Stocks!$A$2)</f>
        <v>0</v>
      </c>
    </row>
    <row r="98" spans="1:12" x14ac:dyDescent="0.25">
      <c r="A98" t="str">
        <f>Codificación!A97</f>
        <v/>
      </c>
      <c r="B98" s="1">
        <f>Codificación!B97</f>
        <v>0</v>
      </c>
      <c r="E98" s="4">
        <f>SUMIFS(Movimientos!$E$6:$E$16,Movimientos!$C$6:$C$16,Stocks!$A98,Movimientos!$F$6:$F$16,Stocks!E$3,Movimientos!$A$6:$A$16,"&lt;="&amp;Stocks!$A$2)-SUMIFS(Movimientos!$E$6:$E$16,Movimientos!$C$6:$C$16,Stocks!$A98,Movimientos!$G$6:$G$16,Stocks!E$3,Movimientos!$A$6:$A$16,"&lt;="&amp;Stocks!$A$2)</f>
        <v>0</v>
      </c>
      <c r="F98" s="4">
        <f>SUMIFS(Movimientos!$E$6:$E$16,Movimientos!$C$6:$C$16,Stocks!$A98,Movimientos!$F$6:$F$16,Stocks!F$3,Movimientos!$A$6:$A$16,"&lt;="&amp;Stocks!$A$2)-SUMIFS(Movimientos!$E$6:$E$16,Movimientos!$C$6:$C$16,Stocks!$A98,Movimientos!$G$6:$G$16,Stocks!F$3,Movimientos!$A$6:$A$16,"&lt;="&amp;Stocks!$A$2)</f>
        <v>0</v>
      </c>
      <c r="G98" s="4">
        <f>SUMIFS(Movimientos!$E$6:$E$16,Movimientos!$C$6:$C$16,Stocks!$A98,Movimientos!$F$6:$F$16,Stocks!G$3,Movimientos!$A$6:$A$16,"&lt;="&amp;Stocks!$A$2)-SUMIFS(Movimientos!$E$6:$E$16,Movimientos!$C$6:$C$16,Stocks!$A98,Movimientos!$G$6:$G$16,Stocks!G$3,Movimientos!$A$6:$A$16,"&lt;="&amp;Stocks!$A$2)</f>
        <v>0</v>
      </c>
      <c r="H98" s="4">
        <f>SUMIFS(Movimientos!$E$6:$E$16,Movimientos!$C$6:$C$16,Stocks!$A98,Movimientos!$F$6:$F$16,Stocks!H$3,Movimientos!$A$6:$A$16,"&lt;="&amp;Stocks!$A$2)-SUMIFS(Movimientos!$E$6:$E$16,Movimientos!$C$6:$C$16,Stocks!$A98,Movimientos!$G$6:$G$16,Stocks!H$3,Movimientos!$A$6:$A$16,"&lt;="&amp;Stocks!$A$2)</f>
        <v>0</v>
      </c>
      <c r="I98" s="4">
        <f>SUMIFS(Movimientos!$E$6:$E$16,Movimientos!$C$6:$C$16,Stocks!$A98,Movimientos!$F$6:$F$16,Stocks!I$3,Movimientos!$A$6:$A$16,"&lt;="&amp;Stocks!$A$2)-SUMIFS(Movimientos!$E$6:$E$16,Movimientos!$C$6:$C$16,Stocks!$A98,Movimientos!$G$6:$G$16,Stocks!I$3,Movimientos!$A$6:$A$16,"&lt;="&amp;Stocks!$A$2)</f>
        <v>0</v>
      </c>
      <c r="J98" s="4">
        <f>SUMIFS(Movimientos!$E$6:$E$16,Movimientos!$C$6:$C$16,Stocks!$A98,Movimientos!$F$6:$F$16,Stocks!J$3,Movimientos!$A$6:$A$16,"&lt;="&amp;Stocks!$A$2)-SUMIFS(Movimientos!$E$6:$E$16,Movimientos!$C$6:$C$16,Stocks!$A98,Movimientos!$G$6:$G$16,Stocks!J$3,Movimientos!$A$6:$A$16,"&lt;="&amp;Stocks!$A$2)</f>
        <v>0</v>
      </c>
      <c r="K98" s="4">
        <f>SUMIFS(Movimientos!$E$6:$E$16,Movimientos!$C$6:$C$16,Stocks!$A98,Movimientos!$F$6:$F$16,Stocks!K$3,Movimientos!$A$6:$A$16,"&lt;="&amp;Stocks!$A$2)-SUMIFS(Movimientos!$E$6:$E$16,Movimientos!$C$6:$C$16,Stocks!$A98,Movimientos!$G$6:$G$16,Stocks!K$3,Movimientos!$A$6:$A$16,"&lt;="&amp;Stocks!$A$2)</f>
        <v>0</v>
      </c>
      <c r="L98" s="4">
        <f>SUMIFS(Movimientos!$E$6:$E$16,Movimientos!$C$6:$C$16,Stocks!$A98,Movimientos!$F$6:$F$16,Stocks!L$3,Movimientos!$A$6:$A$16,"&lt;="&amp;Stocks!$A$2)-SUMIFS(Movimientos!$E$6:$E$16,Movimientos!$C$6:$C$16,Stocks!$A98,Movimientos!$G$6:$G$16,Stocks!L$3,Movimientos!$A$6:$A$16,"&lt;="&amp;Stocks!$A$2)</f>
        <v>0</v>
      </c>
    </row>
    <row r="99" spans="1:12" x14ac:dyDescent="0.25">
      <c r="A99" t="str">
        <f>Codificación!A98</f>
        <v/>
      </c>
      <c r="B99" s="1">
        <f>Codificación!B98</f>
        <v>0</v>
      </c>
      <c r="E99" s="4">
        <f>SUMIFS(Movimientos!$E$6:$E$16,Movimientos!$C$6:$C$16,Stocks!$A99,Movimientos!$F$6:$F$16,Stocks!E$3,Movimientos!$A$6:$A$16,"&lt;="&amp;Stocks!$A$2)-SUMIFS(Movimientos!$E$6:$E$16,Movimientos!$C$6:$C$16,Stocks!$A99,Movimientos!$G$6:$G$16,Stocks!E$3,Movimientos!$A$6:$A$16,"&lt;="&amp;Stocks!$A$2)</f>
        <v>0</v>
      </c>
      <c r="F99" s="4">
        <f>SUMIFS(Movimientos!$E$6:$E$16,Movimientos!$C$6:$C$16,Stocks!$A99,Movimientos!$F$6:$F$16,Stocks!F$3,Movimientos!$A$6:$A$16,"&lt;="&amp;Stocks!$A$2)-SUMIFS(Movimientos!$E$6:$E$16,Movimientos!$C$6:$C$16,Stocks!$A99,Movimientos!$G$6:$G$16,Stocks!F$3,Movimientos!$A$6:$A$16,"&lt;="&amp;Stocks!$A$2)</f>
        <v>0</v>
      </c>
      <c r="G99" s="4">
        <f>SUMIFS(Movimientos!$E$6:$E$16,Movimientos!$C$6:$C$16,Stocks!$A99,Movimientos!$F$6:$F$16,Stocks!G$3,Movimientos!$A$6:$A$16,"&lt;="&amp;Stocks!$A$2)-SUMIFS(Movimientos!$E$6:$E$16,Movimientos!$C$6:$C$16,Stocks!$A99,Movimientos!$G$6:$G$16,Stocks!G$3,Movimientos!$A$6:$A$16,"&lt;="&amp;Stocks!$A$2)</f>
        <v>0</v>
      </c>
      <c r="H99" s="4">
        <f>SUMIFS(Movimientos!$E$6:$E$16,Movimientos!$C$6:$C$16,Stocks!$A99,Movimientos!$F$6:$F$16,Stocks!H$3,Movimientos!$A$6:$A$16,"&lt;="&amp;Stocks!$A$2)-SUMIFS(Movimientos!$E$6:$E$16,Movimientos!$C$6:$C$16,Stocks!$A99,Movimientos!$G$6:$G$16,Stocks!H$3,Movimientos!$A$6:$A$16,"&lt;="&amp;Stocks!$A$2)</f>
        <v>0</v>
      </c>
      <c r="I99" s="4">
        <f>SUMIFS(Movimientos!$E$6:$E$16,Movimientos!$C$6:$C$16,Stocks!$A99,Movimientos!$F$6:$F$16,Stocks!I$3,Movimientos!$A$6:$A$16,"&lt;="&amp;Stocks!$A$2)-SUMIFS(Movimientos!$E$6:$E$16,Movimientos!$C$6:$C$16,Stocks!$A99,Movimientos!$G$6:$G$16,Stocks!I$3,Movimientos!$A$6:$A$16,"&lt;="&amp;Stocks!$A$2)</f>
        <v>0</v>
      </c>
      <c r="J99" s="4">
        <f>SUMIFS(Movimientos!$E$6:$E$16,Movimientos!$C$6:$C$16,Stocks!$A99,Movimientos!$F$6:$F$16,Stocks!J$3,Movimientos!$A$6:$A$16,"&lt;="&amp;Stocks!$A$2)-SUMIFS(Movimientos!$E$6:$E$16,Movimientos!$C$6:$C$16,Stocks!$A99,Movimientos!$G$6:$G$16,Stocks!J$3,Movimientos!$A$6:$A$16,"&lt;="&amp;Stocks!$A$2)</f>
        <v>0</v>
      </c>
      <c r="K99" s="4">
        <f>SUMIFS(Movimientos!$E$6:$E$16,Movimientos!$C$6:$C$16,Stocks!$A99,Movimientos!$F$6:$F$16,Stocks!K$3,Movimientos!$A$6:$A$16,"&lt;="&amp;Stocks!$A$2)-SUMIFS(Movimientos!$E$6:$E$16,Movimientos!$C$6:$C$16,Stocks!$A99,Movimientos!$G$6:$G$16,Stocks!K$3,Movimientos!$A$6:$A$16,"&lt;="&amp;Stocks!$A$2)</f>
        <v>0</v>
      </c>
      <c r="L99" s="4">
        <f>SUMIFS(Movimientos!$E$6:$E$16,Movimientos!$C$6:$C$16,Stocks!$A99,Movimientos!$F$6:$F$16,Stocks!L$3,Movimientos!$A$6:$A$16,"&lt;="&amp;Stocks!$A$2)-SUMIFS(Movimientos!$E$6:$E$16,Movimientos!$C$6:$C$16,Stocks!$A99,Movimientos!$G$6:$G$16,Stocks!L$3,Movimientos!$A$6:$A$16,"&lt;="&amp;Stocks!$A$2)</f>
        <v>0</v>
      </c>
    </row>
    <row r="100" spans="1:12" x14ac:dyDescent="0.25">
      <c r="A100" t="str">
        <f>Codificación!A99</f>
        <v/>
      </c>
      <c r="B100" s="1">
        <f>Codificación!B99</f>
        <v>0</v>
      </c>
      <c r="E100" s="4">
        <f>SUMIFS(Movimientos!$E$6:$E$16,Movimientos!$C$6:$C$16,Stocks!$A100,Movimientos!$F$6:$F$16,Stocks!E$3,Movimientos!$A$6:$A$16,"&lt;="&amp;Stocks!$A$2)-SUMIFS(Movimientos!$E$6:$E$16,Movimientos!$C$6:$C$16,Stocks!$A100,Movimientos!$G$6:$G$16,Stocks!E$3,Movimientos!$A$6:$A$16,"&lt;="&amp;Stocks!$A$2)</f>
        <v>0</v>
      </c>
      <c r="F100" s="4">
        <f>SUMIFS(Movimientos!$E$6:$E$16,Movimientos!$C$6:$C$16,Stocks!$A100,Movimientos!$F$6:$F$16,Stocks!F$3,Movimientos!$A$6:$A$16,"&lt;="&amp;Stocks!$A$2)-SUMIFS(Movimientos!$E$6:$E$16,Movimientos!$C$6:$C$16,Stocks!$A100,Movimientos!$G$6:$G$16,Stocks!F$3,Movimientos!$A$6:$A$16,"&lt;="&amp;Stocks!$A$2)</f>
        <v>0</v>
      </c>
      <c r="G100" s="4">
        <f>SUMIFS(Movimientos!$E$6:$E$16,Movimientos!$C$6:$C$16,Stocks!$A100,Movimientos!$F$6:$F$16,Stocks!G$3,Movimientos!$A$6:$A$16,"&lt;="&amp;Stocks!$A$2)-SUMIFS(Movimientos!$E$6:$E$16,Movimientos!$C$6:$C$16,Stocks!$A100,Movimientos!$G$6:$G$16,Stocks!G$3,Movimientos!$A$6:$A$16,"&lt;="&amp;Stocks!$A$2)</f>
        <v>0</v>
      </c>
      <c r="H100" s="4">
        <f>SUMIFS(Movimientos!$E$6:$E$16,Movimientos!$C$6:$C$16,Stocks!$A100,Movimientos!$F$6:$F$16,Stocks!H$3,Movimientos!$A$6:$A$16,"&lt;="&amp;Stocks!$A$2)-SUMIFS(Movimientos!$E$6:$E$16,Movimientos!$C$6:$C$16,Stocks!$A100,Movimientos!$G$6:$G$16,Stocks!H$3,Movimientos!$A$6:$A$16,"&lt;="&amp;Stocks!$A$2)</f>
        <v>0</v>
      </c>
      <c r="I100" s="4">
        <f>SUMIFS(Movimientos!$E$6:$E$16,Movimientos!$C$6:$C$16,Stocks!$A100,Movimientos!$F$6:$F$16,Stocks!I$3,Movimientos!$A$6:$A$16,"&lt;="&amp;Stocks!$A$2)-SUMIFS(Movimientos!$E$6:$E$16,Movimientos!$C$6:$C$16,Stocks!$A100,Movimientos!$G$6:$G$16,Stocks!I$3,Movimientos!$A$6:$A$16,"&lt;="&amp;Stocks!$A$2)</f>
        <v>0</v>
      </c>
      <c r="J100" s="4">
        <f>SUMIFS(Movimientos!$E$6:$E$16,Movimientos!$C$6:$C$16,Stocks!$A100,Movimientos!$F$6:$F$16,Stocks!J$3,Movimientos!$A$6:$A$16,"&lt;="&amp;Stocks!$A$2)-SUMIFS(Movimientos!$E$6:$E$16,Movimientos!$C$6:$C$16,Stocks!$A100,Movimientos!$G$6:$G$16,Stocks!J$3,Movimientos!$A$6:$A$16,"&lt;="&amp;Stocks!$A$2)</f>
        <v>0</v>
      </c>
      <c r="K100" s="4">
        <f>SUMIFS(Movimientos!$E$6:$E$16,Movimientos!$C$6:$C$16,Stocks!$A100,Movimientos!$F$6:$F$16,Stocks!K$3,Movimientos!$A$6:$A$16,"&lt;="&amp;Stocks!$A$2)-SUMIFS(Movimientos!$E$6:$E$16,Movimientos!$C$6:$C$16,Stocks!$A100,Movimientos!$G$6:$G$16,Stocks!K$3,Movimientos!$A$6:$A$16,"&lt;="&amp;Stocks!$A$2)</f>
        <v>0</v>
      </c>
      <c r="L100" s="4">
        <f>SUMIFS(Movimientos!$E$6:$E$16,Movimientos!$C$6:$C$16,Stocks!$A100,Movimientos!$F$6:$F$16,Stocks!L$3,Movimientos!$A$6:$A$16,"&lt;="&amp;Stocks!$A$2)-SUMIFS(Movimientos!$E$6:$E$16,Movimientos!$C$6:$C$16,Stocks!$A100,Movimientos!$G$6:$G$16,Stocks!L$3,Movimientos!$A$6:$A$16,"&lt;="&amp;Stocks!$A$2)</f>
        <v>0</v>
      </c>
    </row>
    <row r="101" spans="1:12" x14ac:dyDescent="0.25">
      <c r="A101" t="str">
        <f>Codificación!A100</f>
        <v/>
      </c>
      <c r="B101" s="1">
        <f>Codificación!B100</f>
        <v>0</v>
      </c>
      <c r="E101" s="4">
        <f>SUMIFS(Movimientos!$E$6:$E$16,Movimientos!$C$6:$C$16,Stocks!$A101,Movimientos!$F$6:$F$16,Stocks!E$3,Movimientos!$A$6:$A$16,"&lt;="&amp;Stocks!$A$2)-SUMIFS(Movimientos!$E$6:$E$16,Movimientos!$C$6:$C$16,Stocks!$A101,Movimientos!$G$6:$G$16,Stocks!E$3,Movimientos!$A$6:$A$16,"&lt;="&amp;Stocks!$A$2)</f>
        <v>0</v>
      </c>
      <c r="F101" s="4">
        <f>SUMIFS(Movimientos!$E$6:$E$16,Movimientos!$C$6:$C$16,Stocks!$A101,Movimientos!$F$6:$F$16,Stocks!F$3,Movimientos!$A$6:$A$16,"&lt;="&amp;Stocks!$A$2)-SUMIFS(Movimientos!$E$6:$E$16,Movimientos!$C$6:$C$16,Stocks!$A101,Movimientos!$G$6:$G$16,Stocks!F$3,Movimientos!$A$6:$A$16,"&lt;="&amp;Stocks!$A$2)</f>
        <v>0</v>
      </c>
      <c r="G101" s="4">
        <f>SUMIFS(Movimientos!$E$6:$E$16,Movimientos!$C$6:$C$16,Stocks!$A101,Movimientos!$F$6:$F$16,Stocks!G$3,Movimientos!$A$6:$A$16,"&lt;="&amp;Stocks!$A$2)-SUMIFS(Movimientos!$E$6:$E$16,Movimientos!$C$6:$C$16,Stocks!$A101,Movimientos!$G$6:$G$16,Stocks!G$3,Movimientos!$A$6:$A$16,"&lt;="&amp;Stocks!$A$2)</f>
        <v>0</v>
      </c>
      <c r="H101" s="4">
        <f>SUMIFS(Movimientos!$E$6:$E$16,Movimientos!$C$6:$C$16,Stocks!$A101,Movimientos!$F$6:$F$16,Stocks!H$3,Movimientos!$A$6:$A$16,"&lt;="&amp;Stocks!$A$2)-SUMIFS(Movimientos!$E$6:$E$16,Movimientos!$C$6:$C$16,Stocks!$A101,Movimientos!$G$6:$G$16,Stocks!H$3,Movimientos!$A$6:$A$16,"&lt;="&amp;Stocks!$A$2)</f>
        <v>0</v>
      </c>
      <c r="I101" s="4">
        <f>SUMIFS(Movimientos!$E$6:$E$16,Movimientos!$C$6:$C$16,Stocks!$A101,Movimientos!$F$6:$F$16,Stocks!I$3,Movimientos!$A$6:$A$16,"&lt;="&amp;Stocks!$A$2)-SUMIFS(Movimientos!$E$6:$E$16,Movimientos!$C$6:$C$16,Stocks!$A101,Movimientos!$G$6:$G$16,Stocks!I$3,Movimientos!$A$6:$A$16,"&lt;="&amp;Stocks!$A$2)</f>
        <v>0</v>
      </c>
      <c r="J101" s="4">
        <f>SUMIFS(Movimientos!$E$6:$E$16,Movimientos!$C$6:$C$16,Stocks!$A101,Movimientos!$F$6:$F$16,Stocks!J$3,Movimientos!$A$6:$A$16,"&lt;="&amp;Stocks!$A$2)-SUMIFS(Movimientos!$E$6:$E$16,Movimientos!$C$6:$C$16,Stocks!$A101,Movimientos!$G$6:$G$16,Stocks!J$3,Movimientos!$A$6:$A$16,"&lt;="&amp;Stocks!$A$2)</f>
        <v>0</v>
      </c>
      <c r="K101" s="4">
        <f>SUMIFS(Movimientos!$E$6:$E$16,Movimientos!$C$6:$C$16,Stocks!$A101,Movimientos!$F$6:$F$16,Stocks!K$3,Movimientos!$A$6:$A$16,"&lt;="&amp;Stocks!$A$2)-SUMIFS(Movimientos!$E$6:$E$16,Movimientos!$C$6:$C$16,Stocks!$A101,Movimientos!$G$6:$G$16,Stocks!K$3,Movimientos!$A$6:$A$16,"&lt;="&amp;Stocks!$A$2)</f>
        <v>0</v>
      </c>
      <c r="L101" s="4">
        <f>SUMIFS(Movimientos!$E$6:$E$16,Movimientos!$C$6:$C$16,Stocks!$A101,Movimientos!$F$6:$F$16,Stocks!L$3,Movimientos!$A$6:$A$16,"&lt;="&amp;Stocks!$A$2)-SUMIFS(Movimientos!$E$6:$E$16,Movimientos!$C$6:$C$16,Stocks!$A101,Movimientos!$G$6:$G$16,Stocks!L$3,Movimientos!$A$6:$A$16,"&lt;="&amp;Stocks!$A$2)</f>
        <v>0</v>
      </c>
    </row>
    <row r="102" spans="1:12" x14ac:dyDescent="0.25">
      <c r="A102" t="str">
        <f>Codificación!A101</f>
        <v/>
      </c>
      <c r="B102" s="1">
        <f>Codificación!B101</f>
        <v>0</v>
      </c>
      <c r="E102" s="4">
        <f>SUMIFS(Movimientos!$E$6:$E$16,Movimientos!$C$6:$C$16,Stocks!$A102,Movimientos!$F$6:$F$16,Stocks!E$3,Movimientos!$A$6:$A$16,"&lt;="&amp;Stocks!$A$2)-SUMIFS(Movimientos!$E$6:$E$16,Movimientos!$C$6:$C$16,Stocks!$A102,Movimientos!$G$6:$G$16,Stocks!E$3,Movimientos!$A$6:$A$16,"&lt;="&amp;Stocks!$A$2)</f>
        <v>0</v>
      </c>
      <c r="F102" s="4">
        <f>SUMIFS(Movimientos!$E$6:$E$16,Movimientos!$C$6:$C$16,Stocks!$A102,Movimientos!$F$6:$F$16,Stocks!F$3,Movimientos!$A$6:$A$16,"&lt;="&amp;Stocks!$A$2)-SUMIFS(Movimientos!$E$6:$E$16,Movimientos!$C$6:$C$16,Stocks!$A102,Movimientos!$G$6:$G$16,Stocks!F$3,Movimientos!$A$6:$A$16,"&lt;="&amp;Stocks!$A$2)</f>
        <v>0</v>
      </c>
      <c r="G102" s="4">
        <f>SUMIFS(Movimientos!$E$6:$E$16,Movimientos!$C$6:$C$16,Stocks!$A102,Movimientos!$F$6:$F$16,Stocks!G$3,Movimientos!$A$6:$A$16,"&lt;="&amp;Stocks!$A$2)-SUMIFS(Movimientos!$E$6:$E$16,Movimientos!$C$6:$C$16,Stocks!$A102,Movimientos!$G$6:$G$16,Stocks!G$3,Movimientos!$A$6:$A$16,"&lt;="&amp;Stocks!$A$2)</f>
        <v>0</v>
      </c>
      <c r="H102" s="4">
        <f>SUMIFS(Movimientos!$E$6:$E$16,Movimientos!$C$6:$C$16,Stocks!$A102,Movimientos!$F$6:$F$16,Stocks!H$3,Movimientos!$A$6:$A$16,"&lt;="&amp;Stocks!$A$2)-SUMIFS(Movimientos!$E$6:$E$16,Movimientos!$C$6:$C$16,Stocks!$A102,Movimientos!$G$6:$G$16,Stocks!H$3,Movimientos!$A$6:$A$16,"&lt;="&amp;Stocks!$A$2)</f>
        <v>0</v>
      </c>
      <c r="I102" s="4">
        <f>SUMIFS(Movimientos!$E$6:$E$16,Movimientos!$C$6:$C$16,Stocks!$A102,Movimientos!$F$6:$F$16,Stocks!I$3,Movimientos!$A$6:$A$16,"&lt;="&amp;Stocks!$A$2)-SUMIFS(Movimientos!$E$6:$E$16,Movimientos!$C$6:$C$16,Stocks!$A102,Movimientos!$G$6:$G$16,Stocks!I$3,Movimientos!$A$6:$A$16,"&lt;="&amp;Stocks!$A$2)</f>
        <v>0</v>
      </c>
      <c r="J102" s="4">
        <f>SUMIFS(Movimientos!$E$6:$E$16,Movimientos!$C$6:$C$16,Stocks!$A102,Movimientos!$F$6:$F$16,Stocks!J$3,Movimientos!$A$6:$A$16,"&lt;="&amp;Stocks!$A$2)-SUMIFS(Movimientos!$E$6:$E$16,Movimientos!$C$6:$C$16,Stocks!$A102,Movimientos!$G$6:$G$16,Stocks!J$3,Movimientos!$A$6:$A$16,"&lt;="&amp;Stocks!$A$2)</f>
        <v>0</v>
      </c>
      <c r="K102" s="4">
        <f>SUMIFS(Movimientos!$E$6:$E$16,Movimientos!$C$6:$C$16,Stocks!$A102,Movimientos!$F$6:$F$16,Stocks!K$3,Movimientos!$A$6:$A$16,"&lt;="&amp;Stocks!$A$2)-SUMIFS(Movimientos!$E$6:$E$16,Movimientos!$C$6:$C$16,Stocks!$A102,Movimientos!$G$6:$G$16,Stocks!K$3,Movimientos!$A$6:$A$16,"&lt;="&amp;Stocks!$A$2)</f>
        <v>0</v>
      </c>
      <c r="L102" s="4">
        <f>SUMIFS(Movimientos!$E$6:$E$16,Movimientos!$C$6:$C$16,Stocks!$A102,Movimientos!$F$6:$F$16,Stocks!L$3,Movimientos!$A$6:$A$16,"&lt;="&amp;Stocks!$A$2)-SUMIFS(Movimientos!$E$6:$E$16,Movimientos!$C$6:$C$16,Stocks!$A102,Movimientos!$G$6:$G$16,Stocks!L$3,Movimientos!$A$6:$A$16,"&lt;="&amp;Stocks!$A$2)</f>
        <v>0</v>
      </c>
    </row>
    <row r="103" spans="1:12" x14ac:dyDescent="0.25">
      <c r="A103" t="str">
        <f>Codificación!A102</f>
        <v/>
      </c>
      <c r="B103" s="1">
        <f>Codificación!B102</f>
        <v>0</v>
      </c>
      <c r="E103" s="4">
        <f>SUMIFS(Movimientos!$E$6:$E$16,Movimientos!$C$6:$C$16,Stocks!$A103,Movimientos!$F$6:$F$16,Stocks!E$3,Movimientos!$A$6:$A$16,"&lt;="&amp;Stocks!$A$2)-SUMIFS(Movimientos!$E$6:$E$16,Movimientos!$C$6:$C$16,Stocks!$A103,Movimientos!$G$6:$G$16,Stocks!E$3,Movimientos!$A$6:$A$16,"&lt;="&amp;Stocks!$A$2)</f>
        <v>0</v>
      </c>
      <c r="F103" s="4">
        <f>SUMIFS(Movimientos!$E$6:$E$16,Movimientos!$C$6:$C$16,Stocks!$A103,Movimientos!$F$6:$F$16,Stocks!F$3,Movimientos!$A$6:$A$16,"&lt;="&amp;Stocks!$A$2)-SUMIFS(Movimientos!$E$6:$E$16,Movimientos!$C$6:$C$16,Stocks!$A103,Movimientos!$G$6:$G$16,Stocks!F$3,Movimientos!$A$6:$A$16,"&lt;="&amp;Stocks!$A$2)</f>
        <v>0</v>
      </c>
      <c r="G103" s="4">
        <f>SUMIFS(Movimientos!$E$6:$E$16,Movimientos!$C$6:$C$16,Stocks!$A103,Movimientos!$F$6:$F$16,Stocks!G$3,Movimientos!$A$6:$A$16,"&lt;="&amp;Stocks!$A$2)-SUMIFS(Movimientos!$E$6:$E$16,Movimientos!$C$6:$C$16,Stocks!$A103,Movimientos!$G$6:$G$16,Stocks!G$3,Movimientos!$A$6:$A$16,"&lt;="&amp;Stocks!$A$2)</f>
        <v>0</v>
      </c>
      <c r="H103" s="4">
        <f>SUMIFS(Movimientos!$E$6:$E$16,Movimientos!$C$6:$C$16,Stocks!$A103,Movimientos!$F$6:$F$16,Stocks!H$3,Movimientos!$A$6:$A$16,"&lt;="&amp;Stocks!$A$2)-SUMIFS(Movimientos!$E$6:$E$16,Movimientos!$C$6:$C$16,Stocks!$A103,Movimientos!$G$6:$G$16,Stocks!H$3,Movimientos!$A$6:$A$16,"&lt;="&amp;Stocks!$A$2)</f>
        <v>0</v>
      </c>
      <c r="I103" s="4">
        <f>SUMIFS(Movimientos!$E$6:$E$16,Movimientos!$C$6:$C$16,Stocks!$A103,Movimientos!$F$6:$F$16,Stocks!I$3,Movimientos!$A$6:$A$16,"&lt;="&amp;Stocks!$A$2)-SUMIFS(Movimientos!$E$6:$E$16,Movimientos!$C$6:$C$16,Stocks!$A103,Movimientos!$G$6:$G$16,Stocks!I$3,Movimientos!$A$6:$A$16,"&lt;="&amp;Stocks!$A$2)</f>
        <v>0</v>
      </c>
      <c r="J103" s="4">
        <f>SUMIFS(Movimientos!$E$6:$E$16,Movimientos!$C$6:$C$16,Stocks!$A103,Movimientos!$F$6:$F$16,Stocks!J$3,Movimientos!$A$6:$A$16,"&lt;="&amp;Stocks!$A$2)-SUMIFS(Movimientos!$E$6:$E$16,Movimientos!$C$6:$C$16,Stocks!$A103,Movimientos!$G$6:$G$16,Stocks!J$3,Movimientos!$A$6:$A$16,"&lt;="&amp;Stocks!$A$2)</f>
        <v>0</v>
      </c>
      <c r="K103" s="4">
        <f>SUMIFS(Movimientos!$E$6:$E$16,Movimientos!$C$6:$C$16,Stocks!$A103,Movimientos!$F$6:$F$16,Stocks!K$3,Movimientos!$A$6:$A$16,"&lt;="&amp;Stocks!$A$2)-SUMIFS(Movimientos!$E$6:$E$16,Movimientos!$C$6:$C$16,Stocks!$A103,Movimientos!$G$6:$G$16,Stocks!K$3,Movimientos!$A$6:$A$16,"&lt;="&amp;Stocks!$A$2)</f>
        <v>0</v>
      </c>
      <c r="L103" s="4">
        <f>SUMIFS(Movimientos!$E$6:$E$16,Movimientos!$C$6:$C$16,Stocks!$A103,Movimientos!$F$6:$F$16,Stocks!L$3,Movimientos!$A$6:$A$16,"&lt;="&amp;Stocks!$A$2)-SUMIFS(Movimientos!$E$6:$E$16,Movimientos!$C$6:$C$16,Stocks!$A103,Movimientos!$G$6:$G$16,Stocks!L$3,Movimientos!$A$6:$A$16,"&lt;="&amp;Stocks!$A$2)</f>
        <v>0</v>
      </c>
    </row>
    <row r="104" spans="1:12" x14ac:dyDescent="0.25">
      <c r="A104" t="str">
        <f>Codificación!A103</f>
        <v/>
      </c>
      <c r="B104" s="1">
        <f>Codificación!B103</f>
        <v>0</v>
      </c>
      <c r="E104" s="4">
        <f>SUMIFS(Movimientos!$E$6:$E$16,Movimientos!$C$6:$C$16,Stocks!$A104,Movimientos!$F$6:$F$16,Stocks!E$3,Movimientos!$A$6:$A$16,"&lt;="&amp;Stocks!$A$2)-SUMIFS(Movimientos!$E$6:$E$16,Movimientos!$C$6:$C$16,Stocks!$A104,Movimientos!$G$6:$G$16,Stocks!E$3,Movimientos!$A$6:$A$16,"&lt;="&amp;Stocks!$A$2)</f>
        <v>0</v>
      </c>
      <c r="F104" s="4">
        <f>SUMIFS(Movimientos!$E$6:$E$16,Movimientos!$C$6:$C$16,Stocks!$A104,Movimientos!$F$6:$F$16,Stocks!F$3,Movimientos!$A$6:$A$16,"&lt;="&amp;Stocks!$A$2)-SUMIFS(Movimientos!$E$6:$E$16,Movimientos!$C$6:$C$16,Stocks!$A104,Movimientos!$G$6:$G$16,Stocks!F$3,Movimientos!$A$6:$A$16,"&lt;="&amp;Stocks!$A$2)</f>
        <v>0</v>
      </c>
      <c r="G104" s="4">
        <f>SUMIFS(Movimientos!$E$6:$E$16,Movimientos!$C$6:$C$16,Stocks!$A104,Movimientos!$F$6:$F$16,Stocks!G$3,Movimientos!$A$6:$A$16,"&lt;="&amp;Stocks!$A$2)-SUMIFS(Movimientos!$E$6:$E$16,Movimientos!$C$6:$C$16,Stocks!$A104,Movimientos!$G$6:$G$16,Stocks!G$3,Movimientos!$A$6:$A$16,"&lt;="&amp;Stocks!$A$2)</f>
        <v>0</v>
      </c>
      <c r="H104" s="4">
        <f>SUMIFS(Movimientos!$E$6:$E$16,Movimientos!$C$6:$C$16,Stocks!$A104,Movimientos!$F$6:$F$16,Stocks!H$3,Movimientos!$A$6:$A$16,"&lt;="&amp;Stocks!$A$2)-SUMIFS(Movimientos!$E$6:$E$16,Movimientos!$C$6:$C$16,Stocks!$A104,Movimientos!$G$6:$G$16,Stocks!H$3,Movimientos!$A$6:$A$16,"&lt;="&amp;Stocks!$A$2)</f>
        <v>0</v>
      </c>
      <c r="I104" s="4">
        <f>SUMIFS(Movimientos!$E$6:$E$16,Movimientos!$C$6:$C$16,Stocks!$A104,Movimientos!$F$6:$F$16,Stocks!I$3,Movimientos!$A$6:$A$16,"&lt;="&amp;Stocks!$A$2)-SUMIFS(Movimientos!$E$6:$E$16,Movimientos!$C$6:$C$16,Stocks!$A104,Movimientos!$G$6:$G$16,Stocks!I$3,Movimientos!$A$6:$A$16,"&lt;="&amp;Stocks!$A$2)</f>
        <v>0</v>
      </c>
      <c r="J104" s="4">
        <f>SUMIFS(Movimientos!$E$6:$E$16,Movimientos!$C$6:$C$16,Stocks!$A104,Movimientos!$F$6:$F$16,Stocks!J$3,Movimientos!$A$6:$A$16,"&lt;="&amp;Stocks!$A$2)-SUMIFS(Movimientos!$E$6:$E$16,Movimientos!$C$6:$C$16,Stocks!$A104,Movimientos!$G$6:$G$16,Stocks!J$3,Movimientos!$A$6:$A$16,"&lt;="&amp;Stocks!$A$2)</f>
        <v>0</v>
      </c>
      <c r="K104" s="4">
        <f>SUMIFS(Movimientos!$E$6:$E$16,Movimientos!$C$6:$C$16,Stocks!$A104,Movimientos!$F$6:$F$16,Stocks!K$3,Movimientos!$A$6:$A$16,"&lt;="&amp;Stocks!$A$2)-SUMIFS(Movimientos!$E$6:$E$16,Movimientos!$C$6:$C$16,Stocks!$A104,Movimientos!$G$6:$G$16,Stocks!K$3,Movimientos!$A$6:$A$16,"&lt;="&amp;Stocks!$A$2)</f>
        <v>0</v>
      </c>
      <c r="L104" s="4">
        <f>SUMIFS(Movimientos!$E$6:$E$16,Movimientos!$C$6:$C$16,Stocks!$A104,Movimientos!$F$6:$F$16,Stocks!L$3,Movimientos!$A$6:$A$16,"&lt;="&amp;Stocks!$A$2)-SUMIFS(Movimientos!$E$6:$E$16,Movimientos!$C$6:$C$16,Stocks!$A104,Movimientos!$G$6:$G$16,Stocks!L$3,Movimientos!$A$6:$A$16,"&lt;="&amp;Stocks!$A$2)</f>
        <v>0</v>
      </c>
    </row>
    <row r="105" spans="1:12" x14ac:dyDescent="0.25">
      <c r="A105" t="str">
        <f>Codificación!A104</f>
        <v/>
      </c>
      <c r="B105" s="1">
        <f>Codificación!B104</f>
        <v>0</v>
      </c>
      <c r="E105" s="4">
        <f>SUMIFS(Movimientos!$E$6:$E$16,Movimientos!$C$6:$C$16,Stocks!$A105,Movimientos!$F$6:$F$16,Stocks!E$3,Movimientos!$A$6:$A$16,"&lt;="&amp;Stocks!$A$2)-SUMIFS(Movimientos!$E$6:$E$16,Movimientos!$C$6:$C$16,Stocks!$A105,Movimientos!$G$6:$G$16,Stocks!E$3,Movimientos!$A$6:$A$16,"&lt;="&amp;Stocks!$A$2)</f>
        <v>0</v>
      </c>
      <c r="F105" s="4">
        <f>SUMIFS(Movimientos!$E$6:$E$16,Movimientos!$C$6:$C$16,Stocks!$A105,Movimientos!$F$6:$F$16,Stocks!F$3,Movimientos!$A$6:$A$16,"&lt;="&amp;Stocks!$A$2)-SUMIFS(Movimientos!$E$6:$E$16,Movimientos!$C$6:$C$16,Stocks!$A105,Movimientos!$G$6:$G$16,Stocks!F$3,Movimientos!$A$6:$A$16,"&lt;="&amp;Stocks!$A$2)</f>
        <v>0</v>
      </c>
      <c r="G105" s="4">
        <f>SUMIFS(Movimientos!$E$6:$E$16,Movimientos!$C$6:$C$16,Stocks!$A105,Movimientos!$F$6:$F$16,Stocks!G$3,Movimientos!$A$6:$A$16,"&lt;="&amp;Stocks!$A$2)-SUMIFS(Movimientos!$E$6:$E$16,Movimientos!$C$6:$C$16,Stocks!$A105,Movimientos!$G$6:$G$16,Stocks!G$3,Movimientos!$A$6:$A$16,"&lt;="&amp;Stocks!$A$2)</f>
        <v>0</v>
      </c>
      <c r="H105" s="4">
        <f>SUMIFS(Movimientos!$E$6:$E$16,Movimientos!$C$6:$C$16,Stocks!$A105,Movimientos!$F$6:$F$16,Stocks!H$3,Movimientos!$A$6:$A$16,"&lt;="&amp;Stocks!$A$2)-SUMIFS(Movimientos!$E$6:$E$16,Movimientos!$C$6:$C$16,Stocks!$A105,Movimientos!$G$6:$G$16,Stocks!H$3,Movimientos!$A$6:$A$16,"&lt;="&amp;Stocks!$A$2)</f>
        <v>0</v>
      </c>
      <c r="I105" s="4">
        <f>SUMIFS(Movimientos!$E$6:$E$16,Movimientos!$C$6:$C$16,Stocks!$A105,Movimientos!$F$6:$F$16,Stocks!I$3,Movimientos!$A$6:$A$16,"&lt;="&amp;Stocks!$A$2)-SUMIFS(Movimientos!$E$6:$E$16,Movimientos!$C$6:$C$16,Stocks!$A105,Movimientos!$G$6:$G$16,Stocks!I$3,Movimientos!$A$6:$A$16,"&lt;="&amp;Stocks!$A$2)</f>
        <v>0</v>
      </c>
      <c r="J105" s="4">
        <f>SUMIFS(Movimientos!$E$6:$E$16,Movimientos!$C$6:$C$16,Stocks!$A105,Movimientos!$F$6:$F$16,Stocks!J$3,Movimientos!$A$6:$A$16,"&lt;="&amp;Stocks!$A$2)-SUMIFS(Movimientos!$E$6:$E$16,Movimientos!$C$6:$C$16,Stocks!$A105,Movimientos!$G$6:$G$16,Stocks!J$3,Movimientos!$A$6:$A$16,"&lt;="&amp;Stocks!$A$2)</f>
        <v>0</v>
      </c>
      <c r="K105" s="4">
        <f>SUMIFS(Movimientos!$E$6:$E$16,Movimientos!$C$6:$C$16,Stocks!$A105,Movimientos!$F$6:$F$16,Stocks!K$3,Movimientos!$A$6:$A$16,"&lt;="&amp;Stocks!$A$2)-SUMIFS(Movimientos!$E$6:$E$16,Movimientos!$C$6:$C$16,Stocks!$A105,Movimientos!$G$6:$G$16,Stocks!K$3,Movimientos!$A$6:$A$16,"&lt;="&amp;Stocks!$A$2)</f>
        <v>0</v>
      </c>
      <c r="L105" s="4">
        <f>SUMIFS(Movimientos!$E$6:$E$16,Movimientos!$C$6:$C$16,Stocks!$A105,Movimientos!$F$6:$F$16,Stocks!L$3,Movimientos!$A$6:$A$16,"&lt;="&amp;Stocks!$A$2)-SUMIFS(Movimientos!$E$6:$E$16,Movimientos!$C$6:$C$16,Stocks!$A105,Movimientos!$G$6:$G$16,Stocks!L$3,Movimientos!$A$6:$A$16,"&lt;="&amp;Stocks!$A$2)</f>
        <v>0</v>
      </c>
    </row>
    <row r="106" spans="1:12" x14ac:dyDescent="0.25">
      <c r="A106" t="str">
        <f>Codificación!A105</f>
        <v/>
      </c>
      <c r="B106" s="1">
        <f>Codificación!B105</f>
        <v>0</v>
      </c>
      <c r="E106" s="4">
        <f>SUMIFS(Movimientos!$E$6:$E$16,Movimientos!$C$6:$C$16,Stocks!$A106,Movimientos!$F$6:$F$16,Stocks!E$3,Movimientos!$A$6:$A$16,"&lt;="&amp;Stocks!$A$2)-SUMIFS(Movimientos!$E$6:$E$16,Movimientos!$C$6:$C$16,Stocks!$A106,Movimientos!$G$6:$G$16,Stocks!E$3,Movimientos!$A$6:$A$16,"&lt;="&amp;Stocks!$A$2)</f>
        <v>0</v>
      </c>
      <c r="F106" s="4">
        <f>SUMIFS(Movimientos!$E$6:$E$16,Movimientos!$C$6:$C$16,Stocks!$A106,Movimientos!$F$6:$F$16,Stocks!F$3,Movimientos!$A$6:$A$16,"&lt;="&amp;Stocks!$A$2)-SUMIFS(Movimientos!$E$6:$E$16,Movimientos!$C$6:$C$16,Stocks!$A106,Movimientos!$G$6:$G$16,Stocks!F$3,Movimientos!$A$6:$A$16,"&lt;="&amp;Stocks!$A$2)</f>
        <v>0</v>
      </c>
      <c r="G106" s="4">
        <f>SUMIFS(Movimientos!$E$6:$E$16,Movimientos!$C$6:$C$16,Stocks!$A106,Movimientos!$F$6:$F$16,Stocks!G$3,Movimientos!$A$6:$A$16,"&lt;="&amp;Stocks!$A$2)-SUMIFS(Movimientos!$E$6:$E$16,Movimientos!$C$6:$C$16,Stocks!$A106,Movimientos!$G$6:$G$16,Stocks!G$3,Movimientos!$A$6:$A$16,"&lt;="&amp;Stocks!$A$2)</f>
        <v>0</v>
      </c>
      <c r="H106" s="4">
        <f>SUMIFS(Movimientos!$E$6:$E$16,Movimientos!$C$6:$C$16,Stocks!$A106,Movimientos!$F$6:$F$16,Stocks!H$3,Movimientos!$A$6:$A$16,"&lt;="&amp;Stocks!$A$2)-SUMIFS(Movimientos!$E$6:$E$16,Movimientos!$C$6:$C$16,Stocks!$A106,Movimientos!$G$6:$G$16,Stocks!H$3,Movimientos!$A$6:$A$16,"&lt;="&amp;Stocks!$A$2)</f>
        <v>0</v>
      </c>
      <c r="I106" s="4">
        <f>SUMIFS(Movimientos!$E$6:$E$16,Movimientos!$C$6:$C$16,Stocks!$A106,Movimientos!$F$6:$F$16,Stocks!I$3,Movimientos!$A$6:$A$16,"&lt;="&amp;Stocks!$A$2)-SUMIFS(Movimientos!$E$6:$E$16,Movimientos!$C$6:$C$16,Stocks!$A106,Movimientos!$G$6:$G$16,Stocks!I$3,Movimientos!$A$6:$A$16,"&lt;="&amp;Stocks!$A$2)</f>
        <v>0</v>
      </c>
      <c r="J106" s="4">
        <f>SUMIFS(Movimientos!$E$6:$E$16,Movimientos!$C$6:$C$16,Stocks!$A106,Movimientos!$F$6:$F$16,Stocks!J$3,Movimientos!$A$6:$A$16,"&lt;="&amp;Stocks!$A$2)-SUMIFS(Movimientos!$E$6:$E$16,Movimientos!$C$6:$C$16,Stocks!$A106,Movimientos!$G$6:$G$16,Stocks!J$3,Movimientos!$A$6:$A$16,"&lt;="&amp;Stocks!$A$2)</f>
        <v>0</v>
      </c>
      <c r="K106" s="4">
        <f>SUMIFS(Movimientos!$E$6:$E$16,Movimientos!$C$6:$C$16,Stocks!$A106,Movimientos!$F$6:$F$16,Stocks!K$3,Movimientos!$A$6:$A$16,"&lt;="&amp;Stocks!$A$2)-SUMIFS(Movimientos!$E$6:$E$16,Movimientos!$C$6:$C$16,Stocks!$A106,Movimientos!$G$6:$G$16,Stocks!K$3,Movimientos!$A$6:$A$16,"&lt;="&amp;Stocks!$A$2)</f>
        <v>0</v>
      </c>
      <c r="L106" s="4">
        <f>SUMIFS(Movimientos!$E$6:$E$16,Movimientos!$C$6:$C$16,Stocks!$A106,Movimientos!$F$6:$F$16,Stocks!L$3,Movimientos!$A$6:$A$16,"&lt;="&amp;Stocks!$A$2)-SUMIFS(Movimientos!$E$6:$E$16,Movimientos!$C$6:$C$16,Stocks!$A106,Movimientos!$G$6:$G$16,Stocks!L$3,Movimientos!$A$6:$A$16,"&lt;="&amp;Stocks!$A$2)</f>
        <v>0</v>
      </c>
    </row>
    <row r="107" spans="1:12" x14ac:dyDescent="0.25">
      <c r="A107" t="str">
        <f>Codificación!A106</f>
        <v/>
      </c>
      <c r="B107" s="1">
        <f>Codificación!B106</f>
        <v>0</v>
      </c>
      <c r="E107" s="4">
        <f>SUMIFS(Movimientos!$E$6:$E$16,Movimientos!$C$6:$C$16,Stocks!$A107,Movimientos!$F$6:$F$16,Stocks!E$3,Movimientos!$A$6:$A$16,"&lt;="&amp;Stocks!$A$2)-SUMIFS(Movimientos!$E$6:$E$16,Movimientos!$C$6:$C$16,Stocks!$A107,Movimientos!$G$6:$G$16,Stocks!E$3,Movimientos!$A$6:$A$16,"&lt;="&amp;Stocks!$A$2)</f>
        <v>0</v>
      </c>
      <c r="F107" s="4">
        <f>SUMIFS(Movimientos!$E$6:$E$16,Movimientos!$C$6:$C$16,Stocks!$A107,Movimientos!$F$6:$F$16,Stocks!F$3,Movimientos!$A$6:$A$16,"&lt;="&amp;Stocks!$A$2)-SUMIFS(Movimientos!$E$6:$E$16,Movimientos!$C$6:$C$16,Stocks!$A107,Movimientos!$G$6:$G$16,Stocks!F$3,Movimientos!$A$6:$A$16,"&lt;="&amp;Stocks!$A$2)</f>
        <v>0</v>
      </c>
      <c r="G107" s="4">
        <f>SUMIFS(Movimientos!$E$6:$E$16,Movimientos!$C$6:$C$16,Stocks!$A107,Movimientos!$F$6:$F$16,Stocks!G$3,Movimientos!$A$6:$A$16,"&lt;="&amp;Stocks!$A$2)-SUMIFS(Movimientos!$E$6:$E$16,Movimientos!$C$6:$C$16,Stocks!$A107,Movimientos!$G$6:$G$16,Stocks!G$3,Movimientos!$A$6:$A$16,"&lt;="&amp;Stocks!$A$2)</f>
        <v>0</v>
      </c>
      <c r="H107" s="4">
        <f>SUMIFS(Movimientos!$E$6:$E$16,Movimientos!$C$6:$C$16,Stocks!$A107,Movimientos!$F$6:$F$16,Stocks!H$3,Movimientos!$A$6:$A$16,"&lt;="&amp;Stocks!$A$2)-SUMIFS(Movimientos!$E$6:$E$16,Movimientos!$C$6:$C$16,Stocks!$A107,Movimientos!$G$6:$G$16,Stocks!H$3,Movimientos!$A$6:$A$16,"&lt;="&amp;Stocks!$A$2)</f>
        <v>0</v>
      </c>
      <c r="I107" s="4">
        <f>SUMIFS(Movimientos!$E$6:$E$16,Movimientos!$C$6:$C$16,Stocks!$A107,Movimientos!$F$6:$F$16,Stocks!I$3,Movimientos!$A$6:$A$16,"&lt;="&amp;Stocks!$A$2)-SUMIFS(Movimientos!$E$6:$E$16,Movimientos!$C$6:$C$16,Stocks!$A107,Movimientos!$G$6:$G$16,Stocks!I$3,Movimientos!$A$6:$A$16,"&lt;="&amp;Stocks!$A$2)</f>
        <v>0</v>
      </c>
      <c r="J107" s="4">
        <f>SUMIFS(Movimientos!$E$6:$E$16,Movimientos!$C$6:$C$16,Stocks!$A107,Movimientos!$F$6:$F$16,Stocks!J$3,Movimientos!$A$6:$A$16,"&lt;="&amp;Stocks!$A$2)-SUMIFS(Movimientos!$E$6:$E$16,Movimientos!$C$6:$C$16,Stocks!$A107,Movimientos!$G$6:$G$16,Stocks!J$3,Movimientos!$A$6:$A$16,"&lt;="&amp;Stocks!$A$2)</f>
        <v>0</v>
      </c>
      <c r="K107" s="4">
        <f>SUMIFS(Movimientos!$E$6:$E$16,Movimientos!$C$6:$C$16,Stocks!$A107,Movimientos!$F$6:$F$16,Stocks!K$3,Movimientos!$A$6:$A$16,"&lt;="&amp;Stocks!$A$2)-SUMIFS(Movimientos!$E$6:$E$16,Movimientos!$C$6:$C$16,Stocks!$A107,Movimientos!$G$6:$G$16,Stocks!K$3,Movimientos!$A$6:$A$16,"&lt;="&amp;Stocks!$A$2)</f>
        <v>0</v>
      </c>
      <c r="L107" s="4">
        <f>SUMIFS(Movimientos!$E$6:$E$16,Movimientos!$C$6:$C$16,Stocks!$A107,Movimientos!$F$6:$F$16,Stocks!L$3,Movimientos!$A$6:$A$16,"&lt;="&amp;Stocks!$A$2)-SUMIFS(Movimientos!$E$6:$E$16,Movimientos!$C$6:$C$16,Stocks!$A107,Movimientos!$G$6:$G$16,Stocks!L$3,Movimientos!$A$6:$A$16,"&lt;="&amp;Stocks!$A$2)</f>
        <v>0</v>
      </c>
    </row>
    <row r="108" spans="1:12" x14ac:dyDescent="0.25">
      <c r="A108" t="str">
        <f>Codificación!A107</f>
        <v/>
      </c>
      <c r="B108" s="1">
        <f>Codificación!B107</f>
        <v>0</v>
      </c>
      <c r="E108" s="4">
        <f>SUMIFS(Movimientos!$E$6:$E$16,Movimientos!$C$6:$C$16,Stocks!$A108,Movimientos!$F$6:$F$16,Stocks!E$3,Movimientos!$A$6:$A$16,"&lt;="&amp;Stocks!$A$2)-SUMIFS(Movimientos!$E$6:$E$16,Movimientos!$C$6:$C$16,Stocks!$A108,Movimientos!$G$6:$G$16,Stocks!E$3,Movimientos!$A$6:$A$16,"&lt;="&amp;Stocks!$A$2)</f>
        <v>0</v>
      </c>
      <c r="F108" s="4">
        <f>SUMIFS(Movimientos!$E$6:$E$16,Movimientos!$C$6:$C$16,Stocks!$A108,Movimientos!$F$6:$F$16,Stocks!F$3,Movimientos!$A$6:$A$16,"&lt;="&amp;Stocks!$A$2)-SUMIFS(Movimientos!$E$6:$E$16,Movimientos!$C$6:$C$16,Stocks!$A108,Movimientos!$G$6:$G$16,Stocks!F$3,Movimientos!$A$6:$A$16,"&lt;="&amp;Stocks!$A$2)</f>
        <v>0</v>
      </c>
      <c r="G108" s="4">
        <f>SUMIFS(Movimientos!$E$6:$E$16,Movimientos!$C$6:$C$16,Stocks!$A108,Movimientos!$F$6:$F$16,Stocks!G$3,Movimientos!$A$6:$A$16,"&lt;="&amp;Stocks!$A$2)-SUMIFS(Movimientos!$E$6:$E$16,Movimientos!$C$6:$C$16,Stocks!$A108,Movimientos!$G$6:$G$16,Stocks!G$3,Movimientos!$A$6:$A$16,"&lt;="&amp;Stocks!$A$2)</f>
        <v>0</v>
      </c>
      <c r="H108" s="4">
        <f>SUMIFS(Movimientos!$E$6:$E$16,Movimientos!$C$6:$C$16,Stocks!$A108,Movimientos!$F$6:$F$16,Stocks!H$3,Movimientos!$A$6:$A$16,"&lt;="&amp;Stocks!$A$2)-SUMIFS(Movimientos!$E$6:$E$16,Movimientos!$C$6:$C$16,Stocks!$A108,Movimientos!$G$6:$G$16,Stocks!H$3,Movimientos!$A$6:$A$16,"&lt;="&amp;Stocks!$A$2)</f>
        <v>0</v>
      </c>
      <c r="I108" s="4">
        <f>SUMIFS(Movimientos!$E$6:$E$16,Movimientos!$C$6:$C$16,Stocks!$A108,Movimientos!$F$6:$F$16,Stocks!I$3,Movimientos!$A$6:$A$16,"&lt;="&amp;Stocks!$A$2)-SUMIFS(Movimientos!$E$6:$E$16,Movimientos!$C$6:$C$16,Stocks!$A108,Movimientos!$G$6:$G$16,Stocks!I$3,Movimientos!$A$6:$A$16,"&lt;="&amp;Stocks!$A$2)</f>
        <v>0</v>
      </c>
      <c r="J108" s="4">
        <f>SUMIFS(Movimientos!$E$6:$E$16,Movimientos!$C$6:$C$16,Stocks!$A108,Movimientos!$F$6:$F$16,Stocks!J$3,Movimientos!$A$6:$A$16,"&lt;="&amp;Stocks!$A$2)-SUMIFS(Movimientos!$E$6:$E$16,Movimientos!$C$6:$C$16,Stocks!$A108,Movimientos!$G$6:$G$16,Stocks!J$3,Movimientos!$A$6:$A$16,"&lt;="&amp;Stocks!$A$2)</f>
        <v>0</v>
      </c>
      <c r="K108" s="4">
        <f>SUMIFS(Movimientos!$E$6:$E$16,Movimientos!$C$6:$C$16,Stocks!$A108,Movimientos!$F$6:$F$16,Stocks!K$3,Movimientos!$A$6:$A$16,"&lt;="&amp;Stocks!$A$2)-SUMIFS(Movimientos!$E$6:$E$16,Movimientos!$C$6:$C$16,Stocks!$A108,Movimientos!$G$6:$G$16,Stocks!K$3,Movimientos!$A$6:$A$16,"&lt;="&amp;Stocks!$A$2)</f>
        <v>0</v>
      </c>
      <c r="L108" s="4">
        <f>SUMIFS(Movimientos!$E$6:$E$16,Movimientos!$C$6:$C$16,Stocks!$A108,Movimientos!$F$6:$F$16,Stocks!L$3,Movimientos!$A$6:$A$16,"&lt;="&amp;Stocks!$A$2)-SUMIFS(Movimientos!$E$6:$E$16,Movimientos!$C$6:$C$16,Stocks!$A108,Movimientos!$G$6:$G$16,Stocks!L$3,Movimientos!$A$6:$A$16,"&lt;="&amp;Stocks!$A$2)</f>
        <v>0</v>
      </c>
    </row>
    <row r="109" spans="1:12" x14ac:dyDescent="0.25">
      <c r="A109" t="str">
        <f>Codificación!A108</f>
        <v/>
      </c>
      <c r="B109" s="1">
        <f>Codificación!B108</f>
        <v>0</v>
      </c>
      <c r="E109" s="4">
        <f>SUMIFS(Movimientos!$E$6:$E$16,Movimientos!$C$6:$C$16,Stocks!$A109,Movimientos!$F$6:$F$16,Stocks!E$3,Movimientos!$A$6:$A$16,"&lt;="&amp;Stocks!$A$2)-SUMIFS(Movimientos!$E$6:$E$16,Movimientos!$C$6:$C$16,Stocks!$A109,Movimientos!$G$6:$G$16,Stocks!E$3,Movimientos!$A$6:$A$16,"&lt;="&amp;Stocks!$A$2)</f>
        <v>0</v>
      </c>
      <c r="F109" s="4">
        <f>SUMIFS(Movimientos!$E$6:$E$16,Movimientos!$C$6:$C$16,Stocks!$A109,Movimientos!$F$6:$F$16,Stocks!F$3,Movimientos!$A$6:$A$16,"&lt;="&amp;Stocks!$A$2)-SUMIFS(Movimientos!$E$6:$E$16,Movimientos!$C$6:$C$16,Stocks!$A109,Movimientos!$G$6:$G$16,Stocks!F$3,Movimientos!$A$6:$A$16,"&lt;="&amp;Stocks!$A$2)</f>
        <v>0</v>
      </c>
      <c r="G109" s="4">
        <f>SUMIFS(Movimientos!$E$6:$E$16,Movimientos!$C$6:$C$16,Stocks!$A109,Movimientos!$F$6:$F$16,Stocks!G$3,Movimientos!$A$6:$A$16,"&lt;="&amp;Stocks!$A$2)-SUMIFS(Movimientos!$E$6:$E$16,Movimientos!$C$6:$C$16,Stocks!$A109,Movimientos!$G$6:$G$16,Stocks!G$3,Movimientos!$A$6:$A$16,"&lt;="&amp;Stocks!$A$2)</f>
        <v>0</v>
      </c>
      <c r="H109" s="4">
        <f>SUMIFS(Movimientos!$E$6:$E$16,Movimientos!$C$6:$C$16,Stocks!$A109,Movimientos!$F$6:$F$16,Stocks!H$3,Movimientos!$A$6:$A$16,"&lt;="&amp;Stocks!$A$2)-SUMIFS(Movimientos!$E$6:$E$16,Movimientos!$C$6:$C$16,Stocks!$A109,Movimientos!$G$6:$G$16,Stocks!H$3,Movimientos!$A$6:$A$16,"&lt;="&amp;Stocks!$A$2)</f>
        <v>0</v>
      </c>
      <c r="I109" s="4">
        <f>SUMIFS(Movimientos!$E$6:$E$16,Movimientos!$C$6:$C$16,Stocks!$A109,Movimientos!$F$6:$F$16,Stocks!I$3,Movimientos!$A$6:$A$16,"&lt;="&amp;Stocks!$A$2)-SUMIFS(Movimientos!$E$6:$E$16,Movimientos!$C$6:$C$16,Stocks!$A109,Movimientos!$G$6:$G$16,Stocks!I$3,Movimientos!$A$6:$A$16,"&lt;="&amp;Stocks!$A$2)</f>
        <v>0</v>
      </c>
      <c r="J109" s="4">
        <f>SUMIFS(Movimientos!$E$6:$E$16,Movimientos!$C$6:$C$16,Stocks!$A109,Movimientos!$F$6:$F$16,Stocks!J$3,Movimientos!$A$6:$A$16,"&lt;="&amp;Stocks!$A$2)-SUMIFS(Movimientos!$E$6:$E$16,Movimientos!$C$6:$C$16,Stocks!$A109,Movimientos!$G$6:$G$16,Stocks!J$3,Movimientos!$A$6:$A$16,"&lt;="&amp;Stocks!$A$2)</f>
        <v>0</v>
      </c>
      <c r="K109" s="4">
        <f>SUMIFS(Movimientos!$E$6:$E$16,Movimientos!$C$6:$C$16,Stocks!$A109,Movimientos!$F$6:$F$16,Stocks!K$3,Movimientos!$A$6:$A$16,"&lt;="&amp;Stocks!$A$2)-SUMIFS(Movimientos!$E$6:$E$16,Movimientos!$C$6:$C$16,Stocks!$A109,Movimientos!$G$6:$G$16,Stocks!K$3,Movimientos!$A$6:$A$16,"&lt;="&amp;Stocks!$A$2)</f>
        <v>0</v>
      </c>
      <c r="L109" s="4">
        <f>SUMIFS(Movimientos!$E$6:$E$16,Movimientos!$C$6:$C$16,Stocks!$A109,Movimientos!$F$6:$F$16,Stocks!L$3,Movimientos!$A$6:$A$16,"&lt;="&amp;Stocks!$A$2)-SUMIFS(Movimientos!$E$6:$E$16,Movimientos!$C$6:$C$16,Stocks!$A109,Movimientos!$G$6:$G$16,Stocks!L$3,Movimientos!$A$6:$A$16,"&lt;="&amp;Stocks!$A$2)</f>
        <v>0</v>
      </c>
    </row>
    <row r="110" spans="1:12" x14ac:dyDescent="0.25">
      <c r="A110" t="str">
        <f>Codificación!A109</f>
        <v/>
      </c>
      <c r="B110" s="1">
        <f>Codificación!B109</f>
        <v>0</v>
      </c>
      <c r="E110" s="4">
        <f>SUMIFS(Movimientos!$E$6:$E$16,Movimientos!$C$6:$C$16,Stocks!$A110,Movimientos!$F$6:$F$16,Stocks!E$3,Movimientos!$A$6:$A$16,"&lt;="&amp;Stocks!$A$2)-SUMIFS(Movimientos!$E$6:$E$16,Movimientos!$C$6:$C$16,Stocks!$A110,Movimientos!$G$6:$G$16,Stocks!E$3,Movimientos!$A$6:$A$16,"&lt;="&amp;Stocks!$A$2)</f>
        <v>0</v>
      </c>
      <c r="F110" s="4">
        <f>SUMIFS(Movimientos!$E$6:$E$16,Movimientos!$C$6:$C$16,Stocks!$A110,Movimientos!$F$6:$F$16,Stocks!F$3,Movimientos!$A$6:$A$16,"&lt;="&amp;Stocks!$A$2)-SUMIFS(Movimientos!$E$6:$E$16,Movimientos!$C$6:$C$16,Stocks!$A110,Movimientos!$G$6:$G$16,Stocks!F$3,Movimientos!$A$6:$A$16,"&lt;="&amp;Stocks!$A$2)</f>
        <v>0</v>
      </c>
      <c r="G110" s="4">
        <f>SUMIFS(Movimientos!$E$6:$E$16,Movimientos!$C$6:$C$16,Stocks!$A110,Movimientos!$F$6:$F$16,Stocks!G$3,Movimientos!$A$6:$A$16,"&lt;="&amp;Stocks!$A$2)-SUMIFS(Movimientos!$E$6:$E$16,Movimientos!$C$6:$C$16,Stocks!$A110,Movimientos!$G$6:$G$16,Stocks!G$3,Movimientos!$A$6:$A$16,"&lt;="&amp;Stocks!$A$2)</f>
        <v>0</v>
      </c>
      <c r="H110" s="4">
        <f>SUMIFS(Movimientos!$E$6:$E$16,Movimientos!$C$6:$C$16,Stocks!$A110,Movimientos!$F$6:$F$16,Stocks!H$3,Movimientos!$A$6:$A$16,"&lt;="&amp;Stocks!$A$2)-SUMIFS(Movimientos!$E$6:$E$16,Movimientos!$C$6:$C$16,Stocks!$A110,Movimientos!$G$6:$G$16,Stocks!H$3,Movimientos!$A$6:$A$16,"&lt;="&amp;Stocks!$A$2)</f>
        <v>0</v>
      </c>
      <c r="I110" s="4">
        <f>SUMIFS(Movimientos!$E$6:$E$16,Movimientos!$C$6:$C$16,Stocks!$A110,Movimientos!$F$6:$F$16,Stocks!I$3,Movimientos!$A$6:$A$16,"&lt;="&amp;Stocks!$A$2)-SUMIFS(Movimientos!$E$6:$E$16,Movimientos!$C$6:$C$16,Stocks!$A110,Movimientos!$G$6:$G$16,Stocks!I$3,Movimientos!$A$6:$A$16,"&lt;="&amp;Stocks!$A$2)</f>
        <v>0</v>
      </c>
      <c r="J110" s="4">
        <f>SUMIFS(Movimientos!$E$6:$E$16,Movimientos!$C$6:$C$16,Stocks!$A110,Movimientos!$F$6:$F$16,Stocks!J$3,Movimientos!$A$6:$A$16,"&lt;="&amp;Stocks!$A$2)-SUMIFS(Movimientos!$E$6:$E$16,Movimientos!$C$6:$C$16,Stocks!$A110,Movimientos!$G$6:$G$16,Stocks!J$3,Movimientos!$A$6:$A$16,"&lt;="&amp;Stocks!$A$2)</f>
        <v>0</v>
      </c>
      <c r="K110" s="4">
        <f>SUMIFS(Movimientos!$E$6:$E$16,Movimientos!$C$6:$C$16,Stocks!$A110,Movimientos!$F$6:$F$16,Stocks!K$3,Movimientos!$A$6:$A$16,"&lt;="&amp;Stocks!$A$2)-SUMIFS(Movimientos!$E$6:$E$16,Movimientos!$C$6:$C$16,Stocks!$A110,Movimientos!$G$6:$G$16,Stocks!K$3,Movimientos!$A$6:$A$16,"&lt;="&amp;Stocks!$A$2)</f>
        <v>0</v>
      </c>
      <c r="L110" s="4">
        <f>SUMIFS(Movimientos!$E$6:$E$16,Movimientos!$C$6:$C$16,Stocks!$A110,Movimientos!$F$6:$F$16,Stocks!L$3,Movimientos!$A$6:$A$16,"&lt;="&amp;Stocks!$A$2)-SUMIFS(Movimientos!$E$6:$E$16,Movimientos!$C$6:$C$16,Stocks!$A110,Movimientos!$G$6:$G$16,Stocks!L$3,Movimientos!$A$6:$A$16,"&lt;="&amp;Stocks!$A$2)</f>
        <v>0</v>
      </c>
    </row>
    <row r="111" spans="1:12" x14ac:dyDescent="0.25">
      <c r="A111" t="str">
        <f>Codificación!A110</f>
        <v/>
      </c>
      <c r="B111" s="1">
        <f>Codificación!B110</f>
        <v>0</v>
      </c>
      <c r="E111" s="4">
        <f>SUMIFS(Movimientos!$E$6:$E$16,Movimientos!$C$6:$C$16,Stocks!$A111,Movimientos!$F$6:$F$16,Stocks!E$3,Movimientos!$A$6:$A$16,"&lt;="&amp;Stocks!$A$2)-SUMIFS(Movimientos!$E$6:$E$16,Movimientos!$C$6:$C$16,Stocks!$A111,Movimientos!$G$6:$G$16,Stocks!E$3,Movimientos!$A$6:$A$16,"&lt;="&amp;Stocks!$A$2)</f>
        <v>0</v>
      </c>
      <c r="F111" s="4">
        <f>SUMIFS(Movimientos!$E$6:$E$16,Movimientos!$C$6:$C$16,Stocks!$A111,Movimientos!$F$6:$F$16,Stocks!F$3,Movimientos!$A$6:$A$16,"&lt;="&amp;Stocks!$A$2)-SUMIFS(Movimientos!$E$6:$E$16,Movimientos!$C$6:$C$16,Stocks!$A111,Movimientos!$G$6:$G$16,Stocks!F$3,Movimientos!$A$6:$A$16,"&lt;="&amp;Stocks!$A$2)</f>
        <v>0</v>
      </c>
      <c r="G111" s="4">
        <f>SUMIFS(Movimientos!$E$6:$E$16,Movimientos!$C$6:$C$16,Stocks!$A111,Movimientos!$F$6:$F$16,Stocks!G$3,Movimientos!$A$6:$A$16,"&lt;="&amp;Stocks!$A$2)-SUMIFS(Movimientos!$E$6:$E$16,Movimientos!$C$6:$C$16,Stocks!$A111,Movimientos!$G$6:$G$16,Stocks!G$3,Movimientos!$A$6:$A$16,"&lt;="&amp;Stocks!$A$2)</f>
        <v>0</v>
      </c>
      <c r="H111" s="4">
        <f>SUMIFS(Movimientos!$E$6:$E$16,Movimientos!$C$6:$C$16,Stocks!$A111,Movimientos!$F$6:$F$16,Stocks!H$3,Movimientos!$A$6:$A$16,"&lt;="&amp;Stocks!$A$2)-SUMIFS(Movimientos!$E$6:$E$16,Movimientos!$C$6:$C$16,Stocks!$A111,Movimientos!$G$6:$G$16,Stocks!H$3,Movimientos!$A$6:$A$16,"&lt;="&amp;Stocks!$A$2)</f>
        <v>0</v>
      </c>
      <c r="I111" s="4">
        <f>SUMIFS(Movimientos!$E$6:$E$16,Movimientos!$C$6:$C$16,Stocks!$A111,Movimientos!$F$6:$F$16,Stocks!I$3,Movimientos!$A$6:$A$16,"&lt;="&amp;Stocks!$A$2)-SUMIFS(Movimientos!$E$6:$E$16,Movimientos!$C$6:$C$16,Stocks!$A111,Movimientos!$G$6:$G$16,Stocks!I$3,Movimientos!$A$6:$A$16,"&lt;="&amp;Stocks!$A$2)</f>
        <v>0</v>
      </c>
      <c r="J111" s="4">
        <f>SUMIFS(Movimientos!$E$6:$E$16,Movimientos!$C$6:$C$16,Stocks!$A111,Movimientos!$F$6:$F$16,Stocks!J$3,Movimientos!$A$6:$A$16,"&lt;="&amp;Stocks!$A$2)-SUMIFS(Movimientos!$E$6:$E$16,Movimientos!$C$6:$C$16,Stocks!$A111,Movimientos!$G$6:$G$16,Stocks!J$3,Movimientos!$A$6:$A$16,"&lt;="&amp;Stocks!$A$2)</f>
        <v>0</v>
      </c>
      <c r="K111" s="4">
        <f>SUMIFS(Movimientos!$E$6:$E$16,Movimientos!$C$6:$C$16,Stocks!$A111,Movimientos!$F$6:$F$16,Stocks!K$3,Movimientos!$A$6:$A$16,"&lt;="&amp;Stocks!$A$2)-SUMIFS(Movimientos!$E$6:$E$16,Movimientos!$C$6:$C$16,Stocks!$A111,Movimientos!$G$6:$G$16,Stocks!K$3,Movimientos!$A$6:$A$16,"&lt;="&amp;Stocks!$A$2)</f>
        <v>0</v>
      </c>
      <c r="L111" s="4">
        <f>SUMIFS(Movimientos!$E$6:$E$16,Movimientos!$C$6:$C$16,Stocks!$A111,Movimientos!$F$6:$F$16,Stocks!L$3,Movimientos!$A$6:$A$16,"&lt;="&amp;Stocks!$A$2)-SUMIFS(Movimientos!$E$6:$E$16,Movimientos!$C$6:$C$16,Stocks!$A111,Movimientos!$G$6:$G$16,Stocks!L$3,Movimientos!$A$6:$A$16,"&lt;="&amp;Stocks!$A$2)</f>
        <v>0</v>
      </c>
    </row>
    <row r="112" spans="1:12" x14ac:dyDescent="0.25">
      <c r="A112" t="str">
        <f>Codificación!A111</f>
        <v/>
      </c>
      <c r="B112" s="1">
        <f>Codificación!B111</f>
        <v>0</v>
      </c>
      <c r="E112" s="4">
        <f>SUMIFS(Movimientos!$E$6:$E$16,Movimientos!$C$6:$C$16,Stocks!$A112,Movimientos!$F$6:$F$16,Stocks!E$3,Movimientos!$A$6:$A$16,"&lt;="&amp;Stocks!$A$2)-SUMIFS(Movimientos!$E$6:$E$16,Movimientos!$C$6:$C$16,Stocks!$A112,Movimientos!$G$6:$G$16,Stocks!E$3,Movimientos!$A$6:$A$16,"&lt;="&amp;Stocks!$A$2)</f>
        <v>0</v>
      </c>
      <c r="F112" s="4">
        <f>SUMIFS(Movimientos!$E$6:$E$16,Movimientos!$C$6:$C$16,Stocks!$A112,Movimientos!$F$6:$F$16,Stocks!F$3,Movimientos!$A$6:$A$16,"&lt;="&amp;Stocks!$A$2)-SUMIFS(Movimientos!$E$6:$E$16,Movimientos!$C$6:$C$16,Stocks!$A112,Movimientos!$G$6:$G$16,Stocks!F$3,Movimientos!$A$6:$A$16,"&lt;="&amp;Stocks!$A$2)</f>
        <v>0</v>
      </c>
      <c r="G112" s="4">
        <f>SUMIFS(Movimientos!$E$6:$E$16,Movimientos!$C$6:$C$16,Stocks!$A112,Movimientos!$F$6:$F$16,Stocks!G$3,Movimientos!$A$6:$A$16,"&lt;="&amp;Stocks!$A$2)-SUMIFS(Movimientos!$E$6:$E$16,Movimientos!$C$6:$C$16,Stocks!$A112,Movimientos!$G$6:$G$16,Stocks!G$3,Movimientos!$A$6:$A$16,"&lt;="&amp;Stocks!$A$2)</f>
        <v>0</v>
      </c>
      <c r="H112" s="4">
        <f>SUMIFS(Movimientos!$E$6:$E$16,Movimientos!$C$6:$C$16,Stocks!$A112,Movimientos!$F$6:$F$16,Stocks!H$3,Movimientos!$A$6:$A$16,"&lt;="&amp;Stocks!$A$2)-SUMIFS(Movimientos!$E$6:$E$16,Movimientos!$C$6:$C$16,Stocks!$A112,Movimientos!$G$6:$G$16,Stocks!H$3,Movimientos!$A$6:$A$16,"&lt;="&amp;Stocks!$A$2)</f>
        <v>0</v>
      </c>
      <c r="I112" s="4">
        <f>SUMIFS(Movimientos!$E$6:$E$16,Movimientos!$C$6:$C$16,Stocks!$A112,Movimientos!$F$6:$F$16,Stocks!I$3,Movimientos!$A$6:$A$16,"&lt;="&amp;Stocks!$A$2)-SUMIFS(Movimientos!$E$6:$E$16,Movimientos!$C$6:$C$16,Stocks!$A112,Movimientos!$G$6:$G$16,Stocks!I$3,Movimientos!$A$6:$A$16,"&lt;="&amp;Stocks!$A$2)</f>
        <v>0</v>
      </c>
      <c r="J112" s="4">
        <f>SUMIFS(Movimientos!$E$6:$E$16,Movimientos!$C$6:$C$16,Stocks!$A112,Movimientos!$F$6:$F$16,Stocks!J$3,Movimientos!$A$6:$A$16,"&lt;="&amp;Stocks!$A$2)-SUMIFS(Movimientos!$E$6:$E$16,Movimientos!$C$6:$C$16,Stocks!$A112,Movimientos!$G$6:$G$16,Stocks!J$3,Movimientos!$A$6:$A$16,"&lt;="&amp;Stocks!$A$2)</f>
        <v>0</v>
      </c>
      <c r="K112" s="4">
        <f>SUMIFS(Movimientos!$E$6:$E$16,Movimientos!$C$6:$C$16,Stocks!$A112,Movimientos!$F$6:$F$16,Stocks!K$3,Movimientos!$A$6:$A$16,"&lt;="&amp;Stocks!$A$2)-SUMIFS(Movimientos!$E$6:$E$16,Movimientos!$C$6:$C$16,Stocks!$A112,Movimientos!$G$6:$G$16,Stocks!K$3,Movimientos!$A$6:$A$16,"&lt;="&amp;Stocks!$A$2)</f>
        <v>0</v>
      </c>
      <c r="L112" s="4">
        <f>SUMIFS(Movimientos!$E$6:$E$16,Movimientos!$C$6:$C$16,Stocks!$A112,Movimientos!$F$6:$F$16,Stocks!L$3,Movimientos!$A$6:$A$16,"&lt;="&amp;Stocks!$A$2)-SUMIFS(Movimientos!$E$6:$E$16,Movimientos!$C$6:$C$16,Stocks!$A112,Movimientos!$G$6:$G$16,Stocks!L$3,Movimientos!$A$6:$A$16,"&lt;="&amp;Stocks!$A$2)</f>
        <v>0</v>
      </c>
    </row>
    <row r="113" spans="1:12" x14ac:dyDescent="0.25">
      <c r="A113" t="str">
        <f>Codificación!A112</f>
        <v/>
      </c>
      <c r="B113" s="1">
        <f>Codificación!B112</f>
        <v>0</v>
      </c>
      <c r="E113" s="4">
        <f>SUMIFS(Movimientos!$E$6:$E$16,Movimientos!$C$6:$C$16,Stocks!$A113,Movimientos!$F$6:$F$16,Stocks!E$3,Movimientos!$A$6:$A$16,"&lt;="&amp;Stocks!$A$2)-SUMIFS(Movimientos!$E$6:$E$16,Movimientos!$C$6:$C$16,Stocks!$A113,Movimientos!$G$6:$G$16,Stocks!E$3,Movimientos!$A$6:$A$16,"&lt;="&amp;Stocks!$A$2)</f>
        <v>0</v>
      </c>
      <c r="F113" s="4">
        <f>SUMIFS(Movimientos!$E$6:$E$16,Movimientos!$C$6:$C$16,Stocks!$A113,Movimientos!$F$6:$F$16,Stocks!F$3,Movimientos!$A$6:$A$16,"&lt;="&amp;Stocks!$A$2)-SUMIFS(Movimientos!$E$6:$E$16,Movimientos!$C$6:$C$16,Stocks!$A113,Movimientos!$G$6:$G$16,Stocks!F$3,Movimientos!$A$6:$A$16,"&lt;="&amp;Stocks!$A$2)</f>
        <v>0</v>
      </c>
      <c r="G113" s="4">
        <f>SUMIFS(Movimientos!$E$6:$E$16,Movimientos!$C$6:$C$16,Stocks!$A113,Movimientos!$F$6:$F$16,Stocks!G$3,Movimientos!$A$6:$A$16,"&lt;="&amp;Stocks!$A$2)-SUMIFS(Movimientos!$E$6:$E$16,Movimientos!$C$6:$C$16,Stocks!$A113,Movimientos!$G$6:$G$16,Stocks!G$3,Movimientos!$A$6:$A$16,"&lt;="&amp;Stocks!$A$2)</f>
        <v>0</v>
      </c>
      <c r="H113" s="4">
        <f>SUMIFS(Movimientos!$E$6:$E$16,Movimientos!$C$6:$C$16,Stocks!$A113,Movimientos!$F$6:$F$16,Stocks!H$3,Movimientos!$A$6:$A$16,"&lt;="&amp;Stocks!$A$2)-SUMIFS(Movimientos!$E$6:$E$16,Movimientos!$C$6:$C$16,Stocks!$A113,Movimientos!$G$6:$G$16,Stocks!H$3,Movimientos!$A$6:$A$16,"&lt;="&amp;Stocks!$A$2)</f>
        <v>0</v>
      </c>
      <c r="I113" s="4">
        <f>SUMIFS(Movimientos!$E$6:$E$16,Movimientos!$C$6:$C$16,Stocks!$A113,Movimientos!$F$6:$F$16,Stocks!I$3,Movimientos!$A$6:$A$16,"&lt;="&amp;Stocks!$A$2)-SUMIFS(Movimientos!$E$6:$E$16,Movimientos!$C$6:$C$16,Stocks!$A113,Movimientos!$G$6:$G$16,Stocks!I$3,Movimientos!$A$6:$A$16,"&lt;="&amp;Stocks!$A$2)</f>
        <v>0</v>
      </c>
      <c r="J113" s="4">
        <f>SUMIFS(Movimientos!$E$6:$E$16,Movimientos!$C$6:$C$16,Stocks!$A113,Movimientos!$F$6:$F$16,Stocks!J$3,Movimientos!$A$6:$A$16,"&lt;="&amp;Stocks!$A$2)-SUMIFS(Movimientos!$E$6:$E$16,Movimientos!$C$6:$C$16,Stocks!$A113,Movimientos!$G$6:$G$16,Stocks!J$3,Movimientos!$A$6:$A$16,"&lt;="&amp;Stocks!$A$2)</f>
        <v>0</v>
      </c>
      <c r="K113" s="4">
        <f>SUMIFS(Movimientos!$E$6:$E$16,Movimientos!$C$6:$C$16,Stocks!$A113,Movimientos!$F$6:$F$16,Stocks!K$3,Movimientos!$A$6:$A$16,"&lt;="&amp;Stocks!$A$2)-SUMIFS(Movimientos!$E$6:$E$16,Movimientos!$C$6:$C$16,Stocks!$A113,Movimientos!$G$6:$G$16,Stocks!K$3,Movimientos!$A$6:$A$16,"&lt;="&amp;Stocks!$A$2)</f>
        <v>0</v>
      </c>
      <c r="L113" s="4">
        <f>SUMIFS(Movimientos!$E$6:$E$16,Movimientos!$C$6:$C$16,Stocks!$A113,Movimientos!$F$6:$F$16,Stocks!L$3,Movimientos!$A$6:$A$16,"&lt;="&amp;Stocks!$A$2)-SUMIFS(Movimientos!$E$6:$E$16,Movimientos!$C$6:$C$16,Stocks!$A113,Movimientos!$G$6:$G$16,Stocks!L$3,Movimientos!$A$6:$A$16,"&lt;="&amp;Stocks!$A$2)</f>
        <v>0</v>
      </c>
    </row>
    <row r="114" spans="1:12" x14ac:dyDescent="0.25">
      <c r="A114" t="str">
        <f>Codificación!A113</f>
        <v/>
      </c>
      <c r="B114" s="1">
        <f>Codificación!B113</f>
        <v>0</v>
      </c>
      <c r="E114" s="4">
        <f>SUMIFS(Movimientos!$E$6:$E$16,Movimientos!$C$6:$C$16,Stocks!$A114,Movimientos!$F$6:$F$16,Stocks!E$3,Movimientos!$A$6:$A$16,"&lt;="&amp;Stocks!$A$2)-SUMIFS(Movimientos!$E$6:$E$16,Movimientos!$C$6:$C$16,Stocks!$A114,Movimientos!$G$6:$G$16,Stocks!E$3,Movimientos!$A$6:$A$16,"&lt;="&amp;Stocks!$A$2)</f>
        <v>0</v>
      </c>
      <c r="F114" s="4">
        <f>SUMIFS(Movimientos!$E$6:$E$16,Movimientos!$C$6:$C$16,Stocks!$A114,Movimientos!$F$6:$F$16,Stocks!F$3,Movimientos!$A$6:$A$16,"&lt;="&amp;Stocks!$A$2)-SUMIFS(Movimientos!$E$6:$E$16,Movimientos!$C$6:$C$16,Stocks!$A114,Movimientos!$G$6:$G$16,Stocks!F$3,Movimientos!$A$6:$A$16,"&lt;="&amp;Stocks!$A$2)</f>
        <v>0</v>
      </c>
      <c r="G114" s="4">
        <f>SUMIFS(Movimientos!$E$6:$E$16,Movimientos!$C$6:$C$16,Stocks!$A114,Movimientos!$F$6:$F$16,Stocks!G$3,Movimientos!$A$6:$A$16,"&lt;="&amp;Stocks!$A$2)-SUMIFS(Movimientos!$E$6:$E$16,Movimientos!$C$6:$C$16,Stocks!$A114,Movimientos!$G$6:$G$16,Stocks!G$3,Movimientos!$A$6:$A$16,"&lt;="&amp;Stocks!$A$2)</f>
        <v>0</v>
      </c>
      <c r="H114" s="4">
        <f>SUMIFS(Movimientos!$E$6:$E$16,Movimientos!$C$6:$C$16,Stocks!$A114,Movimientos!$F$6:$F$16,Stocks!H$3,Movimientos!$A$6:$A$16,"&lt;="&amp;Stocks!$A$2)-SUMIFS(Movimientos!$E$6:$E$16,Movimientos!$C$6:$C$16,Stocks!$A114,Movimientos!$G$6:$G$16,Stocks!H$3,Movimientos!$A$6:$A$16,"&lt;="&amp;Stocks!$A$2)</f>
        <v>0</v>
      </c>
      <c r="I114" s="4">
        <f>SUMIFS(Movimientos!$E$6:$E$16,Movimientos!$C$6:$C$16,Stocks!$A114,Movimientos!$F$6:$F$16,Stocks!I$3,Movimientos!$A$6:$A$16,"&lt;="&amp;Stocks!$A$2)-SUMIFS(Movimientos!$E$6:$E$16,Movimientos!$C$6:$C$16,Stocks!$A114,Movimientos!$G$6:$G$16,Stocks!I$3,Movimientos!$A$6:$A$16,"&lt;="&amp;Stocks!$A$2)</f>
        <v>0</v>
      </c>
      <c r="J114" s="4">
        <f>SUMIFS(Movimientos!$E$6:$E$16,Movimientos!$C$6:$C$16,Stocks!$A114,Movimientos!$F$6:$F$16,Stocks!J$3,Movimientos!$A$6:$A$16,"&lt;="&amp;Stocks!$A$2)-SUMIFS(Movimientos!$E$6:$E$16,Movimientos!$C$6:$C$16,Stocks!$A114,Movimientos!$G$6:$G$16,Stocks!J$3,Movimientos!$A$6:$A$16,"&lt;="&amp;Stocks!$A$2)</f>
        <v>0</v>
      </c>
      <c r="K114" s="4">
        <f>SUMIFS(Movimientos!$E$6:$E$16,Movimientos!$C$6:$C$16,Stocks!$A114,Movimientos!$F$6:$F$16,Stocks!K$3,Movimientos!$A$6:$A$16,"&lt;="&amp;Stocks!$A$2)-SUMIFS(Movimientos!$E$6:$E$16,Movimientos!$C$6:$C$16,Stocks!$A114,Movimientos!$G$6:$G$16,Stocks!K$3,Movimientos!$A$6:$A$16,"&lt;="&amp;Stocks!$A$2)</f>
        <v>0</v>
      </c>
      <c r="L114" s="4">
        <f>SUMIFS(Movimientos!$E$6:$E$16,Movimientos!$C$6:$C$16,Stocks!$A114,Movimientos!$F$6:$F$16,Stocks!L$3,Movimientos!$A$6:$A$16,"&lt;="&amp;Stocks!$A$2)-SUMIFS(Movimientos!$E$6:$E$16,Movimientos!$C$6:$C$16,Stocks!$A114,Movimientos!$G$6:$G$16,Stocks!L$3,Movimientos!$A$6:$A$16,"&lt;="&amp;Stocks!$A$2)</f>
        <v>0</v>
      </c>
    </row>
    <row r="115" spans="1:12" x14ac:dyDescent="0.25">
      <c r="A115" t="str">
        <f>Codificación!A114</f>
        <v/>
      </c>
      <c r="B115" s="1">
        <f>Codificación!B114</f>
        <v>0</v>
      </c>
      <c r="E115" s="4">
        <f>SUMIFS(Movimientos!$E$6:$E$16,Movimientos!$C$6:$C$16,Stocks!$A115,Movimientos!$F$6:$F$16,Stocks!E$3,Movimientos!$A$6:$A$16,"&lt;="&amp;Stocks!$A$2)-SUMIFS(Movimientos!$E$6:$E$16,Movimientos!$C$6:$C$16,Stocks!$A115,Movimientos!$G$6:$G$16,Stocks!E$3,Movimientos!$A$6:$A$16,"&lt;="&amp;Stocks!$A$2)</f>
        <v>0</v>
      </c>
      <c r="F115" s="4">
        <f>SUMIFS(Movimientos!$E$6:$E$16,Movimientos!$C$6:$C$16,Stocks!$A115,Movimientos!$F$6:$F$16,Stocks!F$3,Movimientos!$A$6:$A$16,"&lt;="&amp;Stocks!$A$2)-SUMIFS(Movimientos!$E$6:$E$16,Movimientos!$C$6:$C$16,Stocks!$A115,Movimientos!$G$6:$G$16,Stocks!F$3,Movimientos!$A$6:$A$16,"&lt;="&amp;Stocks!$A$2)</f>
        <v>0</v>
      </c>
      <c r="G115" s="4">
        <f>SUMIFS(Movimientos!$E$6:$E$16,Movimientos!$C$6:$C$16,Stocks!$A115,Movimientos!$F$6:$F$16,Stocks!G$3,Movimientos!$A$6:$A$16,"&lt;="&amp;Stocks!$A$2)-SUMIFS(Movimientos!$E$6:$E$16,Movimientos!$C$6:$C$16,Stocks!$A115,Movimientos!$G$6:$G$16,Stocks!G$3,Movimientos!$A$6:$A$16,"&lt;="&amp;Stocks!$A$2)</f>
        <v>0</v>
      </c>
      <c r="H115" s="4">
        <f>SUMIFS(Movimientos!$E$6:$E$16,Movimientos!$C$6:$C$16,Stocks!$A115,Movimientos!$F$6:$F$16,Stocks!H$3,Movimientos!$A$6:$A$16,"&lt;="&amp;Stocks!$A$2)-SUMIFS(Movimientos!$E$6:$E$16,Movimientos!$C$6:$C$16,Stocks!$A115,Movimientos!$G$6:$G$16,Stocks!H$3,Movimientos!$A$6:$A$16,"&lt;="&amp;Stocks!$A$2)</f>
        <v>0</v>
      </c>
      <c r="I115" s="4">
        <f>SUMIFS(Movimientos!$E$6:$E$16,Movimientos!$C$6:$C$16,Stocks!$A115,Movimientos!$F$6:$F$16,Stocks!I$3,Movimientos!$A$6:$A$16,"&lt;="&amp;Stocks!$A$2)-SUMIFS(Movimientos!$E$6:$E$16,Movimientos!$C$6:$C$16,Stocks!$A115,Movimientos!$G$6:$G$16,Stocks!I$3,Movimientos!$A$6:$A$16,"&lt;="&amp;Stocks!$A$2)</f>
        <v>0</v>
      </c>
      <c r="J115" s="4">
        <f>SUMIFS(Movimientos!$E$6:$E$16,Movimientos!$C$6:$C$16,Stocks!$A115,Movimientos!$F$6:$F$16,Stocks!J$3,Movimientos!$A$6:$A$16,"&lt;="&amp;Stocks!$A$2)-SUMIFS(Movimientos!$E$6:$E$16,Movimientos!$C$6:$C$16,Stocks!$A115,Movimientos!$G$6:$G$16,Stocks!J$3,Movimientos!$A$6:$A$16,"&lt;="&amp;Stocks!$A$2)</f>
        <v>0</v>
      </c>
      <c r="K115" s="4">
        <f>SUMIFS(Movimientos!$E$6:$E$16,Movimientos!$C$6:$C$16,Stocks!$A115,Movimientos!$F$6:$F$16,Stocks!K$3,Movimientos!$A$6:$A$16,"&lt;="&amp;Stocks!$A$2)-SUMIFS(Movimientos!$E$6:$E$16,Movimientos!$C$6:$C$16,Stocks!$A115,Movimientos!$G$6:$G$16,Stocks!K$3,Movimientos!$A$6:$A$16,"&lt;="&amp;Stocks!$A$2)</f>
        <v>0</v>
      </c>
      <c r="L115" s="4">
        <f>SUMIFS(Movimientos!$E$6:$E$16,Movimientos!$C$6:$C$16,Stocks!$A115,Movimientos!$F$6:$F$16,Stocks!L$3,Movimientos!$A$6:$A$16,"&lt;="&amp;Stocks!$A$2)-SUMIFS(Movimientos!$E$6:$E$16,Movimientos!$C$6:$C$16,Stocks!$A115,Movimientos!$G$6:$G$16,Stocks!L$3,Movimientos!$A$6:$A$16,"&lt;="&amp;Stocks!$A$2)</f>
        <v>0</v>
      </c>
    </row>
    <row r="116" spans="1:12" x14ac:dyDescent="0.25">
      <c r="A116" t="str">
        <f>Codificación!A115</f>
        <v/>
      </c>
      <c r="B116" s="1">
        <f>Codificación!B115</f>
        <v>0</v>
      </c>
      <c r="E116" s="4">
        <f>SUMIFS(Movimientos!$E$6:$E$16,Movimientos!$C$6:$C$16,Stocks!$A116,Movimientos!$F$6:$F$16,Stocks!E$3,Movimientos!$A$6:$A$16,"&lt;="&amp;Stocks!$A$2)-SUMIFS(Movimientos!$E$6:$E$16,Movimientos!$C$6:$C$16,Stocks!$A116,Movimientos!$G$6:$G$16,Stocks!E$3,Movimientos!$A$6:$A$16,"&lt;="&amp;Stocks!$A$2)</f>
        <v>0</v>
      </c>
      <c r="F116" s="4">
        <f>SUMIFS(Movimientos!$E$6:$E$16,Movimientos!$C$6:$C$16,Stocks!$A116,Movimientos!$F$6:$F$16,Stocks!F$3,Movimientos!$A$6:$A$16,"&lt;="&amp;Stocks!$A$2)-SUMIFS(Movimientos!$E$6:$E$16,Movimientos!$C$6:$C$16,Stocks!$A116,Movimientos!$G$6:$G$16,Stocks!F$3,Movimientos!$A$6:$A$16,"&lt;="&amp;Stocks!$A$2)</f>
        <v>0</v>
      </c>
      <c r="G116" s="4">
        <f>SUMIFS(Movimientos!$E$6:$E$16,Movimientos!$C$6:$C$16,Stocks!$A116,Movimientos!$F$6:$F$16,Stocks!G$3,Movimientos!$A$6:$A$16,"&lt;="&amp;Stocks!$A$2)-SUMIFS(Movimientos!$E$6:$E$16,Movimientos!$C$6:$C$16,Stocks!$A116,Movimientos!$G$6:$G$16,Stocks!G$3,Movimientos!$A$6:$A$16,"&lt;="&amp;Stocks!$A$2)</f>
        <v>0</v>
      </c>
      <c r="H116" s="4">
        <f>SUMIFS(Movimientos!$E$6:$E$16,Movimientos!$C$6:$C$16,Stocks!$A116,Movimientos!$F$6:$F$16,Stocks!H$3,Movimientos!$A$6:$A$16,"&lt;="&amp;Stocks!$A$2)-SUMIFS(Movimientos!$E$6:$E$16,Movimientos!$C$6:$C$16,Stocks!$A116,Movimientos!$G$6:$G$16,Stocks!H$3,Movimientos!$A$6:$A$16,"&lt;="&amp;Stocks!$A$2)</f>
        <v>0</v>
      </c>
      <c r="I116" s="4">
        <f>SUMIFS(Movimientos!$E$6:$E$16,Movimientos!$C$6:$C$16,Stocks!$A116,Movimientos!$F$6:$F$16,Stocks!I$3,Movimientos!$A$6:$A$16,"&lt;="&amp;Stocks!$A$2)-SUMIFS(Movimientos!$E$6:$E$16,Movimientos!$C$6:$C$16,Stocks!$A116,Movimientos!$G$6:$G$16,Stocks!I$3,Movimientos!$A$6:$A$16,"&lt;="&amp;Stocks!$A$2)</f>
        <v>0</v>
      </c>
      <c r="J116" s="4">
        <f>SUMIFS(Movimientos!$E$6:$E$16,Movimientos!$C$6:$C$16,Stocks!$A116,Movimientos!$F$6:$F$16,Stocks!J$3,Movimientos!$A$6:$A$16,"&lt;="&amp;Stocks!$A$2)-SUMIFS(Movimientos!$E$6:$E$16,Movimientos!$C$6:$C$16,Stocks!$A116,Movimientos!$G$6:$G$16,Stocks!J$3,Movimientos!$A$6:$A$16,"&lt;="&amp;Stocks!$A$2)</f>
        <v>0</v>
      </c>
      <c r="K116" s="4">
        <f>SUMIFS(Movimientos!$E$6:$E$16,Movimientos!$C$6:$C$16,Stocks!$A116,Movimientos!$F$6:$F$16,Stocks!K$3,Movimientos!$A$6:$A$16,"&lt;="&amp;Stocks!$A$2)-SUMIFS(Movimientos!$E$6:$E$16,Movimientos!$C$6:$C$16,Stocks!$A116,Movimientos!$G$6:$G$16,Stocks!K$3,Movimientos!$A$6:$A$16,"&lt;="&amp;Stocks!$A$2)</f>
        <v>0</v>
      </c>
      <c r="L116" s="4">
        <f>SUMIFS(Movimientos!$E$6:$E$16,Movimientos!$C$6:$C$16,Stocks!$A116,Movimientos!$F$6:$F$16,Stocks!L$3,Movimientos!$A$6:$A$16,"&lt;="&amp;Stocks!$A$2)-SUMIFS(Movimientos!$E$6:$E$16,Movimientos!$C$6:$C$16,Stocks!$A116,Movimientos!$G$6:$G$16,Stocks!L$3,Movimientos!$A$6:$A$16,"&lt;="&amp;Stocks!$A$2)</f>
        <v>0</v>
      </c>
    </row>
    <row r="117" spans="1:12" x14ac:dyDescent="0.25">
      <c r="A117" t="str">
        <f>Codificación!A116</f>
        <v/>
      </c>
      <c r="B117" s="1">
        <f>Codificación!B116</f>
        <v>0</v>
      </c>
      <c r="E117" s="4">
        <f>SUMIFS(Movimientos!$E$6:$E$16,Movimientos!$C$6:$C$16,Stocks!$A117,Movimientos!$F$6:$F$16,Stocks!E$3,Movimientos!$A$6:$A$16,"&lt;="&amp;Stocks!$A$2)-SUMIFS(Movimientos!$E$6:$E$16,Movimientos!$C$6:$C$16,Stocks!$A117,Movimientos!$G$6:$G$16,Stocks!E$3,Movimientos!$A$6:$A$16,"&lt;="&amp;Stocks!$A$2)</f>
        <v>0</v>
      </c>
      <c r="F117" s="4">
        <f>SUMIFS(Movimientos!$E$6:$E$16,Movimientos!$C$6:$C$16,Stocks!$A117,Movimientos!$F$6:$F$16,Stocks!F$3,Movimientos!$A$6:$A$16,"&lt;="&amp;Stocks!$A$2)-SUMIFS(Movimientos!$E$6:$E$16,Movimientos!$C$6:$C$16,Stocks!$A117,Movimientos!$G$6:$G$16,Stocks!F$3,Movimientos!$A$6:$A$16,"&lt;="&amp;Stocks!$A$2)</f>
        <v>0</v>
      </c>
      <c r="G117" s="4">
        <f>SUMIFS(Movimientos!$E$6:$E$16,Movimientos!$C$6:$C$16,Stocks!$A117,Movimientos!$F$6:$F$16,Stocks!G$3,Movimientos!$A$6:$A$16,"&lt;="&amp;Stocks!$A$2)-SUMIFS(Movimientos!$E$6:$E$16,Movimientos!$C$6:$C$16,Stocks!$A117,Movimientos!$G$6:$G$16,Stocks!G$3,Movimientos!$A$6:$A$16,"&lt;="&amp;Stocks!$A$2)</f>
        <v>0</v>
      </c>
      <c r="H117" s="4">
        <f>SUMIFS(Movimientos!$E$6:$E$16,Movimientos!$C$6:$C$16,Stocks!$A117,Movimientos!$F$6:$F$16,Stocks!H$3,Movimientos!$A$6:$A$16,"&lt;="&amp;Stocks!$A$2)-SUMIFS(Movimientos!$E$6:$E$16,Movimientos!$C$6:$C$16,Stocks!$A117,Movimientos!$G$6:$G$16,Stocks!H$3,Movimientos!$A$6:$A$16,"&lt;="&amp;Stocks!$A$2)</f>
        <v>0</v>
      </c>
      <c r="I117" s="4">
        <f>SUMIFS(Movimientos!$E$6:$E$16,Movimientos!$C$6:$C$16,Stocks!$A117,Movimientos!$F$6:$F$16,Stocks!I$3,Movimientos!$A$6:$A$16,"&lt;="&amp;Stocks!$A$2)-SUMIFS(Movimientos!$E$6:$E$16,Movimientos!$C$6:$C$16,Stocks!$A117,Movimientos!$G$6:$G$16,Stocks!I$3,Movimientos!$A$6:$A$16,"&lt;="&amp;Stocks!$A$2)</f>
        <v>0</v>
      </c>
      <c r="J117" s="4">
        <f>SUMIFS(Movimientos!$E$6:$E$16,Movimientos!$C$6:$C$16,Stocks!$A117,Movimientos!$F$6:$F$16,Stocks!J$3,Movimientos!$A$6:$A$16,"&lt;="&amp;Stocks!$A$2)-SUMIFS(Movimientos!$E$6:$E$16,Movimientos!$C$6:$C$16,Stocks!$A117,Movimientos!$G$6:$G$16,Stocks!J$3,Movimientos!$A$6:$A$16,"&lt;="&amp;Stocks!$A$2)</f>
        <v>0</v>
      </c>
      <c r="K117" s="4">
        <f>SUMIFS(Movimientos!$E$6:$E$16,Movimientos!$C$6:$C$16,Stocks!$A117,Movimientos!$F$6:$F$16,Stocks!K$3,Movimientos!$A$6:$A$16,"&lt;="&amp;Stocks!$A$2)-SUMIFS(Movimientos!$E$6:$E$16,Movimientos!$C$6:$C$16,Stocks!$A117,Movimientos!$G$6:$G$16,Stocks!K$3,Movimientos!$A$6:$A$16,"&lt;="&amp;Stocks!$A$2)</f>
        <v>0</v>
      </c>
      <c r="L117" s="4">
        <f>SUMIFS(Movimientos!$E$6:$E$16,Movimientos!$C$6:$C$16,Stocks!$A117,Movimientos!$F$6:$F$16,Stocks!L$3,Movimientos!$A$6:$A$16,"&lt;="&amp;Stocks!$A$2)-SUMIFS(Movimientos!$E$6:$E$16,Movimientos!$C$6:$C$16,Stocks!$A117,Movimientos!$G$6:$G$16,Stocks!L$3,Movimientos!$A$6:$A$16,"&lt;="&amp;Stocks!$A$2)</f>
        <v>0</v>
      </c>
    </row>
    <row r="118" spans="1:12" x14ac:dyDescent="0.25">
      <c r="A118" t="str">
        <f>Codificación!A117</f>
        <v/>
      </c>
      <c r="B118" s="1">
        <f>Codificación!B117</f>
        <v>0</v>
      </c>
      <c r="E118" s="4">
        <f>SUMIFS(Movimientos!$E$6:$E$16,Movimientos!$C$6:$C$16,Stocks!$A118,Movimientos!$F$6:$F$16,Stocks!E$3,Movimientos!$A$6:$A$16,"&lt;="&amp;Stocks!$A$2)-SUMIFS(Movimientos!$E$6:$E$16,Movimientos!$C$6:$C$16,Stocks!$A118,Movimientos!$G$6:$G$16,Stocks!E$3,Movimientos!$A$6:$A$16,"&lt;="&amp;Stocks!$A$2)</f>
        <v>0</v>
      </c>
      <c r="F118" s="4">
        <f>SUMIFS(Movimientos!$E$6:$E$16,Movimientos!$C$6:$C$16,Stocks!$A118,Movimientos!$F$6:$F$16,Stocks!F$3,Movimientos!$A$6:$A$16,"&lt;="&amp;Stocks!$A$2)-SUMIFS(Movimientos!$E$6:$E$16,Movimientos!$C$6:$C$16,Stocks!$A118,Movimientos!$G$6:$G$16,Stocks!F$3,Movimientos!$A$6:$A$16,"&lt;="&amp;Stocks!$A$2)</f>
        <v>0</v>
      </c>
      <c r="G118" s="4">
        <f>SUMIFS(Movimientos!$E$6:$E$16,Movimientos!$C$6:$C$16,Stocks!$A118,Movimientos!$F$6:$F$16,Stocks!G$3,Movimientos!$A$6:$A$16,"&lt;="&amp;Stocks!$A$2)-SUMIFS(Movimientos!$E$6:$E$16,Movimientos!$C$6:$C$16,Stocks!$A118,Movimientos!$G$6:$G$16,Stocks!G$3,Movimientos!$A$6:$A$16,"&lt;="&amp;Stocks!$A$2)</f>
        <v>0</v>
      </c>
      <c r="H118" s="4">
        <f>SUMIFS(Movimientos!$E$6:$E$16,Movimientos!$C$6:$C$16,Stocks!$A118,Movimientos!$F$6:$F$16,Stocks!H$3,Movimientos!$A$6:$A$16,"&lt;="&amp;Stocks!$A$2)-SUMIFS(Movimientos!$E$6:$E$16,Movimientos!$C$6:$C$16,Stocks!$A118,Movimientos!$G$6:$G$16,Stocks!H$3,Movimientos!$A$6:$A$16,"&lt;="&amp;Stocks!$A$2)</f>
        <v>0</v>
      </c>
      <c r="I118" s="4">
        <f>SUMIFS(Movimientos!$E$6:$E$16,Movimientos!$C$6:$C$16,Stocks!$A118,Movimientos!$F$6:$F$16,Stocks!I$3,Movimientos!$A$6:$A$16,"&lt;="&amp;Stocks!$A$2)-SUMIFS(Movimientos!$E$6:$E$16,Movimientos!$C$6:$C$16,Stocks!$A118,Movimientos!$G$6:$G$16,Stocks!I$3,Movimientos!$A$6:$A$16,"&lt;="&amp;Stocks!$A$2)</f>
        <v>0</v>
      </c>
      <c r="J118" s="4">
        <f>SUMIFS(Movimientos!$E$6:$E$16,Movimientos!$C$6:$C$16,Stocks!$A118,Movimientos!$F$6:$F$16,Stocks!J$3,Movimientos!$A$6:$A$16,"&lt;="&amp;Stocks!$A$2)-SUMIFS(Movimientos!$E$6:$E$16,Movimientos!$C$6:$C$16,Stocks!$A118,Movimientos!$G$6:$G$16,Stocks!J$3,Movimientos!$A$6:$A$16,"&lt;="&amp;Stocks!$A$2)</f>
        <v>0</v>
      </c>
      <c r="K118" s="4">
        <f>SUMIFS(Movimientos!$E$6:$E$16,Movimientos!$C$6:$C$16,Stocks!$A118,Movimientos!$F$6:$F$16,Stocks!K$3,Movimientos!$A$6:$A$16,"&lt;="&amp;Stocks!$A$2)-SUMIFS(Movimientos!$E$6:$E$16,Movimientos!$C$6:$C$16,Stocks!$A118,Movimientos!$G$6:$G$16,Stocks!K$3,Movimientos!$A$6:$A$16,"&lt;="&amp;Stocks!$A$2)</f>
        <v>0</v>
      </c>
      <c r="L118" s="4">
        <f>SUMIFS(Movimientos!$E$6:$E$16,Movimientos!$C$6:$C$16,Stocks!$A118,Movimientos!$F$6:$F$16,Stocks!L$3,Movimientos!$A$6:$A$16,"&lt;="&amp;Stocks!$A$2)-SUMIFS(Movimientos!$E$6:$E$16,Movimientos!$C$6:$C$16,Stocks!$A118,Movimientos!$G$6:$G$16,Stocks!L$3,Movimientos!$A$6:$A$16,"&lt;="&amp;Stocks!$A$2)</f>
        <v>0</v>
      </c>
    </row>
    <row r="119" spans="1:12" x14ac:dyDescent="0.25">
      <c r="A119" t="str">
        <f>Codificación!A118</f>
        <v/>
      </c>
      <c r="B119" s="1">
        <f>Codificación!B118</f>
        <v>0</v>
      </c>
      <c r="E119" s="4">
        <f>SUMIFS(Movimientos!$E$6:$E$16,Movimientos!$C$6:$C$16,Stocks!$A119,Movimientos!$F$6:$F$16,Stocks!E$3,Movimientos!$A$6:$A$16,"&lt;="&amp;Stocks!$A$2)-SUMIFS(Movimientos!$E$6:$E$16,Movimientos!$C$6:$C$16,Stocks!$A119,Movimientos!$G$6:$G$16,Stocks!E$3,Movimientos!$A$6:$A$16,"&lt;="&amp;Stocks!$A$2)</f>
        <v>0</v>
      </c>
      <c r="F119" s="4">
        <f>SUMIFS(Movimientos!$E$6:$E$16,Movimientos!$C$6:$C$16,Stocks!$A119,Movimientos!$F$6:$F$16,Stocks!F$3,Movimientos!$A$6:$A$16,"&lt;="&amp;Stocks!$A$2)-SUMIFS(Movimientos!$E$6:$E$16,Movimientos!$C$6:$C$16,Stocks!$A119,Movimientos!$G$6:$G$16,Stocks!F$3,Movimientos!$A$6:$A$16,"&lt;="&amp;Stocks!$A$2)</f>
        <v>0</v>
      </c>
      <c r="G119" s="4">
        <f>SUMIFS(Movimientos!$E$6:$E$16,Movimientos!$C$6:$C$16,Stocks!$A119,Movimientos!$F$6:$F$16,Stocks!G$3,Movimientos!$A$6:$A$16,"&lt;="&amp;Stocks!$A$2)-SUMIFS(Movimientos!$E$6:$E$16,Movimientos!$C$6:$C$16,Stocks!$A119,Movimientos!$G$6:$G$16,Stocks!G$3,Movimientos!$A$6:$A$16,"&lt;="&amp;Stocks!$A$2)</f>
        <v>0</v>
      </c>
      <c r="H119" s="4">
        <f>SUMIFS(Movimientos!$E$6:$E$16,Movimientos!$C$6:$C$16,Stocks!$A119,Movimientos!$F$6:$F$16,Stocks!H$3,Movimientos!$A$6:$A$16,"&lt;="&amp;Stocks!$A$2)-SUMIFS(Movimientos!$E$6:$E$16,Movimientos!$C$6:$C$16,Stocks!$A119,Movimientos!$G$6:$G$16,Stocks!H$3,Movimientos!$A$6:$A$16,"&lt;="&amp;Stocks!$A$2)</f>
        <v>0</v>
      </c>
      <c r="I119" s="4">
        <f>SUMIFS(Movimientos!$E$6:$E$16,Movimientos!$C$6:$C$16,Stocks!$A119,Movimientos!$F$6:$F$16,Stocks!I$3,Movimientos!$A$6:$A$16,"&lt;="&amp;Stocks!$A$2)-SUMIFS(Movimientos!$E$6:$E$16,Movimientos!$C$6:$C$16,Stocks!$A119,Movimientos!$G$6:$G$16,Stocks!I$3,Movimientos!$A$6:$A$16,"&lt;="&amp;Stocks!$A$2)</f>
        <v>0</v>
      </c>
      <c r="J119" s="4">
        <f>SUMIFS(Movimientos!$E$6:$E$16,Movimientos!$C$6:$C$16,Stocks!$A119,Movimientos!$F$6:$F$16,Stocks!J$3,Movimientos!$A$6:$A$16,"&lt;="&amp;Stocks!$A$2)-SUMIFS(Movimientos!$E$6:$E$16,Movimientos!$C$6:$C$16,Stocks!$A119,Movimientos!$G$6:$G$16,Stocks!J$3,Movimientos!$A$6:$A$16,"&lt;="&amp;Stocks!$A$2)</f>
        <v>0</v>
      </c>
      <c r="K119" s="4">
        <f>SUMIFS(Movimientos!$E$6:$E$16,Movimientos!$C$6:$C$16,Stocks!$A119,Movimientos!$F$6:$F$16,Stocks!K$3,Movimientos!$A$6:$A$16,"&lt;="&amp;Stocks!$A$2)-SUMIFS(Movimientos!$E$6:$E$16,Movimientos!$C$6:$C$16,Stocks!$A119,Movimientos!$G$6:$G$16,Stocks!K$3,Movimientos!$A$6:$A$16,"&lt;="&amp;Stocks!$A$2)</f>
        <v>0</v>
      </c>
      <c r="L119" s="4">
        <f>SUMIFS(Movimientos!$E$6:$E$16,Movimientos!$C$6:$C$16,Stocks!$A119,Movimientos!$F$6:$F$16,Stocks!L$3,Movimientos!$A$6:$A$16,"&lt;="&amp;Stocks!$A$2)-SUMIFS(Movimientos!$E$6:$E$16,Movimientos!$C$6:$C$16,Stocks!$A119,Movimientos!$G$6:$G$16,Stocks!L$3,Movimientos!$A$6:$A$16,"&lt;="&amp;Stocks!$A$2)</f>
        <v>0</v>
      </c>
    </row>
    <row r="120" spans="1:12" x14ac:dyDescent="0.25">
      <c r="A120" t="str">
        <f>Codificación!A119</f>
        <v/>
      </c>
      <c r="B120" s="1">
        <f>Codificación!B119</f>
        <v>0</v>
      </c>
      <c r="E120" s="4">
        <f>SUMIFS(Movimientos!$E$6:$E$16,Movimientos!$C$6:$C$16,Stocks!$A120,Movimientos!$F$6:$F$16,Stocks!E$3,Movimientos!$A$6:$A$16,"&lt;="&amp;Stocks!$A$2)-SUMIFS(Movimientos!$E$6:$E$16,Movimientos!$C$6:$C$16,Stocks!$A120,Movimientos!$G$6:$G$16,Stocks!E$3,Movimientos!$A$6:$A$16,"&lt;="&amp;Stocks!$A$2)</f>
        <v>0</v>
      </c>
      <c r="F120" s="4">
        <f>SUMIFS(Movimientos!$E$6:$E$16,Movimientos!$C$6:$C$16,Stocks!$A120,Movimientos!$F$6:$F$16,Stocks!F$3,Movimientos!$A$6:$A$16,"&lt;="&amp;Stocks!$A$2)-SUMIFS(Movimientos!$E$6:$E$16,Movimientos!$C$6:$C$16,Stocks!$A120,Movimientos!$G$6:$G$16,Stocks!F$3,Movimientos!$A$6:$A$16,"&lt;="&amp;Stocks!$A$2)</f>
        <v>0</v>
      </c>
      <c r="G120" s="4">
        <f>SUMIFS(Movimientos!$E$6:$E$16,Movimientos!$C$6:$C$16,Stocks!$A120,Movimientos!$F$6:$F$16,Stocks!G$3,Movimientos!$A$6:$A$16,"&lt;="&amp;Stocks!$A$2)-SUMIFS(Movimientos!$E$6:$E$16,Movimientos!$C$6:$C$16,Stocks!$A120,Movimientos!$G$6:$G$16,Stocks!G$3,Movimientos!$A$6:$A$16,"&lt;="&amp;Stocks!$A$2)</f>
        <v>0</v>
      </c>
      <c r="H120" s="4">
        <f>SUMIFS(Movimientos!$E$6:$E$16,Movimientos!$C$6:$C$16,Stocks!$A120,Movimientos!$F$6:$F$16,Stocks!H$3,Movimientos!$A$6:$A$16,"&lt;="&amp;Stocks!$A$2)-SUMIFS(Movimientos!$E$6:$E$16,Movimientos!$C$6:$C$16,Stocks!$A120,Movimientos!$G$6:$G$16,Stocks!H$3,Movimientos!$A$6:$A$16,"&lt;="&amp;Stocks!$A$2)</f>
        <v>0</v>
      </c>
      <c r="I120" s="4">
        <f>SUMIFS(Movimientos!$E$6:$E$16,Movimientos!$C$6:$C$16,Stocks!$A120,Movimientos!$F$6:$F$16,Stocks!I$3,Movimientos!$A$6:$A$16,"&lt;="&amp;Stocks!$A$2)-SUMIFS(Movimientos!$E$6:$E$16,Movimientos!$C$6:$C$16,Stocks!$A120,Movimientos!$G$6:$G$16,Stocks!I$3,Movimientos!$A$6:$A$16,"&lt;="&amp;Stocks!$A$2)</f>
        <v>0</v>
      </c>
      <c r="J120" s="4">
        <f>SUMIFS(Movimientos!$E$6:$E$16,Movimientos!$C$6:$C$16,Stocks!$A120,Movimientos!$F$6:$F$16,Stocks!J$3,Movimientos!$A$6:$A$16,"&lt;="&amp;Stocks!$A$2)-SUMIFS(Movimientos!$E$6:$E$16,Movimientos!$C$6:$C$16,Stocks!$A120,Movimientos!$G$6:$G$16,Stocks!J$3,Movimientos!$A$6:$A$16,"&lt;="&amp;Stocks!$A$2)</f>
        <v>0</v>
      </c>
      <c r="K120" s="4">
        <f>SUMIFS(Movimientos!$E$6:$E$16,Movimientos!$C$6:$C$16,Stocks!$A120,Movimientos!$F$6:$F$16,Stocks!K$3,Movimientos!$A$6:$A$16,"&lt;="&amp;Stocks!$A$2)-SUMIFS(Movimientos!$E$6:$E$16,Movimientos!$C$6:$C$16,Stocks!$A120,Movimientos!$G$6:$G$16,Stocks!K$3,Movimientos!$A$6:$A$16,"&lt;="&amp;Stocks!$A$2)</f>
        <v>0</v>
      </c>
      <c r="L120" s="4">
        <f>SUMIFS(Movimientos!$E$6:$E$16,Movimientos!$C$6:$C$16,Stocks!$A120,Movimientos!$F$6:$F$16,Stocks!L$3,Movimientos!$A$6:$A$16,"&lt;="&amp;Stocks!$A$2)-SUMIFS(Movimientos!$E$6:$E$16,Movimientos!$C$6:$C$16,Stocks!$A120,Movimientos!$G$6:$G$16,Stocks!L$3,Movimientos!$A$6:$A$16,"&lt;="&amp;Stocks!$A$2)</f>
        <v>0</v>
      </c>
    </row>
    <row r="121" spans="1:12" x14ac:dyDescent="0.25">
      <c r="A121" t="str">
        <f>Codificación!A120</f>
        <v/>
      </c>
      <c r="B121" s="1">
        <f>Codificación!B120</f>
        <v>0</v>
      </c>
      <c r="E121" s="4">
        <f>SUMIFS(Movimientos!$E$6:$E$16,Movimientos!$C$6:$C$16,Stocks!$A121,Movimientos!$F$6:$F$16,Stocks!E$3,Movimientos!$A$6:$A$16,"&lt;="&amp;Stocks!$A$2)-SUMIFS(Movimientos!$E$6:$E$16,Movimientos!$C$6:$C$16,Stocks!$A121,Movimientos!$G$6:$G$16,Stocks!E$3,Movimientos!$A$6:$A$16,"&lt;="&amp;Stocks!$A$2)</f>
        <v>0</v>
      </c>
      <c r="F121" s="4">
        <f>SUMIFS(Movimientos!$E$6:$E$16,Movimientos!$C$6:$C$16,Stocks!$A121,Movimientos!$F$6:$F$16,Stocks!F$3,Movimientos!$A$6:$A$16,"&lt;="&amp;Stocks!$A$2)-SUMIFS(Movimientos!$E$6:$E$16,Movimientos!$C$6:$C$16,Stocks!$A121,Movimientos!$G$6:$G$16,Stocks!F$3,Movimientos!$A$6:$A$16,"&lt;="&amp;Stocks!$A$2)</f>
        <v>0</v>
      </c>
      <c r="G121" s="4">
        <f>SUMIFS(Movimientos!$E$6:$E$16,Movimientos!$C$6:$C$16,Stocks!$A121,Movimientos!$F$6:$F$16,Stocks!G$3,Movimientos!$A$6:$A$16,"&lt;="&amp;Stocks!$A$2)-SUMIFS(Movimientos!$E$6:$E$16,Movimientos!$C$6:$C$16,Stocks!$A121,Movimientos!$G$6:$G$16,Stocks!G$3,Movimientos!$A$6:$A$16,"&lt;="&amp;Stocks!$A$2)</f>
        <v>0</v>
      </c>
      <c r="H121" s="4">
        <f>SUMIFS(Movimientos!$E$6:$E$16,Movimientos!$C$6:$C$16,Stocks!$A121,Movimientos!$F$6:$F$16,Stocks!H$3,Movimientos!$A$6:$A$16,"&lt;="&amp;Stocks!$A$2)-SUMIFS(Movimientos!$E$6:$E$16,Movimientos!$C$6:$C$16,Stocks!$A121,Movimientos!$G$6:$G$16,Stocks!H$3,Movimientos!$A$6:$A$16,"&lt;="&amp;Stocks!$A$2)</f>
        <v>0</v>
      </c>
      <c r="I121" s="4">
        <f>SUMIFS(Movimientos!$E$6:$E$16,Movimientos!$C$6:$C$16,Stocks!$A121,Movimientos!$F$6:$F$16,Stocks!I$3,Movimientos!$A$6:$A$16,"&lt;="&amp;Stocks!$A$2)-SUMIFS(Movimientos!$E$6:$E$16,Movimientos!$C$6:$C$16,Stocks!$A121,Movimientos!$G$6:$G$16,Stocks!I$3,Movimientos!$A$6:$A$16,"&lt;="&amp;Stocks!$A$2)</f>
        <v>0</v>
      </c>
      <c r="J121" s="4">
        <f>SUMIFS(Movimientos!$E$6:$E$16,Movimientos!$C$6:$C$16,Stocks!$A121,Movimientos!$F$6:$F$16,Stocks!J$3,Movimientos!$A$6:$A$16,"&lt;="&amp;Stocks!$A$2)-SUMIFS(Movimientos!$E$6:$E$16,Movimientos!$C$6:$C$16,Stocks!$A121,Movimientos!$G$6:$G$16,Stocks!J$3,Movimientos!$A$6:$A$16,"&lt;="&amp;Stocks!$A$2)</f>
        <v>0</v>
      </c>
      <c r="K121" s="4">
        <f>SUMIFS(Movimientos!$E$6:$E$16,Movimientos!$C$6:$C$16,Stocks!$A121,Movimientos!$F$6:$F$16,Stocks!K$3,Movimientos!$A$6:$A$16,"&lt;="&amp;Stocks!$A$2)-SUMIFS(Movimientos!$E$6:$E$16,Movimientos!$C$6:$C$16,Stocks!$A121,Movimientos!$G$6:$G$16,Stocks!K$3,Movimientos!$A$6:$A$16,"&lt;="&amp;Stocks!$A$2)</f>
        <v>0</v>
      </c>
      <c r="L121" s="4">
        <f>SUMIFS(Movimientos!$E$6:$E$16,Movimientos!$C$6:$C$16,Stocks!$A121,Movimientos!$F$6:$F$16,Stocks!L$3,Movimientos!$A$6:$A$16,"&lt;="&amp;Stocks!$A$2)-SUMIFS(Movimientos!$E$6:$E$16,Movimientos!$C$6:$C$16,Stocks!$A121,Movimientos!$G$6:$G$16,Stocks!L$3,Movimientos!$A$6:$A$16,"&lt;="&amp;Stocks!$A$2)</f>
        <v>0</v>
      </c>
    </row>
    <row r="122" spans="1:12" x14ac:dyDescent="0.25">
      <c r="A122" t="str">
        <f>Codificación!A121</f>
        <v/>
      </c>
      <c r="B122" s="1">
        <f>Codificación!B121</f>
        <v>0</v>
      </c>
      <c r="E122" s="4">
        <f>SUMIFS(Movimientos!$E$6:$E$16,Movimientos!$C$6:$C$16,Stocks!$A122,Movimientos!$F$6:$F$16,Stocks!E$3,Movimientos!$A$6:$A$16,"&lt;="&amp;Stocks!$A$2)-SUMIFS(Movimientos!$E$6:$E$16,Movimientos!$C$6:$C$16,Stocks!$A122,Movimientos!$G$6:$G$16,Stocks!E$3,Movimientos!$A$6:$A$16,"&lt;="&amp;Stocks!$A$2)</f>
        <v>0</v>
      </c>
      <c r="F122" s="4">
        <f>SUMIFS(Movimientos!$E$6:$E$16,Movimientos!$C$6:$C$16,Stocks!$A122,Movimientos!$F$6:$F$16,Stocks!F$3,Movimientos!$A$6:$A$16,"&lt;="&amp;Stocks!$A$2)-SUMIFS(Movimientos!$E$6:$E$16,Movimientos!$C$6:$C$16,Stocks!$A122,Movimientos!$G$6:$G$16,Stocks!F$3,Movimientos!$A$6:$A$16,"&lt;="&amp;Stocks!$A$2)</f>
        <v>0</v>
      </c>
      <c r="G122" s="4">
        <f>SUMIFS(Movimientos!$E$6:$E$16,Movimientos!$C$6:$C$16,Stocks!$A122,Movimientos!$F$6:$F$16,Stocks!G$3,Movimientos!$A$6:$A$16,"&lt;="&amp;Stocks!$A$2)-SUMIFS(Movimientos!$E$6:$E$16,Movimientos!$C$6:$C$16,Stocks!$A122,Movimientos!$G$6:$G$16,Stocks!G$3,Movimientos!$A$6:$A$16,"&lt;="&amp;Stocks!$A$2)</f>
        <v>0</v>
      </c>
      <c r="H122" s="4">
        <f>SUMIFS(Movimientos!$E$6:$E$16,Movimientos!$C$6:$C$16,Stocks!$A122,Movimientos!$F$6:$F$16,Stocks!H$3,Movimientos!$A$6:$A$16,"&lt;="&amp;Stocks!$A$2)-SUMIFS(Movimientos!$E$6:$E$16,Movimientos!$C$6:$C$16,Stocks!$A122,Movimientos!$G$6:$G$16,Stocks!H$3,Movimientos!$A$6:$A$16,"&lt;="&amp;Stocks!$A$2)</f>
        <v>0</v>
      </c>
      <c r="I122" s="4">
        <f>SUMIFS(Movimientos!$E$6:$E$16,Movimientos!$C$6:$C$16,Stocks!$A122,Movimientos!$F$6:$F$16,Stocks!I$3,Movimientos!$A$6:$A$16,"&lt;="&amp;Stocks!$A$2)-SUMIFS(Movimientos!$E$6:$E$16,Movimientos!$C$6:$C$16,Stocks!$A122,Movimientos!$G$6:$G$16,Stocks!I$3,Movimientos!$A$6:$A$16,"&lt;="&amp;Stocks!$A$2)</f>
        <v>0</v>
      </c>
      <c r="J122" s="4">
        <f>SUMIFS(Movimientos!$E$6:$E$16,Movimientos!$C$6:$C$16,Stocks!$A122,Movimientos!$F$6:$F$16,Stocks!J$3,Movimientos!$A$6:$A$16,"&lt;="&amp;Stocks!$A$2)-SUMIFS(Movimientos!$E$6:$E$16,Movimientos!$C$6:$C$16,Stocks!$A122,Movimientos!$G$6:$G$16,Stocks!J$3,Movimientos!$A$6:$A$16,"&lt;="&amp;Stocks!$A$2)</f>
        <v>0</v>
      </c>
      <c r="K122" s="4">
        <f>SUMIFS(Movimientos!$E$6:$E$16,Movimientos!$C$6:$C$16,Stocks!$A122,Movimientos!$F$6:$F$16,Stocks!K$3,Movimientos!$A$6:$A$16,"&lt;="&amp;Stocks!$A$2)-SUMIFS(Movimientos!$E$6:$E$16,Movimientos!$C$6:$C$16,Stocks!$A122,Movimientos!$G$6:$G$16,Stocks!K$3,Movimientos!$A$6:$A$16,"&lt;="&amp;Stocks!$A$2)</f>
        <v>0</v>
      </c>
      <c r="L122" s="4">
        <f>SUMIFS(Movimientos!$E$6:$E$16,Movimientos!$C$6:$C$16,Stocks!$A122,Movimientos!$F$6:$F$16,Stocks!L$3,Movimientos!$A$6:$A$16,"&lt;="&amp;Stocks!$A$2)-SUMIFS(Movimientos!$E$6:$E$16,Movimientos!$C$6:$C$16,Stocks!$A122,Movimientos!$G$6:$G$16,Stocks!L$3,Movimientos!$A$6:$A$16,"&lt;="&amp;Stocks!$A$2)</f>
        <v>0</v>
      </c>
    </row>
    <row r="123" spans="1:12" x14ac:dyDescent="0.25">
      <c r="A123" t="str">
        <f>Codificación!A122</f>
        <v/>
      </c>
      <c r="B123" s="1">
        <f>Codificación!B122</f>
        <v>0</v>
      </c>
      <c r="E123" s="4">
        <f>SUMIFS(Movimientos!$E$6:$E$16,Movimientos!$C$6:$C$16,Stocks!$A123,Movimientos!$F$6:$F$16,Stocks!E$3,Movimientos!$A$6:$A$16,"&lt;="&amp;Stocks!$A$2)-SUMIFS(Movimientos!$E$6:$E$16,Movimientos!$C$6:$C$16,Stocks!$A123,Movimientos!$G$6:$G$16,Stocks!E$3,Movimientos!$A$6:$A$16,"&lt;="&amp;Stocks!$A$2)</f>
        <v>0</v>
      </c>
      <c r="F123" s="4">
        <f>SUMIFS(Movimientos!$E$6:$E$16,Movimientos!$C$6:$C$16,Stocks!$A123,Movimientos!$F$6:$F$16,Stocks!F$3,Movimientos!$A$6:$A$16,"&lt;="&amp;Stocks!$A$2)-SUMIFS(Movimientos!$E$6:$E$16,Movimientos!$C$6:$C$16,Stocks!$A123,Movimientos!$G$6:$G$16,Stocks!F$3,Movimientos!$A$6:$A$16,"&lt;="&amp;Stocks!$A$2)</f>
        <v>0</v>
      </c>
      <c r="G123" s="4">
        <f>SUMIFS(Movimientos!$E$6:$E$16,Movimientos!$C$6:$C$16,Stocks!$A123,Movimientos!$F$6:$F$16,Stocks!G$3,Movimientos!$A$6:$A$16,"&lt;="&amp;Stocks!$A$2)-SUMIFS(Movimientos!$E$6:$E$16,Movimientos!$C$6:$C$16,Stocks!$A123,Movimientos!$G$6:$G$16,Stocks!G$3,Movimientos!$A$6:$A$16,"&lt;="&amp;Stocks!$A$2)</f>
        <v>0</v>
      </c>
      <c r="H123" s="4">
        <f>SUMIFS(Movimientos!$E$6:$E$16,Movimientos!$C$6:$C$16,Stocks!$A123,Movimientos!$F$6:$F$16,Stocks!H$3,Movimientos!$A$6:$A$16,"&lt;="&amp;Stocks!$A$2)-SUMIFS(Movimientos!$E$6:$E$16,Movimientos!$C$6:$C$16,Stocks!$A123,Movimientos!$G$6:$G$16,Stocks!H$3,Movimientos!$A$6:$A$16,"&lt;="&amp;Stocks!$A$2)</f>
        <v>0</v>
      </c>
      <c r="I123" s="4">
        <f>SUMIFS(Movimientos!$E$6:$E$16,Movimientos!$C$6:$C$16,Stocks!$A123,Movimientos!$F$6:$F$16,Stocks!I$3,Movimientos!$A$6:$A$16,"&lt;="&amp;Stocks!$A$2)-SUMIFS(Movimientos!$E$6:$E$16,Movimientos!$C$6:$C$16,Stocks!$A123,Movimientos!$G$6:$G$16,Stocks!I$3,Movimientos!$A$6:$A$16,"&lt;="&amp;Stocks!$A$2)</f>
        <v>0</v>
      </c>
      <c r="J123" s="4">
        <f>SUMIFS(Movimientos!$E$6:$E$16,Movimientos!$C$6:$C$16,Stocks!$A123,Movimientos!$F$6:$F$16,Stocks!J$3,Movimientos!$A$6:$A$16,"&lt;="&amp;Stocks!$A$2)-SUMIFS(Movimientos!$E$6:$E$16,Movimientos!$C$6:$C$16,Stocks!$A123,Movimientos!$G$6:$G$16,Stocks!J$3,Movimientos!$A$6:$A$16,"&lt;="&amp;Stocks!$A$2)</f>
        <v>0</v>
      </c>
      <c r="K123" s="4">
        <f>SUMIFS(Movimientos!$E$6:$E$16,Movimientos!$C$6:$C$16,Stocks!$A123,Movimientos!$F$6:$F$16,Stocks!K$3,Movimientos!$A$6:$A$16,"&lt;="&amp;Stocks!$A$2)-SUMIFS(Movimientos!$E$6:$E$16,Movimientos!$C$6:$C$16,Stocks!$A123,Movimientos!$G$6:$G$16,Stocks!K$3,Movimientos!$A$6:$A$16,"&lt;="&amp;Stocks!$A$2)</f>
        <v>0</v>
      </c>
      <c r="L123" s="4">
        <f>SUMIFS(Movimientos!$E$6:$E$16,Movimientos!$C$6:$C$16,Stocks!$A123,Movimientos!$F$6:$F$16,Stocks!L$3,Movimientos!$A$6:$A$16,"&lt;="&amp;Stocks!$A$2)-SUMIFS(Movimientos!$E$6:$E$16,Movimientos!$C$6:$C$16,Stocks!$A123,Movimientos!$G$6:$G$16,Stocks!L$3,Movimientos!$A$6:$A$16,"&lt;="&amp;Stocks!$A$2)</f>
        <v>0</v>
      </c>
    </row>
    <row r="124" spans="1:12" x14ac:dyDescent="0.25">
      <c r="A124" t="str">
        <f>Codificación!A123</f>
        <v/>
      </c>
      <c r="B124" s="1">
        <f>Codificación!B123</f>
        <v>0</v>
      </c>
      <c r="E124" s="4">
        <f>SUMIFS(Movimientos!$E$6:$E$16,Movimientos!$C$6:$C$16,Stocks!$A124,Movimientos!$F$6:$F$16,Stocks!E$3,Movimientos!$A$6:$A$16,"&lt;="&amp;Stocks!$A$2)-SUMIFS(Movimientos!$E$6:$E$16,Movimientos!$C$6:$C$16,Stocks!$A124,Movimientos!$G$6:$G$16,Stocks!E$3,Movimientos!$A$6:$A$16,"&lt;="&amp;Stocks!$A$2)</f>
        <v>0</v>
      </c>
      <c r="F124" s="4">
        <f>SUMIFS(Movimientos!$E$6:$E$16,Movimientos!$C$6:$C$16,Stocks!$A124,Movimientos!$F$6:$F$16,Stocks!F$3,Movimientos!$A$6:$A$16,"&lt;="&amp;Stocks!$A$2)-SUMIFS(Movimientos!$E$6:$E$16,Movimientos!$C$6:$C$16,Stocks!$A124,Movimientos!$G$6:$G$16,Stocks!F$3,Movimientos!$A$6:$A$16,"&lt;="&amp;Stocks!$A$2)</f>
        <v>0</v>
      </c>
      <c r="G124" s="4">
        <f>SUMIFS(Movimientos!$E$6:$E$16,Movimientos!$C$6:$C$16,Stocks!$A124,Movimientos!$F$6:$F$16,Stocks!G$3,Movimientos!$A$6:$A$16,"&lt;="&amp;Stocks!$A$2)-SUMIFS(Movimientos!$E$6:$E$16,Movimientos!$C$6:$C$16,Stocks!$A124,Movimientos!$G$6:$G$16,Stocks!G$3,Movimientos!$A$6:$A$16,"&lt;="&amp;Stocks!$A$2)</f>
        <v>0</v>
      </c>
      <c r="H124" s="4">
        <f>SUMIFS(Movimientos!$E$6:$E$16,Movimientos!$C$6:$C$16,Stocks!$A124,Movimientos!$F$6:$F$16,Stocks!H$3,Movimientos!$A$6:$A$16,"&lt;="&amp;Stocks!$A$2)-SUMIFS(Movimientos!$E$6:$E$16,Movimientos!$C$6:$C$16,Stocks!$A124,Movimientos!$G$6:$G$16,Stocks!H$3,Movimientos!$A$6:$A$16,"&lt;="&amp;Stocks!$A$2)</f>
        <v>0</v>
      </c>
      <c r="I124" s="4">
        <f>SUMIFS(Movimientos!$E$6:$E$16,Movimientos!$C$6:$C$16,Stocks!$A124,Movimientos!$F$6:$F$16,Stocks!I$3,Movimientos!$A$6:$A$16,"&lt;="&amp;Stocks!$A$2)-SUMIFS(Movimientos!$E$6:$E$16,Movimientos!$C$6:$C$16,Stocks!$A124,Movimientos!$G$6:$G$16,Stocks!I$3,Movimientos!$A$6:$A$16,"&lt;="&amp;Stocks!$A$2)</f>
        <v>0</v>
      </c>
      <c r="J124" s="4">
        <f>SUMIFS(Movimientos!$E$6:$E$16,Movimientos!$C$6:$C$16,Stocks!$A124,Movimientos!$F$6:$F$16,Stocks!J$3,Movimientos!$A$6:$A$16,"&lt;="&amp;Stocks!$A$2)-SUMIFS(Movimientos!$E$6:$E$16,Movimientos!$C$6:$C$16,Stocks!$A124,Movimientos!$G$6:$G$16,Stocks!J$3,Movimientos!$A$6:$A$16,"&lt;="&amp;Stocks!$A$2)</f>
        <v>0</v>
      </c>
      <c r="K124" s="4">
        <f>SUMIFS(Movimientos!$E$6:$E$16,Movimientos!$C$6:$C$16,Stocks!$A124,Movimientos!$F$6:$F$16,Stocks!K$3,Movimientos!$A$6:$A$16,"&lt;="&amp;Stocks!$A$2)-SUMIFS(Movimientos!$E$6:$E$16,Movimientos!$C$6:$C$16,Stocks!$A124,Movimientos!$G$6:$G$16,Stocks!K$3,Movimientos!$A$6:$A$16,"&lt;="&amp;Stocks!$A$2)</f>
        <v>0</v>
      </c>
      <c r="L124" s="4">
        <f>SUMIFS(Movimientos!$E$6:$E$16,Movimientos!$C$6:$C$16,Stocks!$A124,Movimientos!$F$6:$F$16,Stocks!L$3,Movimientos!$A$6:$A$16,"&lt;="&amp;Stocks!$A$2)-SUMIFS(Movimientos!$E$6:$E$16,Movimientos!$C$6:$C$16,Stocks!$A124,Movimientos!$G$6:$G$16,Stocks!L$3,Movimientos!$A$6:$A$16,"&lt;="&amp;Stocks!$A$2)</f>
        <v>0</v>
      </c>
    </row>
    <row r="125" spans="1:12" x14ac:dyDescent="0.25">
      <c r="A125" t="str">
        <f>Codificación!A124</f>
        <v/>
      </c>
      <c r="B125" s="1">
        <f>Codificación!B124</f>
        <v>0</v>
      </c>
      <c r="E125" s="4">
        <f>SUMIFS(Movimientos!$E$6:$E$16,Movimientos!$C$6:$C$16,Stocks!$A125,Movimientos!$F$6:$F$16,Stocks!E$3,Movimientos!$A$6:$A$16,"&lt;="&amp;Stocks!$A$2)-SUMIFS(Movimientos!$E$6:$E$16,Movimientos!$C$6:$C$16,Stocks!$A125,Movimientos!$G$6:$G$16,Stocks!E$3,Movimientos!$A$6:$A$16,"&lt;="&amp;Stocks!$A$2)</f>
        <v>0</v>
      </c>
      <c r="F125" s="4">
        <f>SUMIFS(Movimientos!$E$6:$E$16,Movimientos!$C$6:$C$16,Stocks!$A125,Movimientos!$F$6:$F$16,Stocks!F$3,Movimientos!$A$6:$A$16,"&lt;="&amp;Stocks!$A$2)-SUMIFS(Movimientos!$E$6:$E$16,Movimientos!$C$6:$C$16,Stocks!$A125,Movimientos!$G$6:$G$16,Stocks!F$3,Movimientos!$A$6:$A$16,"&lt;="&amp;Stocks!$A$2)</f>
        <v>0</v>
      </c>
      <c r="G125" s="4">
        <f>SUMIFS(Movimientos!$E$6:$E$16,Movimientos!$C$6:$C$16,Stocks!$A125,Movimientos!$F$6:$F$16,Stocks!G$3,Movimientos!$A$6:$A$16,"&lt;="&amp;Stocks!$A$2)-SUMIFS(Movimientos!$E$6:$E$16,Movimientos!$C$6:$C$16,Stocks!$A125,Movimientos!$G$6:$G$16,Stocks!G$3,Movimientos!$A$6:$A$16,"&lt;="&amp;Stocks!$A$2)</f>
        <v>0</v>
      </c>
      <c r="H125" s="4">
        <f>SUMIFS(Movimientos!$E$6:$E$16,Movimientos!$C$6:$C$16,Stocks!$A125,Movimientos!$F$6:$F$16,Stocks!H$3,Movimientos!$A$6:$A$16,"&lt;="&amp;Stocks!$A$2)-SUMIFS(Movimientos!$E$6:$E$16,Movimientos!$C$6:$C$16,Stocks!$A125,Movimientos!$G$6:$G$16,Stocks!H$3,Movimientos!$A$6:$A$16,"&lt;="&amp;Stocks!$A$2)</f>
        <v>0</v>
      </c>
      <c r="I125" s="4">
        <f>SUMIFS(Movimientos!$E$6:$E$16,Movimientos!$C$6:$C$16,Stocks!$A125,Movimientos!$F$6:$F$16,Stocks!I$3,Movimientos!$A$6:$A$16,"&lt;="&amp;Stocks!$A$2)-SUMIFS(Movimientos!$E$6:$E$16,Movimientos!$C$6:$C$16,Stocks!$A125,Movimientos!$G$6:$G$16,Stocks!I$3,Movimientos!$A$6:$A$16,"&lt;="&amp;Stocks!$A$2)</f>
        <v>0</v>
      </c>
      <c r="J125" s="4">
        <f>SUMIFS(Movimientos!$E$6:$E$16,Movimientos!$C$6:$C$16,Stocks!$A125,Movimientos!$F$6:$F$16,Stocks!J$3,Movimientos!$A$6:$A$16,"&lt;="&amp;Stocks!$A$2)-SUMIFS(Movimientos!$E$6:$E$16,Movimientos!$C$6:$C$16,Stocks!$A125,Movimientos!$G$6:$G$16,Stocks!J$3,Movimientos!$A$6:$A$16,"&lt;="&amp;Stocks!$A$2)</f>
        <v>0</v>
      </c>
      <c r="K125" s="4">
        <f>SUMIFS(Movimientos!$E$6:$E$16,Movimientos!$C$6:$C$16,Stocks!$A125,Movimientos!$F$6:$F$16,Stocks!K$3,Movimientos!$A$6:$A$16,"&lt;="&amp;Stocks!$A$2)-SUMIFS(Movimientos!$E$6:$E$16,Movimientos!$C$6:$C$16,Stocks!$A125,Movimientos!$G$6:$G$16,Stocks!K$3,Movimientos!$A$6:$A$16,"&lt;="&amp;Stocks!$A$2)</f>
        <v>0</v>
      </c>
      <c r="L125" s="4">
        <f>SUMIFS(Movimientos!$E$6:$E$16,Movimientos!$C$6:$C$16,Stocks!$A125,Movimientos!$F$6:$F$16,Stocks!L$3,Movimientos!$A$6:$A$16,"&lt;="&amp;Stocks!$A$2)-SUMIFS(Movimientos!$E$6:$E$16,Movimientos!$C$6:$C$16,Stocks!$A125,Movimientos!$G$6:$G$16,Stocks!L$3,Movimientos!$A$6:$A$16,"&lt;="&amp;Stocks!$A$2)</f>
        <v>0</v>
      </c>
    </row>
    <row r="126" spans="1:12" x14ac:dyDescent="0.25">
      <c r="A126" t="str">
        <f>Codificación!A125</f>
        <v/>
      </c>
      <c r="B126" s="1">
        <f>Codificación!B125</f>
        <v>0</v>
      </c>
      <c r="E126" s="4">
        <f>SUMIFS(Movimientos!$E$6:$E$16,Movimientos!$C$6:$C$16,Stocks!$A126,Movimientos!$F$6:$F$16,Stocks!E$3,Movimientos!$A$6:$A$16,"&lt;="&amp;Stocks!$A$2)-SUMIFS(Movimientos!$E$6:$E$16,Movimientos!$C$6:$C$16,Stocks!$A126,Movimientos!$G$6:$G$16,Stocks!E$3,Movimientos!$A$6:$A$16,"&lt;="&amp;Stocks!$A$2)</f>
        <v>0</v>
      </c>
      <c r="F126" s="4">
        <f>SUMIFS(Movimientos!$E$6:$E$16,Movimientos!$C$6:$C$16,Stocks!$A126,Movimientos!$F$6:$F$16,Stocks!F$3,Movimientos!$A$6:$A$16,"&lt;="&amp;Stocks!$A$2)-SUMIFS(Movimientos!$E$6:$E$16,Movimientos!$C$6:$C$16,Stocks!$A126,Movimientos!$G$6:$G$16,Stocks!F$3,Movimientos!$A$6:$A$16,"&lt;="&amp;Stocks!$A$2)</f>
        <v>0</v>
      </c>
      <c r="G126" s="4">
        <f>SUMIFS(Movimientos!$E$6:$E$16,Movimientos!$C$6:$C$16,Stocks!$A126,Movimientos!$F$6:$F$16,Stocks!G$3,Movimientos!$A$6:$A$16,"&lt;="&amp;Stocks!$A$2)-SUMIFS(Movimientos!$E$6:$E$16,Movimientos!$C$6:$C$16,Stocks!$A126,Movimientos!$G$6:$G$16,Stocks!G$3,Movimientos!$A$6:$A$16,"&lt;="&amp;Stocks!$A$2)</f>
        <v>0</v>
      </c>
      <c r="H126" s="4">
        <f>SUMIFS(Movimientos!$E$6:$E$16,Movimientos!$C$6:$C$16,Stocks!$A126,Movimientos!$F$6:$F$16,Stocks!H$3,Movimientos!$A$6:$A$16,"&lt;="&amp;Stocks!$A$2)-SUMIFS(Movimientos!$E$6:$E$16,Movimientos!$C$6:$C$16,Stocks!$A126,Movimientos!$G$6:$G$16,Stocks!H$3,Movimientos!$A$6:$A$16,"&lt;="&amp;Stocks!$A$2)</f>
        <v>0</v>
      </c>
      <c r="I126" s="4">
        <f>SUMIFS(Movimientos!$E$6:$E$16,Movimientos!$C$6:$C$16,Stocks!$A126,Movimientos!$F$6:$F$16,Stocks!I$3,Movimientos!$A$6:$A$16,"&lt;="&amp;Stocks!$A$2)-SUMIFS(Movimientos!$E$6:$E$16,Movimientos!$C$6:$C$16,Stocks!$A126,Movimientos!$G$6:$G$16,Stocks!I$3,Movimientos!$A$6:$A$16,"&lt;="&amp;Stocks!$A$2)</f>
        <v>0</v>
      </c>
      <c r="J126" s="4">
        <f>SUMIFS(Movimientos!$E$6:$E$16,Movimientos!$C$6:$C$16,Stocks!$A126,Movimientos!$F$6:$F$16,Stocks!J$3,Movimientos!$A$6:$A$16,"&lt;="&amp;Stocks!$A$2)-SUMIFS(Movimientos!$E$6:$E$16,Movimientos!$C$6:$C$16,Stocks!$A126,Movimientos!$G$6:$G$16,Stocks!J$3,Movimientos!$A$6:$A$16,"&lt;="&amp;Stocks!$A$2)</f>
        <v>0</v>
      </c>
      <c r="K126" s="4">
        <f>SUMIFS(Movimientos!$E$6:$E$16,Movimientos!$C$6:$C$16,Stocks!$A126,Movimientos!$F$6:$F$16,Stocks!K$3,Movimientos!$A$6:$A$16,"&lt;="&amp;Stocks!$A$2)-SUMIFS(Movimientos!$E$6:$E$16,Movimientos!$C$6:$C$16,Stocks!$A126,Movimientos!$G$6:$G$16,Stocks!K$3,Movimientos!$A$6:$A$16,"&lt;="&amp;Stocks!$A$2)</f>
        <v>0</v>
      </c>
      <c r="L126" s="4">
        <f>SUMIFS(Movimientos!$E$6:$E$16,Movimientos!$C$6:$C$16,Stocks!$A126,Movimientos!$F$6:$F$16,Stocks!L$3,Movimientos!$A$6:$A$16,"&lt;="&amp;Stocks!$A$2)-SUMIFS(Movimientos!$E$6:$E$16,Movimientos!$C$6:$C$16,Stocks!$A126,Movimientos!$G$6:$G$16,Stocks!L$3,Movimientos!$A$6:$A$16,"&lt;="&amp;Stocks!$A$2)</f>
        <v>0</v>
      </c>
    </row>
    <row r="127" spans="1:12" x14ac:dyDescent="0.25">
      <c r="A127" t="str">
        <f>Codificación!A126</f>
        <v/>
      </c>
      <c r="B127" s="1">
        <f>Codificación!B126</f>
        <v>0</v>
      </c>
      <c r="E127" s="4">
        <f>SUMIFS(Movimientos!$E$6:$E$16,Movimientos!$C$6:$C$16,Stocks!$A127,Movimientos!$F$6:$F$16,Stocks!E$3,Movimientos!$A$6:$A$16,"&lt;="&amp;Stocks!$A$2)-SUMIFS(Movimientos!$E$6:$E$16,Movimientos!$C$6:$C$16,Stocks!$A127,Movimientos!$G$6:$G$16,Stocks!E$3,Movimientos!$A$6:$A$16,"&lt;="&amp;Stocks!$A$2)</f>
        <v>0</v>
      </c>
      <c r="F127" s="4">
        <f>SUMIFS(Movimientos!$E$6:$E$16,Movimientos!$C$6:$C$16,Stocks!$A127,Movimientos!$F$6:$F$16,Stocks!F$3,Movimientos!$A$6:$A$16,"&lt;="&amp;Stocks!$A$2)-SUMIFS(Movimientos!$E$6:$E$16,Movimientos!$C$6:$C$16,Stocks!$A127,Movimientos!$G$6:$G$16,Stocks!F$3,Movimientos!$A$6:$A$16,"&lt;="&amp;Stocks!$A$2)</f>
        <v>0</v>
      </c>
      <c r="G127" s="4">
        <f>SUMIFS(Movimientos!$E$6:$E$16,Movimientos!$C$6:$C$16,Stocks!$A127,Movimientos!$F$6:$F$16,Stocks!G$3,Movimientos!$A$6:$A$16,"&lt;="&amp;Stocks!$A$2)-SUMIFS(Movimientos!$E$6:$E$16,Movimientos!$C$6:$C$16,Stocks!$A127,Movimientos!$G$6:$G$16,Stocks!G$3,Movimientos!$A$6:$A$16,"&lt;="&amp;Stocks!$A$2)</f>
        <v>0</v>
      </c>
      <c r="H127" s="4">
        <f>SUMIFS(Movimientos!$E$6:$E$16,Movimientos!$C$6:$C$16,Stocks!$A127,Movimientos!$F$6:$F$16,Stocks!H$3,Movimientos!$A$6:$A$16,"&lt;="&amp;Stocks!$A$2)-SUMIFS(Movimientos!$E$6:$E$16,Movimientos!$C$6:$C$16,Stocks!$A127,Movimientos!$G$6:$G$16,Stocks!H$3,Movimientos!$A$6:$A$16,"&lt;="&amp;Stocks!$A$2)</f>
        <v>0</v>
      </c>
      <c r="I127" s="4">
        <f>SUMIFS(Movimientos!$E$6:$E$16,Movimientos!$C$6:$C$16,Stocks!$A127,Movimientos!$F$6:$F$16,Stocks!I$3,Movimientos!$A$6:$A$16,"&lt;="&amp;Stocks!$A$2)-SUMIFS(Movimientos!$E$6:$E$16,Movimientos!$C$6:$C$16,Stocks!$A127,Movimientos!$G$6:$G$16,Stocks!I$3,Movimientos!$A$6:$A$16,"&lt;="&amp;Stocks!$A$2)</f>
        <v>0</v>
      </c>
      <c r="J127" s="4">
        <f>SUMIFS(Movimientos!$E$6:$E$16,Movimientos!$C$6:$C$16,Stocks!$A127,Movimientos!$F$6:$F$16,Stocks!J$3,Movimientos!$A$6:$A$16,"&lt;="&amp;Stocks!$A$2)-SUMIFS(Movimientos!$E$6:$E$16,Movimientos!$C$6:$C$16,Stocks!$A127,Movimientos!$G$6:$G$16,Stocks!J$3,Movimientos!$A$6:$A$16,"&lt;="&amp;Stocks!$A$2)</f>
        <v>0</v>
      </c>
      <c r="K127" s="4">
        <f>SUMIFS(Movimientos!$E$6:$E$16,Movimientos!$C$6:$C$16,Stocks!$A127,Movimientos!$F$6:$F$16,Stocks!K$3,Movimientos!$A$6:$A$16,"&lt;="&amp;Stocks!$A$2)-SUMIFS(Movimientos!$E$6:$E$16,Movimientos!$C$6:$C$16,Stocks!$A127,Movimientos!$G$6:$G$16,Stocks!K$3,Movimientos!$A$6:$A$16,"&lt;="&amp;Stocks!$A$2)</f>
        <v>0</v>
      </c>
      <c r="L127" s="4">
        <f>SUMIFS(Movimientos!$E$6:$E$16,Movimientos!$C$6:$C$16,Stocks!$A127,Movimientos!$F$6:$F$16,Stocks!L$3,Movimientos!$A$6:$A$16,"&lt;="&amp;Stocks!$A$2)-SUMIFS(Movimientos!$E$6:$E$16,Movimientos!$C$6:$C$16,Stocks!$A127,Movimientos!$G$6:$G$16,Stocks!L$3,Movimientos!$A$6:$A$16,"&lt;="&amp;Stocks!$A$2)</f>
        <v>0</v>
      </c>
    </row>
    <row r="128" spans="1:12" x14ac:dyDescent="0.25">
      <c r="A128" t="str">
        <f>Codificación!A127</f>
        <v/>
      </c>
      <c r="B128" s="1">
        <f>Codificación!B127</f>
        <v>0</v>
      </c>
      <c r="E128" s="4">
        <f>SUMIFS(Movimientos!$E$6:$E$16,Movimientos!$C$6:$C$16,Stocks!$A128,Movimientos!$F$6:$F$16,Stocks!E$3,Movimientos!$A$6:$A$16,"&lt;="&amp;Stocks!$A$2)-SUMIFS(Movimientos!$E$6:$E$16,Movimientos!$C$6:$C$16,Stocks!$A128,Movimientos!$G$6:$G$16,Stocks!E$3,Movimientos!$A$6:$A$16,"&lt;="&amp;Stocks!$A$2)</f>
        <v>0</v>
      </c>
      <c r="F128" s="4">
        <f>SUMIFS(Movimientos!$E$6:$E$16,Movimientos!$C$6:$C$16,Stocks!$A128,Movimientos!$F$6:$F$16,Stocks!F$3,Movimientos!$A$6:$A$16,"&lt;="&amp;Stocks!$A$2)-SUMIFS(Movimientos!$E$6:$E$16,Movimientos!$C$6:$C$16,Stocks!$A128,Movimientos!$G$6:$G$16,Stocks!F$3,Movimientos!$A$6:$A$16,"&lt;="&amp;Stocks!$A$2)</f>
        <v>0</v>
      </c>
      <c r="G128" s="4">
        <f>SUMIFS(Movimientos!$E$6:$E$16,Movimientos!$C$6:$C$16,Stocks!$A128,Movimientos!$F$6:$F$16,Stocks!G$3,Movimientos!$A$6:$A$16,"&lt;="&amp;Stocks!$A$2)-SUMIFS(Movimientos!$E$6:$E$16,Movimientos!$C$6:$C$16,Stocks!$A128,Movimientos!$G$6:$G$16,Stocks!G$3,Movimientos!$A$6:$A$16,"&lt;="&amp;Stocks!$A$2)</f>
        <v>0</v>
      </c>
      <c r="H128" s="4">
        <f>SUMIFS(Movimientos!$E$6:$E$16,Movimientos!$C$6:$C$16,Stocks!$A128,Movimientos!$F$6:$F$16,Stocks!H$3,Movimientos!$A$6:$A$16,"&lt;="&amp;Stocks!$A$2)-SUMIFS(Movimientos!$E$6:$E$16,Movimientos!$C$6:$C$16,Stocks!$A128,Movimientos!$G$6:$G$16,Stocks!H$3,Movimientos!$A$6:$A$16,"&lt;="&amp;Stocks!$A$2)</f>
        <v>0</v>
      </c>
      <c r="I128" s="4">
        <f>SUMIFS(Movimientos!$E$6:$E$16,Movimientos!$C$6:$C$16,Stocks!$A128,Movimientos!$F$6:$F$16,Stocks!I$3,Movimientos!$A$6:$A$16,"&lt;="&amp;Stocks!$A$2)-SUMIFS(Movimientos!$E$6:$E$16,Movimientos!$C$6:$C$16,Stocks!$A128,Movimientos!$G$6:$G$16,Stocks!I$3,Movimientos!$A$6:$A$16,"&lt;="&amp;Stocks!$A$2)</f>
        <v>0</v>
      </c>
      <c r="J128" s="4">
        <f>SUMIFS(Movimientos!$E$6:$E$16,Movimientos!$C$6:$C$16,Stocks!$A128,Movimientos!$F$6:$F$16,Stocks!J$3,Movimientos!$A$6:$A$16,"&lt;="&amp;Stocks!$A$2)-SUMIFS(Movimientos!$E$6:$E$16,Movimientos!$C$6:$C$16,Stocks!$A128,Movimientos!$G$6:$G$16,Stocks!J$3,Movimientos!$A$6:$A$16,"&lt;="&amp;Stocks!$A$2)</f>
        <v>0</v>
      </c>
      <c r="K128" s="4">
        <f>SUMIFS(Movimientos!$E$6:$E$16,Movimientos!$C$6:$C$16,Stocks!$A128,Movimientos!$F$6:$F$16,Stocks!K$3,Movimientos!$A$6:$A$16,"&lt;="&amp;Stocks!$A$2)-SUMIFS(Movimientos!$E$6:$E$16,Movimientos!$C$6:$C$16,Stocks!$A128,Movimientos!$G$6:$G$16,Stocks!K$3,Movimientos!$A$6:$A$16,"&lt;="&amp;Stocks!$A$2)</f>
        <v>0</v>
      </c>
      <c r="L128" s="4">
        <f>SUMIFS(Movimientos!$E$6:$E$16,Movimientos!$C$6:$C$16,Stocks!$A128,Movimientos!$F$6:$F$16,Stocks!L$3,Movimientos!$A$6:$A$16,"&lt;="&amp;Stocks!$A$2)-SUMIFS(Movimientos!$E$6:$E$16,Movimientos!$C$6:$C$16,Stocks!$A128,Movimientos!$G$6:$G$16,Stocks!L$3,Movimientos!$A$6:$A$16,"&lt;="&amp;Stocks!$A$2)</f>
        <v>0</v>
      </c>
    </row>
    <row r="129" spans="1:12" x14ac:dyDescent="0.25">
      <c r="A129" t="str">
        <f>Codificación!A128</f>
        <v/>
      </c>
      <c r="B129" s="1">
        <f>Codificación!B128</f>
        <v>0</v>
      </c>
      <c r="E129" s="4">
        <f>SUMIFS(Movimientos!$E$6:$E$16,Movimientos!$C$6:$C$16,Stocks!$A129,Movimientos!$F$6:$F$16,Stocks!E$3,Movimientos!$A$6:$A$16,"&lt;="&amp;Stocks!$A$2)-SUMIFS(Movimientos!$E$6:$E$16,Movimientos!$C$6:$C$16,Stocks!$A129,Movimientos!$G$6:$G$16,Stocks!E$3,Movimientos!$A$6:$A$16,"&lt;="&amp;Stocks!$A$2)</f>
        <v>0</v>
      </c>
      <c r="F129" s="4">
        <f>SUMIFS(Movimientos!$E$6:$E$16,Movimientos!$C$6:$C$16,Stocks!$A129,Movimientos!$F$6:$F$16,Stocks!F$3,Movimientos!$A$6:$A$16,"&lt;="&amp;Stocks!$A$2)-SUMIFS(Movimientos!$E$6:$E$16,Movimientos!$C$6:$C$16,Stocks!$A129,Movimientos!$G$6:$G$16,Stocks!F$3,Movimientos!$A$6:$A$16,"&lt;="&amp;Stocks!$A$2)</f>
        <v>0</v>
      </c>
      <c r="G129" s="4">
        <f>SUMIFS(Movimientos!$E$6:$E$16,Movimientos!$C$6:$C$16,Stocks!$A129,Movimientos!$F$6:$F$16,Stocks!G$3,Movimientos!$A$6:$A$16,"&lt;="&amp;Stocks!$A$2)-SUMIFS(Movimientos!$E$6:$E$16,Movimientos!$C$6:$C$16,Stocks!$A129,Movimientos!$G$6:$G$16,Stocks!G$3,Movimientos!$A$6:$A$16,"&lt;="&amp;Stocks!$A$2)</f>
        <v>0</v>
      </c>
      <c r="H129" s="4">
        <f>SUMIFS(Movimientos!$E$6:$E$16,Movimientos!$C$6:$C$16,Stocks!$A129,Movimientos!$F$6:$F$16,Stocks!H$3,Movimientos!$A$6:$A$16,"&lt;="&amp;Stocks!$A$2)-SUMIFS(Movimientos!$E$6:$E$16,Movimientos!$C$6:$C$16,Stocks!$A129,Movimientos!$G$6:$G$16,Stocks!H$3,Movimientos!$A$6:$A$16,"&lt;="&amp;Stocks!$A$2)</f>
        <v>0</v>
      </c>
      <c r="I129" s="4">
        <f>SUMIFS(Movimientos!$E$6:$E$16,Movimientos!$C$6:$C$16,Stocks!$A129,Movimientos!$F$6:$F$16,Stocks!I$3,Movimientos!$A$6:$A$16,"&lt;="&amp;Stocks!$A$2)-SUMIFS(Movimientos!$E$6:$E$16,Movimientos!$C$6:$C$16,Stocks!$A129,Movimientos!$G$6:$G$16,Stocks!I$3,Movimientos!$A$6:$A$16,"&lt;="&amp;Stocks!$A$2)</f>
        <v>0</v>
      </c>
      <c r="J129" s="4">
        <f>SUMIFS(Movimientos!$E$6:$E$16,Movimientos!$C$6:$C$16,Stocks!$A129,Movimientos!$F$6:$F$16,Stocks!J$3,Movimientos!$A$6:$A$16,"&lt;="&amp;Stocks!$A$2)-SUMIFS(Movimientos!$E$6:$E$16,Movimientos!$C$6:$C$16,Stocks!$A129,Movimientos!$G$6:$G$16,Stocks!J$3,Movimientos!$A$6:$A$16,"&lt;="&amp;Stocks!$A$2)</f>
        <v>0</v>
      </c>
      <c r="K129" s="4">
        <f>SUMIFS(Movimientos!$E$6:$E$16,Movimientos!$C$6:$C$16,Stocks!$A129,Movimientos!$F$6:$F$16,Stocks!K$3,Movimientos!$A$6:$A$16,"&lt;="&amp;Stocks!$A$2)-SUMIFS(Movimientos!$E$6:$E$16,Movimientos!$C$6:$C$16,Stocks!$A129,Movimientos!$G$6:$G$16,Stocks!K$3,Movimientos!$A$6:$A$16,"&lt;="&amp;Stocks!$A$2)</f>
        <v>0</v>
      </c>
      <c r="L129" s="4">
        <f>SUMIFS(Movimientos!$E$6:$E$16,Movimientos!$C$6:$C$16,Stocks!$A129,Movimientos!$F$6:$F$16,Stocks!L$3,Movimientos!$A$6:$A$16,"&lt;="&amp;Stocks!$A$2)-SUMIFS(Movimientos!$E$6:$E$16,Movimientos!$C$6:$C$16,Stocks!$A129,Movimientos!$G$6:$G$16,Stocks!L$3,Movimientos!$A$6:$A$16,"&lt;="&amp;Stocks!$A$2)</f>
        <v>0</v>
      </c>
    </row>
    <row r="130" spans="1:12" x14ac:dyDescent="0.25">
      <c r="A130" t="str">
        <f>Codificación!A129</f>
        <v/>
      </c>
      <c r="B130" s="1">
        <f>Codificación!B129</f>
        <v>0</v>
      </c>
      <c r="E130" s="4">
        <f>SUMIFS(Movimientos!$E$6:$E$16,Movimientos!$C$6:$C$16,Stocks!$A130,Movimientos!$F$6:$F$16,Stocks!E$3,Movimientos!$A$6:$A$16,"&lt;="&amp;Stocks!$A$2)-SUMIFS(Movimientos!$E$6:$E$16,Movimientos!$C$6:$C$16,Stocks!$A130,Movimientos!$G$6:$G$16,Stocks!E$3,Movimientos!$A$6:$A$16,"&lt;="&amp;Stocks!$A$2)</f>
        <v>0</v>
      </c>
      <c r="F130" s="4">
        <f>SUMIFS(Movimientos!$E$6:$E$16,Movimientos!$C$6:$C$16,Stocks!$A130,Movimientos!$F$6:$F$16,Stocks!F$3,Movimientos!$A$6:$A$16,"&lt;="&amp;Stocks!$A$2)-SUMIFS(Movimientos!$E$6:$E$16,Movimientos!$C$6:$C$16,Stocks!$A130,Movimientos!$G$6:$G$16,Stocks!F$3,Movimientos!$A$6:$A$16,"&lt;="&amp;Stocks!$A$2)</f>
        <v>0</v>
      </c>
      <c r="G130" s="4">
        <f>SUMIFS(Movimientos!$E$6:$E$16,Movimientos!$C$6:$C$16,Stocks!$A130,Movimientos!$F$6:$F$16,Stocks!G$3,Movimientos!$A$6:$A$16,"&lt;="&amp;Stocks!$A$2)-SUMIFS(Movimientos!$E$6:$E$16,Movimientos!$C$6:$C$16,Stocks!$A130,Movimientos!$G$6:$G$16,Stocks!G$3,Movimientos!$A$6:$A$16,"&lt;="&amp;Stocks!$A$2)</f>
        <v>0</v>
      </c>
      <c r="H130" s="4">
        <f>SUMIFS(Movimientos!$E$6:$E$16,Movimientos!$C$6:$C$16,Stocks!$A130,Movimientos!$F$6:$F$16,Stocks!H$3,Movimientos!$A$6:$A$16,"&lt;="&amp;Stocks!$A$2)-SUMIFS(Movimientos!$E$6:$E$16,Movimientos!$C$6:$C$16,Stocks!$A130,Movimientos!$G$6:$G$16,Stocks!H$3,Movimientos!$A$6:$A$16,"&lt;="&amp;Stocks!$A$2)</f>
        <v>0</v>
      </c>
      <c r="I130" s="4">
        <f>SUMIFS(Movimientos!$E$6:$E$16,Movimientos!$C$6:$C$16,Stocks!$A130,Movimientos!$F$6:$F$16,Stocks!I$3,Movimientos!$A$6:$A$16,"&lt;="&amp;Stocks!$A$2)-SUMIFS(Movimientos!$E$6:$E$16,Movimientos!$C$6:$C$16,Stocks!$A130,Movimientos!$G$6:$G$16,Stocks!I$3,Movimientos!$A$6:$A$16,"&lt;="&amp;Stocks!$A$2)</f>
        <v>0</v>
      </c>
      <c r="J130" s="4">
        <f>SUMIFS(Movimientos!$E$6:$E$16,Movimientos!$C$6:$C$16,Stocks!$A130,Movimientos!$F$6:$F$16,Stocks!J$3,Movimientos!$A$6:$A$16,"&lt;="&amp;Stocks!$A$2)-SUMIFS(Movimientos!$E$6:$E$16,Movimientos!$C$6:$C$16,Stocks!$A130,Movimientos!$G$6:$G$16,Stocks!J$3,Movimientos!$A$6:$A$16,"&lt;="&amp;Stocks!$A$2)</f>
        <v>0</v>
      </c>
      <c r="K130" s="4">
        <f>SUMIFS(Movimientos!$E$6:$E$16,Movimientos!$C$6:$C$16,Stocks!$A130,Movimientos!$F$6:$F$16,Stocks!K$3,Movimientos!$A$6:$A$16,"&lt;="&amp;Stocks!$A$2)-SUMIFS(Movimientos!$E$6:$E$16,Movimientos!$C$6:$C$16,Stocks!$A130,Movimientos!$G$6:$G$16,Stocks!K$3,Movimientos!$A$6:$A$16,"&lt;="&amp;Stocks!$A$2)</f>
        <v>0</v>
      </c>
      <c r="L130" s="4">
        <f>SUMIFS(Movimientos!$E$6:$E$16,Movimientos!$C$6:$C$16,Stocks!$A130,Movimientos!$F$6:$F$16,Stocks!L$3,Movimientos!$A$6:$A$16,"&lt;="&amp;Stocks!$A$2)-SUMIFS(Movimientos!$E$6:$E$16,Movimientos!$C$6:$C$16,Stocks!$A130,Movimientos!$G$6:$G$16,Stocks!L$3,Movimientos!$A$6:$A$16,"&lt;="&amp;Stocks!$A$2)</f>
        <v>0</v>
      </c>
    </row>
    <row r="131" spans="1:12" x14ac:dyDescent="0.25">
      <c r="A131" t="str">
        <f>Codificación!A130</f>
        <v/>
      </c>
      <c r="B131" s="1">
        <f>Codificación!B130</f>
        <v>0</v>
      </c>
      <c r="E131" s="4">
        <f>SUMIFS(Movimientos!$E$6:$E$16,Movimientos!$C$6:$C$16,Stocks!$A131,Movimientos!$F$6:$F$16,Stocks!E$3,Movimientos!$A$6:$A$16,"&lt;="&amp;Stocks!$A$2)-SUMIFS(Movimientos!$E$6:$E$16,Movimientos!$C$6:$C$16,Stocks!$A131,Movimientos!$G$6:$G$16,Stocks!E$3,Movimientos!$A$6:$A$16,"&lt;="&amp;Stocks!$A$2)</f>
        <v>0</v>
      </c>
      <c r="F131" s="4">
        <f>SUMIFS(Movimientos!$E$6:$E$16,Movimientos!$C$6:$C$16,Stocks!$A131,Movimientos!$F$6:$F$16,Stocks!F$3,Movimientos!$A$6:$A$16,"&lt;="&amp;Stocks!$A$2)-SUMIFS(Movimientos!$E$6:$E$16,Movimientos!$C$6:$C$16,Stocks!$A131,Movimientos!$G$6:$G$16,Stocks!F$3,Movimientos!$A$6:$A$16,"&lt;="&amp;Stocks!$A$2)</f>
        <v>0</v>
      </c>
      <c r="G131" s="4">
        <f>SUMIFS(Movimientos!$E$6:$E$16,Movimientos!$C$6:$C$16,Stocks!$A131,Movimientos!$F$6:$F$16,Stocks!G$3,Movimientos!$A$6:$A$16,"&lt;="&amp;Stocks!$A$2)-SUMIFS(Movimientos!$E$6:$E$16,Movimientos!$C$6:$C$16,Stocks!$A131,Movimientos!$G$6:$G$16,Stocks!G$3,Movimientos!$A$6:$A$16,"&lt;="&amp;Stocks!$A$2)</f>
        <v>0</v>
      </c>
      <c r="H131" s="4">
        <f>SUMIFS(Movimientos!$E$6:$E$16,Movimientos!$C$6:$C$16,Stocks!$A131,Movimientos!$F$6:$F$16,Stocks!H$3,Movimientos!$A$6:$A$16,"&lt;="&amp;Stocks!$A$2)-SUMIFS(Movimientos!$E$6:$E$16,Movimientos!$C$6:$C$16,Stocks!$A131,Movimientos!$G$6:$G$16,Stocks!H$3,Movimientos!$A$6:$A$16,"&lt;="&amp;Stocks!$A$2)</f>
        <v>0</v>
      </c>
      <c r="I131" s="4">
        <f>SUMIFS(Movimientos!$E$6:$E$16,Movimientos!$C$6:$C$16,Stocks!$A131,Movimientos!$F$6:$F$16,Stocks!I$3,Movimientos!$A$6:$A$16,"&lt;="&amp;Stocks!$A$2)-SUMIFS(Movimientos!$E$6:$E$16,Movimientos!$C$6:$C$16,Stocks!$A131,Movimientos!$G$6:$G$16,Stocks!I$3,Movimientos!$A$6:$A$16,"&lt;="&amp;Stocks!$A$2)</f>
        <v>0</v>
      </c>
      <c r="J131" s="4">
        <f>SUMIFS(Movimientos!$E$6:$E$16,Movimientos!$C$6:$C$16,Stocks!$A131,Movimientos!$F$6:$F$16,Stocks!J$3,Movimientos!$A$6:$A$16,"&lt;="&amp;Stocks!$A$2)-SUMIFS(Movimientos!$E$6:$E$16,Movimientos!$C$6:$C$16,Stocks!$A131,Movimientos!$G$6:$G$16,Stocks!J$3,Movimientos!$A$6:$A$16,"&lt;="&amp;Stocks!$A$2)</f>
        <v>0</v>
      </c>
      <c r="K131" s="4">
        <f>SUMIFS(Movimientos!$E$6:$E$16,Movimientos!$C$6:$C$16,Stocks!$A131,Movimientos!$F$6:$F$16,Stocks!K$3,Movimientos!$A$6:$A$16,"&lt;="&amp;Stocks!$A$2)-SUMIFS(Movimientos!$E$6:$E$16,Movimientos!$C$6:$C$16,Stocks!$A131,Movimientos!$G$6:$G$16,Stocks!K$3,Movimientos!$A$6:$A$16,"&lt;="&amp;Stocks!$A$2)</f>
        <v>0</v>
      </c>
      <c r="L131" s="4">
        <f>SUMIFS(Movimientos!$E$6:$E$16,Movimientos!$C$6:$C$16,Stocks!$A131,Movimientos!$F$6:$F$16,Stocks!L$3,Movimientos!$A$6:$A$16,"&lt;="&amp;Stocks!$A$2)-SUMIFS(Movimientos!$E$6:$E$16,Movimientos!$C$6:$C$16,Stocks!$A131,Movimientos!$G$6:$G$16,Stocks!L$3,Movimientos!$A$6:$A$16,"&lt;="&amp;Stocks!$A$2)</f>
        <v>0</v>
      </c>
    </row>
    <row r="132" spans="1:12" x14ac:dyDescent="0.25">
      <c r="A132" t="str">
        <f>Codificación!A131</f>
        <v/>
      </c>
      <c r="B132" s="1">
        <f>Codificación!B131</f>
        <v>0</v>
      </c>
      <c r="E132" s="4">
        <f>SUMIFS(Movimientos!$E$6:$E$16,Movimientos!$C$6:$C$16,Stocks!$A132,Movimientos!$F$6:$F$16,Stocks!E$3,Movimientos!$A$6:$A$16,"&lt;="&amp;Stocks!$A$2)-SUMIFS(Movimientos!$E$6:$E$16,Movimientos!$C$6:$C$16,Stocks!$A132,Movimientos!$G$6:$G$16,Stocks!E$3,Movimientos!$A$6:$A$16,"&lt;="&amp;Stocks!$A$2)</f>
        <v>0</v>
      </c>
      <c r="F132" s="4">
        <f>SUMIFS(Movimientos!$E$6:$E$16,Movimientos!$C$6:$C$16,Stocks!$A132,Movimientos!$F$6:$F$16,Stocks!F$3,Movimientos!$A$6:$A$16,"&lt;="&amp;Stocks!$A$2)-SUMIFS(Movimientos!$E$6:$E$16,Movimientos!$C$6:$C$16,Stocks!$A132,Movimientos!$G$6:$G$16,Stocks!F$3,Movimientos!$A$6:$A$16,"&lt;="&amp;Stocks!$A$2)</f>
        <v>0</v>
      </c>
      <c r="G132" s="4">
        <f>SUMIFS(Movimientos!$E$6:$E$16,Movimientos!$C$6:$C$16,Stocks!$A132,Movimientos!$F$6:$F$16,Stocks!G$3,Movimientos!$A$6:$A$16,"&lt;="&amp;Stocks!$A$2)-SUMIFS(Movimientos!$E$6:$E$16,Movimientos!$C$6:$C$16,Stocks!$A132,Movimientos!$G$6:$G$16,Stocks!G$3,Movimientos!$A$6:$A$16,"&lt;="&amp;Stocks!$A$2)</f>
        <v>0</v>
      </c>
      <c r="H132" s="4">
        <f>SUMIFS(Movimientos!$E$6:$E$16,Movimientos!$C$6:$C$16,Stocks!$A132,Movimientos!$F$6:$F$16,Stocks!H$3,Movimientos!$A$6:$A$16,"&lt;="&amp;Stocks!$A$2)-SUMIFS(Movimientos!$E$6:$E$16,Movimientos!$C$6:$C$16,Stocks!$A132,Movimientos!$G$6:$G$16,Stocks!H$3,Movimientos!$A$6:$A$16,"&lt;="&amp;Stocks!$A$2)</f>
        <v>0</v>
      </c>
      <c r="I132" s="4">
        <f>SUMIFS(Movimientos!$E$6:$E$16,Movimientos!$C$6:$C$16,Stocks!$A132,Movimientos!$F$6:$F$16,Stocks!I$3,Movimientos!$A$6:$A$16,"&lt;="&amp;Stocks!$A$2)-SUMIFS(Movimientos!$E$6:$E$16,Movimientos!$C$6:$C$16,Stocks!$A132,Movimientos!$G$6:$G$16,Stocks!I$3,Movimientos!$A$6:$A$16,"&lt;="&amp;Stocks!$A$2)</f>
        <v>0</v>
      </c>
      <c r="J132" s="4">
        <f>SUMIFS(Movimientos!$E$6:$E$16,Movimientos!$C$6:$C$16,Stocks!$A132,Movimientos!$F$6:$F$16,Stocks!J$3,Movimientos!$A$6:$A$16,"&lt;="&amp;Stocks!$A$2)-SUMIFS(Movimientos!$E$6:$E$16,Movimientos!$C$6:$C$16,Stocks!$A132,Movimientos!$G$6:$G$16,Stocks!J$3,Movimientos!$A$6:$A$16,"&lt;="&amp;Stocks!$A$2)</f>
        <v>0</v>
      </c>
      <c r="K132" s="4">
        <f>SUMIFS(Movimientos!$E$6:$E$16,Movimientos!$C$6:$C$16,Stocks!$A132,Movimientos!$F$6:$F$16,Stocks!K$3,Movimientos!$A$6:$A$16,"&lt;="&amp;Stocks!$A$2)-SUMIFS(Movimientos!$E$6:$E$16,Movimientos!$C$6:$C$16,Stocks!$A132,Movimientos!$G$6:$G$16,Stocks!K$3,Movimientos!$A$6:$A$16,"&lt;="&amp;Stocks!$A$2)</f>
        <v>0</v>
      </c>
      <c r="L132" s="4">
        <f>SUMIFS(Movimientos!$E$6:$E$16,Movimientos!$C$6:$C$16,Stocks!$A132,Movimientos!$F$6:$F$16,Stocks!L$3,Movimientos!$A$6:$A$16,"&lt;="&amp;Stocks!$A$2)-SUMIFS(Movimientos!$E$6:$E$16,Movimientos!$C$6:$C$16,Stocks!$A132,Movimientos!$G$6:$G$16,Stocks!L$3,Movimientos!$A$6:$A$16,"&lt;="&amp;Stocks!$A$2)</f>
        <v>0</v>
      </c>
    </row>
    <row r="133" spans="1:12" x14ac:dyDescent="0.25">
      <c r="A133" t="str">
        <f>Codificación!A132</f>
        <v/>
      </c>
      <c r="B133" s="1">
        <f>Codificación!B132</f>
        <v>0</v>
      </c>
      <c r="E133" s="4">
        <f>SUMIFS(Movimientos!$E$6:$E$16,Movimientos!$C$6:$C$16,Stocks!$A133,Movimientos!$F$6:$F$16,Stocks!E$3,Movimientos!$A$6:$A$16,"&lt;="&amp;Stocks!$A$2)-SUMIFS(Movimientos!$E$6:$E$16,Movimientos!$C$6:$C$16,Stocks!$A133,Movimientos!$G$6:$G$16,Stocks!E$3,Movimientos!$A$6:$A$16,"&lt;="&amp;Stocks!$A$2)</f>
        <v>0</v>
      </c>
      <c r="F133" s="4">
        <f>SUMIFS(Movimientos!$E$6:$E$16,Movimientos!$C$6:$C$16,Stocks!$A133,Movimientos!$F$6:$F$16,Stocks!F$3,Movimientos!$A$6:$A$16,"&lt;="&amp;Stocks!$A$2)-SUMIFS(Movimientos!$E$6:$E$16,Movimientos!$C$6:$C$16,Stocks!$A133,Movimientos!$G$6:$G$16,Stocks!F$3,Movimientos!$A$6:$A$16,"&lt;="&amp;Stocks!$A$2)</f>
        <v>0</v>
      </c>
      <c r="G133" s="4">
        <f>SUMIFS(Movimientos!$E$6:$E$16,Movimientos!$C$6:$C$16,Stocks!$A133,Movimientos!$F$6:$F$16,Stocks!G$3,Movimientos!$A$6:$A$16,"&lt;="&amp;Stocks!$A$2)-SUMIFS(Movimientos!$E$6:$E$16,Movimientos!$C$6:$C$16,Stocks!$A133,Movimientos!$G$6:$G$16,Stocks!G$3,Movimientos!$A$6:$A$16,"&lt;="&amp;Stocks!$A$2)</f>
        <v>0</v>
      </c>
      <c r="H133" s="4">
        <f>SUMIFS(Movimientos!$E$6:$E$16,Movimientos!$C$6:$C$16,Stocks!$A133,Movimientos!$F$6:$F$16,Stocks!H$3,Movimientos!$A$6:$A$16,"&lt;="&amp;Stocks!$A$2)-SUMIFS(Movimientos!$E$6:$E$16,Movimientos!$C$6:$C$16,Stocks!$A133,Movimientos!$G$6:$G$16,Stocks!H$3,Movimientos!$A$6:$A$16,"&lt;="&amp;Stocks!$A$2)</f>
        <v>0</v>
      </c>
      <c r="I133" s="4">
        <f>SUMIFS(Movimientos!$E$6:$E$16,Movimientos!$C$6:$C$16,Stocks!$A133,Movimientos!$F$6:$F$16,Stocks!I$3,Movimientos!$A$6:$A$16,"&lt;="&amp;Stocks!$A$2)-SUMIFS(Movimientos!$E$6:$E$16,Movimientos!$C$6:$C$16,Stocks!$A133,Movimientos!$G$6:$G$16,Stocks!I$3,Movimientos!$A$6:$A$16,"&lt;="&amp;Stocks!$A$2)</f>
        <v>0</v>
      </c>
      <c r="J133" s="4">
        <f>SUMIFS(Movimientos!$E$6:$E$16,Movimientos!$C$6:$C$16,Stocks!$A133,Movimientos!$F$6:$F$16,Stocks!J$3,Movimientos!$A$6:$A$16,"&lt;="&amp;Stocks!$A$2)-SUMIFS(Movimientos!$E$6:$E$16,Movimientos!$C$6:$C$16,Stocks!$A133,Movimientos!$G$6:$G$16,Stocks!J$3,Movimientos!$A$6:$A$16,"&lt;="&amp;Stocks!$A$2)</f>
        <v>0</v>
      </c>
      <c r="K133" s="4">
        <f>SUMIFS(Movimientos!$E$6:$E$16,Movimientos!$C$6:$C$16,Stocks!$A133,Movimientos!$F$6:$F$16,Stocks!K$3,Movimientos!$A$6:$A$16,"&lt;="&amp;Stocks!$A$2)-SUMIFS(Movimientos!$E$6:$E$16,Movimientos!$C$6:$C$16,Stocks!$A133,Movimientos!$G$6:$G$16,Stocks!K$3,Movimientos!$A$6:$A$16,"&lt;="&amp;Stocks!$A$2)</f>
        <v>0</v>
      </c>
      <c r="L133" s="4">
        <f>SUMIFS(Movimientos!$E$6:$E$16,Movimientos!$C$6:$C$16,Stocks!$A133,Movimientos!$F$6:$F$16,Stocks!L$3,Movimientos!$A$6:$A$16,"&lt;="&amp;Stocks!$A$2)-SUMIFS(Movimientos!$E$6:$E$16,Movimientos!$C$6:$C$16,Stocks!$A133,Movimientos!$G$6:$G$16,Stocks!L$3,Movimientos!$A$6:$A$16,"&lt;="&amp;Stocks!$A$2)</f>
        <v>0</v>
      </c>
    </row>
    <row r="134" spans="1:12" x14ac:dyDescent="0.25">
      <c r="A134" t="str">
        <f>Codificación!A133</f>
        <v/>
      </c>
      <c r="B134" s="1">
        <f>Codificación!B133</f>
        <v>0</v>
      </c>
      <c r="E134" s="4">
        <f>SUMIFS(Movimientos!$E$6:$E$16,Movimientos!$C$6:$C$16,Stocks!$A134,Movimientos!$F$6:$F$16,Stocks!E$3,Movimientos!$A$6:$A$16,"&lt;="&amp;Stocks!$A$2)-SUMIFS(Movimientos!$E$6:$E$16,Movimientos!$C$6:$C$16,Stocks!$A134,Movimientos!$G$6:$G$16,Stocks!E$3,Movimientos!$A$6:$A$16,"&lt;="&amp;Stocks!$A$2)</f>
        <v>0</v>
      </c>
      <c r="F134" s="4">
        <f>SUMIFS(Movimientos!$E$6:$E$16,Movimientos!$C$6:$C$16,Stocks!$A134,Movimientos!$F$6:$F$16,Stocks!F$3,Movimientos!$A$6:$A$16,"&lt;="&amp;Stocks!$A$2)-SUMIFS(Movimientos!$E$6:$E$16,Movimientos!$C$6:$C$16,Stocks!$A134,Movimientos!$G$6:$G$16,Stocks!F$3,Movimientos!$A$6:$A$16,"&lt;="&amp;Stocks!$A$2)</f>
        <v>0</v>
      </c>
      <c r="G134" s="4">
        <f>SUMIFS(Movimientos!$E$6:$E$16,Movimientos!$C$6:$C$16,Stocks!$A134,Movimientos!$F$6:$F$16,Stocks!G$3,Movimientos!$A$6:$A$16,"&lt;="&amp;Stocks!$A$2)-SUMIFS(Movimientos!$E$6:$E$16,Movimientos!$C$6:$C$16,Stocks!$A134,Movimientos!$G$6:$G$16,Stocks!G$3,Movimientos!$A$6:$A$16,"&lt;="&amp;Stocks!$A$2)</f>
        <v>0</v>
      </c>
      <c r="H134" s="4">
        <f>SUMIFS(Movimientos!$E$6:$E$16,Movimientos!$C$6:$C$16,Stocks!$A134,Movimientos!$F$6:$F$16,Stocks!H$3,Movimientos!$A$6:$A$16,"&lt;="&amp;Stocks!$A$2)-SUMIFS(Movimientos!$E$6:$E$16,Movimientos!$C$6:$C$16,Stocks!$A134,Movimientos!$G$6:$G$16,Stocks!H$3,Movimientos!$A$6:$A$16,"&lt;="&amp;Stocks!$A$2)</f>
        <v>0</v>
      </c>
      <c r="I134" s="4">
        <f>SUMIFS(Movimientos!$E$6:$E$16,Movimientos!$C$6:$C$16,Stocks!$A134,Movimientos!$F$6:$F$16,Stocks!I$3,Movimientos!$A$6:$A$16,"&lt;="&amp;Stocks!$A$2)-SUMIFS(Movimientos!$E$6:$E$16,Movimientos!$C$6:$C$16,Stocks!$A134,Movimientos!$G$6:$G$16,Stocks!I$3,Movimientos!$A$6:$A$16,"&lt;="&amp;Stocks!$A$2)</f>
        <v>0</v>
      </c>
      <c r="J134" s="4">
        <f>SUMIFS(Movimientos!$E$6:$E$16,Movimientos!$C$6:$C$16,Stocks!$A134,Movimientos!$F$6:$F$16,Stocks!J$3,Movimientos!$A$6:$A$16,"&lt;="&amp;Stocks!$A$2)-SUMIFS(Movimientos!$E$6:$E$16,Movimientos!$C$6:$C$16,Stocks!$A134,Movimientos!$G$6:$G$16,Stocks!J$3,Movimientos!$A$6:$A$16,"&lt;="&amp;Stocks!$A$2)</f>
        <v>0</v>
      </c>
      <c r="K134" s="4">
        <f>SUMIFS(Movimientos!$E$6:$E$16,Movimientos!$C$6:$C$16,Stocks!$A134,Movimientos!$F$6:$F$16,Stocks!K$3,Movimientos!$A$6:$A$16,"&lt;="&amp;Stocks!$A$2)-SUMIFS(Movimientos!$E$6:$E$16,Movimientos!$C$6:$C$16,Stocks!$A134,Movimientos!$G$6:$G$16,Stocks!K$3,Movimientos!$A$6:$A$16,"&lt;="&amp;Stocks!$A$2)</f>
        <v>0</v>
      </c>
      <c r="L134" s="4">
        <f>SUMIFS(Movimientos!$E$6:$E$16,Movimientos!$C$6:$C$16,Stocks!$A134,Movimientos!$F$6:$F$16,Stocks!L$3,Movimientos!$A$6:$A$16,"&lt;="&amp;Stocks!$A$2)-SUMIFS(Movimientos!$E$6:$E$16,Movimientos!$C$6:$C$16,Stocks!$A134,Movimientos!$G$6:$G$16,Stocks!L$3,Movimientos!$A$6:$A$16,"&lt;="&amp;Stocks!$A$2)</f>
        <v>0</v>
      </c>
    </row>
    <row r="135" spans="1:12" x14ac:dyDescent="0.25">
      <c r="A135" t="str">
        <f>Codificación!A134</f>
        <v/>
      </c>
      <c r="B135" s="1">
        <f>Codificación!B134</f>
        <v>0</v>
      </c>
      <c r="E135" s="4">
        <f>SUMIFS(Movimientos!$E$6:$E$16,Movimientos!$C$6:$C$16,Stocks!$A135,Movimientos!$F$6:$F$16,Stocks!E$3,Movimientos!$A$6:$A$16,"&lt;="&amp;Stocks!$A$2)-SUMIFS(Movimientos!$E$6:$E$16,Movimientos!$C$6:$C$16,Stocks!$A135,Movimientos!$G$6:$G$16,Stocks!E$3,Movimientos!$A$6:$A$16,"&lt;="&amp;Stocks!$A$2)</f>
        <v>0</v>
      </c>
      <c r="F135" s="4">
        <f>SUMIFS(Movimientos!$E$6:$E$16,Movimientos!$C$6:$C$16,Stocks!$A135,Movimientos!$F$6:$F$16,Stocks!F$3,Movimientos!$A$6:$A$16,"&lt;="&amp;Stocks!$A$2)-SUMIFS(Movimientos!$E$6:$E$16,Movimientos!$C$6:$C$16,Stocks!$A135,Movimientos!$G$6:$G$16,Stocks!F$3,Movimientos!$A$6:$A$16,"&lt;="&amp;Stocks!$A$2)</f>
        <v>0</v>
      </c>
      <c r="G135" s="4">
        <f>SUMIFS(Movimientos!$E$6:$E$16,Movimientos!$C$6:$C$16,Stocks!$A135,Movimientos!$F$6:$F$16,Stocks!G$3,Movimientos!$A$6:$A$16,"&lt;="&amp;Stocks!$A$2)-SUMIFS(Movimientos!$E$6:$E$16,Movimientos!$C$6:$C$16,Stocks!$A135,Movimientos!$G$6:$G$16,Stocks!G$3,Movimientos!$A$6:$A$16,"&lt;="&amp;Stocks!$A$2)</f>
        <v>0</v>
      </c>
      <c r="H135" s="4">
        <f>SUMIFS(Movimientos!$E$6:$E$16,Movimientos!$C$6:$C$16,Stocks!$A135,Movimientos!$F$6:$F$16,Stocks!H$3,Movimientos!$A$6:$A$16,"&lt;="&amp;Stocks!$A$2)-SUMIFS(Movimientos!$E$6:$E$16,Movimientos!$C$6:$C$16,Stocks!$A135,Movimientos!$G$6:$G$16,Stocks!H$3,Movimientos!$A$6:$A$16,"&lt;="&amp;Stocks!$A$2)</f>
        <v>0</v>
      </c>
      <c r="I135" s="4">
        <f>SUMIFS(Movimientos!$E$6:$E$16,Movimientos!$C$6:$C$16,Stocks!$A135,Movimientos!$F$6:$F$16,Stocks!I$3,Movimientos!$A$6:$A$16,"&lt;="&amp;Stocks!$A$2)-SUMIFS(Movimientos!$E$6:$E$16,Movimientos!$C$6:$C$16,Stocks!$A135,Movimientos!$G$6:$G$16,Stocks!I$3,Movimientos!$A$6:$A$16,"&lt;="&amp;Stocks!$A$2)</f>
        <v>0</v>
      </c>
      <c r="J135" s="4">
        <f>SUMIFS(Movimientos!$E$6:$E$16,Movimientos!$C$6:$C$16,Stocks!$A135,Movimientos!$F$6:$F$16,Stocks!J$3,Movimientos!$A$6:$A$16,"&lt;="&amp;Stocks!$A$2)-SUMIFS(Movimientos!$E$6:$E$16,Movimientos!$C$6:$C$16,Stocks!$A135,Movimientos!$G$6:$G$16,Stocks!J$3,Movimientos!$A$6:$A$16,"&lt;="&amp;Stocks!$A$2)</f>
        <v>0</v>
      </c>
      <c r="K135" s="4">
        <f>SUMIFS(Movimientos!$E$6:$E$16,Movimientos!$C$6:$C$16,Stocks!$A135,Movimientos!$F$6:$F$16,Stocks!K$3,Movimientos!$A$6:$A$16,"&lt;="&amp;Stocks!$A$2)-SUMIFS(Movimientos!$E$6:$E$16,Movimientos!$C$6:$C$16,Stocks!$A135,Movimientos!$G$6:$G$16,Stocks!K$3,Movimientos!$A$6:$A$16,"&lt;="&amp;Stocks!$A$2)</f>
        <v>0</v>
      </c>
      <c r="L135" s="4">
        <f>SUMIFS(Movimientos!$E$6:$E$16,Movimientos!$C$6:$C$16,Stocks!$A135,Movimientos!$F$6:$F$16,Stocks!L$3,Movimientos!$A$6:$A$16,"&lt;="&amp;Stocks!$A$2)-SUMIFS(Movimientos!$E$6:$E$16,Movimientos!$C$6:$C$16,Stocks!$A135,Movimientos!$G$6:$G$16,Stocks!L$3,Movimientos!$A$6:$A$16,"&lt;="&amp;Stocks!$A$2)</f>
        <v>0</v>
      </c>
    </row>
    <row r="136" spans="1:12" x14ac:dyDescent="0.25">
      <c r="A136" t="str">
        <f>Codificación!A135</f>
        <v/>
      </c>
      <c r="B136" s="1">
        <f>Codificación!B135</f>
        <v>0</v>
      </c>
      <c r="E136" s="4">
        <f>SUMIFS(Movimientos!$E$6:$E$16,Movimientos!$C$6:$C$16,Stocks!$A136,Movimientos!$F$6:$F$16,Stocks!E$3,Movimientos!$A$6:$A$16,"&lt;="&amp;Stocks!$A$2)-SUMIFS(Movimientos!$E$6:$E$16,Movimientos!$C$6:$C$16,Stocks!$A136,Movimientos!$G$6:$G$16,Stocks!E$3,Movimientos!$A$6:$A$16,"&lt;="&amp;Stocks!$A$2)</f>
        <v>0</v>
      </c>
      <c r="F136" s="4">
        <f>SUMIFS(Movimientos!$E$6:$E$16,Movimientos!$C$6:$C$16,Stocks!$A136,Movimientos!$F$6:$F$16,Stocks!F$3,Movimientos!$A$6:$A$16,"&lt;="&amp;Stocks!$A$2)-SUMIFS(Movimientos!$E$6:$E$16,Movimientos!$C$6:$C$16,Stocks!$A136,Movimientos!$G$6:$G$16,Stocks!F$3,Movimientos!$A$6:$A$16,"&lt;="&amp;Stocks!$A$2)</f>
        <v>0</v>
      </c>
      <c r="G136" s="4">
        <f>SUMIFS(Movimientos!$E$6:$E$16,Movimientos!$C$6:$C$16,Stocks!$A136,Movimientos!$F$6:$F$16,Stocks!G$3,Movimientos!$A$6:$A$16,"&lt;="&amp;Stocks!$A$2)-SUMIFS(Movimientos!$E$6:$E$16,Movimientos!$C$6:$C$16,Stocks!$A136,Movimientos!$G$6:$G$16,Stocks!G$3,Movimientos!$A$6:$A$16,"&lt;="&amp;Stocks!$A$2)</f>
        <v>0</v>
      </c>
      <c r="H136" s="4">
        <f>SUMIFS(Movimientos!$E$6:$E$16,Movimientos!$C$6:$C$16,Stocks!$A136,Movimientos!$F$6:$F$16,Stocks!H$3,Movimientos!$A$6:$A$16,"&lt;="&amp;Stocks!$A$2)-SUMIFS(Movimientos!$E$6:$E$16,Movimientos!$C$6:$C$16,Stocks!$A136,Movimientos!$G$6:$G$16,Stocks!H$3,Movimientos!$A$6:$A$16,"&lt;="&amp;Stocks!$A$2)</f>
        <v>0</v>
      </c>
      <c r="I136" s="4">
        <f>SUMIFS(Movimientos!$E$6:$E$16,Movimientos!$C$6:$C$16,Stocks!$A136,Movimientos!$F$6:$F$16,Stocks!I$3,Movimientos!$A$6:$A$16,"&lt;="&amp;Stocks!$A$2)-SUMIFS(Movimientos!$E$6:$E$16,Movimientos!$C$6:$C$16,Stocks!$A136,Movimientos!$G$6:$G$16,Stocks!I$3,Movimientos!$A$6:$A$16,"&lt;="&amp;Stocks!$A$2)</f>
        <v>0</v>
      </c>
      <c r="J136" s="4">
        <f>SUMIFS(Movimientos!$E$6:$E$16,Movimientos!$C$6:$C$16,Stocks!$A136,Movimientos!$F$6:$F$16,Stocks!J$3,Movimientos!$A$6:$A$16,"&lt;="&amp;Stocks!$A$2)-SUMIFS(Movimientos!$E$6:$E$16,Movimientos!$C$6:$C$16,Stocks!$A136,Movimientos!$G$6:$G$16,Stocks!J$3,Movimientos!$A$6:$A$16,"&lt;="&amp;Stocks!$A$2)</f>
        <v>0</v>
      </c>
      <c r="K136" s="4">
        <f>SUMIFS(Movimientos!$E$6:$E$16,Movimientos!$C$6:$C$16,Stocks!$A136,Movimientos!$F$6:$F$16,Stocks!K$3,Movimientos!$A$6:$A$16,"&lt;="&amp;Stocks!$A$2)-SUMIFS(Movimientos!$E$6:$E$16,Movimientos!$C$6:$C$16,Stocks!$A136,Movimientos!$G$6:$G$16,Stocks!K$3,Movimientos!$A$6:$A$16,"&lt;="&amp;Stocks!$A$2)</f>
        <v>0</v>
      </c>
      <c r="L136" s="4">
        <f>SUMIFS(Movimientos!$E$6:$E$16,Movimientos!$C$6:$C$16,Stocks!$A136,Movimientos!$F$6:$F$16,Stocks!L$3,Movimientos!$A$6:$A$16,"&lt;="&amp;Stocks!$A$2)-SUMIFS(Movimientos!$E$6:$E$16,Movimientos!$C$6:$C$16,Stocks!$A136,Movimientos!$G$6:$G$16,Stocks!L$3,Movimientos!$A$6:$A$16,"&lt;="&amp;Stocks!$A$2)</f>
        <v>0</v>
      </c>
    </row>
    <row r="137" spans="1:12" x14ac:dyDescent="0.25">
      <c r="A137" t="str">
        <f>Codificación!A136</f>
        <v/>
      </c>
      <c r="B137" s="1">
        <f>Codificación!B136</f>
        <v>0</v>
      </c>
      <c r="E137" s="4">
        <f>SUMIFS(Movimientos!$E$6:$E$16,Movimientos!$C$6:$C$16,Stocks!$A137,Movimientos!$F$6:$F$16,Stocks!E$3,Movimientos!$A$6:$A$16,"&lt;="&amp;Stocks!$A$2)-SUMIFS(Movimientos!$E$6:$E$16,Movimientos!$C$6:$C$16,Stocks!$A137,Movimientos!$G$6:$G$16,Stocks!E$3,Movimientos!$A$6:$A$16,"&lt;="&amp;Stocks!$A$2)</f>
        <v>0</v>
      </c>
      <c r="F137" s="4">
        <f>SUMIFS(Movimientos!$E$6:$E$16,Movimientos!$C$6:$C$16,Stocks!$A137,Movimientos!$F$6:$F$16,Stocks!F$3,Movimientos!$A$6:$A$16,"&lt;="&amp;Stocks!$A$2)-SUMIFS(Movimientos!$E$6:$E$16,Movimientos!$C$6:$C$16,Stocks!$A137,Movimientos!$G$6:$G$16,Stocks!F$3,Movimientos!$A$6:$A$16,"&lt;="&amp;Stocks!$A$2)</f>
        <v>0</v>
      </c>
      <c r="G137" s="4">
        <f>SUMIFS(Movimientos!$E$6:$E$16,Movimientos!$C$6:$C$16,Stocks!$A137,Movimientos!$F$6:$F$16,Stocks!G$3,Movimientos!$A$6:$A$16,"&lt;="&amp;Stocks!$A$2)-SUMIFS(Movimientos!$E$6:$E$16,Movimientos!$C$6:$C$16,Stocks!$A137,Movimientos!$G$6:$G$16,Stocks!G$3,Movimientos!$A$6:$A$16,"&lt;="&amp;Stocks!$A$2)</f>
        <v>0</v>
      </c>
      <c r="H137" s="4">
        <f>SUMIFS(Movimientos!$E$6:$E$16,Movimientos!$C$6:$C$16,Stocks!$A137,Movimientos!$F$6:$F$16,Stocks!H$3,Movimientos!$A$6:$A$16,"&lt;="&amp;Stocks!$A$2)-SUMIFS(Movimientos!$E$6:$E$16,Movimientos!$C$6:$C$16,Stocks!$A137,Movimientos!$G$6:$G$16,Stocks!H$3,Movimientos!$A$6:$A$16,"&lt;="&amp;Stocks!$A$2)</f>
        <v>0</v>
      </c>
      <c r="I137" s="4">
        <f>SUMIFS(Movimientos!$E$6:$E$16,Movimientos!$C$6:$C$16,Stocks!$A137,Movimientos!$F$6:$F$16,Stocks!I$3,Movimientos!$A$6:$A$16,"&lt;="&amp;Stocks!$A$2)-SUMIFS(Movimientos!$E$6:$E$16,Movimientos!$C$6:$C$16,Stocks!$A137,Movimientos!$G$6:$G$16,Stocks!I$3,Movimientos!$A$6:$A$16,"&lt;="&amp;Stocks!$A$2)</f>
        <v>0</v>
      </c>
      <c r="J137" s="4">
        <f>SUMIFS(Movimientos!$E$6:$E$16,Movimientos!$C$6:$C$16,Stocks!$A137,Movimientos!$F$6:$F$16,Stocks!J$3,Movimientos!$A$6:$A$16,"&lt;="&amp;Stocks!$A$2)-SUMIFS(Movimientos!$E$6:$E$16,Movimientos!$C$6:$C$16,Stocks!$A137,Movimientos!$G$6:$G$16,Stocks!J$3,Movimientos!$A$6:$A$16,"&lt;="&amp;Stocks!$A$2)</f>
        <v>0</v>
      </c>
      <c r="K137" s="4">
        <f>SUMIFS(Movimientos!$E$6:$E$16,Movimientos!$C$6:$C$16,Stocks!$A137,Movimientos!$F$6:$F$16,Stocks!K$3,Movimientos!$A$6:$A$16,"&lt;="&amp;Stocks!$A$2)-SUMIFS(Movimientos!$E$6:$E$16,Movimientos!$C$6:$C$16,Stocks!$A137,Movimientos!$G$6:$G$16,Stocks!K$3,Movimientos!$A$6:$A$16,"&lt;="&amp;Stocks!$A$2)</f>
        <v>0</v>
      </c>
      <c r="L137" s="4">
        <f>SUMIFS(Movimientos!$E$6:$E$16,Movimientos!$C$6:$C$16,Stocks!$A137,Movimientos!$F$6:$F$16,Stocks!L$3,Movimientos!$A$6:$A$16,"&lt;="&amp;Stocks!$A$2)-SUMIFS(Movimientos!$E$6:$E$16,Movimientos!$C$6:$C$16,Stocks!$A137,Movimientos!$G$6:$G$16,Stocks!L$3,Movimientos!$A$6:$A$16,"&lt;="&amp;Stocks!$A$2)</f>
        <v>0</v>
      </c>
    </row>
    <row r="138" spans="1:12" x14ac:dyDescent="0.25">
      <c r="A138" t="str">
        <f>Codificación!A137</f>
        <v/>
      </c>
      <c r="B138" s="1">
        <f>Codificación!B137</f>
        <v>0</v>
      </c>
      <c r="E138" s="4">
        <f>SUMIFS(Movimientos!$E$6:$E$16,Movimientos!$C$6:$C$16,Stocks!$A138,Movimientos!$F$6:$F$16,Stocks!E$3,Movimientos!$A$6:$A$16,"&lt;="&amp;Stocks!$A$2)-SUMIFS(Movimientos!$E$6:$E$16,Movimientos!$C$6:$C$16,Stocks!$A138,Movimientos!$G$6:$G$16,Stocks!E$3,Movimientos!$A$6:$A$16,"&lt;="&amp;Stocks!$A$2)</f>
        <v>0</v>
      </c>
      <c r="F138" s="4">
        <f>SUMIFS(Movimientos!$E$6:$E$16,Movimientos!$C$6:$C$16,Stocks!$A138,Movimientos!$F$6:$F$16,Stocks!F$3,Movimientos!$A$6:$A$16,"&lt;="&amp;Stocks!$A$2)-SUMIFS(Movimientos!$E$6:$E$16,Movimientos!$C$6:$C$16,Stocks!$A138,Movimientos!$G$6:$G$16,Stocks!F$3,Movimientos!$A$6:$A$16,"&lt;="&amp;Stocks!$A$2)</f>
        <v>0</v>
      </c>
      <c r="G138" s="4">
        <f>SUMIFS(Movimientos!$E$6:$E$16,Movimientos!$C$6:$C$16,Stocks!$A138,Movimientos!$F$6:$F$16,Stocks!G$3,Movimientos!$A$6:$A$16,"&lt;="&amp;Stocks!$A$2)-SUMIFS(Movimientos!$E$6:$E$16,Movimientos!$C$6:$C$16,Stocks!$A138,Movimientos!$G$6:$G$16,Stocks!G$3,Movimientos!$A$6:$A$16,"&lt;="&amp;Stocks!$A$2)</f>
        <v>0</v>
      </c>
      <c r="H138" s="4">
        <f>SUMIFS(Movimientos!$E$6:$E$16,Movimientos!$C$6:$C$16,Stocks!$A138,Movimientos!$F$6:$F$16,Stocks!H$3,Movimientos!$A$6:$A$16,"&lt;="&amp;Stocks!$A$2)-SUMIFS(Movimientos!$E$6:$E$16,Movimientos!$C$6:$C$16,Stocks!$A138,Movimientos!$G$6:$G$16,Stocks!H$3,Movimientos!$A$6:$A$16,"&lt;="&amp;Stocks!$A$2)</f>
        <v>0</v>
      </c>
      <c r="I138" s="4">
        <f>SUMIFS(Movimientos!$E$6:$E$16,Movimientos!$C$6:$C$16,Stocks!$A138,Movimientos!$F$6:$F$16,Stocks!I$3,Movimientos!$A$6:$A$16,"&lt;="&amp;Stocks!$A$2)-SUMIFS(Movimientos!$E$6:$E$16,Movimientos!$C$6:$C$16,Stocks!$A138,Movimientos!$G$6:$G$16,Stocks!I$3,Movimientos!$A$6:$A$16,"&lt;="&amp;Stocks!$A$2)</f>
        <v>0</v>
      </c>
      <c r="J138" s="4">
        <f>SUMIFS(Movimientos!$E$6:$E$16,Movimientos!$C$6:$C$16,Stocks!$A138,Movimientos!$F$6:$F$16,Stocks!J$3,Movimientos!$A$6:$A$16,"&lt;="&amp;Stocks!$A$2)-SUMIFS(Movimientos!$E$6:$E$16,Movimientos!$C$6:$C$16,Stocks!$A138,Movimientos!$G$6:$G$16,Stocks!J$3,Movimientos!$A$6:$A$16,"&lt;="&amp;Stocks!$A$2)</f>
        <v>0</v>
      </c>
      <c r="K138" s="4">
        <f>SUMIFS(Movimientos!$E$6:$E$16,Movimientos!$C$6:$C$16,Stocks!$A138,Movimientos!$F$6:$F$16,Stocks!K$3,Movimientos!$A$6:$A$16,"&lt;="&amp;Stocks!$A$2)-SUMIFS(Movimientos!$E$6:$E$16,Movimientos!$C$6:$C$16,Stocks!$A138,Movimientos!$G$6:$G$16,Stocks!K$3,Movimientos!$A$6:$A$16,"&lt;="&amp;Stocks!$A$2)</f>
        <v>0</v>
      </c>
      <c r="L138" s="4">
        <f>SUMIFS(Movimientos!$E$6:$E$16,Movimientos!$C$6:$C$16,Stocks!$A138,Movimientos!$F$6:$F$16,Stocks!L$3,Movimientos!$A$6:$A$16,"&lt;="&amp;Stocks!$A$2)-SUMIFS(Movimientos!$E$6:$E$16,Movimientos!$C$6:$C$16,Stocks!$A138,Movimientos!$G$6:$G$16,Stocks!L$3,Movimientos!$A$6:$A$16,"&lt;="&amp;Stocks!$A$2)</f>
        <v>0</v>
      </c>
    </row>
    <row r="139" spans="1:12" x14ac:dyDescent="0.25">
      <c r="A139" t="str">
        <f>Codificación!A138</f>
        <v/>
      </c>
      <c r="B139" s="1">
        <f>Codificación!B138</f>
        <v>0</v>
      </c>
      <c r="E139" s="4">
        <f>SUMIFS(Movimientos!$E$6:$E$16,Movimientos!$C$6:$C$16,Stocks!$A139,Movimientos!$F$6:$F$16,Stocks!E$3,Movimientos!$A$6:$A$16,"&lt;="&amp;Stocks!$A$2)-SUMIFS(Movimientos!$E$6:$E$16,Movimientos!$C$6:$C$16,Stocks!$A139,Movimientos!$G$6:$G$16,Stocks!E$3,Movimientos!$A$6:$A$16,"&lt;="&amp;Stocks!$A$2)</f>
        <v>0</v>
      </c>
      <c r="F139" s="4">
        <f>SUMIFS(Movimientos!$E$6:$E$16,Movimientos!$C$6:$C$16,Stocks!$A139,Movimientos!$F$6:$F$16,Stocks!F$3,Movimientos!$A$6:$A$16,"&lt;="&amp;Stocks!$A$2)-SUMIFS(Movimientos!$E$6:$E$16,Movimientos!$C$6:$C$16,Stocks!$A139,Movimientos!$G$6:$G$16,Stocks!F$3,Movimientos!$A$6:$A$16,"&lt;="&amp;Stocks!$A$2)</f>
        <v>0</v>
      </c>
      <c r="G139" s="4">
        <f>SUMIFS(Movimientos!$E$6:$E$16,Movimientos!$C$6:$C$16,Stocks!$A139,Movimientos!$F$6:$F$16,Stocks!G$3,Movimientos!$A$6:$A$16,"&lt;="&amp;Stocks!$A$2)-SUMIFS(Movimientos!$E$6:$E$16,Movimientos!$C$6:$C$16,Stocks!$A139,Movimientos!$G$6:$G$16,Stocks!G$3,Movimientos!$A$6:$A$16,"&lt;="&amp;Stocks!$A$2)</f>
        <v>0</v>
      </c>
      <c r="H139" s="4">
        <f>SUMIFS(Movimientos!$E$6:$E$16,Movimientos!$C$6:$C$16,Stocks!$A139,Movimientos!$F$6:$F$16,Stocks!H$3,Movimientos!$A$6:$A$16,"&lt;="&amp;Stocks!$A$2)-SUMIFS(Movimientos!$E$6:$E$16,Movimientos!$C$6:$C$16,Stocks!$A139,Movimientos!$G$6:$G$16,Stocks!H$3,Movimientos!$A$6:$A$16,"&lt;="&amp;Stocks!$A$2)</f>
        <v>0</v>
      </c>
      <c r="I139" s="4">
        <f>SUMIFS(Movimientos!$E$6:$E$16,Movimientos!$C$6:$C$16,Stocks!$A139,Movimientos!$F$6:$F$16,Stocks!I$3,Movimientos!$A$6:$A$16,"&lt;="&amp;Stocks!$A$2)-SUMIFS(Movimientos!$E$6:$E$16,Movimientos!$C$6:$C$16,Stocks!$A139,Movimientos!$G$6:$G$16,Stocks!I$3,Movimientos!$A$6:$A$16,"&lt;="&amp;Stocks!$A$2)</f>
        <v>0</v>
      </c>
      <c r="J139" s="4">
        <f>SUMIFS(Movimientos!$E$6:$E$16,Movimientos!$C$6:$C$16,Stocks!$A139,Movimientos!$F$6:$F$16,Stocks!J$3,Movimientos!$A$6:$A$16,"&lt;="&amp;Stocks!$A$2)-SUMIFS(Movimientos!$E$6:$E$16,Movimientos!$C$6:$C$16,Stocks!$A139,Movimientos!$G$6:$G$16,Stocks!J$3,Movimientos!$A$6:$A$16,"&lt;="&amp;Stocks!$A$2)</f>
        <v>0</v>
      </c>
      <c r="K139" s="4">
        <f>SUMIFS(Movimientos!$E$6:$E$16,Movimientos!$C$6:$C$16,Stocks!$A139,Movimientos!$F$6:$F$16,Stocks!K$3,Movimientos!$A$6:$A$16,"&lt;="&amp;Stocks!$A$2)-SUMIFS(Movimientos!$E$6:$E$16,Movimientos!$C$6:$C$16,Stocks!$A139,Movimientos!$G$6:$G$16,Stocks!K$3,Movimientos!$A$6:$A$16,"&lt;="&amp;Stocks!$A$2)</f>
        <v>0</v>
      </c>
      <c r="L139" s="4">
        <f>SUMIFS(Movimientos!$E$6:$E$16,Movimientos!$C$6:$C$16,Stocks!$A139,Movimientos!$F$6:$F$16,Stocks!L$3,Movimientos!$A$6:$A$16,"&lt;="&amp;Stocks!$A$2)-SUMIFS(Movimientos!$E$6:$E$16,Movimientos!$C$6:$C$16,Stocks!$A139,Movimientos!$G$6:$G$16,Stocks!L$3,Movimientos!$A$6:$A$16,"&lt;="&amp;Stocks!$A$2)</f>
        <v>0</v>
      </c>
    </row>
    <row r="140" spans="1:12" x14ac:dyDescent="0.25">
      <c r="A140" t="str">
        <f>Codificación!A139</f>
        <v/>
      </c>
      <c r="B140" s="1">
        <f>Codificación!B139</f>
        <v>0</v>
      </c>
      <c r="E140" s="4">
        <f>SUMIFS(Movimientos!$E$6:$E$16,Movimientos!$C$6:$C$16,Stocks!$A140,Movimientos!$F$6:$F$16,Stocks!E$3,Movimientos!$A$6:$A$16,"&lt;="&amp;Stocks!$A$2)-SUMIFS(Movimientos!$E$6:$E$16,Movimientos!$C$6:$C$16,Stocks!$A140,Movimientos!$G$6:$G$16,Stocks!E$3,Movimientos!$A$6:$A$16,"&lt;="&amp;Stocks!$A$2)</f>
        <v>0</v>
      </c>
      <c r="F140" s="4">
        <f>SUMIFS(Movimientos!$E$6:$E$16,Movimientos!$C$6:$C$16,Stocks!$A140,Movimientos!$F$6:$F$16,Stocks!F$3,Movimientos!$A$6:$A$16,"&lt;="&amp;Stocks!$A$2)-SUMIFS(Movimientos!$E$6:$E$16,Movimientos!$C$6:$C$16,Stocks!$A140,Movimientos!$G$6:$G$16,Stocks!F$3,Movimientos!$A$6:$A$16,"&lt;="&amp;Stocks!$A$2)</f>
        <v>0</v>
      </c>
      <c r="G140" s="4">
        <f>SUMIFS(Movimientos!$E$6:$E$16,Movimientos!$C$6:$C$16,Stocks!$A140,Movimientos!$F$6:$F$16,Stocks!G$3,Movimientos!$A$6:$A$16,"&lt;="&amp;Stocks!$A$2)-SUMIFS(Movimientos!$E$6:$E$16,Movimientos!$C$6:$C$16,Stocks!$A140,Movimientos!$G$6:$G$16,Stocks!G$3,Movimientos!$A$6:$A$16,"&lt;="&amp;Stocks!$A$2)</f>
        <v>0</v>
      </c>
      <c r="H140" s="4">
        <f>SUMIFS(Movimientos!$E$6:$E$16,Movimientos!$C$6:$C$16,Stocks!$A140,Movimientos!$F$6:$F$16,Stocks!H$3,Movimientos!$A$6:$A$16,"&lt;="&amp;Stocks!$A$2)-SUMIFS(Movimientos!$E$6:$E$16,Movimientos!$C$6:$C$16,Stocks!$A140,Movimientos!$G$6:$G$16,Stocks!H$3,Movimientos!$A$6:$A$16,"&lt;="&amp;Stocks!$A$2)</f>
        <v>0</v>
      </c>
      <c r="I140" s="4">
        <f>SUMIFS(Movimientos!$E$6:$E$16,Movimientos!$C$6:$C$16,Stocks!$A140,Movimientos!$F$6:$F$16,Stocks!I$3,Movimientos!$A$6:$A$16,"&lt;="&amp;Stocks!$A$2)-SUMIFS(Movimientos!$E$6:$E$16,Movimientos!$C$6:$C$16,Stocks!$A140,Movimientos!$G$6:$G$16,Stocks!I$3,Movimientos!$A$6:$A$16,"&lt;="&amp;Stocks!$A$2)</f>
        <v>0</v>
      </c>
      <c r="J140" s="4">
        <f>SUMIFS(Movimientos!$E$6:$E$16,Movimientos!$C$6:$C$16,Stocks!$A140,Movimientos!$F$6:$F$16,Stocks!J$3,Movimientos!$A$6:$A$16,"&lt;="&amp;Stocks!$A$2)-SUMIFS(Movimientos!$E$6:$E$16,Movimientos!$C$6:$C$16,Stocks!$A140,Movimientos!$G$6:$G$16,Stocks!J$3,Movimientos!$A$6:$A$16,"&lt;="&amp;Stocks!$A$2)</f>
        <v>0</v>
      </c>
      <c r="K140" s="4">
        <f>SUMIFS(Movimientos!$E$6:$E$16,Movimientos!$C$6:$C$16,Stocks!$A140,Movimientos!$F$6:$F$16,Stocks!K$3,Movimientos!$A$6:$A$16,"&lt;="&amp;Stocks!$A$2)-SUMIFS(Movimientos!$E$6:$E$16,Movimientos!$C$6:$C$16,Stocks!$A140,Movimientos!$G$6:$G$16,Stocks!K$3,Movimientos!$A$6:$A$16,"&lt;="&amp;Stocks!$A$2)</f>
        <v>0</v>
      </c>
      <c r="L140" s="4">
        <f>SUMIFS(Movimientos!$E$6:$E$16,Movimientos!$C$6:$C$16,Stocks!$A140,Movimientos!$F$6:$F$16,Stocks!L$3,Movimientos!$A$6:$A$16,"&lt;="&amp;Stocks!$A$2)-SUMIFS(Movimientos!$E$6:$E$16,Movimientos!$C$6:$C$16,Stocks!$A140,Movimientos!$G$6:$G$16,Stocks!L$3,Movimientos!$A$6:$A$16,"&lt;="&amp;Stocks!$A$2)</f>
        <v>0</v>
      </c>
    </row>
    <row r="141" spans="1:12" x14ac:dyDescent="0.25">
      <c r="A141" t="str">
        <f>Codificación!A140</f>
        <v/>
      </c>
      <c r="B141" s="1">
        <f>Codificación!B140</f>
        <v>0</v>
      </c>
      <c r="E141" s="4">
        <f>SUMIFS(Movimientos!$E$6:$E$16,Movimientos!$C$6:$C$16,Stocks!$A141,Movimientos!$F$6:$F$16,Stocks!E$3,Movimientos!$A$6:$A$16,"&lt;="&amp;Stocks!$A$2)-SUMIFS(Movimientos!$E$6:$E$16,Movimientos!$C$6:$C$16,Stocks!$A141,Movimientos!$G$6:$G$16,Stocks!E$3,Movimientos!$A$6:$A$16,"&lt;="&amp;Stocks!$A$2)</f>
        <v>0</v>
      </c>
      <c r="F141" s="4">
        <f>SUMIFS(Movimientos!$E$6:$E$16,Movimientos!$C$6:$C$16,Stocks!$A141,Movimientos!$F$6:$F$16,Stocks!F$3,Movimientos!$A$6:$A$16,"&lt;="&amp;Stocks!$A$2)-SUMIFS(Movimientos!$E$6:$E$16,Movimientos!$C$6:$C$16,Stocks!$A141,Movimientos!$G$6:$G$16,Stocks!F$3,Movimientos!$A$6:$A$16,"&lt;="&amp;Stocks!$A$2)</f>
        <v>0</v>
      </c>
      <c r="G141" s="4">
        <f>SUMIFS(Movimientos!$E$6:$E$16,Movimientos!$C$6:$C$16,Stocks!$A141,Movimientos!$F$6:$F$16,Stocks!G$3,Movimientos!$A$6:$A$16,"&lt;="&amp;Stocks!$A$2)-SUMIFS(Movimientos!$E$6:$E$16,Movimientos!$C$6:$C$16,Stocks!$A141,Movimientos!$G$6:$G$16,Stocks!G$3,Movimientos!$A$6:$A$16,"&lt;="&amp;Stocks!$A$2)</f>
        <v>0</v>
      </c>
      <c r="H141" s="4">
        <f>SUMIFS(Movimientos!$E$6:$E$16,Movimientos!$C$6:$C$16,Stocks!$A141,Movimientos!$F$6:$F$16,Stocks!H$3,Movimientos!$A$6:$A$16,"&lt;="&amp;Stocks!$A$2)-SUMIFS(Movimientos!$E$6:$E$16,Movimientos!$C$6:$C$16,Stocks!$A141,Movimientos!$G$6:$G$16,Stocks!H$3,Movimientos!$A$6:$A$16,"&lt;="&amp;Stocks!$A$2)</f>
        <v>0</v>
      </c>
      <c r="I141" s="4">
        <f>SUMIFS(Movimientos!$E$6:$E$16,Movimientos!$C$6:$C$16,Stocks!$A141,Movimientos!$F$6:$F$16,Stocks!I$3,Movimientos!$A$6:$A$16,"&lt;="&amp;Stocks!$A$2)-SUMIFS(Movimientos!$E$6:$E$16,Movimientos!$C$6:$C$16,Stocks!$A141,Movimientos!$G$6:$G$16,Stocks!I$3,Movimientos!$A$6:$A$16,"&lt;="&amp;Stocks!$A$2)</f>
        <v>0</v>
      </c>
      <c r="J141" s="4">
        <f>SUMIFS(Movimientos!$E$6:$E$16,Movimientos!$C$6:$C$16,Stocks!$A141,Movimientos!$F$6:$F$16,Stocks!J$3,Movimientos!$A$6:$A$16,"&lt;="&amp;Stocks!$A$2)-SUMIFS(Movimientos!$E$6:$E$16,Movimientos!$C$6:$C$16,Stocks!$A141,Movimientos!$G$6:$G$16,Stocks!J$3,Movimientos!$A$6:$A$16,"&lt;="&amp;Stocks!$A$2)</f>
        <v>0</v>
      </c>
      <c r="K141" s="4">
        <f>SUMIFS(Movimientos!$E$6:$E$16,Movimientos!$C$6:$C$16,Stocks!$A141,Movimientos!$F$6:$F$16,Stocks!K$3,Movimientos!$A$6:$A$16,"&lt;="&amp;Stocks!$A$2)-SUMIFS(Movimientos!$E$6:$E$16,Movimientos!$C$6:$C$16,Stocks!$A141,Movimientos!$G$6:$G$16,Stocks!K$3,Movimientos!$A$6:$A$16,"&lt;="&amp;Stocks!$A$2)</f>
        <v>0</v>
      </c>
      <c r="L141" s="4">
        <f>SUMIFS(Movimientos!$E$6:$E$16,Movimientos!$C$6:$C$16,Stocks!$A141,Movimientos!$F$6:$F$16,Stocks!L$3,Movimientos!$A$6:$A$16,"&lt;="&amp;Stocks!$A$2)-SUMIFS(Movimientos!$E$6:$E$16,Movimientos!$C$6:$C$16,Stocks!$A141,Movimientos!$G$6:$G$16,Stocks!L$3,Movimientos!$A$6:$A$16,"&lt;="&amp;Stocks!$A$2)</f>
        <v>0</v>
      </c>
    </row>
    <row r="142" spans="1:12" x14ac:dyDescent="0.25">
      <c r="A142" t="str">
        <f>Codificación!A141</f>
        <v/>
      </c>
      <c r="B142" s="1">
        <f>Codificación!B141</f>
        <v>0</v>
      </c>
      <c r="E142" s="4">
        <f>SUMIFS(Movimientos!$E$6:$E$16,Movimientos!$C$6:$C$16,Stocks!$A142,Movimientos!$F$6:$F$16,Stocks!E$3,Movimientos!$A$6:$A$16,"&lt;="&amp;Stocks!$A$2)-SUMIFS(Movimientos!$E$6:$E$16,Movimientos!$C$6:$C$16,Stocks!$A142,Movimientos!$G$6:$G$16,Stocks!E$3,Movimientos!$A$6:$A$16,"&lt;="&amp;Stocks!$A$2)</f>
        <v>0</v>
      </c>
      <c r="F142" s="4">
        <f>SUMIFS(Movimientos!$E$6:$E$16,Movimientos!$C$6:$C$16,Stocks!$A142,Movimientos!$F$6:$F$16,Stocks!F$3,Movimientos!$A$6:$A$16,"&lt;="&amp;Stocks!$A$2)-SUMIFS(Movimientos!$E$6:$E$16,Movimientos!$C$6:$C$16,Stocks!$A142,Movimientos!$G$6:$G$16,Stocks!F$3,Movimientos!$A$6:$A$16,"&lt;="&amp;Stocks!$A$2)</f>
        <v>0</v>
      </c>
      <c r="G142" s="4">
        <f>SUMIFS(Movimientos!$E$6:$E$16,Movimientos!$C$6:$C$16,Stocks!$A142,Movimientos!$F$6:$F$16,Stocks!G$3,Movimientos!$A$6:$A$16,"&lt;="&amp;Stocks!$A$2)-SUMIFS(Movimientos!$E$6:$E$16,Movimientos!$C$6:$C$16,Stocks!$A142,Movimientos!$G$6:$G$16,Stocks!G$3,Movimientos!$A$6:$A$16,"&lt;="&amp;Stocks!$A$2)</f>
        <v>0</v>
      </c>
      <c r="H142" s="4">
        <f>SUMIFS(Movimientos!$E$6:$E$16,Movimientos!$C$6:$C$16,Stocks!$A142,Movimientos!$F$6:$F$16,Stocks!H$3,Movimientos!$A$6:$A$16,"&lt;="&amp;Stocks!$A$2)-SUMIFS(Movimientos!$E$6:$E$16,Movimientos!$C$6:$C$16,Stocks!$A142,Movimientos!$G$6:$G$16,Stocks!H$3,Movimientos!$A$6:$A$16,"&lt;="&amp;Stocks!$A$2)</f>
        <v>0</v>
      </c>
      <c r="I142" s="4">
        <f>SUMIFS(Movimientos!$E$6:$E$16,Movimientos!$C$6:$C$16,Stocks!$A142,Movimientos!$F$6:$F$16,Stocks!I$3,Movimientos!$A$6:$A$16,"&lt;="&amp;Stocks!$A$2)-SUMIFS(Movimientos!$E$6:$E$16,Movimientos!$C$6:$C$16,Stocks!$A142,Movimientos!$G$6:$G$16,Stocks!I$3,Movimientos!$A$6:$A$16,"&lt;="&amp;Stocks!$A$2)</f>
        <v>0</v>
      </c>
      <c r="J142" s="4">
        <f>SUMIFS(Movimientos!$E$6:$E$16,Movimientos!$C$6:$C$16,Stocks!$A142,Movimientos!$F$6:$F$16,Stocks!J$3,Movimientos!$A$6:$A$16,"&lt;="&amp;Stocks!$A$2)-SUMIFS(Movimientos!$E$6:$E$16,Movimientos!$C$6:$C$16,Stocks!$A142,Movimientos!$G$6:$G$16,Stocks!J$3,Movimientos!$A$6:$A$16,"&lt;="&amp;Stocks!$A$2)</f>
        <v>0</v>
      </c>
      <c r="K142" s="4">
        <f>SUMIFS(Movimientos!$E$6:$E$16,Movimientos!$C$6:$C$16,Stocks!$A142,Movimientos!$F$6:$F$16,Stocks!K$3,Movimientos!$A$6:$A$16,"&lt;="&amp;Stocks!$A$2)-SUMIFS(Movimientos!$E$6:$E$16,Movimientos!$C$6:$C$16,Stocks!$A142,Movimientos!$G$6:$G$16,Stocks!K$3,Movimientos!$A$6:$A$16,"&lt;="&amp;Stocks!$A$2)</f>
        <v>0</v>
      </c>
      <c r="L142" s="4">
        <f>SUMIFS(Movimientos!$E$6:$E$16,Movimientos!$C$6:$C$16,Stocks!$A142,Movimientos!$F$6:$F$16,Stocks!L$3,Movimientos!$A$6:$A$16,"&lt;="&amp;Stocks!$A$2)-SUMIFS(Movimientos!$E$6:$E$16,Movimientos!$C$6:$C$16,Stocks!$A142,Movimientos!$G$6:$G$16,Stocks!L$3,Movimientos!$A$6:$A$16,"&lt;="&amp;Stocks!$A$2)</f>
        <v>0</v>
      </c>
    </row>
    <row r="143" spans="1:12" x14ac:dyDescent="0.25">
      <c r="A143" t="str">
        <f>Codificación!A142</f>
        <v/>
      </c>
      <c r="B143" s="1">
        <f>Codificación!B142</f>
        <v>0</v>
      </c>
      <c r="E143" s="4">
        <f>SUMIFS(Movimientos!$E$6:$E$16,Movimientos!$C$6:$C$16,Stocks!$A143,Movimientos!$F$6:$F$16,Stocks!E$3,Movimientos!$A$6:$A$16,"&lt;="&amp;Stocks!$A$2)-SUMIFS(Movimientos!$E$6:$E$16,Movimientos!$C$6:$C$16,Stocks!$A143,Movimientos!$G$6:$G$16,Stocks!E$3,Movimientos!$A$6:$A$16,"&lt;="&amp;Stocks!$A$2)</f>
        <v>0</v>
      </c>
      <c r="F143" s="4">
        <f>SUMIFS(Movimientos!$E$6:$E$16,Movimientos!$C$6:$C$16,Stocks!$A143,Movimientos!$F$6:$F$16,Stocks!F$3,Movimientos!$A$6:$A$16,"&lt;="&amp;Stocks!$A$2)-SUMIFS(Movimientos!$E$6:$E$16,Movimientos!$C$6:$C$16,Stocks!$A143,Movimientos!$G$6:$G$16,Stocks!F$3,Movimientos!$A$6:$A$16,"&lt;="&amp;Stocks!$A$2)</f>
        <v>0</v>
      </c>
      <c r="G143" s="4">
        <f>SUMIFS(Movimientos!$E$6:$E$16,Movimientos!$C$6:$C$16,Stocks!$A143,Movimientos!$F$6:$F$16,Stocks!G$3,Movimientos!$A$6:$A$16,"&lt;="&amp;Stocks!$A$2)-SUMIFS(Movimientos!$E$6:$E$16,Movimientos!$C$6:$C$16,Stocks!$A143,Movimientos!$G$6:$G$16,Stocks!G$3,Movimientos!$A$6:$A$16,"&lt;="&amp;Stocks!$A$2)</f>
        <v>0</v>
      </c>
      <c r="H143" s="4">
        <f>SUMIFS(Movimientos!$E$6:$E$16,Movimientos!$C$6:$C$16,Stocks!$A143,Movimientos!$F$6:$F$16,Stocks!H$3,Movimientos!$A$6:$A$16,"&lt;="&amp;Stocks!$A$2)-SUMIFS(Movimientos!$E$6:$E$16,Movimientos!$C$6:$C$16,Stocks!$A143,Movimientos!$G$6:$G$16,Stocks!H$3,Movimientos!$A$6:$A$16,"&lt;="&amp;Stocks!$A$2)</f>
        <v>0</v>
      </c>
      <c r="I143" s="4">
        <f>SUMIFS(Movimientos!$E$6:$E$16,Movimientos!$C$6:$C$16,Stocks!$A143,Movimientos!$F$6:$F$16,Stocks!I$3,Movimientos!$A$6:$A$16,"&lt;="&amp;Stocks!$A$2)-SUMIFS(Movimientos!$E$6:$E$16,Movimientos!$C$6:$C$16,Stocks!$A143,Movimientos!$G$6:$G$16,Stocks!I$3,Movimientos!$A$6:$A$16,"&lt;="&amp;Stocks!$A$2)</f>
        <v>0</v>
      </c>
      <c r="J143" s="4">
        <f>SUMIFS(Movimientos!$E$6:$E$16,Movimientos!$C$6:$C$16,Stocks!$A143,Movimientos!$F$6:$F$16,Stocks!J$3,Movimientos!$A$6:$A$16,"&lt;="&amp;Stocks!$A$2)-SUMIFS(Movimientos!$E$6:$E$16,Movimientos!$C$6:$C$16,Stocks!$A143,Movimientos!$G$6:$G$16,Stocks!J$3,Movimientos!$A$6:$A$16,"&lt;="&amp;Stocks!$A$2)</f>
        <v>0</v>
      </c>
      <c r="K143" s="4">
        <f>SUMIFS(Movimientos!$E$6:$E$16,Movimientos!$C$6:$C$16,Stocks!$A143,Movimientos!$F$6:$F$16,Stocks!K$3,Movimientos!$A$6:$A$16,"&lt;="&amp;Stocks!$A$2)-SUMIFS(Movimientos!$E$6:$E$16,Movimientos!$C$6:$C$16,Stocks!$A143,Movimientos!$G$6:$G$16,Stocks!K$3,Movimientos!$A$6:$A$16,"&lt;="&amp;Stocks!$A$2)</f>
        <v>0</v>
      </c>
      <c r="L143" s="4">
        <f>SUMIFS(Movimientos!$E$6:$E$16,Movimientos!$C$6:$C$16,Stocks!$A143,Movimientos!$F$6:$F$16,Stocks!L$3,Movimientos!$A$6:$A$16,"&lt;="&amp;Stocks!$A$2)-SUMIFS(Movimientos!$E$6:$E$16,Movimientos!$C$6:$C$16,Stocks!$A143,Movimientos!$G$6:$G$16,Stocks!L$3,Movimientos!$A$6:$A$16,"&lt;="&amp;Stocks!$A$2)</f>
        <v>0</v>
      </c>
    </row>
    <row r="144" spans="1:12" x14ac:dyDescent="0.25">
      <c r="A144" t="str">
        <f>Codificación!A143</f>
        <v/>
      </c>
      <c r="B144" s="1">
        <f>Codificación!B143</f>
        <v>0</v>
      </c>
      <c r="E144" s="4">
        <f>SUMIFS(Movimientos!$E$6:$E$16,Movimientos!$C$6:$C$16,Stocks!$A144,Movimientos!$F$6:$F$16,Stocks!E$3,Movimientos!$A$6:$A$16,"&lt;="&amp;Stocks!$A$2)-SUMIFS(Movimientos!$E$6:$E$16,Movimientos!$C$6:$C$16,Stocks!$A144,Movimientos!$G$6:$G$16,Stocks!E$3,Movimientos!$A$6:$A$16,"&lt;="&amp;Stocks!$A$2)</f>
        <v>0</v>
      </c>
      <c r="F144" s="4">
        <f>SUMIFS(Movimientos!$E$6:$E$16,Movimientos!$C$6:$C$16,Stocks!$A144,Movimientos!$F$6:$F$16,Stocks!F$3,Movimientos!$A$6:$A$16,"&lt;="&amp;Stocks!$A$2)-SUMIFS(Movimientos!$E$6:$E$16,Movimientos!$C$6:$C$16,Stocks!$A144,Movimientos!$G$6:$G$16,Stocks!F$3,Movimientos!$A$6:$A$16,"&lt;="&amp;Stocks!$A$2)</f>
        <v>0</v>
      </c>
      <c r="G144" s="4">
        <f>SUMIFS(Movimientos!$E$6:$E$16,Movimientos!$C$6:$C$16,Stocks!$A144,Movimientos!$F$6:$F$16,Stocks!G$3,Movimientos!$A$6:$A$16,"&lt;="&amp;Stocks!$A$2)-SUMIFS(Movimientos!$E$6:$E$16,Movimientos!$C$6:$C$16,Stocks!$A144,Movimientos!$G$6:$G$16,Stocks!G$3,Movimientos!$A$6:$A$16,"&lt;="&amp;Stocks!$A$2)</f>
        <v>0</v>
      </c>
      <c r="H144" s="4">
        <f>SUMIFS(Movimientos!$E$6:$E$16,Movimientos!$C$6:$C$16,Stocks!$A144,Movimientos!$F$6:$F$16,Stocks!H$3,Movimientos!$A$6:$A$16,"&lt;="&amp;Stocks!$A$2)-SUMIFS(Movimientos!$E$6:$E$16,Movimientos!$C$6:$C$16,Stocks!$A144,Movimientos!$G$6:$G$16,Stocks!H$3,Movimientos!$A$6:$A$16,"&lt;="&amp;Stocks!$A$2)</f>
        <v>0</v>
      </c>
      <c r="I144" s="4">
        <f>SUMIFS(Movimientos!$E$6:$E$16,Movimientos!$C$6:$C$16,Stocks!$A144,Movimientos!$F$6:$F$16,Stocks!I$3,Movimientos!$A$6:$A$16,"&lt;="&amp;Stocks!$A$2)-SUMIFS(Movimientos!$E$6:$E$16,Movimientos!$C$6:$C$16,Stocks!$A144,Movimientos!$G$6:$G$16,Stocks!I$3,Movimientos!$A$6:$A$16,"&lt;="&amp;Stocks!$A$2)</f>
        <v>0</v>
      </c>
      <c r="J144" s="4">
        <f>SUMIFS(Movimientos!$E$6:$E$16,Movimientos!$C$6:$C$16,Stocks!$A144,Movimientos!$F$6:$F$16,Stocks!J$3,Movimientos!$A$6:$A$16,"&lt;="&amp;Stocks!$A$2)-SUMIFS(Movimientos!$E$6:$E$16,Movimientos!$C$6:$C$16,Stocks!$A144,Movimientos!$G$6:$G$16,Stocks!J$3,Movimientos!$A$6:$A$16,"&lt;="&amp;Stocks!$A$2)</f>
        <v>0</v>
      </c>
      <c r="K144" s="4">
        <f>SUMIFS(Movimientos!$E$6:$E$16,Movimientos!$C$6:$C$16,Stocks!$A144,Movimientos!$F$6:$F$16,Stocks!K$3,Movimientos!$A$6:$A$16,"&lt;="&amp;Stocks!$A$2)-SUMIFS(Movimientos!$E$6:$E$16,Movimientos!$C$6:$C$16,Stocks!$A144,Movimientos!$G$6:$G$16,Stocks!K$3,Movimientos!$A$6:$A$16,"&lt;="&amp;Stocks!$A$2)</f>
        <v>0</v>
      </c>
      <c r="L144" s="4">
        <f>SUMIFS(Movimientos!$E$6:$E$16,Movimientos!$C$6:$C$16,Stocks!$A144,Movimientos!$F$6:$F$16,Stocks!L$3,Movimientos!$A$6:$A$16,"&lt;="&amp;Stocks!$A$2)-SUMIFS(Movimientos!$E$6:$E$16,Movimientos!$C$6:$C$16,Stocks!$A144,Movimientos!$G$6:$G$16,Stocks!L$3,Movimientos!$A$6:$A$16,"&lt;="&amp;Stocks!$A$2)</f>
        <v>0</v>
      </c>
    </row>
    <row r="145" spans="1:12" x14ac:dyDescent="0.25">
      <c r="A145" t="str">
        <f>Codificación!A144</f>
        <v/>
      </c>
      <c r="B145" s="1">
        <f>Codificación!B144</f>
        <v>0</v>
      </c>
      <c r="E145" s="4">
        <f>SUMIFS(Movimientos!$E$6:$E$16,Movimientos!$C$6:$C$16,Stocks!$A145,Movimientos!$F$6:$F$16,Stocks!E$3,Movimientos!$A$6:$A$16,"&lt;="&amp;Stocks!$A$2)-SUMIFS(Movimientos!$E$6:$E$16,Movimientos!$C$6:$C$16,Stocks!$A145,Movimientos!$G$6:$G$16,Stocks!E$3,Movimientos!$A$6:$A$16,"&lt;="&amp;Stocks!$A$2)</f>
        <v>0</v>
      </c>
      <c r="F145" s="4">
        <f>SUMIFS(Movimientos!$E$6:$E$16,Movimientos!$C$6:$C$16,Stocks!$A145,Movimientos!$F$6:$F$16,Stocks!F$3,Movimientos!$A$6:$A$16,"&lt;="&amp;Stocks!$A$2)-SUMIFS(Movimientos!$E$6:$E$16,Movimientos!$C$6:$C$16,Stocks!$A145,Movimientos!$G$6:$G$16,Stocks!F$3,Movimientos!$A$6:$A$16,"&lt;="&amp;Stocks!$A$2)</f>
        <v>0</v>
      </c>
      <c r="G145" s="4">
        <f>SUMIFS(Movimientos!$E$6:$E$16,Movimientos!$C$6:$C$16,Stocks!$A145,Movimientos!$F$6:$F$16,Stocks!G$3,Movimientos!$A$6:$A$16,"&lt;="&amp;Stocks!$A$2)-SUMIFS(Movimientos!$E$6:$E$16,Movimientos!$C$6:$C$16,Stocks!$A145,Movimientos!$G$6:$G$16,Stocks!G$3,Movimientos!$A$6:$A$16,"&lt;="&amp;Stocks!$A$2)</f>
        <v>0</v>
      </c>
      <c r="H145" s="4">
        <f>SUMIFS(Movimientos!$E$6:$E$16,Movimientos!$C$6:$C$16,Stocks!$A145,Movimientos!$F$6:$F$16,Stocks!H$3,Movimientos!$A$6:$A$16,"&lt;="&amp;Stocks!$A$2)-SUMIFS(Movimientos!$E$6:$E$16,Movimientos!$C$6:$C$16,Stocks!$A145,Movimientos!$G$6:$G$16,Stocks!H$3,Movimientos!$A$6:$A$16,"&lt;="&amp;Stocks!$A$2)</f>
        <v>0</v>
      </c>
      <c r="I145" s="4">
        <f>SUMIFS(Movimientos!$E$6:$E$16,Movimientos!$C$6:$C$16,Stocks!$A145,Movimientos!$F$6:$F$16,Stocks!I$3,Movimientos!$A$6:$A$16,"&lt;="&amp;Stocks!$A$2)-SUMIFS(Movimientos!$E$6:$E$16,Movimientos!$C$6:$C$16,Stocks!$A145,Movimientos!$G$6:$G$16,Stocks!I$3,Movimientos!$A$6:$A$16,"&lt;="&amp;Stocks!$A$2)</f>
        <v>0</v>
      </c>
      <c r="J145" s="4">
        <f>SUMIFS(Movimientos!$E$6:$E$16,Movimientos!$C$6:$C$16,Stocks!$A145,Movimientos!$F$6:$F$16,Stocks!J$3,Movimientos!$A$6:$A$16,"&lt;="&amp;Stocks!$A$2)-SUMIFS(Movimientos!$E$6:$E$16,Movimientos!$C$6:$C$16,Stocks!$A145,Movimientos!$G$6:$G$16,Stocks!J$3,Movimientos!$A$6:$A$16,"&lt;="&amp;Stocks!$A$2)</f>
        <v>0</v>
      </c>
      <c r="K145" s="4">
        <f>SUMIFS(Movimientos!$E$6:$E$16,Movimientos!$C$6:$C$16,Stocks!$A145,Movimientos!$F$6:$F$16,Stocks!K$3,Movimientos!$A$6:$A$16,"&lt;="&amp;Stocks!$A$2)-SUMIFS(Movimientos!$E$6:$E$16,Movimientos!$C$6:$C$16,Stocks!$A145,Movimientos!$G$6:$G$16,Stocks!K$3,Movimientos!$A$6:$A$16,"&lt;="&amp;Stocks!$A$2)</f>
        <v>0</v>
      </c>
      <c r="L145" s="4">
        <f>SUMIFS(Movimientos!$E$6:$E$16,Movimientos!$C$6:$C$16,Stocks!$A145,Movimientos!$F$6:$F$16,Stocks!L$3,Movimientos!$A$6:$A$16,"&lt;="&amp;Stocks!$A$2)-SUMIFS(Movimientos!$E$6:$E$16,Movimientos!$C$6:$C$16,Stocks!$A145,Movimientos!$G$6:$G$16,Stocks!L$3,Movimientos!$A$6:$A$16,"&lt;="&amp;Stocks!$A$2)</f>
        <v>0</v>
      </c>
    </row>
    <row r="146" spans="1:12" x14ac:dyDescent="0.25">
      <c r="A146" t="str">
        <f>Codificación!A145</f>
        <v/>
      </c>
      <c r="B146" s="1">
        <f>Codificación!B145</f>
        <v>0</v>
      </c>
      <c r="E146" s="4">
        <f>SUMIFS(Movimientos!$E$6:$E$16,Movimientos!$C$6:$C$16,Stocks!$A146,Movimientos!$F$6:$F$16,Stocks!E$3,Movimientos!$A$6:$A$16,"&lt;="&amp;Stocks!$A$2)-SUMIFS(Movimientos!$E$6:$E$16,Movimientos!$C$6:$C$16,Stocks!$A146,Movimientos!$G$6:$G$16,Stocks!E$3,Movimientos!$A$6:$A$16,"&lt;="&amp;Stocks!$A$2)</f>
        <v>0</v>
      </c>
      <c r="F146" s="4">
        <f>SUMIFS(Movimientos!$E$6:$E$16,Movimientos!$C$6:$C$16,Stocks!$A146,Movimientos!$F$6:$F$16,Stocks!F$3,Movimientos!$A$6:$A$16,"&lt;="&amp;Stocks!$A$2)-SUMIFS(Movimientos!$E$6:$E$16,Movimientos!$C$6:$C$16,Stocks!$A146,Movimientos!$G$6:$G$16,Stocks!F$3,Movimientos!$A$6:$A$16,"&lt;="&amp;Stocks!$A$2)</f>
        <v>0</v>
      </c>
      <c r="G146" s="4">
        <f>SUMIFS(Movimientos!$E$6:$E$16,Movimientos!$C$6:$C$16,Stocks!$A146,Movimientos!$F$6:$F$16,Stocks!G$3,Movimientos!$A$6:$A$16,"&lt;="&amp;Stocks!$A$2)-SUMIFS(Movimientos!$E$6:$E$16,Movimientos!$C$6:$C$16,Stocks!$A146,Movimientos!$G$6:$G$16,Stocks!G$3,Movimientos!$A$6:$A$16,"&lt;="&amp;Stocks!$A$2)</f>
        <v>0</v>
      </c>
      <c r="H146" s="4">
        <f>SUMIFS(Movimientos!$E$6:$E$16,Movimientos!$C$6:$C$16,Stocks!$A146,Movimientos!$F$6:$F$16,Stocks!H$3,Movimientos!$A$6:$A$16,"&lt;="&amp;Stocks!$A$2)-SUMIFS(Movimientos!$E$6:$E$16,Movimientos!$C$6:$C$16,Stocks!$A146,Movimientos!$G$6:$G$16,Stocks!H$3,Movimientos!$A$6:$A$16,"&lt;="&amp;Stocks!$A$2)</f>
        <v>0</v>
      </c>
      <c r="I146" s="4">
        <f>SUMIFS(Movimientos!$E$6:$E$16,Movimientos!$C$6:$C$16,Stocks!$A146,Movimientos!$F$6:$F$16,Stocks!I$3,Movimientos!$A$6:$A$16,"&lt;="&amp;Stocks!$A$2)-SUMIFS(Movimientos!$E$6:$E$16,Movimientos!$C$6:$C$16,Stocks!$A146,Movimientos!$G$6:$G$16,Stocks!I$3,Movimientos!$A$6:$A$16,"&lt;="&amp;Stocks!$A$2)</f>
        <v>0</v>
      </c>
      <c r="J146" s="4">
        <f>SUMIFS(Movimientos!$E$6:$E$16,Movimientos!$C$6:$C$16,Stocks!$A146,Movimientos!$F$6:$F$16,Stocks!J$3,Movimientos!$A$6:$A$16,"&lt;="&amp;Stocks!$A$2)-SUMIFS(Movimientos!$E$6:$E$16,Movimientos!$C$6:$C$16,Stocks!$A146,Movimientos!$G$6:$G$16,Stocks!J$3,Movimientos!$A$6:$A$16,"&lt;="&amp;Stocks!$A$2)</f>
        <v>0</v>
      </c>
      <c r="K146" s="4">
        <f>SUMIFS(Movimientos!$E$6:$E$16,Movimientos!$C$6:$C$16,Stocks!$A146,Movimientos!$F$6:$F$16,Stocks!K$3,Movimientos!$A$6:$A$16,"&lt;="&amp;Stocks!$A$2)-SUMIFS(Movimientos!$E$6:$E$16,Movimientos!$C$6:$C$16,Stocks!$A146,Movimientos!$G$6:$G$16,Stocks!K$3,Movimientos!$A$6:$A$16,"&lt;="&amp;Stocks!$A$2)</f>
        <v>0</v>
      </c>
      <c r="L146" s="4">
        <f>SUMIFS(Movimientos!$E$6:$E$16,Movimientos!$C$6:$C$16,Stocks!$A146,Movimientos!$F$6:$F$16,Stocks!L$3,Movimientos!$A$6:$A$16,"&lt;="&amp;Stocks!$A$2)-SUMIFS(Movimientos!$E$6:$E$16,Movimientos!$C$6:$C$16,Stocks!$A146,Movimientos!$G$6:$G$16,Stocks!L$3,Movimientos!$A$6:$A$16,"&lt;="&amp;Stocks!$A$2)</f>
        <v>0</v>
      </c>
    </row>
    <row r="147" spans="1:12" x14ac:dyDescent="0.25">
      <c r="A147" t="str">
        <f>Codificación!A146</f>
        <v/>
      </c>
      <c r="B147" s="1">
        <f>Codificación!B146</f>
        <v>0</v>
      </c>
      <c r="E147" s="4">
        <f>SUMIFS(Movimientos!$E$6:$E$16,Movimientos!$C$6:$C$16,Stocks!$A147,Movimientos!$F$6:$F$16,Stocks!E$3,Movimientos!$A$6:$A$16,"&lt;="&amp;Stocks!$A$2)-SUMIFS(Movimientos!$E$6:$E$16,Movimientos!$C$6:$C$16,Stocks!$A147,Movimientos!$G$6:$G$16,Stocks!E$3,Movimientos!$A$6:$A$16,"&lt;="&amp;Stocks!$A$2)</f>
        <v>0</v>
      </c>
      <c r="F147" s="4">
        <f>SUMIFS(Movimientos!$E$6:$E$16,Movimientos!$C$6:$C$16,Stocks!$A147,Movimientos!$F$6:$F$16,Stocks!F$3,Movimientos!$A$6:$A$16,"&lt;="&amp;Stocks!$A$2)-SUMIFS(Movimientos!$E$6:$E$16,Movimientos!$C$6:$C$16,Stocks!$A147,Movimientos!$G$6:$G$16,Stocks!F$3,Movimientos!$A$6:$A$16,"&lt;="&amp;Stocks!$A$2)</f>
        <v>0</v>
      </c>
      <c r="G147" s="4">
        <f>SUMIFS(Movimientos!$E$6:$E$16,Movimientos!$C$6:$C$16,Stocks!$A147,Movimientos!$F$6:$F$16,Stocks!G$3,Movimientos!$A$6:$A$16,"&lt;="&amp;Stocks!$A$2)-SUMIFS(Movimientos!$E$6:$E$16,Movimientos!$C$6:$C$16,Stocks!$A147,Movimientos!$G$6:$G$16,Stocks!G$3,Movimientos!$A$6:$A$16,"&lt;="&amp;Stocks!$A$2)</f>
        <v>0</v>
      </c>
      <c r="H147" s="4">
        <f>SUMIFS(Movimientos!$E$6:$E$16,Movimientos!$C$6:$C$16,Stocks!$A147,Movimientos!$F$6:$F$16,Stocks!H$3,Movimientos!$A$6:$A$16,"&lt;="&amp;Stocks!$A$2)-SUMIFS(Movimientos!$E$6:$E$16,Movimientos!$C$6:$C$16,Stocks!$A147,Movimientos!$G$6:$G$16,Stocks!H$3,Movimientos!$A$6:$A$16,"&lt;="&amp;Stocks!$A$2)</f>
        <v>0</v>
      </c>
      <c r="I147" s="4">
        <f>SUMIFS(Movimientos!$E$6:$E$16,Movimientos!$C$6:$C$16,Stocks!$A147,Movimientos!$F$6:$F$16,Stocks!I$3,Movimientos!$A$6:$A$16,"&lt;="&amp;Stocks!$A$2)-SUMIFS(Movimientos!$E$6:$E$16,Movimientos!$C$6:$C$16,Stocks!$A147,Movimientos!$G$6:$G$16,Stocks!I$3,Movimientos!$A$6:$A$16,"&lt;="&amp;Stocks!$A$2)</f>
        <v>0</v>
      </c>
      <c r="J147" s="4">
        <f>SUMIFS(Movimientos!$E$6:$E$16,Movimientos!$C$6:$C$16,Stocks!$A147,Movimientos!$F$6:$F$16,Stocks!J$3,Movimientos!$A$6:$A$16,"&lt;="&amp;Stocks!$A$2)-SUMIFS(Movimientos!$E$6:$E$16,Movimientos!$C$6:$C$16,Stocks!$A147,Movimientos!$G$6:$G$16,Stocks!J$3,Movimientos!$A$6:$A$16,"&lt;="&amp;Stocks!$A$2)</f>
        <v>0</v>
      </c>
      <c r="K147" s="4">
        <f>SUMIFS(Movimientos!$E$6:$E$16,Movimientos!$C$6:$C$16,Stocks!$A147,Movimientos!$F$6:$F$16,Stocks!K$3,Movimientos!$A$6:$A$16,"&lt;="&amp;Stocks!$A$2)-SUMIFS(Movimientos!$E$6:$E$16,Movimientos!$C$6:$C$16,Stocks!$A147,Movimientos!$G$6:$G$16,Stocks!K$3,Movimientos!$A$6:$A$16,"&lt;="&amp;Stocks!$A$2)</f>
        <v>0</v>
      </c>
      <c r="L147" s="4">
        <f>SUMIFS(Movimientos!$E$6:$E$16,Movimientos!$C$6:$C$16,Stocks!$A147,Movimientos!$F$6:$F$16,Stocks!L$3,Movimientos!$A$6:$A$16,"&lt;="&amp;Stocks!$A$2)-SUMIFS(Movimientos!$E$6:$E$16,Movimientos!$C$6:$C$16,Stocks!$A147,Movimientos!$G$6:$G$16,Stocks!L$3,Movimientos!$A$6:$A$16,"&lt;="&amp;Stocks!$A$2)</f>
        <v>0</v>
      </c>
    </row>
    <row r="148" spans="1:12" x14ac:dyDescent="0.25">
      <c r="A148" t="str">
        <f>Codificación!A147</f>
        <v/>
      </c>
      <c r="B148" s="1">
        <f>Codificación!B147</f>
        <v>0</v>
      </c>
      <c r="E148" s="4">
        <f>SUMIFS(Movimientos!$E$6:$E$16,Movimientos!$C$6:$C$16,Stocks!$A148,Movimientos!$F$6:$F$16,Stocks!E$3,Movimientos!$A$6:$A$16,"&lt;="&amp;Stocks!$A$2)-SUMIFS(Movimientos!$E$6:$E$16,Movimientos!$C$6:$C$16,Stocks!$A148,Movimientos!$G$6:$G$16,Stocks!E$3,Movimientos!$A$6:$A$16,"&lt;="&amp;Stocks!$A$2)</f>
        <v>0</v>
      </c>
      <c r="F148" s="4">
        <f>SUMIFS(Movimientos!$E$6:$E$16,Movimientos!$C$6:$C$16,Stocks!$A148,Movimientos!$F$6:$F$16,Stocks!F$3,Movimientos!$A$6:$A$16,"&lt;="&amp;Stocks!$A$2)-SUMIFS(Movimientos!$E$6:$E$16,Movimientos!$C$6:$C$16,Stocks!$A148,Movimientos!$G$6:$G$16,Stocks!F$3,Movimientos!$A$6:$A$16,"&lt;="&amp;Stocks!$A$2)</f>
        <v>0</v>
      </c>
      <c r="G148" s="4">
        <f>SUMIFS(Movimientos!$E$6:$E$16,Movimientos!$C$6:$C$16,Stocks!$A148,Movimientos!$F$6:$F$16,Stocks!G$3,Movimientos!$A$6:$A$16,"&lt;="&amp;Stocks!$A$2)-SUMIFS(Movimientos!$E$6:$E$16,Movimientos!$C$6:$C$16,Stocks!$A148,Movimientos!$G$6:$G$16,Stocks!G$3,Movimientos!$A$6:$A$16,"&lt;="&amp;Stocks!$A$2)</f>
        <v>0</v>
      </c>
      <c r="H148" s="4">
        <f>SUMIFS(Movimientos!$E$6:$E$16,Movimientos!$C$6:$C$16,Stocks!$A148,Movimientos!$F$6:$F$16,Stocks!H$3,Movimientos!$A$6:$A$16,"&lt;="&amp;Stocks!$A$2)-SUMIFS(Movimientos!$E$6:$E$16,Movimientos!$C$6:$C$16,Stocks!$A148,Movimientos!$G$6:$G$16,Stocks!H$3,Movimientos!$A$6:$A$16,"&lt;="&amp;Stocks!$A$2)</f>
        <v>0</v>
      </c>
      <c r="I148" s="4">
        <f>SUMIFS(Movimientos!$E$6:$E$16,Movimientos!$C$6:$C$16,Stocks!$A148,Movimientos!$F$6:$F$16,Stocks!I$3,Movimientos!$A$6:$A$16,"&lt;="&amp;Stocks!$A$2)-SUMIFS(Movimientos!$E$6:$E$16,Movimientos!$C$6:$C$16,Stocks!$A148,Movimientos!$G$6:$G$16,Stocks!I$3,Movimientos!$A$6:$A$16,"&lt;="&amp;Stocks!$A$2)</f>
        <v>0</v>
      </c>
      <c r="J148" s="4">
        <f>SUMIFS(Movimientos!$E$6:$E$16,Movimientos!$C$6:$C$16,Stocks!$A148,Movimientos!$F$6:$F$16,Stocks!J$3,Movimientos!$A$6:$A$16,"&lt;="&amp;Stocks!$A$2)-SUMIFS(Movimientos!$E$6:$E$16,Movimientos!$C$6:$C$16,Stocks!$A148,Movimientos!$G$6:$G$16,Stocks!J$3,Movimientos!$A$6:$A$16,"&lt;="&amp;Stocks!$A$2)</f>
        <v>0</v>
      </c>
      <c r="K148" s="4">
        <f>SUMIFS(Movimientos!$E$6:$E$16,Movimientos!$C$6:$C$16,Stocks!$A148,Movimientos!$F$6:$F$16,Stocks!K$3,Movimientos!$A$6:$A$16,"&lt;="&amp;Stocks!$A$2)-SUMIFS(Movimientos!$E$6:$E$16,Movimientos!$C$6:$C$16,Stocks!$A148,Movimientos!$G$6:$G$16,Stocks!K$3,Movimientos!$A$6:$A$16,"&lt;="&amp;Stocks!$A$2)</f>
        <v>0</v>
      </c>
      <c r="L148" s="4">
        <f>SUMIFS(Movimientos!$E$6:$E$16,Movimientos!$C$6:$C$16,Stocks!$A148,Movimientos!$F$6:$F$16,Stocks!L$3,Movimientos!$A$6:$A$16,"&lt;="&amp;Stocks!$A$2)-SUMIFS(Movimientos!$E$6:$E$16,Movimientos!$C$6:$C$16,Stocks!$A148,Movimientos!$G$6:$G$16,Stocks!L$3,Movimientos!$A$6:$A$16,"&lt;="&amp;Stocks!$A$2)</f>
        <v>0</v>
      </c>
    </row>
    <row r="149" spans="1:12" x14ac:dyDescent="0.25">
      <c r="A149" t="str">
        <f>Codificación!A148</f>
        <v/>
      </c>
      <c r="B149" s="1">
        <f>Codificación!B148</f>
        <v>0</v>
      </c>
      <c r="E149" s="4">
        <f>SUMIFS(Movimientos!$E$6:$E$16,Movimientos!$C$6:$C$16,Stocks!$A149,Movimientos!$F$6:$F$16,Stocks!E$3,Movimientos!$A$6:$A$16,"&lt;="&amp;Stocks!$A$2)-SUMIFS(Movimientos!$E$6:$E$16,Movimientos!$C$6:$C$16,Stocks!$A149,Movimientos!$G$6:$G$16,Stocks!E$3,Movimientos!$A$6:$A$16,"&lt;="&amp;Stocks!$A$2)</f>
        <v>0</v>
      </c>
      <c r="F149" s="4">
        <f>SUMIFS(Movimientos!$E$6:$E$16,Movimientos!$C$6:$C$16,Stocks!$A149,Movimientos!$F$6:$F$16,Stocks!F$3,Movimientos!$A$6:$A$16,"&lt;="&amp;Stocks!$A$2)-SUMIFS(Movimientos!$E$6:$E$16,Movimientos!$C$6:$C$16,Stocks!$A149,Movimientos!$G$6:$G$16,Stocks!F$3,Movimientos!$A$6:$A$16,"&lt;="&amp;Stocks!$A$2)</f>
        <v>0</v>
      </c>
      <c r="G149" s="4">
        <f>SUMIFS(Movimientos!$E$6:$E$16,Movimientos!$C$6:$C$16,Stocks!$A149,Movimientos!$F$6:$F$16,Stocks!G$3,Movimientos!$A$6:$A$16,"&lt;="&amp;Stocks!$A$2)-SUMIFS(Movimientos!$E$6:$E$16,Movimientos!$C$6:$C$16,Stocks!$A149,Movimientos!$G$6:$G$16,Stocks!G$3,Movimientos!$A$6:$A$16,"&lt;="&amp;Stocks!$A$2)</f>
        <v>0</v>
      </c>
      <c r="H149" s="4">
        <f>SUMIFS(Movimientos!$E$6:$E$16,Movimientos!$C$6:$C$16,Stocks!$A149,Movimientos!$F$6:$F$16,Stocks!H$3,Movimientos!$A$6:$A$16,"&lt;="&amp;Stocks!$A$2)-SUMIFS(Movimientos!$E$6:$E$16,Movimientos!$C$6:$C$16,Stocks!$A149,Movimientos!$G$6:$G$16,Stocks!H$3,Movimientos!$A$6:$A$16,"&lt;="&amp;Stocks!$A$2)</f>
        <v>0</v>
      </c>
      <c r="I149" s="4">
        <f>SUMIFS(Movimientos!$E$6:$E$16,Movimientos!$C$6:$C$16,Stocks!$A149,Movimientos!$F$6:$F$16,Stocks!I$3,Movimientos!$A$6:$A$16,"&lt;="&amp;Stocks!$A$2)-SUMIFS(Movimientos!$E$6:$E$16,Movimientos!$C$6:$C$16,Stocks!$A149,Movimientos!$G$6:$G$16,Stocks!I$3,Movimientos!$A$6:$A$16,"&lt;="&amp;Stocks!$A$2)</f>
        <v>0</v>
      </c>
      <c r="J149" s="4">
        <f>SUMIFS(Movimientos!$E$6:$E$16,Movimientos!$C$6:$C$16,Stocks!$A149,Movimientos!$F$6:$F$16,Stocks!J$3,Movimientos!$A$6:$A$16,"&lt;="&amp;Stocks!$A$2)-SUMIFS(Movimientos!$E$6:$E$16,Movimientos!$C$6:$C$16,Stocks!$A149,Movimientos!$G$6:$G$16,Stocks!J$3,Movimientos!$A$6:$A$16,"&lt;="&amp;Stocks!$A$2)</f>
        <v>0</v>
      </c>
      <c r="K149" s="4">
        <f>SUMIFS(Movimientos!$E$6:$E$16,Movimientos!$C$6:$C$16,Stocks!$A149,Movimientos!$F$6:$F$16,Stocks!K$3,Movimientos!$A$6:$A$16,"&lt;="&amp;Stocks!$A$2)-SUMIFS(Movimientos!$E$6:$E$16,Movimientos!$C$6:$C$16,Stocks!$A149,Movimientos!$G$6:$G$16,Stocks!K$3,Movimientos!$A$6:$A$16,"&lt;="&amp;Stocks!$A$2)</f>
        <v>0</v>
      </c>
      <c r="L149" s="4">
        <f>SUMIFS(Movimientos!$E$6:$E$16,Movimientos!$C$6:$C$16,Stocks!$A149,Movimientos!$F$6:$F$16,Stocks!L$3,Movimientos!$A$6:$A$16,"&lt;="&amp;Stocks!$A$2)-SUMIFS(Movimientos!$E$6:$E$16,Movimientos!$C$6:$C$16,Stocks!$A149,Movimientos!$G$6:$G$16,Stocks!L$3,Movimientos!$A$6:$A$16,"&lt;="&amp;Stocks!$A$2)</f>
        <v>0</v>
      </c>
    </row>
    <row r="150" spans="1:12" x14ac:dyDescent="0.25">
      <c r="A150" t="str">
        <f>Codificación!A149</f>
        <v/>
      </c>
      <c r="B150" s="1">
        <f>Codificación!B149</f>
        <v>0</v>
      </c>
      <c r="E150" s="4">
        <f>SUMIFS(Movimientos!$E$6:$E$16,Movimientos!$C$6:$C$16,Stocks!$A150,Movimientos!$F$6:$F$16,Stocks!E$3,Movimientos!$A$6:$A$16,"&lt;="&amp;Stocks!$A$2)-SUMIFS(Movimientos!$E$6:$E$16,Movimientos!$C$6:$C$16,Stocks!$A150,Movimientos!$G$6:$G$16,Stocks!E$3,Movimientos!$A$6:$A$16,"&lt;="&amp;Stocks!$A$2)</f>
        <v>0</v>
      </c>
      <c r="F150" s="4">
        <f>SUMIFS(Movimientos!$E$6:$E$16,Movimientos!$C$6:$C$16,Stocks!$A150,Movimientos!$F$6:$F$16,Stocks!F$3,Movimientos!$A$6:$A$16,"&lt;="&amp;Stocks!$A$2)-SUMIFS(Movimientos!$E$6:$E$16,Movimientos!$C$6:$C$16,Stocks!$A150,Movimientos!$G$6:$G$16,Stocks!F$3,Movimientos!$A$6:$A$16,"&lt;="&amp;Stocks!$A$2)</f>
        <v>0</v>
      </c>
      <c r="G150" s="4">
        <f>SUMIFS(Movimientos!$E$6:$E$16,Movimientos!$C$6:$C$16,Stocks!$A150,Movimientos!$F$6:$F$16,Stocks!G$3,Movimientos!$A$6:$A$16,"&lt;="&amp;Stocks!$A$2)-SUMIFS(Movimientos!$E$6:$E$16,Movimientos!$C$6:$C$16,Stocks!$A150,Movimientos!$G$6:$G$16,Stocks!G$3,Movimientos!$A$6:$A$16,"&lt;="&amp;Stocks!$A$2)</f>
        <v>0</v>
      </c>
      <c r="H150" s="4">
        <f>SUMIFS(Movimientos!$E$6:$E$16,Movimientos!$C$6:$C$16,Stocks!$A150,Movimientos!$F$6:$F$16,Stocks!H$3,Movimientos!$A$6:$A$16,"&lt;="&amp;Stocks!$A$2)-SUMIFS(Movimientos!$E$6:$E$16,Movimientos!$C$6:$C$16,Stocks!$A150,Movimientos!$G$6:$G$16,Stocks!H$3,Movimientos!$A$6:$A$16,"&lt;="&amp;Stocks!$A$2)</f>
        <v>0</v>
      </c>
      <c r="I150" s="4">
        <f>SUMIFS(Movimientos!$E$6:$E$16,Movimientos!$C$6:$C$16,Stocks!$A150,Movimientos!$F$6:$F$16,Stocks!I$3,Movimientos!$A$6:$A$16,"&lt;="&amp;Stocks!$A$2)-SUMIFS(Movimientos!$E$6:$E$16,Movimientos!$C$6:$C$16,Stocks!$A150,Movimientos!$G$6:$G$16,Stocks!I$3,Movimientos!$A$6:$A$16,"&lt;="&amp;Stocks!$A$2)</f>
        <v>0</v>
      </c>
      <c r="J150" s="4">
        <f>SUMIFS(Movimientos!$E$6:$E$16,Movimientos!$C$6:$C$16,Stocks!$A150,Movimientos!$F$6:$F$16,Stocks!J$3,Movimientos!$A$6:$A$16,"&lt;="&amp;Stocks!$A$2)-SUMIFS(Movimientos!$E$6:$E$16,Movimientos!$C$6:$C$16,Stocks!$A150,Movimientos!$G$6:$G$16,Stocks!J$3,Movimientos!$A$6:$A$16,"&lt;="&amp;Stocks!$A$2)</f>
        <v>0</v>
      </c>
      <c r="K150" s="4">
        <f>SUMIFS(Movimientos!$E$6:$E$16,Movimientos!$C$6:$C$16,Stocks!$A150,Movimientos!$F$6:$F$16,Stocks!K$3,Movimientos!$A$6:$A$16,"&lt;="&amp;Stocks!$A$2)-SUMIFS(Movimientos!$E$6:$E$16,Movimientos!$C$6:$C$16,Stocks!$A150,Movimientos!$G$6:$G$16,Stocks!K$3,Movimientos!$A$6:$A$16,"&lt;="&amp;Stocks!$A$2)</f>
        <v>0</v>
      </c>
      <c r="L150" s="4">
        <f>SUMIFS(Movimientos!$E$6:$E$16,Movimientos!$C$6:$C$16,Stocks!$A150,Movimientos!$F$6:$F$16,Stocks!L$3,Movimientos!$A$6:$A$16,"&lt;="&amp;Stocks!$A$2)-SUMIFS(Movimientos!$E$6:$E$16,Movimientos!$C$6:$C$16,Stocks!$A150,Movimientos!$G$6:$G$16,Stocks!L$3,Movimientos!$A$6:$A$16,"&lt;="&amp;Stocks!$A$2)</f>
        <v>0</v>
      </c>
    </row>
    <row r="151" spans="1:12" x14ac:dyDescent="0.25">
      <c r="A151" t="str">
        <f>Codificación!A150</f>
        <v/>
      </c>
      <c r="B151" s="1">
        <f>Codificación!B150</f>
        <v>0</v>
      </c>
      <c r="E151" s="4">
        <f>SUMIFS(Movimientos!$E$6:$E$16,Movimientos!$C$6:$C$16,Stocks!$A151,Movimientos!$F$6:$F$16,Stocks!E$3,Movimientos!$A$6:$A$16,"&lt;="&amp;Stocks!$A$2)-SUMIFS(Movimientos!$E$6:$E$16,Movimientos!$C$6:$C$16,Stocks!$A151,Movimientos!$G$6:$G$16,Stocks!E$3,Movimientos!$A$6:$A$16,"&lt;="&amp;Stocks!$A$2)</f>
        <v>0</v>
      </c>
      <c r="F151" s="4">
        <f>SUMIFS(Movimientos!$E$6:$E$16,Movimientos!$C$6:$C$16,Stocks!$A151,Movimientos!$F$6:$F$16,Stocks!F$3,Movimientos!$A$6:$A$16,"&lt;="&amp;Stocks!$A$2)-SUMIFS(Movimientos!$E$6:$E$16,Movimientos!$C$6:$C$16,Stocks!$A151,Movimientos!$G$6:$G$16,Stocks!F$3,Movimientos!$A$6:$A$16,"&lt;="&amp;Stocks!$A$2)</f>
        <v>0</v>
      </c>
      <c r="G151" s="4">
        <f>SUMIFS(Movimientos!$E$6:$E$16,Movimientos!$C$6:$C$16,Stocks!$A151,Movimientos!$F$6:$F$16,Stocks!G$3,Movimientos!$A$6:$A$16,"&lt;="&amp;Stocks!$A$2)-SUMIFS(Movimientos!$E$6:$E$16,Movimientos!$C$6:$C$16,Stocks!$A151,Movimientos!$G$6:$G$16,Stocks!G$3,Movimientos!$A$6:$A$16,"&lt;="&amp;Stocks!$A$2)</f>
        <v>0</v>
      </c>
      <c r="H151" s="4">
        <f>SUMIFS(Movimientos!$E$6:$E$16,Movimientos!$C$6:$C$16,Stocks!$A151,Movimientos!$F$6:$F$16,Stocks!H$3,Movimientos!$A$6:$A$16,"&lt;="&amp;Stocks!$A$2)-SUMIFS(Movimientos!$E$6:$E$16,Movimientos!$C$6:$C$16,Stocks!$A151,Movimientos!$G$6:$G$16,Stocks!H$3,Movimientos!$A$6:$A$16,"&lt;="&amp;Stocks!$A$2)</f>
        <v>0</v>
      </c>
      <c r="I151" s="4">
        <f>SUMIFS(Movimientos!$E$6:$E$16,Movimientos!$C$6:$C$16,Stocks!$A151,Movimientos!$F$6:$F$16,Stocks!I$3,Movimientos!$A$6:$A$16,"&lt;="&amp;Stocks!$A$2)-SUMIFS(Movimientos!$E$6:$E$16,Movimientos!$C$6:$C$16,Stocks!$A151,Movimientos!$G$6:$G$16,Stocks!I$3,Movimientos!$A$6:$A$16,"&lt;="&amp;Stocks!$A$2)</f>
        <v>0</v>
      </c>
      <c r="J151" s="4">
        <f>SUMIFS(Movimientos!$E$6:$E$16,Movimientos!$C$6:$C$16,Stocks!$A151,Movimientos!$F$6:$F$16,Stocks!J$3,Movimientos!$A$6:$A$16,"&lt;="&amp;Stocks!$A$2)-SUMIFS(Movimientos!$E$6:$E$16,Movimientos!$C$6:$C$16,Stocks!$A151,Movimientos!$G$6:$G$16,Stocks!J$3,Movimientos!$A$6:$A$16,"&lt;="&amp;Stocks!$A$2)</f>
        <v>0</v>
      </c>
      <c r="K151" s="4">
        <f>SUMIFS(Movimientos!$E$6:$E$16,Movimientos!$C$6:$C$16,Stocks!$A151,Movimientos!$F$6:$F$16,Stocks!K$3,Movimientos!$A$6:$A$16,"&lt;="&amp;Stocks!$A$2)-SUMIFS(Movimientos!$E$6:$E$16,Movimientos!$C$6:$C$16,Stocks!$A151,Movimientos!$G$6:$G$16,Stocks!K$3,Movimientos!$A$6:$A$16,"&lt;="&amp;Stocks!$A$2)</f>
        <v>0</v>
      </c>
      <c r="L151" s="4">
        <f>SUMIFS(Movimientos!$E$6:$E$16,Movimientos!$C$6:$C$16,Stocks!$A151,Movimientos!$F$6:$F$16,Stocks!L$3,Movimientos!$A$6:$A$16,"&lt;="&amp;Stocks!$A$2)-SUMIFS(Movimientos!$E$6:$E$16,Movimientos!$C$6:$C$16,Stocks!$A151,Movimientos!$G$6:$G$16,Stocks!L$3,Movimientos!$A$6:$A$16,"&lt;="&amp;Stocks!$A$2)</f>
        <v>0</v>
      </c>
    </row>
    <row r="152" spans="1:12" x14ac:dyDescent="0.25">
      <c r="A152" t="str">
        <f>Codificación!A151</f>
        <v/>
      </c>
      <c r="B152" s="1">
        <f>Codificación!B151</f>
        <v>0</v>
      </c>
      <c r="E152" s="4">
        <f>SUMIFS(Movimientos!$E$6:$E$16,Movimientos!$C$6:$C$16,Stocks!$A152,Movimientos!$F$6:$F$16,Stocks!E$3,Movimientos!$A$6:$A$16,"&lt;="&amp;Stocks!$A$2)-SUMIFS(Movimientos!$E$6:$E$16,Movimientos!$C$6:$C$16,Stocks!$A152,Movimientos!$G$6:$G$16,Stocks!E$3,Movimientos!$A$6:$A$16,"&lt;="&amp;Stocks!$A$2)</f>
        <v>0</v>
      </c>
      <c r="F152" s="4">
        <f>SUMIFS(Movimientos!$E$6:$E$16,Movimientos!$C$6:$C$16,Stocks!$A152,Movimientos!$F$6:$F$16,Stocks!F$3,Movimientos!$A$6:$A$16,"&lt;="&amp;Stocks!$A$2)-SUMIFS(Movimientos!$E$6:$E$16,Movimientos!$C$6:$C$16,Stocks!$A152,Movimientos!$G$6:$G$16,Stocks!F$3,Movimientos!$A$6:$A$16,"&lt;="&amp;Stocks!$A$2)</f>
        <v>0</v>
      </c>
      <c r="G152" s="4">
        <f>SUMIFS(Movimientos!$E$6:$E$16,Movimientos!$C$6:$C$16,Stocks!$A152,Movimientos!$F$6:$F$16,Stocks!G$3,Movimientos!$A$6:$A$16,"&lt;="&amp;Stocks!$A$2)-SUMIFS(Movimientos!$E$6:$E$16,Movimientos!$C$6:$C$16,Stocks!$A152,Movimientos!$G$6:$G$16,Stocks!G$3,Movimientos!$A$6:$A$16,"&lt;="&amp;Stocks!$A$2)</f>
        <v>0</v>
      </c>
      <c r="H152" s="4">
        <f>SUMIFS(Movimientos!$E$6:$E$16,Movimientos!$C$6:$C$16,Stocks!$A152,Movimientos!$F$6:$F$16,Stocks!H$3,Movimientos!$A$6:$A$16,"&lt;="&amp;Stocks!$A$2)-SUMIFS(Movimientos!$E$6:$E$16,Movimientos!$C$6:$C$16,Stocks!$A152,Movimientos!$G$6:$G$16,Stocks!H$3,Movimientos!$A$6:$A$16,"&lt;="&amp;Stocks!$A$2)</f>
        <v>0</v>
      </c>
      <c r="I152" s="4">
        <f>SUMIFS(Movimientos!$E$6:$E$16,Movimientos!$C$6:$C$16,Stocks!$A152,Movimientos!$F$6:$F$16,Stocks!I$3,Movimientos!$A$6:$A$16,"&lt;="&amp;Stocks!$A$2)-SUMIFS(Movimientos!$E$6:$E$16,Movimientos!$C$6:$C$16,Stocks!$A152,Movimientos!$G$6:$G$16,Stocks!I$3,Movimientos!$A$6:$A$16,"&lt;="&amp;Stocks!$A$2)</f>
        <v>0</v>
      </c>
      <c r="J152" s="4">
        <f>SUMIFS(Movimientos!$E$6:$E$16,Movimientos!$C$6:$C$16,Stocks!$A152,Movimientos!$F$6:$F$16,Stocks!J$3,Movimientos!$A$6:$A$16,"&lt;="&amp;Stocks!$A$2)-SUMIFS(Movimientos!$E$6:$E$16,Movimientos!$C$6:$C$16,Stocks!$A152,Movimientos!$G$6:$G$16,Stocks!J$3,Movimientos!$A$6:$A$16,"&lt;="&amp;Stocks!$A$2)</f>
        <v>0</v>
      </c>
      <c r="K152" s="4">
        <f>SUMIFS(Movimientos!$E$6:$E$16,Movimientos!$C$6:$C$16,Stocks!$A152,Movimientos!$F$6:$F$16,Stocks!K$3,Movimientos!$A$6:$A$16,"&lt;="&amp;Stocks!$A$2)-SUMIFS(Movimientos!$E$6:$E$16,Movimientos!$C$6:$C$16,Stocks!$A152,Movimientos!$G$6:$G$16,Stocks!K$3,Movimientos!$A$6:$A$16,"&lt;="&amp;Stocks!$A$2)</f>
        <v>0</v>
      </c>
      <c r="L152" s="4">
        <f>SUMIFS(Movimientos!$E$6:$E$16,Movimientos!$C$6:$C$16,Stocks!$A152,Movimientos!$F$6:$F$16,Stocks!L$3,Movimientos!$A$6:$A$16,"&lt;="&amp;Stocks!$A$2)-SUMIFS(Movimientos!$E$6:$E$16,Movimientos!$C$6:$C$16,Stocks!$A152,Movimientos!$G$6:$G$16,Stocks!L$3,Movimientos!$A$6:$A$16,"&lt;="&amp;Stocks!$A$2)</f>
        <v>0</v>
      </c>
    </row>
    <row r="153" spans="1:12" x14ac:dyDescent="0.25">
      <c r="A153" t="str">
        <f>Codificación!A152</f>
        <v/>
      </c>
      <c r="B153" s="1">
        <f>Codificación!B152</f>
        <v>0</v>
      </c>
      <c r="E153" s="4">
        <f>SUMIFS(Movimientos!$E$6:$E$16,Movimientos!$C$6:$C$16,Stocks!$A153,Movimientos!$F$6:$F$16,Stocks!E$3,Movimientos!$A$6:$A$16,"&lt;="&amp;Stocks!$A$2)-SUMIFS(Movimientos!$E$6:$E$16,Movimientos!$C$6:$C$16,Stocks!$A153,Movimientos!$G$6:$G$16,Stocks!E$3,Movimientos!$A$6:$A$16,"&lt;="&amp;Stocks!$A$2)</f>
        <v>0</v>
      </c>
      <c r="F153" s="4">
        <f>SUMIFS(Movimientos!$E$6:$E$16,Movimientos!$C$6:$C$16,Stocks!$A153,Movimientos!$F$6:$F$16,Stocks!F$3,Movimientos!$A$6:$A$16,"&lt;="&amp;Stocks!$A$2)-SUMIFS(Movimientos!$E$6:$E$16,Movimientos!$C$6:$C$16,Stocks!$A153,Movimientos!$G$6:$G$16,Stocks!F$3,Movimientos!$A$6:$A$16,"&lt;="&amp;Stocks!$A$2)</f>
        <v>0</v>
      </c>
      <c r="G153" s="4">
        <f>SUMIFS(Movimientos!$E$6:$E$16,Movimientos!$C$6:$C$16,Stocks!$A153,Movimientos!$F$6:$F$16,Stocks!G$3,Movimientos!$A$6:$A$16,"&lt;="&amp;Stocks!$A$2)-SUMIFS(Movimientos!$E$6:$E$16,Movimientos!$C$6:$C$16,Stocks!$A153,Movimientos!$G$6:$G$16,Stocks!G$3,Movimientos!$A$6:$A$16,"&lt;="&amp;Stocks!$A$2)</f>
        <v>0</v>
      </c>
      <c r="H153" s="4">
        <f>SUMIFS(Movimientos!$E$6:$E$16,Movimientos!$C$6:$C$16,Stocks!$A153,Movimientos!$F$6:$F$16,Stocks!H$3,Movimientos!$A$6:$A$16,"&lt;="&amp;Stocks!$A$2)-SUMIFS(Movimientos!$E$6:$E$16,Movimientos!$C$6:$C$16,Stocks!$A153,Movimientos!$G$6:$G$16,Stocks!H$3,Movimientos!$A$6:$A$16,"&lt;="&amp;Stocks!$A$2)</f>
        <v>0</v>
      </c>
      <c r="I153" s="4">
        <f>SUMIFS(Movimientos!$E$6:$E$16,Movimientos!$C$6:$C$16,Stocks!$A153,Movimientos!$F$6:$F$16,Stocks!I$3,Movimientos!$A$6:$A$16,"&lt;="&amp;Stocks!$A$2)-SUMIFS(Movimientos!$E$6:$E$16,Movimientos!$C$6:$C$16,Stocks!$A153,Movimientos!$G$6:$G$16,Stocks!I$3,Movimientos!$A$6:$A$16,"&lt;="&amp;Stocks!$A$2)</f>
        <v>0</v>
      </c>
      <c r="J153" s="4">
        <f>SUMIFS(Movimientos!$E$6:$E$16,Movimientos!$C$6:$C$16,Stocks!$A153,Movimientos!$F$6:$F$16,Stocks!J$3,Movimientos!$A$6:$A$16,"&lt;="&amp;Stocks!$A$2)-SUMIFS(Movimientos!$E$6:$E$16,Movimientos!$C$6:$C$16,Stocks!$A153,Movimientos!$G$6:$G$16,Stocks!J$3,Movimientos!$A$6:$A$16,"&lt;="&amp;Stocks!$A$2)</f>
        <v>0</v>
      </c>
      <c r="K153" s="4">
        <f>SUMIFS(Movimientos!$E$6:$E$16,Movimientos!$C$6:$C$16,Stocks!$A153,Movimientos!$F$6:$F$16,Stocks!K$3,Movimientos!$A$6:$A$16,"&lt;="&amp;Stocks!$A$2)-SUMIFS(Movimientos!$E$6:$E$16,Movimientos!$C$6:$C$16,Stocks!$A153,Movimientos!$G$6:$G$16,Stocks!K$3,Movimientos!$A$6:$A$16,"&lt;="&amp;Stocks!$A$2)</f>
        <v>0</v>
      </c>
      <c r="L153" s="4">
        <f>SUMIFS(Movimientos!$E$6:$E$16,Movimientos!$C$6:$C$16,Stocks!$A153,Movimientos!$F$6:$F$16,Stocks!L$3,Movimientos!$A$6:$A$16,"&lt;="&amp;Stocks!$A$2)-SUMIFS(Movimientos!$E$6:$E$16,Movimientos!$C$6:$C$16,Stocks!$A153,Movimientos!$G$6:$G$16,Stocks!L$3,Movimientos!$A$6:$A$16,"&lt;="&amp;Stocks!$A$2)</f>
        <v>0</v>
      </c>
    </row>
    <row r="154" spans="1:12" x14ac:dyDescent="0.25">
      <c r="A154" t="str">
        <f>Codificación!A153</f>
        <v/>
      </c>
      <c r="B154" s="1">
        <f>Codificación!B153</f>
        <v>0</v>
      </c>
      <c r="E154" s="4">
        <f>SUMIFS(Movimientos!$E$6:$E$16,Movimientos!$C$6:$C$16,Stocks!$A154,Movimientos!$F$6:$F$16,Stocks!E$3,Movimientos!$A$6:$A$16,"&lt;="&amp;Stocks!$A$2)-SUMIFS(Movimientos!$E$6:$E$16,Movimientos!$C$6:$C$16,Stocks!$A154,Movimientos!$G$6:$G$16,Stocks!E$3,Movimientos!$A$6:$A$16,"&lt;="&amp;Stocks!$A$2)</f>
        <v>0</v>
      </c>
      <c r="F154" s="4">
        <f>SUMIFS(Movimientos!$E$6:$E$16,Movimientos!$C$6:$C$16,Stocks!$A154,Movimientos!$F$6:$F$16,Stocks!F$3,Movimientos!$A$6:$A$16,"&lt;="&amp;Stocks!$A$2)-SUMIFS(Movimientos!$E$6:$E$16,Movimientos!$C$6:$C$16,Stocks!$A154,Movimientos!$G$6:$G$16,Stocks!F$3,Movimientos!$A$6:$A$16,"&lt;="&amp;Stocks!$A$2)</f>
        <v>0</v>
      </c>
      <c r="G154" s="4">
        <f>SUMIFS(Movimientos!$E$6:$E$16,Movimientos!$C$6:$C$16,Stocks!$A154,Movimientos!$F$6:$F$16,Stocks!G$3,Movimientos!$A$6:$A$16,"&lt;="&amp;Stocks!$A$2)-SUMIFS(Movimientos!$E$6:$E$16,Movimientos!$C$6:$C$16,Stocks!$A154,Movimientos!$G$6:$G$16,Stocks!G$3,Movimientos!$A$6:$A$16,"&lt;="&amp;Stocks!$A$2)</f>
        <v>0</v>
      </c>
      <c r="H154" s="4">
        <f>SUMIFS(Movimientos!$E$6:$E$16,Movimientos!$C$6:$C$16,Stocks!$A154,Movimientos!$F$6:$F$16,Stocks!H$3,Movimientos!$A$6:$A$16,"&lt;="&amp;Stocks!$A$2)-SUMIFS(Movimientos!$E$6:$E$16,Movimientos!$C$6:$C$16,Stocks!$A154,Movimientos!$G$6:$G$16,Stocks!H$3,Movimientos!$A$6:$A$16,"&lt;="&amp;Stocks!$A$2)</f>
        <v>0</v>
      </c>
      <c r="I154" s="4">
        <f>SUMIFS(Movimientos!$E$6:$E$16,Movimientos!$C$6:$C$16,Stocks!$A154,Movimientos!$F$6:$F$16,Stocks!I$3,Movimientos!$A$6:$A$16,"&lt;="&amp;Stocks!$A$2)-SUMIFS(Movimientos!$E$6:$E$16,Movimientos!$C$6:$C$16,Stocks!$A154,Movimientos!$G$6:$G$16,Stocks!I$3,Movimientos!$A$6:$A$16,"&lt;="&amp;Stocks!$A$2)</f>
        <v>0</v>
      </c>
      <c r="J154" s="4">
        <f>SUMIFS(Movimientos!$E$6:$E$16,Movimientos!$C$6:$C$16,Stocks!$A154,Movimientos!$F$6:$F$16,Stocks!J$3,Movimientos!$A$6:$A$16,"&lt;="&amp;Stocks!$A$2)-SUMIFS(Movimientos!$E$6:$E$16,Movimientos!$C$6:$C$16,Stocks!$A154,Movimientos!$G$6:$G$16,Stocks!J$3,Movimientos!$A$6:$A$16,"&lt;="&amp;Stocks!$A$2)</f>
        <v>0</v>
      </c>
      <c r="K154" s="4">
        <f>SUMIFS(Movimientos!$E$6:$E$16,Movimientos!$C$6:$C$16,Stocks!$A154,Movimientos!$F$6:$F$16,Stocks!K$3,Movimientos!$A$6:$A$16,"&lt;="&amp;Stocks!$A$2)-SUMIFS(Movimientos!$E$6:$E$16,Movimientos!$C$6:$C$16,Stocks!$A154,Movimientos!$G$6:$G$16,Stocks!K$3,Movimientos!$A$6:$A$16,"&lt;="&amp;Stocks!$A$2)</f>
        <v>0</v>
      </c>
      <c r="L154" s="4">
        <f>SUMIFS(Movimientos!$E$6:$E$16,Movimientos!$C$6:$C$16,Stocks!$A154,Movimientos!$F$6:$F$16,Stocks!L$3,Movimientos!$A$6:$A$16,"&lt;="&amp;Stocks!$A$2)-SUMIFS(Movimientos!$E$6:$E$16,Movimientos!$C$6:$C$16,Stocks!$A154,Movimientos!$G$6:$G$16,Stocks!L$3,Movimientos!$A$6:$A$16,"&lt;="&amp;Stocks!$A$2)</f>
        <v>0</v>
      </c>
    </row>
    <row r="155" spans="1:12" x14ac:dyDescent="0.25">
      <c r="A155" t="str">
        <f>Codificación!A154</f>
        <v/>
      </c>
      <c r="B155" s="1">
        <f>Codificación!B154</f>
        <v>0</v>
      </c>
      <c r="E155" s="4">
        <f>SUMIFS(Movimientos!$E$6:$E$16,Movimientos!$C$6:$C$16,Stocks!$A155,Movimientos!$F$6:$F$16,Stocks!E$3,Movimientos!$A$6:$A$16,"&lt;="&amp;Stocks!$A$2)-SUMIFS(Movimientos!$E$6:$E$16,Movimientos!$C$6:$C$16,Stocks!$A155,Movimientos!$G$6:$G$16,Stocks!E$3,Movimientos!$A$6:$A$16,"&lt;="&amp;Stocks!$A$2)</f>
        <v>0</v>
      </c>
      <c r="F155" s="4">
        <f>SUMIFS(Movimientos!$E$6:$E$16,Movimientos!$C$6:$C$16,Stocks!$A155,Movimientos!$F$6:$F$16,Stocks!F$3,Movimientos!$A$6:$A$16,"&lt;="&amp;Stocks!$A$2)-SUMIFS(Movimientos!$E$6:$E$16,Movimientos!$C$6:$C$16,Stocks!$A155,Movimientos!$G$6:$G$16,Stocks!F$3,Movimientos!$A$6:$A$16,"&lt;="&amp;Stocks!$A$2)</f>
        <v>0</v>
      </c>
      <c r="G155" s="4">
        <f>SUMIFS(Movimientos!$E$6:$E$16,Movimientos!$C$6:$C$16,Stocks!$A155,Movimientos!$F$6:$F$16,Stocks!G$3,Movimientos!$A$6:$A$16,"&lt;="&amp;Stocks!$A$2)-SUMIFS(Movimientos!$E$6:$E$16,Movimientos!$C$6:$C$16,Stocks!$A155,Movimientos!$G$6:$G$16,Stocks!G$3,Movimientos!$A$6:$A$16,"&lt;="&amp;Stocks!$A$2)</f>
        <v>0</v>
      </c>
      <c r="H155" s="4">
        <f>SUMIFS(Movimientos!$E$6:$E$16,Movimientos!$C$6:$C$16,Stocks!$A155,Movimientos!$F$6:$F$16,Stocks!H$3,Movimientos!$A$6:$A$16,"&lt;="&amp;Stocks!$A$2)-SUMIFS(Movimientos!$E$6:$E$16,Movimientos!$C$6:$C$16,Stocks!$A155,Movimientos!$G$6:$G$16,Stocks!H$3,Movimientos!$A$6:$A$16,"&lt;="&amp;Stocks!$A$2)</f>
        <v>0</v>
      </c>
      <c r="I155" s="4">
        <f>SUMIFS(Movimientos!$E$6:$E$16,Movimientos!$C$6:$C$16,Stocks!$A155,Movimientos!$F$6:$F$16,Stocks!I$3,Movimientos!$A$6:$A$16,"&lt;="&amp;Stocks!$A$2)-SUMIFS(Movimientos!$E$6:$E$16,Movimientos!$C$6:$C$16,Stocks!$A155,Movimientos!$G$6:$G$16,Stocks!I$3,Movimientos!$A$6:$A$16,"&lt;="&amp;Stocks!$A$2)</f>
        <v>0</v>
      </c>
      <c r="J155" s="4">
        <f>SUMIFS(Movimientos!$E$6:$E$16,Movimientos!$C$6:$C$16,Stocks!$A155,Movimientos!$F$6:$F$16,Stocks!J$3,Movimientos!$A$6:$A$16,"&lt;="&amp;Stocks!$A$2)-SUMIFS(Movimientos!$E$6:$E$16,Movimientos!$C$6:$C$16,Stocks!$A155,Movimientos!$G$6:$G$16,Stocks!J$3,Movimientos!$A$6:$A$16,"&lt;="&amp;Stocks!$A$2)</f>
        <v>0</v>
      </c>
      <c r="K155" s="4">
        <f>SUMIFS(Movimientos!$E$6:$E$16,Movimientos!$C$6:$C$16,Stocks!$A155,Movimientos!$F$6:$F$16,Stocks!K$3,Movimientos!$A$6:$A$16,"&lt;="&amp;Stocks!$A$2)-SUMIFS(Movimientos!$E$6:$E$16,Movimientos!$C$6:$C$16,Stocks!$A155,Movimientos!$G$6:$G$16,Stocks!K$3,Movimientos!$A$6:$A$16,"&lt;="&amp;Stocks!$A$2)</f>
        <v>0</v>
      </c>
      <c r="L155" s="4">
        <f>SUMIFS(Movimientos!$E$6:$E$16,Movimientos!$C$6:$C$16,Stocks!$A155,Movimientos!$F$6:$F$16,Stocks!L$3,Movimientos!$A$6:$A$16,"&lt;="&amp;Stocks!$A$2)-SUMIFS(Movimientos!$E$6:$E$16,Movimientos!$C$6:$C$16,Stocks!$A155,Movimientos!$G$6:$G$16,Stocks!L$3,Movimientos!$A$6:$A$16,"&lt;="&amp;Stocks!$A$2)</f>
        <v>0</v>
      </c>
    </row>
    <row r="156" spans="1:12" x14ac:dyDescent="0.25">
      <c r="A156" t="str">
        <f>Codificación!A155</f>
        <v/>
      </c>
      <c r="B156" s="1">
        <f>Codificación!B155</f>
        <v>0</v>
      </c>
      <c r="E156" s="4">
        <f>SUMIFS(Movimientos!$E$6:$E$16,Movimientos!$C$6:$C$16,Stocks!$A156,Movimientos!$F$6:$F$16,Stocks!E$3,Movimientos!$A$6:$A$16,"&lt;="&amp;Stocks!$A$2)-SUMIFS(Movimientos!$E$6:$E$16,Movimientos!$C$6:$C$16,Stocks!$A156,Movimientos!$G$6:$G$16,Stocks!E$3,Movimientos!$A$6:$A$16,"&lt;="&amp;Stocks!$A$2)</f>
        <v>0</v>
      </c>
      <c r="F156" s="4">
        <f>SUMIFS(Movimientos!$E$6:$E$16,Movimientos!$C$6:$C$16,Stocks!$A156,Movimientos!$F$6:$F$16,Stocks!F$3,Movimientos!$A$6:$A$16,"&lt;="&amp;Stocks!$A$2)-SUMIFS(Movimientos!$E$6:$E$16,Movimientos!$C$6:$C$16,Stocks!$A156,Movimientos!$G$6:$G$16,Stocks!F$3,Movimientos!$A$6:$A$16,"&lt;="&amp;Stocks!$A$2)</f>
        <v>0</v>
      </c>
      <c r="G156" s="4">
        <f>SUMIFS(Movimientos!$E$6:$E$16,Movimientos!$C$6:$C$16,Stocks!$A156,Movimientos!$F$6:$F$16,Stocks!G$3,Movimientos!$A$6:$A$16,"&lt;="&amp;Stocks!$A$2)-SUMIFS(Movimientos!$E$6:$E$16,Movimientos!$C$6:$C$16,Stocks!$A156,Movimientos!$G$6:$G$16,Stocks!G$3,Movimientos!$A$6:$A$16,"&lt;="&amp;Stocks!$A$2)</f>
        <v>0</v>
      </c>
      <c r="H156" s="4">
        <f>SUMIFS(Movimientos!$E$6:$E$16,Movimientos!$C$6:$C$16,Stocks!$A156,Movimientos!$F$6:$F$16,Stocks!H$3,Movimientos!$A$6:$A$16,"&lt;="&amp;Stocks!$A$2)-SUMIFS(Movimientos!$E$6:$E$16,Movimientos!$C$6:$C$16,Stocks!$A156,Movimientos!$G$6:$G$16,Stocks!H$3,Movimientos!$A$6:$A$16,"&lt;="&amp;Stocks!$A$2)</f>
        <v>0</v>
      </c>
      <c r="I156" s="4">
        <f>SUMIFS(Movimientos!$E$6:$E$16,Movimientos!$C$6:$C$16,Stocks!$A156,Movimientos!$F$6:$F$16,Stocks!I$3,Movimientos!$A$6:$A$16,"&lt;="&amp;Stocks!$A$2)-SUMIFS(Movimientos!$E$6:$E$16,Movimientos!$C$6:$C$16,Stocks!$A156,Movimientos!$G$6:$G$16,Stocks!I$3,Movimientos!$A$6:$A$16,"&lt;="&amp;Stocks!$A$2)</f>
        <v>0</v>
      </c>
      <c r="J156" s="4">
        <f>SUMIFS(Movimientos!$E$6:$E$16,Movimientos!$C$6:$C$16,Stocks!$A156,Movimientos!$F$6:$F$16,Stocks!J$3,Movimientos!$A$6:$A$16,"&lt;="&amp;Stocks!$A$2)-SUMIFS(Movimientos!$E$6:$E$16,Movimientos!$C$6:$C$16,Stocks!$A156,Movimientos!$G$6:$G$16,Stocks!J$3,Movimientos!$A$6:$A$16,"&lt;="&amp;Stocks!$A$2)</f>
        <v>0</v>
      </c>
      <c r="K156" s="4">
        <f>SUMIFS(Movimientos!$E$6:$E$16,Movimientos!$C$6:$C$16,Stocks!$A156,Movimientos!$F$6:$F$16,Stocks!K$3,Movimientos!$A$6:$A$16,"&lt;="&amp;Stocks!$A$2)-SUMIFS(Movimientos!$E$6:$E$16,Movimientos!$C$6:$C$16,Stocks!$A156,Movimientos!$G$6:$G$16,Stocks!K$3,Movimientos!$A$6:$A$16,"&lt;="&amp;Stocks!$A$2)</f>
        <v>0</v>
      </c>
      <c r="L156" s="4">
        <f>SUMIFS(Movimientos!$E$6:$E$16,Movimientos!$C$6:$C$16,Stocks!$A156,Movimientos!$F$6:$F$16,Stocks!L$3,Movimientos!$A$6:$A$16,"&lt;="&amp;Stocks!$A$2)-SUMIFS(Movimientos!$E$6:$E$16,Movimientos!$C$6:$C$16,Stocks!$A156,Movimientos!$G$6:$G$16,Stocks!L$3,Movimientos!$A$6:$A$16,"&lt;="&amp;Stocks!$A$2)</f>
        <v>0</v>
      </c>
    </row>
    <row r="157" spans="1:12" x14ac:dyDescent="0.25">
      <c r="A157" t="str">
        <f>Codificación!A156</f>
        <v/>
      </c>
      <c r="B157" s="1">
        <f>Codificación!B156</f>
        <v>0</v>
      </c>
      <c r="E157" s="4">
        <f>SUMIFS(Movimientos!$E$6:$E$16,Movimientos!$C$6:$C$16,Stocks!$A157,Movimientos!$F$6:$F$16,Stocks!E$3,Movimientos!$A$6:$A$16,"&lt;="&amp;Stocks!$A$2)-SUMIFS(Movimientos!$E$6:$E$16,Movimientos!$C$6:$C$16,Stocks!$A157,Movimientos!$G$6:$G$16,Stocks!E$3,Movimientos!$A$6:$A$16,"&lt;="&amp;Stocks!$A$2)</f>
        <v>0</v>
      </c>
      <c r="F157" s="4">
        <f>SUMIFS(Movimientos!$E$6:$E$16,Movimientos!$C$6:$C$16,Stocks!$A157,Movimientos!$F$6:$F$16,Stocks!F$3,Movimientos!$A$6:$A$16,"&lt;="&amp;Stocks!$A$2)-SUMIFS(Movimientos!$E$6:$E$16,Movimientos!$C$6:$C$16,Stocks!$A157,Movimientos!$G$6:$G$16,Stocks!F$3,Movimientos!$A$6:$A$16,"&lt;="&amp;Stocks!$A$2)</f>
        <v>0</v>
      </c>
      <c r="G157" s="4">
        <f>SUMIFS(Movimientos!$E$6:$E$16,Movimientos!$C$6:$C$16,Stocks!$A157,Movimientos!$F$6:$F$16,Stocks!G$3,Movimientos!$A$6:$A$16,"&lt;="&amp;Stocks!$A$2)-SUMIFS(Movimientos!$E$6:$E$16,Movimientos!$C$6:$C$16,Stocks!$A157,Movimientos!$G$6:$G$16,Stocks!G$3,Movimientos!$A$6:$A$16,"&lt;="&amp;Stocks!$A$2)</f>
        <v>0</v>
      </c>
      <c r="H157" s="4">
        <f>SUMIFS(Movimientos!$E$6:$E$16,Movimientos!$C$6:$C$16,Stocks!$A157,Movimientos!$F$6:$F$16,Stocks!H$3,Movimientos!$A$6:$A$16,"&lt;="&amp;Stocks!$A$2)-SUMIFS(Movimientos!$E$6:$E$16,Movimientos!$C$6:$C$16,Stocks!$A157,Movimientos!$G$6:$G$16,Stocks!H$3,Movimientos!$A$6:$A$16,"&lt;="&amp;Stocks!$A$2)</f>
        <v>0</v>
      </c>
      <c r="I157" s="4">
        <f>SUMIFS(Movimientos!$E$6:$E$16,Movimientos!$C$6:$C$16,Stocks!$A157,Movimientos!$F$6:$F$16,Stocks!I$3,Movimientos!$A$6:$A$16,"&lt;="&amp;Stocks!$A$2)-SUMIFS(Movimientos!$E$6:$E$16,Movimientos!$C$6:$C$16,Stocks!$A157,Movimientos!$G$6:$G$16,Stocks!I$3,Movimientos!$A$6:$A$16,"&lt;="&amp;Stocks!$A$2)</f>
        <v>0</v>
      </c>
      <c r="J157" s="4">
        <f>SUMIFS(Movimientos!$E$6:$E$16,Movimientos!$C$6:$C$16,Stocks!$A157,Movimientos!$F$6:$F$16,Stocks!J$3,Movimientos!$A$6:$A$16,"&lt;="&amp;Stocks!$A$2)-SUMIFS(Movimientos!$E$6:$E$16,Movimientos!$C$6:$C$16,Stocks!$A157,Movimientos!$G$6:$G$16,Stocks!J$3,Movimientos!$A$6:$A$16,"&lt;="&amp;Stocks!$A$2)</f>
        <v>0</v>
      </c>
      <c r="K157" s="4">
        <f>SUMIFS(Movimientos!$E$6:$E$16,Movimientos!$C$6:$C$16,Stocks!$A157,Movimientos!$F$6:$F$16,Stocks!K$3,Movimientos!$A$6:$A$16,"&lt;="&amp;Stocks!$A$2)-SUMIFS(Movimientos!$E$6:$E$16,Movimientos!$C$6:$C$16,Stocks!$A157,Movimientos!$G$6:$G$16,Stocks!K$3,Movimientos!$A$6:$A$16,"&lt;="&amp;Stocks!$A$2)</f>
        <v>0</v>
      </c>
      <c r="L157" s="4">
        <f>SUMIFS(Movimientos!$E$6:$E$16,Movimientos!$C$6:$C$16,Stocks!$A157,Movimientos!$F$6:$F$16,Stocks!L$3,Movimientos!$A$6:$A$16,"&lt;="&amp;Stocks!$A$2)-SUMIFS(Movimientos!$E$6:$E$16,Movimientos!$C$6:$C$16,Stocks!$A157,Movimientos!$G$6:$G$16,Stocks!L$3,Movimientos!$A$6:$A$16,"&lt;="&amp;Stocks!$A$2)</f>
        <v>0</v>
      </c>
    </row>
    <row r="158" spans="1:12" x14ac:dyDescent="0.25">
      <c r="A158" t="str">
        <f>Codificación!A157</f>
        <v/>
      </c>
      <c r="B158" s="1">
        <f>Codificación!B157</f>
        <v>0</v>
      </c>
      <c r="E158" s="4">
        <f>SUMIFS(Movimientos!$E$6:$E$16,Movimientos!$C$6:$C$16,Stocks!$A158,Movimientos!$F$6:$F$16,Stocks!E$3,Movimientos!$A$6:$A$16,"&lt;="&amp;Stocks!$A$2)-SUMIFS(Movimientos!$E$6:$E$16,Movimientos!$C$6:$C$16,Stocks!$A158,Movimientos!$G$6:$G$16,Stocks!E$3,Movimientos!$A$6:$A$16,"&lt;="&amp;Stocks!$A$2)</f>
        <v>0</v>
      </c>
      <c r="F158" s="4">
        <f>SUMIFS(Movimientos!$E$6:$E$16,Movimientos!$C$6:$C$16,Stocks!$A158,Movimientos!$F$6:$F$16,Stocks!F$3,Movimientos!$A$6:$A$16,"&lt;="&amp;Stocks!$A$2)-SUMIFS(Movimientos!$E$6:$E$16,Movimientos!$C$6:$C$16,Stocks!$A158,Movimientos!$G$6:$G$16,Stocks!F$3,Movimientos!$A$6:$A$16,"&lt;="&amp;Stocks!$A$2)</f>
        <v>0</v>
      </c>
      <c r="G158" s="4">
        <f>SUMIFS(Movimientos!$E$6:$E$16,Movimientos!$C$6:$C$16,Stocks!$A158,Movimientos!$F$6:$F$16,Stocks!G$3,Movimientos!$A$6:$A$16,"&lt;="&amp;Stocks!$A$2)-SUMIFS(Movimientos!$E$6:$E$16,Movimientos!$C$6:$C$16,Stocks!$A158,Movimientos!$G$6:$G$16,Stocks!G$3,Movimientos!$A$6:$A$16,"&lt;="&amp;Stocks!$A$2)</f>
        <v>0</v>
      </c>
      <c r="H158" s="4">
        <f>SUMIFS(Movimientos!$E$6:$E$16,Movimientos!$C$6:$C$16,Stocks!$A158,Movimientos!$F$6:$F$16,Stocks!H$3,Movimientos!$A$6:$A$16,"&lt;="&amp;Stocks!$A$2)-SUMIFS(Movimientos!$E$6:$E$16,Movimientos!$C$6:$C$16,Stocks!$A158,Movimientos!$G$6:$G$16,Stocks!H$3,Movimientos!$A$6:$A$16,"&lt;="&amp;Stocks!$A$2)</f>
        <v>0</v>
      </c>
      <c r="I158" s="4">
        <f>SUMIFS(Movimientos!$E$6:$E$16,Movimientos!$C$6:$C$16,Stocks!$A158,Movimientos!$F$6:$F$16,Stocks!I$3,Movimientos!$A$6:$A$16,"&lt;="&amp;Stocks!$A$2)-SUMIFS(Movimientos!$E$6:$E$16,Movimientos!$C$6:$C$16,Stocks!$A158,Movimientos!$G$6:$G$16,Stocks!I$3,Movimientos!$A$6:$A$16,"&lt;="&amp;Stocks!$A$2)</f>
        <v>0</v>
      </c>
      <c r="J158" s="4">
        <f>SUMIFS(Movimientos!$E$6:$E$16,Movimientos!$C$6:$C$16,Stocks!$A158,Movimientos!$F$6:$F$16,Stocks!J$3,Movimientos!$A$6:$A$16,"&lt;="&amp;Stocks!$A$2)-SUMIFS(Movimientos!$E$6:$E$16,Movimientos!$C$6:$C$16,Stocks!$A158,Movimientos!$G$6:$G$16,Stocks!J$3,Movimientos!$A$6:$A$16,"&lt;="&amp;Stocks!$A$2)</f>
        <v>0</v>
      </c>
      <c r="K158" s="4">
        <f>SUMIFS(Movimientos!$E$6:$E$16,Movimientos!$C$6:$C$16,Stocks!$A158,Movimientos!$F$6:$F$16,Stocks!K$3,Movimientos!$A$6:$A$16,"&lt;="&amp;Stocks!$A$2)-SUMIFS(Movimientos!$E$6:$E$16,Movimientos!$C$6:$C$16,Stocks!$A158,Movimientos!$G$6:$G$16,Stocks!K$3,Movimientos!$A$6:$A$16,"&lt;="&amp;Stocks!$A$2)</f>
        <v>0</v>
      </c>
      <c r="L158" s="4">
        <f>SUMIFS(Movimientos!$E$6:$E$16,Movimientos!$C$6:$C$16,Stocks!$A158,Movimientos!$F$6:$F$16,Stocks!L$3,Movimientos!$A$6:$A$16,"&lt;="&amp;Stocks!$A$2)-SUMIFS(Movimientos!$E$6:$E$16,Movimientos!$C$6:$C$16,Stocks!$A158,Movimientos!$G$6:$G$16,Stocks!L$3,Movimientos!$A$6:$A$16,"&lt;="&amp;Stocks!$A$2)</f>
        <v>0</v>
      </c>
    </row>
    <row r="159" spans="1:12" x14ac:dyDescent="0.25">
      <c r="A159" t="str">
        <f>Codificación!A158</f>
        <v/>
      </c>
      <c r="B159" s="1">
        <f>Codificación!B158</f>
        <v>0</v>
      </c>
      <c r="E159" s="4">
        <f>SUMIFS(Movimientos!$E$6:$E$16,Movimientos!$C$6:$C$16,Stocks!$A159,Movimientos!$F$6:$F$16,Stocks!E$3,Movimientos!$A$6:$A$16,"&lt;="&amp;Stocks!$A$2)-SUMIFS(Movimientos!$E$6:$E$16,Movimientos!$C$6:$C$16,Stocks!$A159,Movimientos!$G$6:$G$16,Stocks!E$3,Movimientos!$A$6:$A$16,"&lt;="&amp;Stocks!$A$2)</f>
        <v>0</v>
      </c>
      <c r="F159" s="4">
        <f>SUMIFS(Movimientos!$E$6:$E$16,Movimientos!$C$6:$C$16,Stocks!$A159,Movimientos!$F$6:$F$16,Stocks!F$3,Movimientos!$A$6:$A$16,"&lt;="&amp;Stocks!$A$2)-SUMIFS(Movimientos!$E$6:$E$16,Movimientos!$C$6:$C$16,Stocks!$A159,Movimientos!$G$6:$G$16,Stocks!F$3,Movimientos!$A$6:$A$16,"&lt;="&amp;Stocks!$A$2)</f>
        <v>0</v>
      </c>
      <c r="G159" s="4">
        <f>SUMIFS(Movimientos!$E$6:$E$16,Movimientos!$C$6:$C$16,Stocks!$A159,Movimientos!$F$6:$F$16,Stocks!G$3,Movimientos!$A$6:$A$16,"&lt;="&amp;Stocks!$A$2)-SUMIFS(Movimientos!$E$6:$E$16,Movimientos!$C$6:$C$16,Stocks!$A159,Movimientos!$G$6:$G$16,Stocks!G$3,Movimientos!$A$6:$A$16,"&lt;="&amp;Stocks!$A$2)</f>
        <v>0</v>
      </c>
      <c r="H159" s="4">
        <f>SUMIFS(Movimientos!$E$6:$E$16,Movimientos!$C$6:$C$16,Stocks!$A159,Movimientos!$F$6:$F$16,Stocks!H$3,Movimientos!$A$6:$A$16,"&lt;="&amp;Stocks!$A$2)-SUMIFS(Movimientos!$E$6:$E$16,Movimientos!$C$6:$C$16,Stocks!$A159,Movimientos!$G$6:$G$16,Stocks!H$3,Movimientos!$A$6:$A$16,"&lt;="&amp;Stocks!$A$2)</f>
        <v>0</v>
      </c>
      <c r="I159" s="4">
        <f>SUMIFS(Movimientos!$E$6:$E$16,Movimientos!$C$6:$C$16,Stocks!$A159,Movimientos!$F$6:$F$16,Stocks!I$3,Movimientos!$A$6:$A$16,"&lt;="&amp;Stocks!$A$2)-SUMIFS(Movimientos!$E$6:$E$16,Movimientos!$C$6:$C$16,Stocks!$A159,Movimientos!$G$6:$G$16,Stocks!I$3,Movimientos!$A$6:$A$16,"&lt;="&amp;Stocks!$A$2)</f>
        <v>0</v>
      </c>
      <c r="J159" s="4">
        <f>SUMIFS(Movimientos!$E$6:$E$16,Movimientos!$C$6:$C$16,Stocks!$A159,Movimientos!$F$6:$F$16,Stocks!J$3,Movimientos!$A$6:$A$16,"&lt;="&amp;Stocks!$A$2)-SUMIFS(Movimientos!$E$6:$E$16,Movimientos!$C$6:$C$16,Stocks!$A159,Movimientos!$G$6:$G$16,Stocks!J$3,Movimientos!$A$6:$A$16,"&lt;="&amp;Stocks!$A$2)</f>
        <v>0</v>
      </c>
      <c r="K159" s="4">
        <f>SUMIFS(Movimientos!$E$6:$E$16,Movimientos!$C$6:$C$16,Stocks!$A159,Movimientos!$F$6:$F$16,Stocks!K$3,Movimientos!$A$6:$A$16,"&lt;="&amp;Stocks!$A$2)-SUMIFS(Movimientos!$E$6:$E$16,Movimientos!$C$6:$C$16,Stocks!$A159,Movimientos!$G$6:$G$16,Stocks!K$3,Movimientos!$A$6:$A$16,"&lt;="&amp;Stocks!$A$2)</f>
        <v>0</v>
      </c>
      <c r="L159" s="4">
        <f>SUMIFS(Movimientos!$E$6:$E$16,Movimientos!$C$6:$C$16,Stocks!$A159,Movimientos!$F$6:$F$16,Stocks!L$3,Movimientos!$A$6:$A$16,"&lt;="&amp;Stocks!$A$2)-SUMIFS(Movimientos!$E$6:$E$16,Movimientos!$C$6:$C$16,Stocks!$A159,Movimientos!$G$6:$G$16,Stocks!L$3,Movimientos!$A$6:$A$16,"&lt;="&amp;Stocks!$A$2)</f>
        <v>0</v>
      </c>
    </row>
    <row r="160" spans="1:12" x14ac:dyDescent="0.25">
      <c r="A160" t="str">
        <f>Codificación!A159</f>
        <v/>
      </c>
      <c r="B160" s="1">
        <f>Codificación!B159</f>
        <v>0</v>
      </c>
      <c r="E160" s="4">
        <f>SUMIFS(Movimientos!$E$6:$E$16,Movimientos!$C$6:$C$16,Stocks!$A160,Movimientos!$F$6:$F$16,Stocks!E$3,Movimientos!$A$6:$A$16,"&lt;="&amp;Stocks!$A$2)-SUMIFS(Movimientos!$E$6:$E$16,Movimientos!$C$6:$C$16,Stocks!$A160,Movimientos!$G$6:$G$16,Stocks!E$3,Movimientos!$A$6:$A$16,"&lt;="&amp;Stocks!$A$2)</f>
        <v>0</v>
      </c>
      <c r="F160" s="4">
        <f>SUMIFS(Movimientos!$E$6:$E$16,Movimientos!$C$6:$C$16,Stocks!$A160,Movimientos!$F$6:$F$16,Stocks!F$3,Movimientos!$A$6:$A$16,"&lt;="&amp;Stocks!$A$2)-SUMIFS(Movimientos!$E$6:$E$16,Movimientos!$C$6:$C$16,Stocks!$A160,Movimientos!$G$6:$G$16,Stocks!F$3,Movimientos!$A$6:$A$16,"&lt;="&amp;Stocks!$A$2)</f>
        <v>0</v>
      </c>
      <c r="G160" s="4">
        <f>SUMIFS(Movimientos!$E$6:$E$16,Movimientos!$C$6:$C$16,Stocks!$A160,Movimientos!$F$6:$F$16,Stocks!G$3,Movimientos!$A$6:$A$16,"&lt;="&amp;Stocks!$A$2)-SUMIFS(Movimientos!$E$6:$E$16,Movimientos!$C$6:$C$16,Stocks!$A160,Movimientos!$G$6:$G$16,Stocks!G$3,Movimientos!$A$6:$A$16,"&lt;="&amp;Stocks!$A$2)</f>
        <v>0</v>
      </c>
      <c r="H160" s="4">
        <f>SUMIFS(Movimientos!$E$6:$E$16,Movimientos!$C$6:$C$16,Stocks!$A160,Movimientos!$F$6:$F$16,Stocks!H$3,Movimientos!$A$6:$A$16,"&lt;="&amp;Stocks!$A$2)-SUMIFS(Movimientos!$E$6:$E$16,Movimientos!$C$6:$C$16,Stocks!$A160,Movimientos!$G$6:$G$16,Stocks!H$3,Movimientos!$A$6:$A$16,"&lt;="&amp;Stocks!$A$2)</f>
        <v>0</v>
      </c>
      <c r="I160" s="4">
        <f>SUMIFS(Movimientos!$E$6:$E$16,Movimientos!$C$6:$C$16,Stocks!$A160,Movimientos!$F$6:$F$16,Stocks!I$3,Movimientos!$A$6:$A$16,"&lt;="&amp;Stocks!$A$2)-SUMIFS(Movimientos!$E$6:$E$16,Movimientos!$C$6:$C$16,Stocks!$A160,Movimientos!$G$6:$G$16,Stocks!I$3,Movimientos!$A$6:$A$16,"&lt;="&amp;Stocks!$A$2)</f>
        <v>0</v>
      </c>
      <c r="J160" s="4">
        <f>SUMIFS(Movimientos!$E$6:$E$16,Movimientos!$C$6:$C$16,Stocks!$A160,Movimientos!$F$6:$F$16,Stocks!J$3,Movimientos!$A$6:$A$16,"&lt;="&amp;Stocks!$A$2)-SUMIFS(Movimientos!$E$6:$E$16,Movimientos!$C$6:$C$16,Stocks!$A160,Movimientos!$G$6:$G$16,Stocks!J$3,Movimientos!$A$6:$A$16,"&lt;="&amp;Stocks!$A$2)</f>
        <v>0</v>
      </c>
      <c r="K160" s="4">
        <f>SUMIFS(Movimientos!$E$6:$E$16,Movimientos!$C$6:$C$16,Stocks!$A160,Movimientos!$F$6:$F$16,Stocks!K$3,Movimientos!$A$6:$A$16,"&lt;="&amp;Stocks!$A$2)-SUMIFS(Movimientos!$E$6:$E$16,Movimientos!$C$6:$C$16,Stocks!$A160,Movimientos!$G$6:$G$16,Stocks!K$3,Movimientos!$A$6:$A$16,"&lt;="&amp;Stocks!$A$2)</f>
        <v>0</v>
      </c>
      <c r="L160" s="4">
        <f>SUMIFS(Movimientos!$E$6:$E$16,Movimientos!$C$6:$C$16,Stocks!$A160,Movimientos!$F$6:$F$16,Stocks!L$3,Movimientos!$A$6:$A$16,"&lt;="&amp;Stocks!$A$2)-SUMIFS(Movimientos!$E$6:$E$16,Movimientos!$C$6:$C$16,Stocks!$A160,Movimientos!$G$6:$G$16,Stocks!L$3,Movimientos!$A$6:$A$16,"&lt;="&amp;Stocks!$A$2)</f>
        <v>0</v>
      </c>
    </row>
    <row r="161" spans="1:12" x14ac:dyDescent="0.25">
      <c r="A161" t="str">
        <f>Codificación!A160</f>
        <v/>
      </c>
      <c r="B161" s="1">
        <f>Codificación!B160</f>
        <v>0</v>
      </c>
      <c r="E161" s="4">
        <f>SUMIFS(Movimientos!$E$6:$E$16,Movimientos!$C$6:$C$16,Stocks!$A161,Movimientos!$F$6:$F$16,Stocks!E$3,Movimientos!$A$6:$A$16,"&lt;="&amp;Stocks!$A$2)-SUMIFS(Movimientos!$E$6:$E$16,Movimientos!$C$6:$C$16,Stocks!$A161,Movimientos!$G$6:$G$16,Stocks!E$3,Movimientos!$A$6:$A$16,"&lt;="&amp;Stocks!$A$2)</f>
        <v>0</v>
      </c>
      <c r="F161" s="4">
        <f>SUMIFS(Movimientos!$E$6:$E$16,Movimientos!$C$6:$C$16,Stocks!$A161,Movimientos!$F$6:$F$16,Stocks!F$3,Movimientos!$A$6:$A$16,"&lt;="&amp;Stocks!$A$2)-SUMIFS(Movimientos!$E$6:$E$16,Movimientos!$C$6:$C$16,Stocks!$A161,Movimientos!$G$6:$G$16,Stocks!F$3,Movimientos!$A$6:$A$16,"&lt;="&amp;Stocks!$A$2)</f>
        <v>0</v>
      </c>
      <c r="G161" s="4">
        <f>SUMIFS(Movimientos!$E$6:$E$16,Movimientos!$C$6:$C$16,Stocks!$A161,Movimientos!$F$6:$F$16,Stocks!G$3,Movimientos!$A$6:$A$16,"&lt;="&amp;Stocks!$A$2)-SUMIFS(Movimientos!$E$6:$E$16,Movimientos!$C$6:$C$16,Stocks!$A161,Movimientos!$G$6:$G$16,Stocks!G$3,Movimientos!$A$6:$A$16,"&lt;="&amp;Stocks!$A$2)</f>
        <v>0</v>
      </c>
      <c r="H161" s="4">
        <f>SUMIFS(Movimientos!$E$6:$E$16,Movimientos!$C$6:$C$16,Stocks!$A161,Movimientos!$F$6:$F$16,Stocks!H$3,Movimientos!$A$6:$A$16,"&lt;="&amp;Stocks!$A$2)-SUMIFS(Movimientos!$E$6:$E$16,Movimientos!$C$6:$C$16,Stocks!$A161,Movimientos!$G$6:$G$16,Stocks!H$3,Movimientos!$A$6:$A$16,"&lt;="&amp;Stocks!$A$2)</f>
        <v>0</v>
      </c>
      <c r="I161" s="4">
        <f>SUMIFS(Movimientos!$E$6:$E$16,Movimientos!$C$6:$C$16,Stocks!$A161,Movimientos!$F$6:$F$16,Stocks!I$3,Movimientos!$A$6:$A$16,"&lt;="&amp;Stocks!$A$2)-SUMIFS(Movimientos!$E$6:$E$16,Movimientos!$C$6:$C$16,Stocks!$A161,Movimientos!$G$6:$G$16,Stocks!I$3,Movimientos!$A$6:$A$16,"&lt;="&amp;Stocks!$A$2)</f>
        <v>0</v>
      </c>
      <c r="J161" s="4">
        <f>SUMIFS(Movimientos!$E$6:$E$16,Movimientos!$C$6:$C$16,Stocks!$A161,Movimientos!$F$6:$F$16,Stocks!J$3,Movimientos!$A$6:$A$16,"&lt;="&amp;Stocks!$A$2)-SUMIFS(Movimientos!$E$6:$E$16,Movimientos!$C$6:$C$16,Stocks!$A161,Movimientos!$G$6:$G$16,Stocks!J$3,Movimientos!$A$6:$A$16,"&lt;="&amp;Stocks!$A$2)</f>
        <v>0</v>
      </c>
      <c r="K161" s="4">
        <f>SUMIFS(Movimientos!$E$6:$E$16,Movimientos!$C$6:$C$16,Stocks!$A161,Movimientos!$F$6:$F$16,Stocks!K$3,Movimientos!$A$6:$A$16,"&lt;="&amp;Stocks!$A$2)-SUMIFS(Movimientos!$E$6:$E$16,Movimientos!$C$6:$C$16,Stocks!$A161,Movimientos!$G$6:$G$16,Stocks!K$3,Movimientos!$A$6:$A$16,"&lt;="&amp;Stocks!$A$2)</f>
        <v>0</v>
      </c>
      <c r="L161" s="4">
        <f>SUMIFS(Movimientos!$E$6:$E$16,Movimientos!$C$6:$C$16,Stocks!$A161,Movimientos!$F$6:$F$16,Stocks!L$3,Movimientos!$A$6:$A$16,"&lt;="&amp;Stocks!$A$2)-SUMIFS(Movimientos!$E$6:$E$16,Movimientos!$C$6:$C$16,Stocks!$A161,Movimientos!$G$6:$G$16,Stocks!L$3,Movimientos!$A$6:$A$16,"&lt;="&amp;Stocks!$A$2)</f>
        <v>0</v>
      </c>
    </row>
    <row r="162" spans="1:12" x14ac:dyDescent="0.25">
      <c r="A162" t="str">
        <f>Codificación!A161</f>
        <v/>
      </c>
      <c r="B162" s="1">
        <f>Codificación!B161</f>
        <v>0</v>
      </c>
      <c r="E162" s="4">
        <f>SUMIFS(Movimientos!$E$6:$E$16,Movimientos!$C$6:$C$16,Stocks!$A162,Movimientos!$F$6:$F$16,Stocks!E$3,Movimientos!$A$6:$A$16,"&lt;="&amp;Stocks!$A$2)-SUMIFS(Movimientos!$E$6:$E$16,Movimientos!$C$6:$C$16,Stocks!$A162,Movimientos!$G$6:$G$16,Stocks!E$3,Movimientos!$A$6:$A$16,"&lt;="&amp;Stocks!$A$2)</f>
        <v>0</v>
      </c>
      <c r="F162" s="4">
        <f>SUMIFS(Movimientos!$E$6:$E$16,Movimientos!$C$6:$C$16,Stocks!$A162,Movimientos!$F$6:$F$16,Stocks!F$3,Movimientos!$A$6:$A$16,"&lt;="&amp;Stocks!$A$2)-SUMIFS(Movimientos!$E$6:$E$16,Movimientos!$C$6:$C$16,Stocks!$A162,Movimientos!$G$6:$G$16,Stocks!F$3,Movimientos!$A$6:$A$16,"&lt;="&amp;Stocks!$A$2)</f>
        <v>0</v>
      </c>
      <c r="G162" s="4">
        <f>SUMIFS(Movimientos!$E$6:$E$16,Movimientos!$C$6:$C$16,Stocks!$A162,Movimientos!$F$6:$F$16,Stocks!G$3,Movimientos!$A$6:$A$16,"&lt;="&amp;Stocks!$A$2)-SUMIFS(Movimientos!$E$6:$E$16,Movimientos!$C$6:$C$16,Stocks!$A162,Movimientos!$G$6:$G$16,Stocks!G$3,Movimientos!$A$6:$A$16,"&lt;="&amp;Stocks!$A$2)</f>
        <v>0</v>
      </c>
      <c r="H162" s="4">
        <f>SUMIFS(Movimientos!$E$6:$E$16,Movimientos!$C$6:$C$16,Stocks!$A162,Movimientos!$F$6:$F$16,Stocks!H$3,Movimientos!$A$6:$A$16,"&lt;="&amp;Stocks!$A$2)-SUMIFS(Movimientos!$E$6:$E$16,Movimientos!$C$6:$C$16,Stocks!$A162,Movimientos!$G$6:$G$16,Stocks!H$3,Movimientos!$A$6:$A$16,"&lt;="&amp;Stocks!$A$2)</f>
        <v>0</v>
      </c>
      <c r="I162" s="4">
        <f>SUMIFS(Movimientos!$E$6:$E$16,Movimientos!$C$6:$C$16,Stocks!$A162,Movimientos!$F$6:$F$16,Stocks!I$3,Movimientos!$A$6:$A$16,"&lt;="&amp;Stocks!$A$2)-SUMIFS(Movimientos!$E$6:$E$16,Movimientos!$C$6:$C$16,Stocks!$A162,Movimientos!$G$6:$G$16,Stocks!I$3,Movimientos!$A$6:$A$16,"&lt;="&amp;Stocks!$A$2)</f>
        <v>0</v>
      </c>
      <c r="J162" s="4">
        <f>SUMIFS(Movimientos!$E$6:$E$16,Movimientos!$C$6:$C$16,Stocks!$A162,Movimientos!$F$6:$F$16,Stocks!J$3,Movimientos!$A$6:$A$16,"&lt;="&amp;Stocks!$A$2)-SUMIFS(Movimientos!$E$6:$E$16,Movimientos!$C$6:$C$16,Stocks!$A162,Movimientos!$G$6:$G$16,Stocks!J$3,Movimientos!$A$6:$A$16,"&lt;="&amp;Stocks!$A$2)</f>
        <v>0</v>
      </c>
      <c r="K162" s="4">
        <f>SUMIFS(Movimientos!$E$6:$E$16,Movimientos!$C$6:$C$16,Stocks!$A162,Movimientos!$F$6:$F$16,Stocks!K$3,Movimientos!$A$6:$A$16,"&lt;="&amp;Stocks!$A$2)-SUMIFS(Movimientos!$E$6:$E$16,Movimientos!$C$6:$C$16,Stocks!$A162,Movimientos!$G$6:$G$16,Stocks!K$3,Movimientos!$A$6:$A$16,"&lt;="&amp;Stocks!$A$2)</f>
        <v>0</v>
      </c>
      <c r="L162" s="4">
        <f>SUMIFS(Movimientos!$E$6:$E$16,Movimientos!$C$6:$C$16,Stocks!$A162,Movimientos!$F$6:$F$16,Stocks!L$3,Movimientos!$A$6:$A$16,"&lt;="&amp;Stocks!$A$2)-SUMIFS(Movimientos!$E$6:$E$16,Movimientos!$C$6:$C$16,Stocks!$A162,Movimientos!$G$6:$G$16,Stocks!L$3,Movimientos!$A$6:$A$16,"&lt;="&amp;Stocks!$A$2)</f>
        <v>0</v>
      </c>
    </row>
    <row r="163" spans="1:12" x14ac:dyDescent="0.25">
      <c r="A163" t="str">
        <f>Codificación!A162</f>
        <v/>
      </c>
      <c r="B163" s="1">
        <f>Codificación!B162</f>
        <v>0</v>
      </c>
      <c r="E163" s="4">
        <f>SUMIFS(Movimientos!$E$6:$E$16,Movimientos!$C$6:$C$16,Stocks!$A163,Movimientos!$F$6:$F$16,Stocks!E$3,Movimientos!$A$6:$A$16,"&lt;="&amp;Stocks!$A$2)-SUMIFS(Movimientos!$E$6:$E$16,Movimientos!$C$6:$C$16,Stocks!$A163,Movimientos!$G$6:$G$16,Stocks!E$3,Movimientos!$A$6:$A$16,"&lt;="&amp;Stocks!$A$2)</f>
        <v>0</v>
      </c>
      <c r="F163" s="4">
        <f>SUMIFS(Movimientos!$E$6:$E$16,Movimientos!$C$6:$C$16,Stocks!$A163,Movimientos!$F$6:$F$16,Stocks!F$3,Movimientos!$A$6:$A$16,"&lt;="&amp;Stocks!$A$2)-SUMIFS(Movimientos!$E$6:$E$16,Movimientos!$C$6:$C$16,Stocks!$A163,Movimientos!$G$6:$G$16,Stocks!F$3,Movimientos!$A$6:$A$16,"&lt;="&amp;Stocks!$A$2)</f>
        <v>0</v>
      </c>
      <c r="G163" s="4">
        <f>SUMIFS(Movimientos!$E$6:$E$16,Movimientos!$C$6:$C$16,Stocks!$A163,Movimientos!$F$6:$F$16,Stocks!G$3,Movimientos!$A$6:$A$16,"&lt;="&amp;Stocks!$A$2)-SUMIFS(Movimientos!$E$6:$E$16,Movimientos!$C$6:$C$16,Stocks!$A163,Movimientos!$G$6:$G$16,Stocks!G$3,Movimientos!$A$6:$A$16,"&lt;="&amp;Stocks!$A$2)</f>
        <v>0</v>
      </c>
      <c r="H163" s="4">
        <f>SUMIFS(Movimientos!$E$6:$E$16,Movimientos!$C$6:$C$16,Stocks!$A163,Movimientos!$F$6:$F$16,Stocks!H$3,Movimientos!$A$6:$A$16,"&lt;="&amp;Stocks!$A$2)-SUMIFS(Movimientos!$E$6:$E$16,Movimientos!$C$6:$C$16,Stocks!$A163,Movimientos!$G$6:$G$16,Stocks!H$3,Movimientos!$A$6:$A$16,"&lt;="&amp;Stocks!$A$2)</f>
        <v>0</v>
      </c>
      <c r="I163" s="4">
        <f>SUMIFS(Movimientos!$E$6:$E$16,Movimientos!$C$6:$C$16,Stocks!$A163,Movimientos!$F$6:$F$16,Stocks!I$3,Movimientos!$A$6:$A$16,"&lt;="&amp;Stocks!$A$2)-SUMIFS(Movimientos!$E$6:$E$16,Movimientos!$C$6:$C$16,Stocks!$A163,Movimientos!$G$6:$G$16,Stocks!I$3,Movimientos!$A$6:$A$16,"&lt;="&amp;Stocks!$A$2)</f>
        <v>0</v>
      </c>
      <c r="J163" s="4">
        <f>SUMIFS(Movimientos!$E$6:$E$16,Movimientos!$C$6:$C$16,Stocks!$A163,Movimientos!$F$6:$F$16,Stocks!J$3,Movimientos!$A$6:$A$16,"&lt;="&amp;Stocks!$A$2)-SUMIFS(Movimientos!$E$6:$E$16,Movimientos!$C$6:$C$16,Stocks!$A163,Movimientos!$G$6:$G$16,Stocks!J$3,Movimientos!$A$6:$A$16,"&lt;="&amp;Stocks!$A$2)</f>
        <v>0</v>
      </c>
      <c r="K163" s="4">
        <f>SUMIFS(Movimientos!$E$6:$E$16,Movimientos!$C$6:$C$16,Stocks!$A163,Movimientos!$F$6:$F$16,Stocks!K$3,Movimientos!$A$6:$A$16,"&lt;="&amp;Stocks!$A$2)-SUMIFS(Movimientos!$E$6:$E$16,Movimientos!$C$6:$C$16,Stocks!$A163,Movimientos!$G$6:$G$16,Stocks!K$3,Movimientos!$A$6:$A$16,"&lt;="&amp;Stocks!$A$2)</f>
        <v>0</v>
      </c>
      <c r="L163" s="4">
        <f>SUMIFS(Movimientos!$E$6:$E$16,Movimientos!$C$6:$C$16,Stocks!$A163,Movimientos!$F$6:$F$16,Stocks!L$3,Movimientos!$A$6:$A$16,"&lt;="&amp;Stocks!$A$2)-SUMIFS(Movimientos!$E$6:$E$16,Movimientos!$C$6:$C$16,Stocks!$A163,Movimientos!$G$6:$G$16,Stocks!L$3,Movimientos!$A$6:$A$16,"&lt;="&amp;Stocks!$A$2)</f>
        <v>0</v>
      </c>
    </row>
    <row r="164" spans="1:12" x14ac:dyDescent="0.25">
      <c r="A164" t="str">
        <f>Codificación!A163</f>
        <v/>
      </c>
      <c r="B164" s="1">
        <f>Codificación!B163</f>
        <v>0</v>
      </c>
      <c r="E164" s="4">
        <f>SUMIFS(Movimientos!$E$6:$E$16,Movimientos!$C$6:$C$16,Stocks!$A164,Movimientos!$F$6:$F$16,Stocks!E$3,Movimientos!$A$6:$A$16,"&lt;="&amp;Stocks!$A$2)-SUMIFS(Movimientos!$E$6:$E$16,Movimientos!$C$6:$C$16,Stocks!$A164,Movimientos!$G$6:$G$16,Stocks!E$3,Movimientos!$A$6:$A$16,"&lt;="&amp;Stocks!$A$2)</f>
        <v>0</v>
      </c>
      <c r="F164" s="4">
        <f>SUMIFS(Movimientos!$E$6:$E$16,Movimientos!$C$6:$C$16,Stocks!$A164,Movimientos!$F$6:$F$16,Stocks!F$3,Movimientos!$A$6:$A$16,"&lt;="&amp;Stocks!$A$2)-SUMIFS(Movimientos!$E$6:$E$16,Movimientos!$C$6:$C$16,Stocks!$A164,Movimientos!$G$6:$G$16,Stocks!F$3,Movimientos!$A$6:$A$16,"&lt;="&amp;Stocks!$A$2)</f>
        <v>0</v>
      </c>
      <c r="G164" s="4">
        <f>SUMIFS(Movimientos!$E$6:$E$16,Movimientos!$C$6:$C$16,Stocks!$A164,Movimientos!$F$6:$F$16,Stocks!G$3,Movimientos!$A$6:$A$16,"&lt;="&amp;Stocks!$A$2)-SUMIFS(Movimientos!$E$6:$E$16,Movimientos!$C$6:$C$16,Stocks!$A164,Movimientos!$G$6:$G$16,Stocks!G$3,Movimientos!$A$6:$A$16,"&lt;="&amp;Stocks!$A$2)</f>
        <v>0</v>
      </c>
      <c r="H164" s="4">
        <f>SUMIFS(Movimientos!$E$6:$E$16,Movimientos!$C$6:$C$16,Stocks!$A164,Movimientos!$F$6:$F$16,Stocks!H$3,Movimientos!$A$6:$A$16,"&lt;="&amp;Stocks!$A$2)-SUMIFS(Movimientos!$E$6:$E$16,Movimientos!$C$6:$C$16,Stocks!$A164,Movimientos!$G$6:$G$16,Stocks!H$3,Movimientos!$A$6:$A$16,"&lt;="&amp;Stocks!$A$2)</f>
        <v>0</v>
      </c>
      <c r="I164" s="4">
        <f>SUMIFS(Movimientos!$E$6:$E$16,Movimientos!$C$6:$C$16,Stocks!$A164,Movimientos!$F$6:$F$16,Stocks!I$3,Movimientos!$A$6:$A$16,"&lt;="&amp;Stocks!$A$2)-SUMIFS(Movimientos!$E$6:$E$16,Movimientos!$C$6:$C$16,Stocks!$A164,Movimientos!$G$6:$G$16,Stocks!I$3,Movimientos!$A$6:$A$16,"&lt;="&amp;Stocks!$A$2)</f>
        <v>0</v>
      </c>
      <c r="J164" s="4">
        <f>SUMIFS(Movimientos!$E$6:$E$16,Movimientos!$C$6:$C$16,Stocks!$A164,Movimientos!$F$6:$F$16,Stocks!J$3,Movimientos!$A$6:$A$16,"&lt;="&amp;Stocks!$A$2)-SUMIFS(Movimientos!$E$6:$E$16,Movimientos!$C$6:$C$16,Stocks!$A164,Movimientos!$G$6:$G$16,Stocks!J$3,Movimientos!$A$6:$A$16,"&lt;="&amp;Stocks!$A$2)</f>
        <v>0</v>
      </c>
      <c r="K164" s="4">
        <f>SUMIFS(Movimientos!$E$6:$E$16,Movimientos!$C$6:$C$16,Stocks!$A164,Movimientos!$F$6:$F$16,Stocks!K$3,Movimientos!$A$6:$A$16,"&lt;="&amp;Stocks!$A$2)-SUMIFS(Movimientos!$E$6:$E$16,Movimientos!$C$6:$C$16,Stocks!$A164,Movimientos!$G$6:$G$16,Stocks!K$3,Movimientos!$A$6:$A$16,"&lt;="&amp;Stocks!$A$2)</f>
        <v>0</v>
      </c>
      <c r="L164" s="4">
        <f>SUMIFS(Movimientos!$E$6:$E$16,Movimientos!$C$6:$C$16,Stocks!$A164,Movimientos!$F$6:$F$16,Stocks!L$3,Movimientos!$A$6:$A$16,"&lt;="&amp;Stocks!$A$2)-SUMIFS(Movimientos!$E$6:$E$16,Movimientos!$C$6:$C$16,Stocks!$A164,Movimientos!$G$6:$G$16,Stocks!L$3,Movimientos!$A$6:$A$16,"&lt;="&amp;Stocks!$A$2)</f>
        <v>0</v>
      </c>
    </row>
    <row r="165" spans="1:12" x14ac:dyDescent="0.25">
      <c r="A165" t="str">
        <f>Codificación!A164</f>
        <v/>
      </c>
      <c r="B165" s="1">
        <f>Codificación!B164</f>
        <v>0</v>
      </c>
      <c r="E165" s="4">
        <f>SUMIFS(Movimientos!$E$6:$E$16,Movimientos!$C$6:$C$16,Stocks!$A165,Movimientos!$F$6:$F$16,Stocks!E$3,Movimientos!$A$6:$A$16,"&lt;="&amp;Stocks!$A$2)-SUMIFS(Movimientos!$E$6:$E$16,Movimientos!$C$6:$C$16,Stocks!$A165,Movimientos!$G$6:$G$16,Stocks!E$3,Movimientos!$A$6:$A$16,"&lt;="&amp;Stocks!$A$2)</f>
        <v>0</v>
      </c>
      <c r="F165" s="4">
        <f>SUMIFS(Movimientos!$E$6:$E$16,Movimientos!$C$6:$C$16,Stocks!$A165,Movimientos!$F$6:$F$16,Stocks!F$3,Movimientos!$A$6:$A$16,"&lt;="&amp;Stocks!$A$2)-SUMIFS(Movimientos!$E$6:$E$16,Movimientos!$C$6:$C$16,Stocks!$A165,Movimientos!$G$6:$G$16,Stocks!F$3,Movimientos!$A$6:$A$16,"&lt;="&amp;Stocks!$A$2)</f>
        <v>0</v>
      </c>
      <c r="G165" s="4">
        <f>SUMIFS(Movimientos!$E$6:$E$16,Movimientos!$C$6:$C$16,Stocks!$A165,Movimientos!$F$6:$F$16,Stocks!G$3,Movimientos!$A$6:$A$16,"&lt;="&amp;Stocks!$A$2)-SUMIFS(Movimientos!$E$6:$E$16,Movimientos!$C$6:$C$16,Stocks!$A165,Movimientos!$G$6:$G$16,Stocks!G$3,Movimientos!$A$6:$A$16,"&lt;="&amp;Stocks!$A$2)</f>
        <v>0</v>
      </c>
      <c r="H165" s="4">
        <f>SUMIFS(Movimientos!$E$6:$E$16,Movimientos!$C$6:$C$16,Stocks!$A165,Movimientos!$F$6:$F$16,Stocks!H$3,Movimientos!$A$6:$A$16,"&lt;="&amp;Stocks!$A$2)-SUMIFS(Movimientos!$E$6:$E$16,Movimientos!$C$6:$C$16,Stocks!$A165,Movimientos!$G$6:$G$16,Stocks!H$3,Movimientos!$A$6:$A$16,"&lt;="&amp;Stocks!$A$2)</f>
        <v>0</v>
      </c>
      <c r="I165" s="4">
        <f>SUMIFS(Movimientos!$E$6:$E$16,Movimientos!$C$6:$C$16,Stocks!$A165,Movimientos!$F$6:$F$16,Stocks!I$3,Movimientos!$A$6:$A$16,"&lt;="&amp;Stocks!$A$2)-SUMIFS(Movimientos!$E$6:$E$16,Movimientos!$C$6:$C$16,Stocks!$A165,Movimientos!$G$6:$G$16,Stocks!I$3,Movimientos!$A$6:$A$16,"&lt;="&amp;Stocks!$A$2)</f>
        <v>0</v>
      </c>
      <c r="J165" s="4">
        <f>SUMIFS(Movimientos!$E$6:$E$16,Movimientos!$C$6:$C$16,Stocks!$A165,Movimientos!$F$6:$F$16,Stocks!J$3,Movimientos!$A$6:$A$16,"&lt;="&amp;Stocks!$A$2)-SUMIFS(Movimientos!$E$6:$E$16,Movimientos!$C$6:$C$16,Stocks!$A165,Movimientos!$G$6:$G$16,Stocks!J$3,Movimientos!$A$6:$A$16,"&lt;="&amp;Stocks!$A$2)</f>
        <v>0</v>
      </c>
      <c r="K165" s="4">
        <f>SUMIFS(Movimientos!$E$6:$E$16,Movimientos!$C$6:$C$16,Stocks!$A165,Movimientos!$F$6:$F$16,Stocks!K$3,Movimientos!$A$6:$A$16,"&lt;="&amp;Stocks!$A$2)-SUMIFS(Movimientos!$E$6:$E$16,Movimientos!$C$6:$C$16,Stocks!$A165,Movimientos!$G$6:$G$16,Stocks!K$3,Movimientos!$A$6:$A$16,"&lt;="&amp;Stocks!$A$2)</f>
        <v>0</v>
      </c>
      <c r="L165" s="4">
        <f>SUMIFS(Movimientos!$E$6:$E$16,Movimientos!$C$6:$C$16,Stocks!$A165,Movimientos!$F$6:$F$16,Stocks!L$3,Movimientos!$A$6:$A$16,"&lt;="&amp;Stocks!$A$2)-SUMIFS(Movimientos!$E$6:$E$16,Movimientos!$C$6:$C$16,Stocks!$A165,Movimientos!$G$6:$G$16,Stocks!L$3,Movimientos!$A$6:$A$16,"&lt;="&amp;Stocks!$A$2)</f>
        <v>0</v>
      </c>
    </row>
    <row r="166" spans="1:12" x14ac:dyDescent="0.25">
      <c r="A166" t="str">
        <f>Codificación!A165</f>
        <v/>
      </c>
      <c r="B166" s="1">
        <f>Codificación!B165</f>
        <v>0</v>
      </c>
      <c r="E166" s="4">
        <f>SUMIFS(Movimientos!$E$6:$E$16,Movimientos!$C$6:$C$16,Stocks!$A166,Movimientos!$F$6:$F$16,Stocks!E$3,Movimientos!$A$6:$A$16,"&lt;="&amp;Stocks!$A$2)-SUMIFS(Movimientos!$E$6:$E$16,Movimientos!$C$6:$C$16,Stocks!$A166,Movimientos!$G$6:$G$16,Stocks!E$3,Movimientos!$A$6:$A$16,"&lt;="&amp;Stocks!$A$2)</f>
        <v>0</v>
      </c>
      <c r="F166" s="4">
        <f>SUMIFS(Movimientos!$E$6:$E$16,Movimientos!$C$6:$C$16,Stocks!$A166,Movimientos!$F$6:$F$16,Stocks!F$3,Movimientos!$A$6:$A$16,"&lt;="&amp;Stocks!$A$2)-SUMIFS(Movimientos!$E$6:$E$16,Movimientos!$C$6:$C$16,Stocks!$A166,Movimientos!$G$6:$G$16,Stocks!F$3,Movimientos!$A$6:$A$16,"&lt;="&amp;Stocks!$A$2)</f>
        <v>0</v>
      </c>
      <c r="G166" s="4">
        <f>SUMIFS(Movimientos!$E$6:$E$16,Movimientos!$C$6:$C$16,Stocks!$A166,Movimientos!$F$6:$F$16,Stocks!G$3,Movimientos!$A$6:$A$16,"&lt;="&amp;Stocks!$A$2)-SUMIFS(Movimientos!$E$6:$E$16,Movimientos!$C$6:$C$16,Stocks!$A166,Movimientos!$G$6:$G$16,Stocks!G$3,Movimientos!$A$6:$A$16,"&lt;="&amp;Stocks!$A$2)</f>
        <v>0</v>
      </c>
      <c r="H166" s="4">
        <f>SUMIFS(Movimientos!$E$6:$E$16,Movimientos!$C$6:$C$16,Stocks!$A166,Movimientos!$F$6:$F$16,Stocks!H$3,Movimientos!$A$6:$A$16,"&lt;="&amp;Stocks!$A$2)-SUMIFS(Movimientos!$E$6:$E$16,Movimientos!$C$6:$C$16,Stocks!$A166,Movimientos!$G$6:$G$16,Stocks!H$3,Movimientos!$A$6:$A$16,"&lt;="&amp;Stocks!$A$2)</f>
        <v>0</v>
      </c>
      <c r="I166" s="4">
        <f>SUMIFS(Movimientos!$E$6:$E$16,Movimientos!$C$6:$C$16,Stocks!$A166,Movimientos!$F$6:$F$16,Stocks!I$3,Movimientos!$A$6:$A$16,"&lt;="&amp;Stocks!$A$2)-SUMIFS(Movimientos!$E$6:$E$16,Movimientos!$C$6:$C$16,Stocks!$A166,Movimientos!$G$6:$G$16,Stocks!I$3,Movimientos!$A$6:$A$16,"&lt;="&amp;Stocks!$A$2)</f>
        <v>0</v>
      </c>
      <c r="J166" s="4">
        <f>SUMIFS(Movimientos!$E$6:$E$16,Movimientos!$C$6:$C$16,Stocks!$A166,Movimientos!$F$6:$F$16,Stocks!J$3,Movimientos!$A$6:$A$16,"&lt;="&amp;Stocks!$A$2)-SUMIFS(Movimientos!$E$6:$E$16,Movimientos!$C$6:$C$16,Stocks!$A166,Movimientos!$G$6:$G$16,Stocks!J$3,Movimientos!$A$6:$A$16,"&lt;="&amp;Stocks!$A$2)</f>
        <v>0</v>
      </c>
      <c r="K166" s="4">
        <f>SUMIFS(Movimientos!$E$6:$E$16,Movimientos!$C$6:$C$16,Stocks!$A166,Movimientos!$F$6:$F$16,Stocks!K$3,Movimientos!$A$6:$A$16,"&lt;="&amp;Stocks!$A$2)-SUMIFS(Movimientos!$E$6:$E$16,Movimientos!$C$6:$C$16,Stocks!$A166,Movimientos!$G$6:$G$16,Stocks!K$3,Movimientos!$A$6:$A$16,"&lt;="&amp;Stocks!$A$2)</f>
        <v>0</v>
      </c>
      <c r="L166" s="4">
        <f>SUMIFS(Movimientos!$E$6:$E$16,Movimientos!$C$6:$C$16,Stocks!$A166,Movimientos!$F$6:$F$16,Stocks!L$3,Movimientos!$A$6:$A$16,"&lt;="&amp;Stocks!$A$2)-SUMIFS(Movimientos!$E$6:$E$16,Movimientos!$C$6:$C$16,Stocks!$A166,Movimientos!$G$6:$G$16,Stocks!L$3,Movimientos!$A$6:$A$16,"&lt;="&amp;Stocks!$A$2)</f>
        <v>0</v>
      </c>
    </row>
    <row r="167" spans="1:12" x14ac:dyDescent="0.25">
      <c r="A167" t="str">
        <f>Codificación!A166</f>
        <v/>
      </c>
      <c r="B167" s="1">
        <f>Codificación!B166</f>
        <v>0</v>
      </c>
      <c r="E167" s="4">
        <f>SUMIFS(Movimientos!$E$6:$E$16,Movimientos!$C$6:$C$16,Stocks!$A167,Movimientos!$F$6:$F$16,Stocks!E$3,Movimientos!$A$6:$A$16,"&lt;="&amp;Stocks!$A$2)-SUMIFS(Movimientos!$E$6:$E$16,Movimientos!$C$6:$C$16,Stocks!$A167,Movimientos!$G$6:$G$16,Stocks!E$3,Movimientos!$A$6:$A$16,"&lt;="&amp;Stocks!$A$2)</f>
        <v>0</v>
      </c>
      <c r="F167" s="4">
        <f>SUMIFS(Movimientos!$E$6:$E$16,Movimientos!$C$6:$C$16,Stocks!$A167,Movimientos!$F$6:$F$16,Stocks!F$3,Movimientos!$A$6:$A$16,"&lt;="&amp;Stocks!$A$2)-SUMIFS(Movimientos!$E$6:$E$16,Movimientos!$C$6:$C$16,Stocks!$A167,Movimientos!$G$6:$G$16,Stocks!F$3,Movimientos!$A$6:$A$16,"&lt;="&amp;Stocks!$A$2)</f>
        <v>0</v>
      </c>
      <c r="G167" s="4">
        <f>SUMIFS(Movimientos!$E$6:$E$16,Movimientos!$C$6:$C$16,Stocks!$A167,Movimientos!$F$6:$F$16,Stocks!G$3,Movimientos!$A$6:$A$16,"&lt;="&amp;Stocks!$A$2)-SUMIFS(Movimientos!$E$6:$E$16,Movimientos!$C$6:$C$16,Stocks!$A167,Movimientos!$G$6:$G$16,Stocks!G$3,Movimientos!$A$6:$A$16,"&lt;="&amp;Stocks!$A$2)</f>
        <v>0</v>
      </c>
      <c r="H167" s="4">
        <f>SUMIFS(Movimientos!$E$6:$E$16,Movimientos!$C$6:$C$16,Stocks!$A167,Movimientos!$F$6:$F$16,Stocks!H$3,Movimientos!$A$6:$A$16,"&lt;="&amp;Stocks!$A$2)-SUMIFS(Movimientos!$E$6:$E$16,Movimientos!$C$6:$C$16,Stocks!$A167,Movimientos!$G$6:$G$16,Stocks!H$3,Movimientos!$A$6:$A$16,"&lt;="&amp;Stocks!$A$2)</f>
        <v>0</v>
      </c>
      <c r="I167" s="4">
        <f>SUMIFS(Movimientos!$E$6:$E$16,Movimientos!$C$6:$C$16,Stocks!$A167,Movimientos!$F$6:$F$16,Stocks!I$3,Movimientos!$A$6:$A$16,"&lt;="&amp;Stocks!$A$2)-SUMIFS(Movimientos!$E$6:$E$16,Movimientos!$C$6:$C$16,Stocks!$A167,Movimientos!$G$6:$G$16,Stocks!I$3,Movimientos!$A$6:$A$16,"&lt;="&amp;Stocks!$A$2)</f>
        <v>0</v>
      </c>
      <c r="J167" s="4">
        <f>SUMIFS(Movimientos!$E$6:$E$16,Movimientos!$C$6:$C$16,Stocks!$A167,Movimientos!$F$6:$F$16,Stocks!J$3,Movimientos!$A$6:$A$16,"&lt;="&amp;Stocks!$A$2)-SUMIFS(Movimientos!$E$6:$E$16,Movimientos!$C$6:$C$16,Stocks!$A167,Movimientos!$G$6:$G$16,Stocks!J$3,Movimientos!$A$6:$A$16,"&lt;="&amp;Stocks!$A$2)</f>
        <v>0</v>
      </c>
      <c r="K167" s="4">
        <f>SUMIFS(Movimientos!$E$6:$E$16,Movimientos!$C$6:$C$16,Stocks!$A167,Movimientos!$F$6:$F$16,Stocks!K$3,Movimientos!$A$6:$A$16,"&lt;="&amp;Stocks!$A$2)-SUMIFS(Movimientos!$E$6:$E$16,Movimientos!$C$6:$C$16,Stocks!$A167,Movimientos!$G$6:$G$16,Stocks!K$3,Movimientos!$A$6:$A$16,"&lt;="&amp;Stocks!$A$2)</f>
        <v>0</v>
      </c>
      <c r="L167" s="4">
        <f>SUMIFS(Movimientos!$E$6:$E$16,Movimientos!$C$6:$C$16,Stocks!$A167,Movimientos!$F$6:$F$16,Stocks!L$3,Movimientos!$A$6:$A$16,"&lt;="&amp;Stocks!$A$2)-SUMIFS(Movimientos!$E$6:$E$16,Movimientos!$C$6:$C$16,Stocks!$A167,Movimientos!$G$6:$G$16,Stocks!L$3,Movimientos!$A$6:$A$16,"&lt;="&amp;Stocks!$A$2)</f>
        <v>0</v>
      </c>
    </row>
    <row r="168" spans="1:12" x14ac:dyDescent="0.25">
      <c r="A168" t="str">
        <f>Codificación!A167</f>
        <v/>
      </c>
      <c r="B168" s="1">
        <f>Codificación!B167</f>
        <v>0</v>
      </c>
      <c r="E168" s="4">
        <f>SUMIFS(Movimientos!$E$6:$E$16,Movimientos!$C$6:$C$16,Stocks!$A168,Movimientos!$F$6:$F$16,Stocks!E$3,Movimientos!$A$6:$A$16,"&lt;="&amp;Stocks!$A$2)-SUMIFS(Movimientos!$E$6:$E$16,Movimientos!$C$6:$C$16,Stocks!$A168,Movimientos!$G$6:$G$16,Stocks!E$3,Movimientos!$A$6:$A$16,"&lt;="&amp;Stocks!$A$2)</f>
        <v>0</v>
      </c>
      <c r="F168" s="4">
        <f>SUMIFS(Movimientos!$E$6:$E$16,Movimientos!$C$6:$C$16,Stocks!$A168,Movimientos!$F$6:$F$16,Stocks!F$3,Movimientos!$A$6:$A$16,"&lt;="&amp;Stocks!$A$2)-SUMIFS(Movimientos!$E$6:$E$16,Movimientos!$C$6:$C$16,Stocks!$A168,Movimientos!$G$6:$G$16,Stocks!F$3,Movimientos!$A$6:$A$16,"&lt;="&amp;Stocks!$A$2)</f>
        <v>0</v>
      </c>
      <c r="G168" s="4">
        <f>SUMIFS(Movimientos!$E$6:$E$16,Movimientos!$C$6:$C$16,Stocks!$A168,Movimientos!$F$6:$F$16,Stocks!G$3,Movimientos!$A$6:$A$16,"&lt;="&amp;Stocks!$A$2)-SUMIFS(Movimientos!$E$6:$E$16,Movimientos!$C$6:$C$16,Stocks!$A168,Movimientos!$G$6:$G$16,Stocks!G$3,Movimientos!$A$6:$A$16,"&lt;="&amp;Stocks!$A$2)</f>
        <v>0</v>
      </c>
      <c r="H168" s="4">
        <f>SUMIFS(Movimientos!$E$6:$E$16,Movimientos!$C$6:$C$16,Stocks!$A168,Movimientos!$F$6:$F$16,Stocks!H$3,Movimientos!$A$6:$A$16,"&lt;="&amp;Stocks!$A$2)-SUMIFS(Movimientos!$E$6:$E$16,Movimientos!$C$6:$C$16,Stocks!$A168,Movimientos!$G$6:$G$16,Stocks!H$3,Movimientos!$A$6:$A$16,"&lt;="&amp;Stocks!$A$2)</f>
        <v>0</v>
      </c>
      <c r="I168" s="4">
        <f>SUMIFS(Movimientos!$E$6:$E$16,Movimientos!$C$6:$C$16,Stocks!$A168,Movimientos!$F$6:$F$16,Stocks!I$3,Movimientos!$A$6:$A$16,"&lt;="&amp;Stocks!$A$2)-SUMIFS(Movimientos!$E$6:$E$16,Movimientos!$C$6:$C$16,Stocks!$A168,Movimientos!$G$6:$G$16,Stocks!I$3,Movimientos!$A$6:$A$16,"&lt;="&amp;Stocks!$A$2)</f>
        <v>0</v>
      </c>
      <c r="J168" s="4">
        <f>SUMIFS(Movimientos!$E$6:$E$16,Movimientos!$C$6:$C$16,Stocks!$A168,Movimientos!$F$6:$F$16,Stocks!J$3,Movimientos!$A$6:$A$16,"&lt;="&amp;Stocks!$A$2)-SUMIFS(Movimientos!$E$6:$E$16,Movimientos!$C$6:$C$16,Stocks!$A168,Movimientos!$G$6:$G$16,Stocks!J$3,Movimientos!$A$6:$A$16,"&lt;="&amp;Stocks!$A$2)</f>
        <v>0</v>
      </c>
      <c r="K168" s="4">
        <f>SUMIFS(Movimientos!$E$6:$E$16,Movimientos!$C$6:$C$16,Stocks!$A168,Movimientos!$F$6:$F$16,Stocks!K$3,Movimientos!$A$6:$A$16,"&lt;="&amp;Stocks!$A$2)-SUMIFS(Movimientos!$E$6:$E$16,Movimientos!$C$6:$C$16,Stocks!$A168,Movimientos!$G$6:$G$16,Stocks!K$3,Movimientos!$A$6:$A$16,"&lt;="&amp;Stocks!$A$2)</f>
        <v>0</v>
      </c>
      <c r="L168" s="4">
        <f>SUMIFS(Movimientos!$E$6:$E$16,Movimientos!$C$6:$C$16,Stocks!$A168,Movimientos!$F$6:$F$16,Stocks!L$3,Movimientos!$A$6:$A$16,"&lt;="&amp;Stocks!$A$2)-SUMIFS(Movimientos!$E$6:$E$16,Movimientos!$C$6:$C$16,Stocks!$A168,Movimientos!$G$6:$G$16,Stocks!L$3,Movimientos!$A$6:$A$16,"&lt;="&amp;Stocks!$A$2)</f>
        <v>0</v>
      </c>
    </row>
    <row r="169" spans="1:12" x14ac:dyDescent="0.25">
      <c r="A169" t="str">
        <f>Codificación!A168</f>
        <v/>
      </c>
      <c r="B169" s="1">
        <f>Codificación!B168</f>
        <v>0</v>
      </c>
      <c r="E169" s="4">
        <f>SUMIFS(Movimientos!$E$6:$E$16,Movimientos!$C$6:$C$16,Stocks!$A169,Movimientos!$F$6:$F$16,Stocks!E$3,Movimientos!$A$6:$A$16,"&lt;="&amp;Stocks!$A$2)-SUMIFS(Movimientos!$E$6:$E$16,Movimientos!$C$6:$C$16,Stocks!$A169,Movimientos!$G$6:$G$16,Stocks!E$3,Movimientos!$A$6:$A$16,"&lt;="&amp;Stocks!$A$2)</f>
        <v>0</v>
      </c>
      <c r="F169" s="4">
        <f>SUMIFS(Movimientos!$E$6:$E$16,Movimientos!$C$6:$C$16,Stocks!$A169,Movimientos!$F$6:$F$16,Stocks!F$3,Movimientos!$A$6:$A$16,"&lt;="&amp;Stocks!$A$2)-SUMIFS(Movimientos!$E$6:$E$16,Movimientos!$C$6:$C$16,Stocks!$A169,Movimientos!$G$6:$G$16,Stocks!F$3,Movimientos!$A$6:$A$16,"&lt;="&amp;Stocks!$A$2)</f>
        <v>0</v>
      </c>
      <c r="G169" s="4">
        <f>SUMIFS(Movimientos!$E$6:$E$16,Movimientos!$C$6:$C$16,Stocks!$A169,Movimientos!$F$6:$F$16,Stocks!G$3,Movimientos!$A$6:$A$16,"&lt;="&amp;Stocks!$A$2)-SUMIFS(Movimientos!$E$6:$E$16,Movimientos!$C$6:$C$16,Stocks!$A169,Movimientos!$G$6:$G$16,Stocks!G$3,Movimientos!$A$6:$A$16,"&lt;="&amp;Stocks!$A$2)</f>
        <v>0</v>
      </c>
      <c r="H169" s="4">
        <f>SUMIFS(Movimientos!$E$6:$E$16,Movimientos!$C$6:$C$16,Stocks!$A169,Movimientos!$F$6:$F$16,Stocks!H$3,Movimientos!$A$6:$A$16,"&lt;="&amp;Stocks!$A$2)-SUMIFS(Movimientos!$E$6:$E$16,Movimientos!$C$6:$C$16,Stocks!$A169,Movimientos!$G$6:$G$16,Stocks!H$3,Movimientos!$A$6:$A$16,"&lt;="&amp;Stocks!$A$2)</f>
        <v>0</v>
      </c>
      <c r="I169" s="4">
        <f>SUMIFS(Movimientos!$E$6:$E$16,Movimientos!$C$6:$C$16,Stocks!$A169,Movimientos!$F$6:$F$16,Stocks!I$3,Movimientos!$A$6:$A$16,"&lt;="&amp;Stocks!$A$2)-SUMIFS(Movimientos!$E$6:$E$16,Movimientos!$C$6:$C$16,Stocks!$A169,Movimientos!$G$6:$G$16,Stocks!I$3,Movimientos!$A$6:$A$16,"&lt;="&amp;Stocks!$A$2)</f>
        <v>0</v>
      </c>
      <c r="J169" s="4">
        <f>SUMIFS(Movimientos!$E$6:$E$16,Movimientos!$C$6:$C$16,Stocks!$A169,Movimientos!$F$6:$F$16,Stocks!J$3,Movimientos!$A$6:$A$16,"&lt;="&amp;Stocks!$A$2)-SUMIFS(Movimientos!$E$6:$E$16,Movimientos!$C$6:$C$16,Stocks!$A169,Movimientos!$G$6:$G$16,Stocks!J$3,Movimientos!$A$6:$A$16,"&lt;="&amp;Stocks!$A$2)</f>
        <v>0</v>
      </c>
      <c r="K169" s="4">
        <f>SUMIFS(Movimientos!$E$6:$E$16,Movimientos!$C$6:$C$16,Stocks!$A169,Movimientos!$F$6:$F$16,Stocks!K$3,Movimientos!$A$6:$A$16,"&lt;="&amp;Stocks!$A$2)-SUMIFS(Movimientos!$E$6:$E$16,Movimientos!$C$6:$C$16,Stocks!$A169,Movimientos!$G$6:$G$16,Stocks!K$3,Movimientos!$A$6:$A$16,"&lt;="&amp;Stocks!$A$2)</f>
        <v>0</v>
      </c>
      <c r="L169" s="4">
        <f>SUMIFS(Movimientos!$E$6:$E$16,Movimientos!$C$6:$C$16,Stocks!$A169,Movimientos!$F$6:$F$16,Stocks!L$3,Movimientos!$A$6:$A$16,"&lt;="&amp;Stocks!$A$2)-SUMIFS(Movimientos!$E$6:$E$16,Movimientos!$C$6:$C$16,Stocks!$A169,Movimientos!$G$6:$G$16,Stocks!L$3,Movimientos!$A$6:$A$16,"&lt;="&amp;Stocks!$A$2)</f>
        <v>0</v>
      </c>
    </row>
    <row r="170" spans="1:12" x14ac:dyDescent="0.25">
      <c r="A170" t="str">
        <f>Codificación!A169</f>
        <v/>
      </c>
      <c r="B170" s="1">
        <f>Codificación!B169</f>
        <v>0</v>
      </c>
      <c r="E170" s="4">
        <f>SUMIFS(Movimientos!$E$6:$E$16,Movimientos!$C$6:$C$16,Stocks!$A170,Movimientos!$F$6:$F$16,Stocks!E$3,Movimientos!$A$6:$A$16,"&lt;="&amp;Stocks!$A$2)-SUMIFS(Movimientos!$E$6:$E$16,Movimientos!$C$6:$C$16,Stocks!$A170,Movimientos!$G$6:$G$16,Stocks!E$3,Movimientos!$A$6:$A$16,"&lt;="&amp;Stocks!$A$2)</f>
        <v>0</v>
      </c>
      <c r="F170" s="4">
        <f>SUMIFS(Movimientos!$E$6:$E$16,Movimientos!$C$6:$C$16,Stocks!$A170,Movimientos!$F$6:$F$16,Stocks!F$3,Movimientos!$A$6:$A$16,"&lt;="&amp;Stocks!$A$2)-SUMIFS(Movimientos!$E$6:$E$16,Movimientos!$C$6:$C$16,Stocks!$A170,Movimientos!$G$6:$G$16,Stocks!F$3,Movimientos!$A$6:$A$16,"&lt;="&amp;Stocks!$A$2)</f>
        <v>0</v>
      </c>
      <c r="G170" s="4">
        <f>SUMIFS(Movimientos!$E$6:$E$16,Movimientos!$C$6:$C$16,Stocks!$A170,Movimientos!$F$6:$F$16,Stocks!G$3,Movimientos!$A$6:$A$16,"&lt;="&amp;Stocks!$A$2)-SUMIFS(Movimientos!$E$6:$E$16,Movimientos!$C$6:$C$16,Stocks!$A170,Movimientos!$G$6:$G$16,Stocks!G$3,Movimientos!$A$6:$A$16,"&lt;="&amp;Stocks!$A$2)</f>
        <v>0</v>
      </c>
      <c r="H170" s="4">
        <f>SUMIFS(Movimientos!$E$6:$E$16,Movimientos!$C$6:$C$16,Stocks!$A170,Movimientos!$F$6:$F$16,Stocks!H$3,Movimientos!$A$6:$A$16,"&lt;="&amp;Stocks!$A$2)-SUMIFS(Movimientos!$E$6:$E$16,Movimientos!$C$6:$C$16,Stocks!$A170,Movimientos!$G$6:$G$16,Stocks!H$3,Movimientos!$A$6:$A$16,"&lt;="&amp;Stocks!$A$2)</f>
        <v>0</v>
      </c>
      <c r="I170" s="4">
        <f>SUMIFS(Movimientos!$E$6:$E$16,Movimientos!$C$6:$C$16,Stocks!$A170,Movimientos!$F$6:$F$16,Stocks!I$3,Movimientos!$A$6:$A$16,"&lt;="&amp;Stocks!$A$2)-SUMIFS(Movimientos!$E$6:$E$16,Movimientos!$C$6:$C$16,Stocks!$A170,Movimientos!$G$6:$G$16,Stocks!I$3,Movimientos!$A$6:$A$16,"&lt;="&amp;Stocks!$A$2)</f>
        <v>0</v>
      </c>
      <c r="J170" s="4">
        <f>SUMIFS(Movimientos!$E$6:$E$16,Movimientos!$C$6:$C$16,Stocks!$A170,Movimientos!$F$6:$F$16,Stocks!J$3,Movimientos!$A$6:$A$16,"&lt;="&amp;Stocks!$A$2)-SUMIFS(Movimientos!$E$6:$E$16,Movimientos!$C$6:$C$16,Stocks!$A170,Movimientos!$G$6:$G$16,Stocks!J$3,Movimientos!$A$6:$A$16,"&lt;="&amp;Stocks!$A$2)</f>
        <v>0</v>
      </c>
      <c r="K170" s="4">
        <f>SUMIFS(Movimientos!$E$6:$E$16,Movimientos!$C$6:$C$16,Stocks!$A170,Movimientos!$F$6:$F$16,Stocks!K$3,Movimientos!$A$6:$A$16,"&lt;="&amp;Stocks!$A$2)-SUMIFS(Movimientos!$E$6:$E$16,Movimientos!$C$6:$C$16,Stocks!$A170,Movimientos!$G$6:$G$16,Stocks!K$3,Movimientos!$A$6:$A$16,"&lt;="&amp;Stocks!$A$2)</f>
        <v>0</v>
      </c>
      <c r="L170" s="4">
        <f>SUMIFS(Movimientos!$E$6:$E$16,Movimientos!$C$6:$C$16,Stocks!$A170,Movimientos!$F$6:$F$16,Stocks!L$3,Movimientos!$A$6:$A$16,"&lt;="&amp;Stocks!$A$2)-SUMIFS(Movimientos!$E$6:$E$16,Movimientos!$C$6:$C$16,Stocks!$A170,Movimientos!$G$6:$G$16,Stocks!L$3,Movimientos!$A$6:$A$16,"&lt;="&amp;Stocks!$A$2)</f>
        <v>0</v>
      </c>
    </row>
    <row r="171" spans="1:12" x14ac:dyDescent="0.25">
      <c r="A171" t="str">
        <f>Codificación!A170</f>
        <v/>
      </c>
      <c r="B171" s="1">
        <f>Codificación!B170</f>
        <v>0</v>
      </c>
      <c r="E171" s="4">
        <f>SUMIFS(Movimientos!$E$6:$E$16,Movimientos!$C$6:$C$16,Stocks!$A171,Movimientos!$F$6:$F$16,Stocks!E$3,Movimientos!$A$6:$A$16,"&lt;="&amp;Stocks!$A$2)-SUMIFS(Movimientos!$E$6:$E$16,Movimientos!$C$6:$C$16,Stocks!$A171,Movimientos!$G$6:$G$16,Stocks!E$3,Movimientos!$A$6:$A$16,"&lt;="&amp;Stocks!$A$2)</f>
        <v>0</v>
      </c>
      <c r="F171" s="4">
        <f>SUMIFS(Movimientos!$E$6:$E$16,Movimientos!$C$6:$C$16,Stocks!$A171,Movimientos!$F$6:$F$16,Stocks!F$3,Movimientos!$A$6:$A$16,"&lt;="&amp;Stocks!$A$2)-SUMIFS(Movimientos!$E$6:$E$16,Movimientos!$C$6:$C$16,Stocks!$A171,Movimientos!$G$6:$G$16,Stocks!F$3,Movimientos!$A$6:$A$16,"&lt;="&amp;Stocks!$A$2)</f>
        <v>0</v>
      </c>
      <c r="G171" s="4">
        <f>SUMIFS(Movimientos!$E$6:$E$16,Movimientos!$C$6:$C$16,Stocks!$A171,Movimientos!$F$6:$F$16,Stocks!G$3,Movimientos!$A$6:$A$16,"&lt;="&amp;Stocks!$A$2)-SUMIFS(Movimientos!$E$6:$E$16,Movimientos!$C$6:$C$16,Stocks!$A171,Movimientos!$G$6:$G$16,Stocks!G$3,Movimientos!$A$6:$A$16,"&lt;="&amp;Stocks!$A$2)</f>
        <v>0</v>
      </c>
      <c r="H171" s="4">
        <f>SUMIFS(Movimientos!$E$6:$E$16,Movimientos!$C$6:$C$16,Stocks!$A171,Movimientos!$F$6:$F$16,Stocks!H$3,Movimientos!$A$6:$A$16,"&lt;="&amp;Stocks!$A$2)-SUMIFS(Movimientos!$E$6:$E$16,Movimientos!$C$6:$C$16,Stocks!$A171,Movimientos!$G$6:$G$16,Stocks!H$3,Movimientos!$A$6:$A$16,"&lt;="&amp;Stocks!$A$2)</f>
        <v>0</v>
      </c>
      <c r="I171" s="4">
        <f>SUMIFS(Movimientos!$E$6:$E$16,Movimientos!$C$6:$C$16,Stocks!$A171,Movimientos!$F$6:$F$16,Stocks!I$3,Movimientos!$A$6:$A$16,"&lt;="&amp;Stocks!$A$2)-SUMIFS(Movimientos!$E$6:$E$16,Movimientos!$C$6:$C$16,Stocks!$A171,Movimientos!$G$6:$G$16,Stocks!I$3,Movimientos!$A$6:$A$16,"&lt;="&amp;Stocks!$A$2)</f>
        <v>0</v>
      </c>
      <c r="J171" s="4">
        <f>SUMIFS(Movimientos!$E$6:$E$16,Movimientos!$C$6:$C$16,Stocks!$A171,Movimientos!$F$6:$F$16,Stocks!J$3,Movimientos!$A$6:$A$16,"&lt;="&amp;Stocks!$A$2)-SUMIFS(Movimientos!$E$6:$E$16,Movimientos!$C$6:$C$16,Stocks!$A171,Movimientos!$G$6:$G$16,Stocks!J$3,Movimientos!$A$6:$A$16,"&lt;="&amp;Stocks!$A$2)</f>
        <v>0</v>
      </c>
      <c r="K171" s="4">
        <f>SUMIFS(Movimientos!$E$6:$E$16,Movimientos!$C$6:$C$16,Stocks!$A171,Movimientos!$F$6:$F$16,Stocks!K$3,Movimientos!$A$6:$A$16,"&lt;="&amp;Stocks!$A$2)-SUMIFS(Movimientos!$E$6:$E$16,Movimientos!$C$6:$C$16,Stocks!$A171,Movimientos!$G$6:$G$16,Stocks!K$3,Movimientos!$A$6:$A$16,"&lt;="&amp;Stocks!$A$2)</f>
        <v>0</v>
      </c>
      <c r="L171" s="4">
        <f>SUMIFS(Movimientos!$E$6:$E$16,Movimientos!$C$6:$C$16,Stocks!$A171,Movimientos!$F$6:$F$16,Stocks!L$3,Movimientos!$A$6:$A$16,"&lt;="&amp;Stocks!$A$2)-SUMIFS(Movimientos!$E$6:$E$16,Movimientos!$C$6:$C$16,Stocks!$A171,Movimientos!$G$6:$G$16,Stocks!L$3,Movimientos!$A$6:$A$16,"&lt;="&amp;Stocks!$A$2)</f>
        <v>0</v>
      </c>
    </row>
    <row r="172" spans="1:12" x14ac:dyDescent="0.25">
      <c r="A172" t="str">
        <f>Codificación!A171</f>
        <v/>
      </c>
      <c r="B172" s="1">
        <f>Codificación!B171</f>
        <v>0</v>
      </c>
      <c r="E172" s="4">
        <f>SUMIFS(Movimientos!$E$6:$E$16,Movimientos!$C$6:$C$16,Stocks!$A172,Movimientos!$F$6:$F$16,Stocks!E$3,Movimientos!$A$6:$A$16,"&lt;="&amp;Stocks!$A$2)-SUMIFS(Movimientos!$E$6:$E$16,Movimientos!$C$6:$C$16,Stocks!$A172,Movimientos!$G$6:$G$16,Stocks!E$3,Movimientos!$A$6:$A$16,"&lt;="&amp;Stocks!$A$2)</f>
        <v>0</v>
      </c>
      <c r="F172" s="4">
        <f>SUMIFS(Movimientos!$E$6:$E$16,Movimientos!$C$6:$C$16,Stocks!$A172,Movimientos!$F$6:$F$16,Stocks!F$3,Movimientos!$A$6:$A$16,"&lt;="&amp;Stocks!$A$2)-SUMIFS(Movimientos!$E$6:$E$16,Movimientos!$C$6:$C$16,Stocks!$A172,Movimientos!$G$6:$G$16,Stocks!F$3,Movimientos!$A$6:$A$16,"&lt;="&amp;Stocks!$A$2)</f>
        <v>0</v>
      </c>
      <c r="G172" s="4">
        <f>SUMIFS(Movimientos!$E$6:$E$16,Movimientos!$C$6:$C$16,Stocks!$A172,Movimientos!$F$6:$F$16,Stocks!G$3,Movimientos!$A$6:$A$16,"&lt;="&amp;Stocks!$A$2)-SUMIFS(Movimientos!$E$6:$E$16,Movimientos!$C$6:$C$16,Stocks!$A172,Movimientos!$G$6:$G$16,Stocks!G$3,Movimientos!$A$6:$A$16,"&lt;="&amp;Stocks!$A$2)</f>
        <v>0</v>
      </c>
      <c r="H172" s="4">
        <f>SUMIFS(Movimientos!$E$6:$E$16,Movimientos!$C$6:$C$16,Stocks!$A172,Movimientos!$F$6:$F$16,Stocks!H$3,Movimientos!$A$6:$A$16,"&lt;="&amp;Stocks!$A$2)-SUMIFS(Movimientos!$E$6:$E$16,Movimientos!$C$6:$C$16,Stocks!$A172,Movimientos!$G$6:$G$16,Stocks!H$3,Movimientos!$A$6:$A$16,"&lt;="&amp;Stocks!$A$2)</f>
        <v>0</v>
      </c>
      <c r="I172" s="4">
        <f>SUMIFS(Movimientos!$E$6:$E$16,Movimientos!$C$6:$C$16,Stocks!$A172,Movimientos!$F$6:$F$16,Stocks!I$3,Movimientos!$A$6:$A$16,"&lt;="&amp;Stocks!$A$2)-SUMIFS(Movimientos!$E$6:$E$16,Movimientos!$C$6:$C$16,Stocks!$A172,Movimientos!$G$6:$G$16,Stocks!I$3,Movimientos!$A$6:$A$16,"&lt;="&amp;Stocks!$A$2)</f>
        <v>0</v>
      </c>
      <c r="J172" s="4">
        <f>SUMIFS(Movimientos!$E$6:$E$16,Movimientos!$C$6:$C$16,Stocks!$A172,Movimientos!$F$6:$F$16,Stocks!J$3,Movimientos!$A$6:$A$16,"&lt;="&amp;Stocks!$A$2)-SUMIFS(Movimientos!$E$6:$E$16,Movimientos!$C$6:$C$16,Stocks!$A172,Movimientos!$G$6:$G$16,Stocks!J$3,Movimientos!$A$6:$A$16,"&lt;="&amp;Stocks!$A$2)</f>
        <v>0</v>
      </c>
      <c r="K172" s="4">
        <f>SUMIFS(Movimientos!$E$6:$E$16,Movimientos!$C$6:$C$16,Stocks!$A172,Movimientos!$F$6:$F$16,Stocks!K$3,Movimientos!$A$6:$A$16,"&lt;="&amp;Stocks!$A$2)-SUMIFS(Movimientos!$E$6:$E$16,Movimientos!$C$6:$C$16,Stocks!$A172,Movimientos!$G$6:$G$16,Stocks!K$3,Movimientos!$A$6:$A$16,"&lt;="&amp;Stocks!$A$2)</f>
        <v>0</v>
      </c>
      <c r="L172" s="4">
        <f>SUMIFS(Movimientos!$E$6:$E$16,Movimientos!$C$6:$C$16,Stocks!$A172,Movimientos!$F$6:$F$16,Stocks!L$3,Movimientos!$A$6:$A$16,"&lt;="&amp;Stocks!$A$2)-SUMIFS(Movimientos!$E$6:$E$16,Movimientos!$C$6:$C$16,Stocks!$A172,Movimientos!$G$6:$G$16,Stocks!L$3,Movimientos!$A$6:$A$16,"&lt;="&amp;Stocks!$A$2)</f>
        <v>0</v>
      </c>
    </row>
    <row r="173" spans="1:12" x14ac:dyDescent="0.25">
      <c r="A173" t="str">
        <f>Codificación!A172</f>
        <v/>
      </c>
      <c r="B173" s="1">
        <f>Codificación!B172</f>
        <v>0</v>
      </c>
      <c r="E173" s="4">
        <f>SUMIFS(Movimientos!$E$6:$E$16,Movimientos!$C$6:$C$16,Stocks!$A173,Movimientos!$F$6:$F$16,Stocks!E$3,Movimientos!$A$6:$A$16,"&lt;="&amp;Stocks!$A$2)-SUMIFS(Movimientos!$E$6:$E$16,Movimientos!$C$6:$C$16,Stocks!$A173,Movimientos!$G$6:$G$16,Stocks!E$3,Movimientos!$A$6:$A$16,"&lt;="&amp;Stocks!$A$2)</f>
        <v>0</v>
      </c>
      <c r="F173" s="4">
        <f>SUMIFS(Movimientos!$E$6:$E$16,Movimientos!$C$6:$C$16,Stocks!$A173,Movimientos!$F$6:$F$16,Stocks!F$3,Movimientos!$A$6:$A$16,"&lt;="&amp;Stocks!$A$2)-SUMIFS(Movimientos!$E$6:$E$16,Movimientos!$C$6:$C$16,Stocks!$A173,Movimientos!$G$6:$G$16,Stocks!F$3,Movimientos!$A$6:$A$16,"&lt;="&amp;Stocks!$A$2)</f>
        <v>0</v>
      </c>
      <c r="G173" s="4">
        <f>SUMIFS(Movimientos!$E$6:$E$16,Movimientos!$C$6:$C$16,Stocks!$A173,Movimientos!$F$6:$F$16,Stocks!G$3,Movimientos!$A$6:$A$16,"&lt;="&amp;Stocks!$A$2)-SUMIFS(Movimientos!$E$6:$E$16,Movimientos!$C$6:$C$16,Stocks!$A173,Movimientos!$G$6:$G$16,Stocks!G$3,Movimientos!$A$6:$A$16,"&lt;="&amp;Stocks!$A$2)</f>
        <v>0</v>
      </c>
      <c r="H173" s="4">
        <f>SUMIFS(Movimientos!$E$6:$E$16,Movimientos!$C$6:$C$16,Stocks!$A173,Movimientos!$F$6:$F$16,Stocks!H$3,Movimientos!$A$6:$A$16,"&lt;="&amp;Stocks!$A$2)-SUMIFS(Movimientos!$E$6:$E$16,Movimientos!$C$6:$C$16,Stocks!$A173,Movimientos!$G$6:$G$16,Stocks!H$3,Movimientos!$A$6:$A$16,"&lt;="&amp;Stocks!$A$2)</f>
        <v>0</v>
      </c>
      <c r="I173" s="4">
        <f>SUMIFS(Movimientos!$E$6:$E$16,Movimientos!$C$6:$C$16,Stocks!$A173,Movimientos!$F$6:$F$16,Stocks!I$3,Movimientos!$A$6:$A$16,"&lt;="&amp;Stocks!$A$2)-SUMIFS(Movimientos!$E$6:$E$16,Movimientos!$C$6:$C$16,Stocks!$A173,Movimientos!$G$6:$G$16,Stocks!I$3,Movimientos!$A$6:$A$16,"&lt;="&amp;Stocks!$A$2)</f>
        <v>0</v>
      </c>
      <c r="J173" s="4">
        <f>SUMIFS(Movimientos!$E$6:$E$16,Movimientos!$C$6:$C$16,Stocks!$A173,Movimientos!$F$6:$F$16,Stocks!J$3,Movimientos!$A$6:$A$16,"&lt;="&amp;Stocks!$A$2)-SUMIFS(Movimientos!$E$6:$E$16,Movimientos!$C$6:$C$16,Stocks!$A173,Movimientos!$G$6:$G$16,Stocks!J$3,Movimientos!$A$6:$A$16,"&lt;="&amp;Stocks!$A$2)</f>
        <v>0</v>
      </c>
      <c r="K173" s="4">
        <f>SUMIFS(Movimientos!$E$6:$E$16,Movimientos!$C$6:$C$16,Stocks!$A173,Movimientos!$F$6:$F$16,Stocks!K$3,Movimientos!$A$6:$A$16,"&lt;="&amp;Stocks!$A$2)-SUMIFS(Movimientos!$E$6:$E$16,Movimientos!$C$6:$C$16,Stocks!$A173,Movimientos!$G$6:$G$16,Stocks!K$3,Movimientos!$A$6:$A$16,"&lt;="&amp;Stocks!$A$2)</f>
        <v>0</v>
      </c>
      <c r="L173" s="4">
        <f>SUMIFS(Movimientos!$E$6:$E$16,Movimientos!$C$6:$C$16,Stocks!$A173,Movimientos!$F$6:$F$16,Stocks!L$3,Movimientos!$A$6:$A$16,"&lt;="&amp;Stocks!$A$2)-SUMIFS(Movimientos!$E$6:$E$16,Movimientos!$C$6:$C$16,Stocks!$A173,Movimientos!$G$6:$G$16,Stocks!L$3,Movimientos!$A$6:$A$16,"&lt;="&amp;Stocks!$A$2)</f>
        <v>0</v>
      </c>
    </row>
    <row r="174" spans="1:12" x14ac:dyDescent="0.25">
      <c r="A174" t="str">
        <f>Codificación!A173</f>
        <v/>
      </c>
      <c r="B174" s="1">
        <f>Codificación!B173</f>
        <v>0</v>
      </c>
      <c r="E174" s="4">
        <f>SUMIFS(Movimientos!$E$6:$E$16,Movimientos!$C$6:$C$16,Stocks!$A174,Movimientos!$F$6:$F$16,Stocks!E$3,Movimientos!$A$6:$A$16,"&lt;="&amp;Stocks!$A$2)-SUMIFS(Movimientos!$E$6:$E$16,Movimientos!$C$6:$C$16,Stocks!$A174,Movimientos!$G$6:$G$16,Stocks!E$3,Movimientos!$A$6:$A$16,"&lt;="&amp;Stocks!$A$2)</f>
        <v>0</v>
      </c>
      <c r="F174" s="4">
        <f>SUMIFS(Movimientos!$E$6:$E$16,Movimientos!$C$6:$C$16,Stocks!$A174,Movimientos!$F$6:$F$16,Stocks!F$3,Movimientos!$A$6:$A$16,"&lt;="&amp;Stocks!$A$2)-SUMIFS(Movimientos!$E$6:$E$16,Movimientos!$C$6:$C$16,Stocks!$A174,Movimientos!$G$6:$G$16,Stocks!F$3,Movimientos!$A$6:$A$16,"&lt;="&amp;Stocks!$A$2)</f>
        <v>0</v>
      </c>
      <c r="G174" s="4">
        <f>SUMIFS(Movimientos!$E$6:$E$16,Movimientos!$C$6:$C$16,Stocks!$A174,Movimientos!$F$6:$F$16,Stocks!G$3,Movimientos!$A$6:$A$16,"&lt;="&amp;Stocks!$A$2)-SUMIFS(Movimientos!$E$6:$E$16,Movimientos!$C$6:$C$16,Stocks!$A174,Movimientos!$G$6:$G$16,Stocks!G$3,Movimientos!$A$6:$A$16,"&lt;="&amp;Stocks!$A$2)</f>
        <v>0</v>
      </c>
      <c r="H174" s="4">
        <f>SUMIFS(Movimientos!$E$6:$E$16,Movimientos!$C$6:$C$16,Stocks!$A174,Movimientos!$F$6:$F$16,Stocks!H$3,Movimientos!$A$6:$A$16,"&lt;="&amp;Stocks!$A$2)-SUMIFS(Movimientos!$E$6:$E$16,Movimientos!$C$6:$C$16,Stocks!$A174,Movimientos!$G$6:$G$16,Stocks!H$3,Movimientos!$A$6:$A$16,"&lt;="&amp;Stocks!$A$2)</f>
        <v>0</v>
      </c>
      <c r="I174" s="4">
        <f>SUMIFS(Movimientos!$E$6:$E$16,Movimientos!$C$6:$C$16,Stocks!$A174,Movimientos!$F$6:$F$16,Stocks!I$3,Movimientos!$A$6:$A$16,"&lt;="&amp;Stocks!$A$2)-SUMIFS(Movimientos!$E$6:$E$16,Movimientos!$C$6:$C$16,Stocks!$A174,Movimientos!$G$6:$G$16,Stocks!I$3,Movimientos!$A$6:$A$16,"&lt;="&amp;Stocks!$A$2)</f>
        <v>0</v>
      </c>
      <c r="J174" s="4">
        <f>SUMIFS(Movimientos!$E$6:$E$16,Movimientos!$C$6:$C$16,Stocks!$A174,Movimientos!$F$6:$F$16,Stocks!J$3,Movimientos!$A$6:$A$16,"&lt;="&amp;Stocks!$A$2)-SUMIFS(Movimientos!$E$6:$E$16,Movimientos!$C$6:$C$16,Stocks!$A174,Movimientos!$G$6:$G$16,Stocks!J$3,Movimientos!$A$6:$A$16,"&lt;="&amp;Stocks!$A$2)</f>
        <v>0</v>
      </c>
      <c r="K174" s="4">
        <f>SUMIFS(Movimientos!$E$6:$E$16,Movimientos!$C$6:$C$16,Stocks!$A174,Movimientos!$F$6:$F$16,Stocks!K$3,Movimientos!$A$6:$A$16,"&lt;="&amp;Stocks!$A$2)-SUMIFS(Movimientos!$E$6:$E$16,Movimientos!$C$6:$C$16,Stocks!$A174,Movimientos!$G$6:$G$16,Stocks!K$3,Movimientos!$A$6:$A$16,"&lt;="&amp;Stocks!$A$2)</f>
        <v>0</v>
      </c>
      <c r="L174" s="4">
        <f>SUMIFS(Movimientos!$E$6:$E$16,Movimientos!$C$6:$C$16,Stocks!$A174,Movimientos!$F$6:$F$16,Stocks!L$3,Movimientos!$A$6:$A$16,"&lt;="&amp;Stocks!$A$2)-SUMIFS(Movimientos!$E$6:$E$16,Movimientos!$C$6:$C$16,Stocks!$A174,Movimientos!$G$6:$G$16,Stocks!L$3,Movimientos!$A$6:$A$16,"&lt;="&amp;Stocks!$A$2)</f>
        <v>0</v>
      </c>
    </row>
    <row r="175" spans="1:12" x14ac:dyDescent="0.25">
      <c r="A175" t="str">
        <f>Codificación!A174</f>
        <v/>
      </c>
      <c r="B175" s="1">
        <f>Codificación!B174</f>
        <v>0</v>
      </c>
      <c r="E175" s="4">
        <f>SUMIFS(Movimientos!$E$6:$E$16,Movimientos!$C$6:$C$16,Stocks!$A175,Movimientos!$F$6:$F$16,Stocks!E$3,Movimientos!$A$6:$A$16,"&lt;="&amp;Stocks!$A$2)-SUMIFS(Movimientos!$E$6:$E$16,Movimientos!$C$6:$C$16,Stocks!$A175,Movimientos!$G$6:$G$16,Stocks!E$3,Movimientos!$A$6:$A$16,"&lt;="&amp;Stocks!$A$2)</f>
        <v>0</v>
      </c>
      <c r="F175" s="4">
        <f>SUMIFS(Movimientos!$E$6:$E$16,Movimientos!$C$6:$C$16,Stocks!$A175,Movimientos!$F$6:$F$16,Stocks!F$3,Movimientos!$A$6:$A$16,"&lt;="&amp;Stocks!$A$2)-SUMIFS(Movimientos!$E$6:$E$16,Movimientos!$C$6:$C$16,Stocks!$A175,Movimientos!$G$6:$G$16,Stocks!F$3,Movimientos!$A$6:$A$16,"&lt;="&amp;Stocks!$A$2)</f>
        <v>0</v>
      </c>
      <c r="G175" s="4">
        <f>SUMIFS(Movimientos!$E$6:$E$16,Movimientos!$C$6:$C$16,Stocks!$A175,Movimientos!$F$6:$F$16,Stocks!G$3,Movimientos!$A$6:$A$16,"&lt;="&amp;Stocks!$A$2)-SUMIFS(Movimientos!$E$6:$E$16,Movimientos!$C$6:$C$16,Stocks!$A175,Movimientos!$G$6:$G$16,Stocks!G$3,Movimientos!$A$6:$A$16,"&lt;="&amp;Stocks!$A$2)</f>
        <v>0</v>
      </c>
      <c r="H175" s="4">
        <f>SUMIFS(Movimientos!$E$6:$E$16,Movimientos!$C$6:$C$16,Stocks!$A175,Movimientos!$F$6:$F$16,Stocks!H$3,Movimientos!$A$6:$A$16,"&lt;="&amp;Stocks!$A$2)-SUMIFS(Movimientos!$E$6:$E$16,Movimientos!$C$6:$C$16,Stocks!$A175,Movimientos!$G$6:$G$16,Stocks!H$3,Movimientos!$A$6:$A$16,"&lt;="&amp;Stocks!$A$2)</f>
        <v>0</v>
      </c>
      <c r="I175" s="4">
        <f>SUMIFS(Movimientos!$E$6:$E$16,Movimientos!$C$6:$C$16,Stocks!$A175,Movimientos!$F$6:$F$16,Stocks!I$3,Movimientos!$A$6:$A$16,"&lt;="&amp;Stocks!$A$2)-SUMIFS(Movimientos!$E$6:$E$16,Movimientos!$C$6:$C$16,Stocks!$A175,Movimientos!$G$6:$G$16,Stocks!I$3,Movimientos!$A$6:$A$16,"&lt;="&amp;Stocks!$A$2)</f>
        <v>0</v>
      </c>
      <c r="J175" s="4">
        <f>SUMIFS(Movimientos!$E$6:$E$16,Movimientos!$C$6:$C$16,Stocks!$A175,Movimientos!$F$6:$F$16,Stocks!J$3,Movimientos!$A$6:$A$16,"&lt;="&amp;Stocks!$A$2)-SUMIFS(Movimientos!$E$6:$E$16,Movimientos!$C$6:$C$16,Stocks!$A175,Movimientos!$G$6:$G$16,Stocks!J$3,Movimientos!$A$6:$A$16,"&lt;="&amp;Stocks!$A$2)</f>
        <v>0</v>
      </c>
      <c r="K175" s="4">
        <f>SUMIFS(Movimientos!$E$6:$E$16,Movimientos!$C$6:$C$16,Stocks!$A175,Movimientos!$F$6:$F$16,Stocks!K$3,Movimientos!$A$6:$A$16,"&lt;="&amp;Stocks!$A$2)-SUMIFS(Movimientos!$E$6:$E$16,Movimientos!$C$6:$C$16,Stocks!$A175,Movimientos!$G$6:$G$16,Stocks!K$3,Movimientos!$A$6:$A$16,"&lt;="&amp;Stocks!$A$2)</f>
        <v>0</v>
      </c>
      <c r="L175" s="4">
        <f>SUMIFS(Movimientos!$E$6:$E$16,Movimientos!$C$6:$C$16,Stocks!$A175,Movimientos!$F$6:$F$16,Stocks!L$3,Movimientos!$A$6:$A$16,"&lt;="&amp;Stocks!$A$2)-SUMIFS(Movimientos!$E$6:$E$16,Movimientos!$C$6:$C$16,Stocks!$A175,Movimientos!$G$6:$G$16,Stocks!L$3,Movimientos!$A$6:$A$16,"&lt;="&amp;Stocks!$A$2)</f>
        <v>0</v>
      </c>
    </row>
    <row r="176" spans="1:12" x14ac:dyDescent="0.25">
      <c r="A176" t="str">
        <f>Codificación!A175</f>
        <v/>
      </c>
      <c r="B176" s="1">
        <f>Codificación!B175</f>
        <v>0</v>
      </c>
      <c r="E176" s="4">
        <f>SUMIFS(Movimientos!$E$6:$E$16,Movimientos!$C$6:$C$16,Stocks!$A176,Movimientos!$F$6:$F$16,Stocks!E$3,Movimientos!$A$6:$A$16,"&lt;="&amp;Stocks!$A$2)-SUMIFS(Movimientos!$E$6:$E$16,Movimientos!$C$6:$C$16,Stocks!$A176,Movimientos!$G$6:$G$16,Stocks!E$3,Movimientos!$A$6:$A$16,"&lt;="&amp;Stocks!$A$2)</f>
        <v>0</v>
      </c>
      <c r="F176" s="4">
        <f>SUMIFS(Movimientos!$E$6:$E$16,Movimientos!$C$6:$C$16,Stocks!$A176,Movimientos!$F$6:$F$16,Stocks!F$3,Movimientos!$A$6:$A$16,"&lt;="&amp;Stocks!$A$2)-SUMIFS(Movimientos!$E$6:$E$16,Movimientos!$C$6:$C$16,Stocks!$A176,Movimientos!$G$6:$G$16,Stocks!F$3,Movimientos!$A$6:$A$16,"&lt;="&amp;Stocks!$A$2)</f>
        <v>0</v>
      </c>
      <c r="G176" s="4">
        <f>SUMIFS(Movimientos!$E$6:$E$16,Movimientos!$C$6:$C$16,Stocks!$A176,Movimientos!$F$6:$F$16,Stocks!G$3,Movimientos!$A$6:$A$16,"&lt;="&amp;Stocks!$A$2)-SUMIFS(Movimientos!$E$6:$E$16,Movimientos!$C$6:$C$16,Stocks!$A176,Movimientos!$G$6:$G$16,Stocks!G$3,Movimientos!$A$6:$A$16,"&lt;="&amp;Stocks!$A$2)</f>
        <v>0</v>
      </c>
      <c r="H176" s="4">
        <f>SUMIFS(Movimientos!$E$6:$E$16,Movimientos!$C$6:$C$16,Stocks!$A176,Movimientos!$F$6:$F$16,Stocks!H$3,Movimientos!$A$6:$A$16,"&lt;="&amp;Stocks!$A$2)-SUMIFS(Movimientos!$E$6:$E$16,Movimientos!$C$6:$C$16,Stocks!$A176,Movimientos!$G$6:$G$16,Stocks!H$3,Movimientos!$A$6:$A$16,"&lt;="&amp;Stocks!$A$2)</f>
        <v>0</v>
      </c>
      <c r="I176" s="4">
        <f>SUMIFS(Movimientos!$E$6:$E$16,Movimientos!$C$6:$C$16,Stocks!$A176,Movimientos!$F$6:$F$16,Stocks!I$3,Movimientos!$A$6:$A$16,"&lt;="&amp;Stocks!$A$2)-SUMIFS(Movimientos!$E$6:$E$16,Movimientos!$C$6:$C$16,Stocks!$A176,Movimientos!$G$6:$G$16,Stocks!I$3,Movimientos!$A$6:$A$16,"&lt;="&amp;Stocks!$A$2)</f>
        <v>0</v>
      </c>
      <c r="J176" s="4">
        <f>SUMIFS(Movimientos!$E$6:$E$16,Movimientos!$C$6:$C$16,Stocks!$A176,Movimientos!$F$6:$F$16,Stocks!J$3,Movimientos!$A$6:$A$16,"&lt;="&amp;Stocks!$A$2)-SUMIFS(Movimientos!$E$6:$E$16,Movimientos!$C$6:$C$16,Stocks!$A176,Movimientos!$G$6:$G$16,Stocks!J$3,Movimientos!$A$6:$A$16,"&lt;="&amp;Stocks!$A$2)</f>
        <v>0</v>
      </c>
      <c r="K176" s="4">
        <f>SUMIFS(Movimientos!$E$6:$E$16,Movimientos!$C$6:$C$16,Stocks!$A176,Movimientos!$F$6:$F$16,Stocks!K$3,Movimientos!$A$6:$A$16,"&lt;="&amp;Stocks!$A$2)-SUMIFS(Movimientos!$E$6:$E$16,Movimientos!$C$6:$C$16,Stocks!$A176,Movimientos!$G$6:$G$16,Stocks!K$3,Movimientos!$A$6:$A$16,"&lt;="&amp;Stocks!$A$2)</f>
        <v>0</v>
      </c>
      <c r="L176" s="4">
        <f>SUMIFS(Movimientos!$E$6:$E$16,Movimientos!$C$6:$C$16,Stocks!$A176,Movimientos!$F$6:$F$16,Stocks!L$3,Movimientos!$A$6:$A$16,"&lt;="&amp;Stocks!$A$2)-SUMIFS(Movimientos!$E$6:$E$16,Movimientos!$C$6:$C$16,Stocks!$A176,Movimientos!$G$6:$G$16,Stocks!L$3,Movimientos!$A$6:$A$16,"&lt;="&amp;Stocks!$A$2)</f>
        <v>0</v>
      </c>
    </row>
    <row r="177" spans="1:12" x14ac:dyDescent="0.25">
      <c r="A177" t="str">
        <f>Codificación!A176</f>
        <v/>
      </c>
      <c r="B177" s="1">
        <f>Codificación!B176</f>
        <v>0</v>
      </c>
      <c r="E177" s="4">
        <f>SUMIFS(Movimientos!$E$6:$E$16,Movimientos!$C$6:$C$16,Stocks!$A177,Movimientos!$F$6:$F$16,Stocks!E$3,Movimientos!$A$6:$A$16,"&lt;="&amp;Stocks!$A$2)-SUMIFS(Movimientos!$E$6:$E$16,Movimientos!$C$6:$C$16,Stocks!$A177,Movimientos!$G$6:$G$16,Stocks!E$3,Movimientos!$A$6:$A$16,"&lt;="&amp;Stocks!$A$2)</f>
        <v>0</v>
      </c>
      <c r="F177" s="4">
        <f>SUMIFS(Movimientos!$E$6:$E$16,Movimientos!$C$6:$C$16,Stocks!$A177,Movimientos!$F$6:$F$16,Stocks!F$3,Movimientos!$A$6:$A$16,"&lt;="&amp;Stocks!$A$2)-SUMIFS(Movimientos!$E$6:$E$16,Movimientos!$C$6:$C$16,Stocks!$A177,Movimientos!$G$6:$G$16,Stocks!F$3,Movimientos!$A$6:$A$16,"&lt;="&amp;Stocks!$A$2)</f>
        <v>0</v>
      </c>
      <c r="G177" s="4">
        <f>SUMIFS(Movimientos!$E$6:$E$16,Movimientos!$C$6:$C$16,Stocks!$A177,Movimientos!$F$6:$F$16,Stocks!G$3,Movimientos!$A$6:$A$16,"&lt;="&amp;Stocks!$A$2)-SUMIFS(Movimientos!$E$6:$E$16,Movimientos!$C$6:$C$16,Stocks!$A177,Movimientos!$G$6:$G$16,Stocks!G$3,Movimientos!$A$6:$A$16,"&lt;="&amp;Stocks!$A$2)</f>
        <v>0</v>
      </c>
      <c r="H177" s="4">
        <f>SUMIFS(Movimientos!$E$6:$E$16,Movimientos!$C$6:$C$16,Stocks!$A177,Movimientos!$F$6:$F$16,Stocks!H$3,Movimientos!$A$6:$A$16,"&lt;="&amp;Stocks!$A$2)-SUMIFS(Movimientos!$E$6:$E$16,Movimientos!$C$6:$C$16,Stocks!$A177,Movimientos!$G$6:$G$16,Stocks!H$3,Movimientos!$A$6:$A$16,"&lt;="&amp;Stocks!$A$2)</f>
        <v>0</v>
      </c>
      <c r="I177" s="4">
        <f>SUMIFS(Movimientos!$E$6:$E$16,Movimientos!$C$6:$C$16,Stocks!$A177,Movimientos!$F$6:$F$16,Stocks!I$3,Movimientos!$A$6:$A$16,"&lt;="&amp;Stocks!$A$2)-SUMIFS(Movimientos!$E$6:$E$16,Movimientos!$C$6:$C$16,Stocks!$A177,Movimientos!$G$6:$G$16,Stocks!I$3,Movimientos!$A$6:$A$16,"&lt;="&amp;Stocks!$A$2)</f>
        <v>0</v>
      </c>
      <c r="J177" s="4">
        <f>SUMIFS(Movimientos!$E$6:$E$16,Movimientos!$C$6:$C$16,Stocks!$A177,Movimientos!$F$6:$F$16,Stocks!J$3,Movimientos!$A$6:$A$16,"&lt;="&amp;Stocks!$A$2)-SUMIFS(Movimientos!$E$6:$E$16,Movimientos!$C$6:$C$16,Stocks!$A177,Movimientos!$G$6:$G$16,Stocks!J$3,Movimientos!$A$6:$A$16,"&lt;="&amp;Stocks!$A$2)</f>
        <v>0</v>
      </c>
      <c r="K177" s="4">
        <f>SUMIFS(Movimientos!$E$6:$E$16,Movimientos!$C$6:$C$16,Stocks!$A177,Movimientos!$F$6:$F$16,Stocks!K$3,Movimientos!$A$6:$A$16,"&lt;="&amp;Stocks!$A$2)-SUMIFS(Movimientos!$E$6:$E$16,Movimientos!$C$6:$C$16,Stocks!$A177,Movimientos!$G$6:$G$16,Stocks!K$3,Movimientos!$A$6:$A$16,"&lt;="&amp;Stocks!$A$2)</f>
        <v>0</v>
      </c>
      <c r="L177" s="4">
        <f>SUMIFS(Movimientos!$E$6:$E$16,Movimientos!$C$6:$C$16,Stocks!$A177,Movimientos!$F$6:$F$16,Stocks!L$3,Movimientos!$A$6:$A$16,"&lt;="&amp;Stocks!$A$2)-SUMIFS(Movimientos!$E$6:$E$16,Movimientos!$C$6:$C$16,Stocks!$A177,Movimientos!$G$6:$G$16,Stocks!L$3,Movimientos!$A$6:$A$16,"&lt;="&amp;Stocks!$A$2)</f>
        <v>0</v>
      </c>
    </row>
    <row r="178" spans="1:12" x14ac:dyDescent="0.25">
      <c r="A178" t="str">
        <f>Codificación!A177</f>
        <v/>
      </c>
      <c r="B178" s="1">
        <f>Codificación!B177</f>
        <v>0</v>
      </c>
      <c r="E178" s="4">
        <f>SUMIFS(Movimientos!$E$6:$E$16,Movimientos!$C$6:$C$16,Stocks!$A178,Movimientos!$F$6:$F$16,Stocks!E$3,Movimientos!$A$6:$A$16,"&lt;="&amp;Stocks!$A$2)-SUMIFS(Movimientos!$E$6:$E$16,Movimientos!$C$6:$C$16,Stocks!$A178,Movimientos!$G$6:$G$16,Stocks!E$3,Movimientos!$A$6:$A$16,"&lt;="&amp;Stocks!$A$2)</f>
        <v>0</v>
      </c>
      <c r="F178" s="4">
        <f>SUMIFS(Movimientos!$E$6:$E$16,Movimientos!$C$6:$C$16,Stocks!$A178,Movimientos!$F$6:$F$16,Stocks!F$3,Movimientos!$A$6:$A$16,"&lt;="&amp;Stocks!$A$2)-SUMIFS(Movimientos!$E$6:$E$16,Movimientos!$C$6:$C$16,Stocks!$A178,Movimientos!$G$6:$G$16,Stocks!F$3,Movimientos!$A$6:$A$16,"&lt;="&amp;Stocks!$A$2)</f>
        <v>0</v>
      </c>
      <c r="G178" s="4">
        <f>SUMIFS(Movimientos!$E$6:$E$16,Movimientos!$C$6:$C$16,Stocks!$A178,Movimientos!$F$6:$F$16,Stocks!G$3,Movimientos!$A$6:$A$16,"&lt;="&amp;Stocks!$A$2)-SUMIFS(Movimientos!$E$6:$E$16,Movimientos!$C$6:$C$16,Stocks!$A178,Movimientos!$G$6:$G$16,Stocks!G$3,Movimientos!$A$6:$A$16,"&lt;="&amp;Stocks!$A$2)</f>
        <v>0</v>
      </c>
      <c r="H178" s="4">
        <f>SUMIFS(Movimientos!$E$6:$E$16,Movimientos!$C$6:$C$16,Stocks!$A178,Movimientos!$F$6:$F$16,Stocks!H$3,Movimientos!$A$6:$A$16,"&lt;="&amp;Stocks!$A$2)-SUMIFS(Movimientos!$E$6:$E$16,Movimientos!$C$6:$C$16,Stocks!$A178,Movimientos!$G$6:$G$16,Stocks!H$3,Movimientos!$A$6:$A$16,"&lt;="&amp;Stocks!$A$2)</f>
        <v>0</v>
      </c>
      <c r="I178" s="4">
        <f>SUMIFS(Movimientos!$E$6:$E$16,Movimientos!$C$6:$C$16,Stocks!$A178,Movimientos!$F$6:$F$16,Stocks!I$3,Movimientos!$A$6:$A$16,"&lt;="&amp;Stocks!$A$2)-SUMIFS(Movimientos!$E$6:$E$16,Movimientos!$C$6:$C$16,Stocks!$A178,Movimientos!$G$6:$G$16,Stocks!I$3,Movimientos!$A$6:$A$16,"&lt;="&amp;Stocks!$A$2)</f>
        <v>0</v>
      </c>
      <c r="J178" s="4">
        <f>SUMIFS(Movimientos!$E$6:$E$16,Movimientos!$C$6:$C$16,Stocks!$A178,Movimientos!$F$6:$F$16,Stocks!J$3,Movimientos!$A$6:$A$16,"&lt;="&amp;Stocks!$A$2)-SUMIFS(Movimientos!$E$6:$E$16,Movimientos!$C$6:$C$16,Stocks!$A178,Movimientos!$G$6:$G$16,Stocks!J$3,Movimientos!$A$6:$A$16,"&lt;="&amp;Stocks!$A$2)</f>
        <v>0</v>
      </c>
      <c r="K178" s="4">
        <f>SUMIFS(Movimientos!$E$6:$E$16,Movimientos!$C$6:$C$16,Stocks!$A178,Movimientos!$F$6:$F$16,Stocks!K$3,Movimientos!$A$6:$A$16,"&lt;="&amp;Stocks!$A$2)-SUMIFS(Movimientos!$E$6:$E$16,Movimientos!$C$6:$C$16,Stocks!$A178,Movimientos!$G$6:$G$16,Stocks!K$3,Movimientos!$A$6:$A$16,"&lt;="&amp;Stocks!$A$2)</f>
        <v>0</v>
      </c>
      <c r="L178" s="4">
        <f>SUMIFS(Movimientos!$E$6:$E$16,Movimientos!$C$6:$C$16,Stocks!$A178,Movimientos!$F$6:$F$16,Stocks!L$3,Movimientos!$A$6:$A$16,"&lt;="&amp;Stocks!$A$2)-SUMIFS(Movimientos!$E$6:$E$16,Movimientos!$C$6:$C$16,Stocks!$A178,Movimientos!$G$6:$G$16,Stocks!L$3,Movimientos!$A$6:$A$16,"&lt;="&amp;Stocks!$A$2)</f>
        <v>0</v>
      </c>
    </row>
    <row r="179" spans="1:12" x14ac:dyDescent="0.25">
      <c r="A179" t="str">
        <f>Codificación!A178</f>
        <v/>
      </c>
      <c r="B179" s="1">
        <f>Codificación!B178</f>
        <v>0</v>
      </c>
      <c r="E179" s="4">
        <f>SUMIFS(Movimientos!$E$6:$E$16,Movimientos!$C$6:$C$16,Stocks!$A179,Movimientos!$F$6:$F$16,Stocks!E$3,Movimientos!$A$6:$A$16,"&lt;="&amp;Stocks!$A$2)-SUMIFS(Movimientos!$E$6:$E$16,Movimientos!$C$6:$C$16,Stocks!$A179,Movimientos!$G$6:$G$16,Stocks!E$3,Movimientos!$A$6:$A$16,"&lt;="&amp;Stocks!$A$2)</f>
        <v>0</v>
      </c>
      <c r="F179" s="4">
        <f>SUMIFS(Movimientos!$E$6:$E$16,Movimientos!$C$6:$C$16,Stocks!$A179,Movimientos!$F$6:$F$16,Stocks!F$3,Movimientos!$A$6:$A$16,"&lt;="&amp;Stocks!$A$2)-SUMIFS(Movimientos!$E$6:$E$16,Movimientos!$C$6:$C$16,Stocks!$A179,Movimientos!$G$6:$G$16,Stocks!F$3,Movimientos!$A$6:$A$16,"&lt;="&amp;Stocks!$A$2)</f>
        <v>0</v>
      </c>
      <c r="G179" s="4">
        <f>SUMIFS(Movimientos!$E$6:$E$16,Movimientos!$C$6:$C$16,Stocks!$A179,Movimientos!$F$6:$F$16,Stocks!G$3,Movimientos!$A$6:$A$16,"&lt;="&amp;Stocks!$A$2)-SUMIFS(Movimientos!$E$6:$E$16,Movimientos!$C$6:$C$16,Stocks!$A179,Movimientos!$G$6:$G$16,Stocks!G$3,Movimientos!$A$6:$A$16,"&lt;="&amp;Stocks!$A$2)</f>
        <v>0</v>
      </c>
      <c r="H179" s="4">
        <f>SUMIFS(Movimientos!$E$6:$E$16,Movimientos!$C$6:$C$16,Stocks!$A179,Movimientos!$F$6:$F$16,Stocks!H$3,Movimientos!$A$6:$A$16,"&lt;="&amp;Stocks!$A$2)-SUMIFS(Movimientos!$E$6:$E$16,Movimientos!$C$6:$C$16,Stocks!$A179,Movimientos!$G$6:$G$16,Stocks!H$3,Movimientos!$A$6:$A$16,"&lt;="&amp;Stocks!$A$2)</f>
        <v>0</v>
      </c>
      <c r="I179" s="4">
        <f>SUMIFS(Movimientos!$E$6:$E$16,Movimientos!$C$6:$C$16,Stocks!$A179,Movimientos!$F$6:$F$16,Stocks!I$3,Movimientos!$A$6:$A$16,"&lt;="&amp;Stocks!$A$2)-SUMIFS(Movimientos!$E$6:$E$16,Movimientos!$C$6:$C$16,Stocks!$A179,Movimientos!$G$6:$G$16,Stocks!I$3,Movimientos!$A$6:$A$16,"&lt;="&amp;Stocks!$A$2)</f>
        <v>0</v>
      </c>
      <c r="J179" s="4">
        <f>SUMIFS(Movimientos!$E$6:$E$16,Movimientos!$C$6:$C$16,Stocks!$A179,Movimientos!$F$6:$F$16,Stocks!J$3,Movimientos!$A$6:$A$16,"&lt;="&amp;Stocks!$A$2)-SUMIFS(Movimientos!$E$6:$E$16,Movimientos!$C$6:$C$16,Stocks!$A179,Movimientos!$G$6:$G$16,Stocks!J$3,Movimientos!$A$6:$A$16,"&lt;="&amp;Stocks!$A$2)</f>
        <v>0</v>
      </c>
      <c r="K179" s="4">
        <f>SUMIFS(Movimientos!$E$6:$E$16,Movimientos!$C$6:$C$16,Stocks!$A179,Movimientos!$F$6:$F$16,Stocks!K$3,Movimientos!$A$6:$A$16,"&lt;="&amp;Stocks!$A$2)-SUMIFS(Movimientos!$E$6:$E$16,Movimientos!$C$6:$C$16,Stocks!$A179,Movimientos!$G$6:$G$16,Stocks!K$3,Movimientos!$A$6:$A$16,"&lt;="&amp;Stocks!$A$2)</f>
        <v>0</v>
      </c>
      <c r="L179" s="4">
        <f>SUMIFS(Movimientos!$E$6:$E$16,Movimientos!$C$6:$C$16,Stocks!$A179,Movimientos!$F$6:$F$16,Stocks!L$3,Movimientos!$A$6:$A$16,"&lt;="&amp;Stocks!$A$2)-SUMIFS(Movimientos!$E$6:$E$16,Movimientos!$C$6:$C$16,Stocks!$A179,Movimientos!$G$6:$G$16,Stocks!L$3,Movimientos!$A$6:$A$16,"&lt;="&amp;Stocks!$A$2)</f>
        <v>0</v>
      </c>
    </row>
    <row r="180" spans="1:12" x14ac:dyDescent="0.25">
      <c r="A180" t="str">
        <f>Codificación!A179</f>
        <v/>
      </c>
      <c r="B180" s="1">
        <f>Codificación!B179</f>
        <v>0</v>
      </c>
      <c r="E180" s="4">
        <f>SUMIFS(Movimientos!$E$6:$E$16,Movimientos!$C$6:$C$16,Stocks!$A180,Movimientos!$F$6:$F$16,Stocks!E$3,Movimientos!$A$6:$A$16,"&lt;="&amp;Stocks!$A$2)-SUMIFS(Movimientos!$E$6:$E$16,Movimientos!$C$6:$C$16,Stocks!$A180,Movimientos!$G$6:$G$16,Stocks!E$3,Movimientos!$A$6:$A$16,"&lt;="&amp;Stocks!$A$2)</f>
        <v>0</v>
      </c>
      <c r="F180" s="4">
        <f>SUMIFS(Movimientos!$E$6:$E$16,Movimientos!$C$6:$C$16,Stocks!$A180,Movimientos!$F$6:$F$16,Stocks!F$3,Movimientos!$A$6:$A$16,"&lt;="&amp;Stocks!$A$2)-SUMIFS(Movimientos!$E$6:$E$16,Movimientos!$C$6:$C$16,Stocks!$A180,Movimientos!$G$6:$G$16,Stocks!F$3,Movimientos!$A$6:$A$16,"&lt;="&amp;Stocks!$A$2)</f>
        <v>0</v>
      </c>
      <c r="G180" s="4">
        <f>SUMIFS(Movimientos!$E$6:$E$16,Movimientos!$C$6:$C$16,Stocks!$A180,Movimientos!$F$6:$F$16,Stocks!G$3,Movimientos!$A$6:$A$16,"&lt;="&amp;Stocks!$A$2)-SUMIFS(Movimientos!$E$6:$E$16,Movimientos!$C$6:$C$16,Stocks!$A180,Movimientos!$G$6:$G$16,Stocks!G$3,Movimientos!$A$6:$A$16,"&lt;="&amp;Stocks!$A$2)</f>
        <v>0</v>
      </c>
      <c r="H180" s="4">
        <f>SUMIFS(Movimientos!$E$6:$E$16,Movimientos!$C$6:$C$16,Stocks!$A180,Movimientos!$F$6:$F$16,Stocks!H$3,Movimientos!$A$6:$A$16,"&lt;="&amp;Stocks!$A$2)-SUMIFS(Movimientos!$E$6:$E$16,Movimientos!$C$6:$C$16,Stocks!$A180,Movimientos!$G$6:$G$16,Stocks!H$3,Movimientos!$A$6:$A$16,"&lt;="&amp;Stocks!$A$2)</f>
        <v>0</v>
      </c>
      <c r="I180" s="4">
        <f>SUMIFS(Movimientos!$E$6:$E$16,Movimientos!$C$6:$C$16,Stocks!$A180,Movimientos!$F$6:$F$16,Stocks!I$3,Movimientos!$A$6:$A$16,"&lt;="&amp;Stocks!$A$2)-SUMIFS(Movimientos!$E$6:$E$16,Movimientos!$C$6:$C$16,Stocks!$A180,Movimientos!$G$6:$G$16,Stocks!I$3,Movimientos!$A$6:$A$16,"&lt;="&amp;Stocks!$A$2)</f>
        <v>0</v>
      </c>
      <c r="J180" s="4">
        <f>SUMIFS(Movimientos!$E$6:$E$16,Movimientos!$C$6:$C$16,Stocks!$A180,Movimientos!$F$6:$F$16,Stocks!J$3,Movimientos!$A$6:$A$16,"&lt;="&amp;Stocks!$A$2)-SUMIFS(Movimientos!$E$6:$E$16,Movimientos!$C$6:$C$16,Stocks!$A180,Movimientos!$G$6:$G$16,Stocks!J$3,Movimientos!$A$6:$A$16,"&lt;="&amp;Stocks!$A$2)</f>
        <v>0</v>
      </c>
      <c r="K180" s="4">
        <f>SUMIFS(Movimientos!$E$6:$E$16,Movimientos!$C$6:$C$16,Stocks!$A180,Movimientos!$F$6:$F$16,Stocks!K$3,Movimientos!$A$6:$A$16,"&lt;="&amp;Stocks!$A$2)-SUMIFS(Movimientos!$E$6:$E$16,Movimientos!$C$6:$C$16,Stocks!$A180,Movimientos!$G$6:$G$16,Stocks!K$3,Movimientos!$A$6:$A$16,"&lt;="&amp;Stocks!$A$2)</f>
        <v>0</v>
      </c>
      <c r="L180" s="4">
        <f>SUMIFS(Movimientos!$E$6:$E$16,Movimientos!$C$6:$C$16,Stocks!$A180,Movimientos!$F$6:$F$16,Stocks!L$3,Movimientos!$A$6:$A$16,"&lt;="&amp;Stocks!$A$2)-SUMIFS(Movimientos!$E$6:$E$16,Movimientos!$C$6:$C$16,Stocks!$A180,Movimientos!$G$6:$G$16,Stocks!L$3,Movimientos!$A$6:$A$16,"&lt;="&amp;Stocks!$A$2)</f>
        <v>0</v>
      </c>
    </row>
    <row r="181" spans="1:12" x14ac:dyDescent="0.25">
      <c r="A181" t="str">
        <f>Codificación!A180</f>
        <v/>
      </c>
      <c r="B181" s="1">
        <f>Codificación!B180</f>
        <v>0</v>
      </c>
      <c r="E181" s="4">
        <f>SUMIFS(Movimientos!$E$6:$E$16,Movimientos!$C$6:$C$16,Stocks!$A181,Movimientos!$F$6:$F$16,Stocks!E$3,Movimientos!$A$6:$A$16,"&lt;="&amp;Stocks!$A$2)-SUMIFS(Movimientos!$E$6:$E$16,Movimientos!$C$6:$C$16,Stocks!$A181,Movimientos!$G$6:$G$16,Stocks!E$3,Movimientos!$A$6:$A$16,"&lt;="&amp;Stocks!$A$2)</f>
        <v>0</v>
      </c>
      <c r="F181" s="4">
        <f>SUMIFS(Movimientos!$E$6:$E$16,Movimientos!$C$6:$C$16,Stocks!$A181,Movimientos!$F$6:$F$16,Stocks!F$3,Movimientos!$A$6:$A$16,"&lt;="&amp;Stocks!$A$2)-SUMIFS(Movimientos!$E$6:$E$16,Movimientos!$C$6:$C$16,Stocks!$A181,Movimientos!$G$6:$G$16,Stocks!F$3,Movimientos!$A$6:$A$16,"&lt;="&amp;Stocks!$A$2)</f>
        <v>0</v>
      </c>
      <c r="G181" s="4">
        <f>SUMIFS(Movimientos!$E$6:$E$16,Movimientos!$C$6:$C$16,Stocks!$A181,Movimientos!$F$6:$F$16,Stocks!G$3,Movimientos!$A$6:$A$16,"&lt;="&amp;Stocks!$A$2)-SUMIFS(Movimientos!$E$6:$E$16,Movimientos!$C$6:$C$16,Stocks!$A181,Movimientos!$G$6:$G$16,Stocks!G$3,Movimientos!$A$6:$A$16,"&lt;="&amp;Stocks!$A$2)</f>
        <v>0</v>
      </c>
      <c r="H181" s="4">
        <f>SUMIFS(Movimientos!$E$6:$E$16,Movimientos!$C$6:$C$16,Stocks!$A181,Movimientos!$F$6:$F$16,Stocks!H$3,Movimientos!$A$6:$A$16,"&lt;="&amp;Stocks!$A$2)-SUMIFS(Movimientos!$E$6:$E$16,Movimientos!$C$6:$C$16,Stocks!$A181,Movimientos!$G$6:$G$16,Stocks!H$3,Movimientos!$A$6:$A$16,"&lt;="&amp;Stocks!$A$2)</f>
        <v>0</v>
      </c>
      <c r="I181" s="4">
        <f>SUMIFS(Movimientos!$E$6:$E$16,Movimientos!$C$6:$C$16,Stocks!$A181,Movimientos!$F$6:$F$16,Stocks!I$3,Movimientos!$A$6:$A$16,"&lt;="&amp;Stocks!$A$2)-SUMIFS(Movimientos!$E$6:$E$16,Movimientos!$C$6:$C$16,Stocks!$A181,Movimientos!$G$6:$G$16,Stocks!I$3,Movimientos!$A$6:$A$16,"&lt;="&amp;Stocks!$A$2)</f>
        <v>0</v>
      </c>
      <c r="J181" s="4">
        <f>SUMIFS(Movimientos!$E$6:$E$16,Movimientos!$C$6:$C$16,Stocks!$A181,Movimientos!$F$6:$F$16,Stocks!J$3,Movimientos!$A$6:$A$16,"&lt;="&amp;Stocks!$A$2)-SUMIFS(Movimientos!$E$6:$E$16,Movimientos!$C$6:$C$16,Stocks!$A181,Movimientos!$G$6:$G$16,Stocks!J$3,Movimientos!$A$6:$A$16,"&lt;="&amp;Stocks!$A$2)</f>
        <v>0</v>
      </c>
      <c r="K181" s="4">
        <f>SUMIFS(Movimientos!$E$6:$E$16,Movimientos!$C$6:$C$16,Stocks!$A181,Movimientos!$F$6:$F$16,Stocks!K$3,Movimientos!$A$6:$A$16,"&lt;="&amp;Stocks!$A$2)-SUMIFS(Movimientos!$E$6:$E$16,Movimientos!$C$6:$C$16,Stocks!$A181,Movimientos!$G$6:$G$16,Stocks!K$3,Movimientos!$A$6:$A$16,"&lt;="&amp;Stocks!$A$2)</f>
        <v>0</v>
      </c>
      <c r="L181" s="4">
        <f>SUMIFS(Movimientos!$E$6:$E$16,Movimientos!$C$6:$C$16,Stocks!$A181,Movimientos!$F$6:$F$16,Stocks!L$3,Movimientos!$A$6:$A$16,"&lt;="&amp;Stocks!$A$2)-SUMIFS(Movimientos!$E$6:$E$16,Movimientos!$C$6:$C$16,Stocks!$A181,Movimientos!$G$6:$G$16,Stocks!L$3,Movimientos!$A$6:$A$16,"&lt;="&amp;Stocks!$A$2)</f>
        <v>0</v>
      </c>
    </row>
    <row r="182" spans="1:12" x14ac:dyDescent="0.25">
      <c r="A182" t="str">
        <f>Codificación!A181</f>
        <v/>
      </c>
      <c r="B182" s="1">
        <f>Codificación!B181</f>
        <v>0</v>
      </c>
      <c r="E182" s="4">
        <f>SUMIFS(Movimientos!$E$6:$E$16,Movimientos!$C$6:$C$16,Stocks!$A182,Movimientos!$F$6:$F$16,Stocks!E$3,Movimientos!$A$6:$A$16,"&lt;="&amp;Stocks!$A$2)-SUMIFS(Movimientos!$E$6:$E$16,Movimientos!$C$6:$C$16,Stocks!$A182,Movimientos!$G$6:$G$16,Stocks!E$3,Movimientos!$A$6:$A$16,"&lt;="&amp;Stocks!$A$2)</f>
        <v>0</v>
      </c>
      <c r="F182" s="4">
        <f>SUMIFS(Movimientos!$E$6:$E$16,Movimientos!$C$6:$C$16,Stocks!$A182,Movimientos!$F$6:$F$16,Stocks!F$3,Movimientos!$A$6:$A$16,"&lt;="&amp;Stocks!$A$2)-SUMIFS(Movimientos!$E$6:$E$16,Movimientos!$C$6:$C$16,Stocks!$A182,Movimientos!$G$6:$G$16,Stocks!F$3,Movimientos!$A$6:$A$16,"&lt;="&amp;Stocks!$A$2)</f>
        <v>0</v>
      </c>
      <c r="G182" s="4">
        <f>SUMIFS(Movimientos!$E$6:$E$16,Movimientos!$C$6:$C$16,Stocks!$A182,Movimientos!$F$6:$F$16,Stocks!G$3,Movimientos!$A$6:$A$16,"&lt;="&amp;Stocks!$A$2)-SUMIFS(Movimientos!$E$6:$E$16,Movimientos!$C$6:$C$16,Stocks!$A182,Movimientos!$G$6:$G$16,Stocks!G$3,Movimientos!$A$6:$A$16,"&lt;="&amp;Stocks!$A$2)</f>
        <v>0</v>
      </c>
      <c r="H182" s="4">
        <f>SUMIFS(Movimientos!$E$6:$E$16,Movimientos!$C$6:$C$16,Stocks!$A182,Movimientos!$F$6:$F$16,Stocks!H$3,Movimientos!$A$6:$A$16,"&lt;="&amp;Stocks!$A$2)-SUMIFS(Movimientos!$E$6:$E$16,Movimientos!$C$6:$C$16,Stocks!$A182,Movimientos!$G$6:$G$16,Stocks!H$3,Movimientos!$A$6:$A$16,"&lt;="&amp;Stocks!$A$2)</f>
        <v>0</v>
      </c>
      <c r="I182" s="4">
        <f>SUMIFS(Movimientos!$E$6:$E$16,Movimientos!$C$6:$C$16,Stocks!$A182,Movimientos!$F$6:$F$16,Stocks!I$3,Movimientos!$A$6:$A$16,"&lt;="&amp;Stocks!$A$2)-SUMIFS(Movimientos!$E$6:$E$16,Movimientos!$C$6:$C$16,Stocks!$A182,Movimientos!$G$6:$G$16,Stocks!I$3,Movimientos!$A$6:$A$16,"&lt;="&amp;Stocks!$A$2)</f>
        <v>0</v>
      </c>
      <c r="J182" s="4">
        <f>SUMIFS(Movimientos!$E$6:$E$16,Movimientos!$C$6:$C$16,Stocks!$A182,Movimientos!$F$6:$F$16,Stocks!J$3,Movimientos!$A$6:$A$16,"&lt;="&amp;Stocks!$A$2)-SUMIFS(Movimientos!$E$6:$E$16,Movimientos!$C$6:$C$16,Stocks!$A182,Movimientos!$G$6:$G$16,Stocks!J$3,Movimientos!$A$6:$A$16,"&lt;="&amp;Stocks!$A$2)</f>
        <v>0</v>
      </c>
      <c r="K182" s="4">
        <f>SUMIFS(Movimientos!$E$6:$E$16,Movimientos!$C$6:$C$16,Stocks!$A182,Movimientos!$F$6:$F$16,Stocks!K$3,Movimientos!$A$6:$A$16,"&lt;="&amp;Stocks!$A$2)-SUMIFS(Movimientos!$E$6:$E$16,Movimientos!$C$6:$C$16,Stocks!$A182,Movimientos!$G$6:$G$16,Stocks!K$3,Movimientos!$A$6:$A$16,"&lt;="&amp;Stocks!$A$2)</f>
        <v>0</v>
      </c>
      <c r="L182" s="4">
        <f>SUMIFS(Movimientos!$E$6:$E$16,Movimientos!$C$6:$C$16,Stocks!$A182,Movimientos!$F$6:$F$16,Stocks!L$3,Movimientos!$A$6:$A$16,"&lt;="&amp;Stocks!$A$2)-SUMIFS(Movimientos!$E$6:$E$16,Movimientos!$C$6:$C$16,Stocks!$A182,Movimientos!$G$6:$G$16,Stocks!L$3,Movimientos!$A$6:$A$16,"&lt;="&amp;Stocks!$A$2)</f>
        <v>0</v>
      </c>
    </row>
    <row r="183" spans="1:12" x14ac:dyDescent="0.25">
      <c r="A183" t="str">
        <f>Codificación!A182</f>
        <v/>
      </c>
      <c r="B183" s="1">
        <f>Codificación!B182</f>
        <v>0</v>
      </c>
      <c r="E183" s="4">
        <f>SUMIFS(Movimientos!$E$6:$E$16,Movimientos!$C$6:$C$16,Stocks!$A183,Movimientos!$F$6:$F$16,Stocks!E$3,Movimientos!$A$6:$A$16,"&lt;="&amp;Stocks!$A$2)-SUMIFS(Movimientos!$E$6:$E$16,Movimientos!$C$6:$C$16,Stocks!$A183,Movimientos!$G$6:$G$16,Stocks!E$3,Movimientos!$A$6:$A$16,"&lt;="&amp;Stocks!$A$2)</f>
        <v>0</v>
      </c>
      <c r="F183" s="4">
        <f>SUMIFS(Movimientos!$E$6:$E$16,Movimientos!$C$6:$C$16,Stocks!$A183,Movimientos!$F$6:$F$16,Stocks!F$3,Movimientos!$A$6:$A$16,"&lt;="&amp;Stocks!$A$2)-SUMIFS(Movimientos!$E$6:$E$16,Movimientos!$C$6:$C$16,Stocks!$A183,Movimientos!$G$6:$G$16,Stocks!F$3,Movimientos!$A$6:$A$16,"&lt;="&amp;Stocks!$A$2)</f>
        <v>0</v>
      </c>
      <c r="G183" s="4">
        <f>SUMIFS(Movimientos!$E$6:$E$16,Movimientos!$C$6:$C$16,Stocks!$A183,Movimientos!$F$6:$F$16,Stocks!G$3,Movimientos!$A$6:$A$16,"&lt;="&amp;Stocks!$A$2)-SUMIFS(Movimientos!$E$6:$E$16,Movimientos!$C$6:$C$16,Stocks!$A183,Movimientos!$G$6:$G$16,Stocks!G$3,Movimientos!$A$6:$A$16,"&lt;="&amp;Stocks!$A$2)</f>
        <v>0</v>
      </c>
      <c r="H183" s="4">
        <f>SUMIFS(Movimientos!$E$6:$E$16,Movimientos!$C$6:$C$16,Stocks!$A183,Movimientos!$F$6:$F$16,Stocks!H$3,Movimientos!$A$6:$A$16,"&lt;="&amp;Stocks!$A$2)-SUMIFS(Movimientos!$E$6:$E$16,Movimientos!$C$6:$C$16,Stocks!$A183,Movimientos!$G$6:$G$16,Stocks!H$3,Movimientos!$A$6:$A$16,"&lt;="&amp;Stocks!$A$2)</f>
        <v>0</v>
      </c>
      <c r="I183" s="4">
        <f>SUMIFS(Movimientos!$E$6:$E$16,Movimientos!$C$6:$C$16,Stocks!$A183,Movimientos!$F$6:$F$16,Stocks!I$3,Movimientos!$A$6:$A$16,"&lt;="&amp;Stocks!$A$2)-SUMIFS(Movimientos!$E$6:$E$16,Movimientos!$C$6:$C$16,Stocks!$A183,Movimientos!$G$6:$G$16,Stocks!I$3,Movimientos!$A$6:$A$16,"&lt;="&amp;Stocks!$A$2)</f>
        <v>0</v>
      </c>
      <c r="J183" s="4">
        <f>SUMIFS(Movimientos!$E$6:$E$16,Movimientos!$C$6:$C$16,Stocks!$A183,Movimientos!$F$6:$F$16,Stocks!J$3,Movimientos!$A$6:$A$16,"&lt;="&amp;Stocks!$A$2)-SUMIFS(Movimientos!$E$6:$E$16,Movimientos!$C$6:$C$16,Stocks!$A183,Movimientos!$G$6:$G$16,Stocks!J$3,Movimientos!$A$6:$A$16,"&lt;="&amp;Stocks!$A$2)</f>
        <v>0</v>
      </c>
      <c r="K183" s="4">
        <f>SUMIFS(Movimientos!$E$6:$E$16,Movimientos!$C$6:$C$16,Stocks!$A183,Movimientos!$F$6:$F$16,Stocks!K$3,Movimientos!$A$6:$A$16,"&lt;="&amp;Stocks!$A$2)-SUMIFS(Movimientos!$E$6:$E$16,Movimientos!$C$6:$C$16,Stocks!$A183,Movimientos!$G$6:$G$16,Stocks!K$3,Movimientos!$A$6:$A$16,"&lt;="&amp;Stocks!$A$2)</f>
        <v>0</v>
      </c>
      <c r="L183" s="4">
        <f>SUMIFS(Movimientos!$E$6:$E$16,Movimientos!$C$6:$C$16,Stocks!$A183,Movimientos!$F$6:$F$16,Stocks!L$3,Movimientos!$A$6:$A$16,"&lt;="&amp;Stocks!$A$2)-SUMIFS(Movimientos!$E$6:$E$16,Movimientos!$C$6:$C$16,Stocks!$A183,Movimientos!$G$6:$G$16,Stocks!L$3,Movimientos!$A$6:$A$16,"&lt;="&amp;Stocks!$A$2)</f>
        <v>0</v>
      </c>
    </row>
    <row r="184" spans="1:12" x14ac:dyDescent="0.25">
      <c r="A184" t="str">
        <f>Codificación!A183</f>
        <v/>
      </c>
      <c r="B184" s="1">
        <f>Codificación!B183</f>
        <v>0</v>
      </c>
      <c r="E184" s="4">
        <f>SUMIFS(Movimientos!$E$6:$E$16,Movimientos!$C$6:$C$16,Stocks!$A184,Movimientos!$F$6:$F$16,Stocks!E$3,Movimientos!$A$6:$A$16,"&lt;="&amp;Stocks!$A$2)-SUMIFS(Movimientos!$E$6:$E$16,Movimientos!$C$6:$C$16,Stocks!$A184,Movimientos!$G$6:$G$16,Stocks!E$3,Movimientos!$A$6:$A$16,"&lt;="&amp;Stocks!$A$2)</f>
        <v>0</v>
      </c>
      <c r="F184" s="4">
        <f>SUMIFS(Movimientos!$E$6:$E$16,Movimientos!$C$6:$C$16,Stocks!$A184,Movimientos!$F$6:$F$16,Stocks!F$3,Movimientos!$A$6:$A$16,"&lt;="&amp;Stocks!$A$2)-SUMIFS(Movimientos!$E$6:$E$16,Movimientos!$C$6:$C$16,Stocks!$A184,Movimientos!$G$6:$G$16,Stocks!F$3,Movimientos!$A$6:$A$16,"&lt;="&amp;Stocks!$A$2)</f>
        <v>0</v>
      </c>
      <c r="G184" s="4">
        <f>SUMIFS(Movimientos!$E$6:$E$16,Movimientos!$C$6:$C$16,Stocks!$A184,Movimientos!$F$6:$F$16,Stocks!G$3,Movimientos!$A$6:$A$16,"&lt;="&amp;Stocks!$A$2)-SUMIFS(Movimientos!$E$6:$E$16,Movimientos!$C$6:$C$16,Stocks!$A184,Movimientos!$G$6:$G$16,Stocks!G$3,Movimientos!$A$6:$A$16,"&lt;="&amp;Stocks!$A$2)</f>
        <v>0</v>
      </c>
      <c r="H184" s="4">
        <f>SUMIFS(Movimientos!$E$6:$E$16,Movimientos!$C$6:$C$16,Stocks!$A184,Movimientos!$F$6:$F$16,Stocks!H$3,Movimientos!$A$6:$A$16,"&lt;="&amp;Stocks!$A$2)-SUMIFS(Movimientos!$E$6:$E$16,Movimientos!$C$6:$C$16,Stocks!$A184,Movimientos!$G$6:$G$16,Stocks!H$3,Movimientos!$A$6:$A$16,"&lt;="&amp;Stocks!$A$2)</f>
        <v>0</v>
      </c>
      <c r="I184" s="4">
        <f>SUMIFS(Movimientos!$E$6:$E$16,Movimientos!$C$6:$C$16,Stocks!$A184,Movimientos!$F$6:$F$16,Stocks!I$3,Movimientos!$A$6:$A$16,"&lt;="&amp;Stocks!$A$2)-SUMIFS(Movimientos!$E$6:$E$16,Movimientos!$C$6:$C$16,Stocks!$A184,Movimientos!$G$6:$G$16,Stocks!I$3,Movimientos!$A$6:$A$16,"&lt;="&amp;Stocks!$A$2)</f>
        <v>0</v>
      </c>
      <c r="J184" s="4">
        <f>SUMIFS(Movimientos!$E$6:$E$16,Movimientos!$C$6:$C$16,Stocks!$A184,Movimientos!$F$6:$F$16,Stocks!J$3,Movimientos!$A$6:$A$16,"&lt;="&amp;Stocks!$A$2)-SUMIFS(Movimientos!$E$6:$E$16,Movimientos!$C$6:$C$16,Stocks!$A184,Movimientos!$G$6:$G$16,Stocks!J$3,Movimientos!$A$6:$A$16,"&lt;="&amp;Stocks!$A$2)</f>
        <v>0</v>
      </c>
      <c r="K184" s="4">
        <f>SUMIFS(Movimientos!$E$6:$E$16,Movimientos!$C$6:$C$16,Stocks!$A184,Movimientos!$F$6:$F$16,Stocks!K$3,Movimientos!$A$6:$A$16,"&lt;="&amp;Stocks!$A$2)-SUMIFS(Movimientos!$E$6:$E$16,Movimientos!$C$6:$C$16,Stocks!$A184,Movimientos!$G$6:$G$16,Stocks!K$3,Movimientos!$A$6:$A$16,"&lt;="&amp;Stocks!$A$2)</f>
        <v>0</v>
      </c>
      <c r="L184" s="4">
        <f>SUMIFS(Movimientos!$E$6:$E$16,Movimientos!$C$6:$C$16,Stocks!$A184,Movimientos!$F$6:$F$16,Stocks!L$3,Movimientos!$A$6:$A$16,"&lt;="&amp;Stocks!$A$2)-SUMIFS(Movimientos!$E$6:$E$16,Movimientos!$C$6:$C$16,Stocks!$A184,Movimientos!$G$6:$G$16,Stocks!L$3,Movimientos!$A$6:$A$16,"&lt;="&amp;Stocks!$A$2)</f>
        <v>0</v>
      </c>
    </row>
    <row r="185" spans="1:12" x14ac:dyDescent="0.25">
      <c r="A185" t="str">
        <f>Codificación!A184</f>
        <v/>
      </c>
      <c r="B185" s="1">
        <f>Codificación!B184</f>
        <v>0</v>
      </c>
      <c r="E185" s="4">
        <f>SUMIFS(Movimientos!$E$6:$E$16,Movimientos!$C$6:$C$16,Stocks!$A185,Movimientos!$F$6:$F$16,Stocks!E$3,Movimientos!$A$6:$A$16,"&lt;="&amp;Stocks!$A$2)-SUMIFS(Movimientos!$E$6:$E$16,Movimientos!$C$6:$C$16,Stocks!$A185,Movimientos!$G$6:$G$16,Stocks!E$3,Movimientos!$A$6:$A$16,"&lt;="&amp;Stocks!$A$2)</f>
        <v>0</v>
      </c>
      <c r="F185" s="4">
        <f>SUMIFS(Movimientos!$E$6:$E$16,Movimientos!$C$6:$C$16,Stocks!$A185,Movimientos!$F$6:$F$16,Stocks!F$3,Movimientos!$A$6:$A$16,"&lt;="&amp;Stocks!$A$2)-SUMIFS(Movimientos!$E$6:$E$16,Movimientos!$C$6:$C$16,Stocks!$A185,Movimientos!$G$6:$G$16,Stocks!F$3,Movimientos!$A$6:$A$16,"&lt;="&amp;Stocks!$A$2)</f>
        <v>0</v>
      </c>
      <c r="G185" s="4">
        <f>SUMIFS(Movimientos!$E$6:$E$16,Movimientos!$C$6:$C$16,Stocks!$A185,Movimientos!$F$6:$F$16,Stocks!G$3,Movimientos!$A$6:$A$16,"&lt;="&amp;Stocks!$A$2)-SUMIFS(Movimientos!$E$6:$E$16,Movimientos!$C$6:$C$16,Stocks!$A185,Movimientos!$G$6:$G$16,Stocks!G$3,Movimientos!$A$6:$A$16,"&lt;="&amp;Stocks!$A$2)</f>
        <v>0</v>
      </c>
      <c r="H185" s="4">
        <f>SUMIFS(Movimientos!$E$6:$E$16,Movimientos!$C$6:$C$16,Stocks!$A185,Movimientos!$F$6:$F$16,Stocks!H$3,Movimientos!$A$6:$A$16,"&lt;="&amp;Stocks!$A$2)-SUMIFS(Movimientos!$E$6:$E$16,Movimientos!$C$6:$C$16,Stocks!$A185,Movimientos!$G$6:$G$16,Stocks!H$3,Movimientos!$A$6:$A$16,"&lt;="&amp;Stocks!$A$2)</f>
        <v>0</v>
      </c>
      <c r="I185" s="4">
        <f>SUMIFS(Movimientos!$E$6:$E$16,Movimientos!$C$6:$C$16,Stocks!$A185,Movimientos!$F$6:$F$16,Stocks!I$3,Movimientos!$A$6:$A$16,"&lt;="&amp;Stocks!$A$2)-SUMIFS(Movimientos!$E$6:$E$16,Movimientos!$C$6:$C$16,Stocks!$A185,Movimientos!$G$6:$G$16,Stocks!I$3,Movimientos!$A$6:$A$16,"&lt;="&amp;Stocks!$A$2)</f>
        <v>0</v>
      </c>
      <c r="J185" s="4">
        <f>SUMIFS(Movimientos!$E$6:$E$16,Movimientos!$C$6:$C$16,Stocks!$A185,Movimientos!$F$6:$F$16,Stocks!J$3,Movimientos!$A$6:$A$16,"&lt;="&amp;Stocks!$A$2)-SUMIFS(Movimientos!$E$6:$E$16,Movimientos!$C$6:$C$16,Stocks!$A185,Movimientos!$G$6:$G$16,Stocks!J$3,Movimientos!$A$6:$A$16,"&lt;="&amp;Stocks!$A$2)</f>
        <v>0</v>
      </c>
      <c r="K185" s="4">
        <f>SUMIFS(Movimientos!$E$6:$E$16,Movimientos!$C$6:$C$16,Stocks!$A185,Movimientos!$F$6:$F$16,Stocks!K$3,Movimientos!$A$6:$A$16,"&lt;="&amp;Stocks!$A$2)-SUMIFS(Movimientos!$E$6:$E$16,Movimientos!$C$6:$C$16,Stocks!$A185,Movimientos!$G$6:$G$16,Stocks!K$3,Movimientos!$A$6:$A$16,"&lt;="&amp;Stocks!$A$2)</f>
        <v>0</v>
      </c>
      <c r="L185" s="4">
        <f>SUMIFS(Movimientos!$E$6:$E$16,Movimientos!$C$6:$C$16,Stocks!$A185,Movimientos!$F$6:$F$16,Stocks!L$3,Movimientos!$A$6:$A$16,"&lt;="&amp;Stocks!$A$2)-SUMIFS(Movimientos!$E$6:$E$16,Movimientos!$C$6:$C$16,Stocks!$A185,Movimientos!$G$6:$G$16,Stocks!L$3,Movimientos!$A$6:$A$16,"&lt;="&amp;Stocks!$A$2)</f>
        <v>0</v>
      </c>
    </row>
    <row r="186" spans="1:12" x14ac:dyDescent="0.25">
      <c r="A186" t="str">
        <f>Codificación!A185</f>
        <v/>
      </c>
      <c r="B186" s="1">
        <f>Codificación!B185</f>
        <v>0</v>
      </c>
      <c r="E186" s="4">
        <f>SUMIFS(Movimientos!$E$6:$E$16,Movimientos!$C$6:$C$16,Stocks!$A186,Movimientos!$F$6:$F$16,Stocks!E$3,Movimientos!$A$6:$A$16,"&lt;="&amp;Stocks!$A$2)-SUMIFS(Movimientos!$E$6:$E$16,Movimientos!$C$6:$C$16,Stocks!$A186,Movimientos!$G$6:$G$16,Stocks!E$3,Movimientos!$A$6:$A$16,"&lt;="&amp;Stocks!$A$2)</f>
        <v>0</v>
      </c>
      <c r="F186" s="4">
        <f>SUMIFS(Movimientos!$E$6:$E$16,Movimientos!$C$6:$C$16,Stocks!$A186,Movimientos!$F$6:$F$16,Stocks!F$3,Movimientos!$A$6:$A$16,"&lt;="&amp;Stocks!$A$2)-SUMIFS(Movimientos!$E$6:$E$16,Movimientos!$C$6:$C$16,Stocks!$A186,Movimientos!$G$6:$G$16,Stocks!F$3,Movimientos!$A$6:$A$16,"&lt;="&amp;Stocks!$A$2)</f>
        <v>0</v>
      </c>
      <c r="G186" s="4">
        <f>SUMIFS(Movimientos!$E$6:$E$16,Movimientos!$C$6:$C$16,Stocks!$A186,Movimientos!$F$6:$F$16,Stocks!G$3,Movimientos!$A$6:$A$16,"&lt;="&amp;Stocks!$A$2)-SUMIFS(Movimientos!$E$6:$E$16,Movimientos!$C$6:$C$16,Stocks!$A186,Movimientos!$G$6:$G$16,Stocks!G$3,Movimientos!$A$6:$A$16,"&lt;="&amp;Stocks!$A$2)</f>
        <v>0</v>
      </c>
      <c r="H186" s="4">
        <f>SUMIFS(Movimientos!$E$6:$E$16,Movimientos!$C$6:$C$16,Stocks!$A186,Movimientos!$F$6:$F$16,Stocks!H$3,Movimientos!$A$6:$A$16,"&lt;="&amp;Stocks!$A$2)-SUMIFS(Movimientos!$E$6:$E$16,Movimientos!$C$6:$C$16,Stocks!$A186,Movimientos!$G$6:$G$16,Stocks!H$3,Movimientos!$A$6:$A$16,"&lt;="&amp;Stocks!$A$2)</f>
        <v>0</v>
      </c>
      <c r="I186" s="4">
        <f>SUMIFS(Movimientos!$E$6:$E$16,Movimientos!$C$6:$C$16,Stocks!$A186,Movimientos!$F$6:$F$16,Stocks!I$3,Movimientos!$A$6:$A$16,"&lt;="&amp;Stocks!$A$2)-SUMIFS(Movimientos!$E$6:$E$16,Movimientos!$C$6:$C$16,Stocks!$A186,Movimientos!$G$6:$G$16,Stocks!I$3,Movimientos!$A$6:$A$16,"&lt;="&amp;Stocks!$A$2)</f>
        <v>0</v>
      </c>
      <c r="J186" s="4">
        <f>SUMIFS(Movimientos!$E$6:$E$16,Movimientos!$C$6:$C$16,Stocks!$A186,Movimientos!$F$6:$F$16,Stocks!J$3,Movimientos!$A$6:$A$16,"&lt;="&amp;Stocks!$A$2)-SUMIFS(Movimientos!$E$6:$E$16,Movimientos!$C$6:$C$16,Stocks!$A186,Movimientos!$G$6:$G$16,Stocks!J$3,Movimientos!$A$6:$A$16,"&lt;="&amp;Stocks!$A$2)</f>
        <v>0</v>
      </c>
      <c r="K186" s="4">
        <f>SUMIFS(Movimientos!$E$6:$E$16,Movimientos!$C$6:$C$16,Stocks!$A186,Movimientos!$F$6:$F$16,Stocks!K$3,Movimientos!$A$6:$A$16,"&lt;="&amp;Stocks!$A$2)-SUMIFS(Movimientos!$E$6:$E$16,Movimientos!$C$6:$C$16,Stocks!$A186,Movimientos!$G$6:$G$16,Stocks!K$3,Movimientos!$A$6:$A$16,"&lt;="&amp;Stocks!$A$2)</f>
        <v>0</v>
      </c>
      <c r="L186" s="4">
        <f>SUMIFS(Movimientos!$E$6:$E$16,Movimientos!$C$6:$C$16,Stocks!$A186,Movimientos!$F$6:$F$16,Stocks!L$3,Movimientos!$A$6:$A$16,"&lt;="&amp;Stocks!$A$2)-SUMIFS(Movimientos!$E$6:$E$16,Movimientos!$C$6:$C$16,Stocks!$A186,Movimientos!$G$6:$G$16,Stocks!L$3,Movimientos!$A$6:$A$16,"&lt;="&amp;Stocks!$A$2)</f>
        <v>0</v>
      </c>
    </row>
    <row r="187" spans="1:12" x14ac:dyDescent="0.25">
      <c r="A187" t="str">
        <f>Codificación!A186</f>
        <v/>
      </c>
      <c r="B187" s="1">
        <f>Codificación!B186</f>
        <v>0</v>
      </c>
      <c r="E187" s="4">
        <f>SUMIFS(Movimientos!$E$6:$E$16,Movimientos!$C$6:$C$16,Stocks!$A187,Movimientos!$F$6:$F$16,Stocks!E$3,Movimientos!$A$6:$A$16,"&lt;="&amp;Stocks!$A$2)-SUMIFS(Movimientos!$E$6:$E$16,Movimientos!$C$6:$C$16,Stocks!$A187,Movimientos!$G$6:$G$16,Stocks!E$3,Movimientos!$A$6:$A$16,"&lt;="&amp;Stocks!$A$2)</f>
        <v>0</v>
      </c>
      <c r="F187" s="4">
        <f>SUMIFS(Movimientos!$E$6:$E$16,Movimientos!$C$6:$C$16,Stocks!$A187,Movimientos!$F$6:$F$16,Stocks!F$3,Movimientos!$A$6:$A$16,"&lt;="&amp;Stocks!$A$2)-SUMIFS(Movimientos!$E$6:$E$16,Movimientos!$C$6:$C$16,Stocks!$A187,Movimientos!$G$6:$G$16,Stocks!F$3,Movimientos!$A$6:$A$16,"&lt;="&amp;Stocks!$A$2)</f>
        <v>0</v>
      </c>
      <c r="G187" s="4">
        <f>SUMIFS(Movimientos!$E$6:$E$16,Movimientos!$C$6:$C$16,Stocks!$A187,Movimientos!$F$6:$F$16,Stocks!G$3,Movimientos!$A$6:$A$16,"&lt;="&amp;Stocks!$A$2)-SUMIFS(Movimientos!$E$6:$E$16,Movimientos!$C$6:$C$16,Stocks!$A187,Movimientos!$G$6:$G$16,Stocks!G$3,Movimientos!$A$6:$A$16,"&lt;="&amp;Stocks!$A$2)</f>
        <v>0</v>
      </c>
      <c r="H187" s="4">
        <f>SUMIFS(Movimientos!$E$6:$E$16,Movimientos!$C$6:$C$16,Stocks!$A187,Movimientos!$F$6:$F$16,Stocks!H$3,Movimientos!$A$6:$A$16,"&lt;="&amp;Stocks!$A$2)-SUMIFS(Movimientos!$E$6:$E$16,Movimientos!$C$6:$C$16,Stocks!$A187,Movimientos!$G$6:$G$16,Stocks!H$3,Movimientos!$A$6:$A$16,"&lt;="&amp;Stocks!$A$2)</f>
        <v>0</v>
      </c>
      <c r="I187" s="4">
        <f>SUMIFS(Movimientos!$E$6:$E$16,Movimientos!$C$6:$C$16,Stocks!$A187,Movimientos!$F$6:$F$16,Stocks!I$3,Movimientos!$A$6:$A$16,"&lt;="&amp;Stocks!$A$2)-SUMIFS(Movimientos!$E$6:$E$16,Movimientos!$C$6:$C$16,Stocks!$A187,Movimientos!$G$6:$G$16,Stocks!I$3,Movimientos!$A$6:$A$16,"&lt;="&amp;Stocks!$A$2)</f>
        <v>0</v>
      </c>
      <c r="J187" s="4">
        <f>SUMIFS(Movimientos!$E$6:$E$16,Movimientos!$C$6:$C$16,Stocks!$A187,Movimientos!$F$6:$F$16,Stocks!J$3,Movimientos!$A$6:$A$16,"&lt;="&amp;Stocks!$A$2)-SUMIFS(Movimientos!$E$6:$E$16,Movimientos!$C$6:$C$16,Stocks!$A187,Movimientos!$G$6:$G$16,Stocks!J$3,Movimientos!$A$6:$A$16,"&lt;="&amp;Stocks!$A$2)</f>
        <v>0</v>
      </c>
      <c r="K187" s="4">
        <f>SUMIFS(Movimientos!$E$6:$E$16,Movimientos!$C$6:$C$16,Stocks!$A187,Movimientos!$F$6:$F$16,Stocks!K$3,Movimientos!$A$6:$A$16,"&lt;="&amp;Stocks!$A$2)-SUMIFS(Movimientos!$E$6:$E$16,Movimientos!$C$6:$C$16,Stocks!$A187,Movimientos!$G$6:$G$16,Stocks!K$3,Movimientos!$A$6:$A$16,"&lt;="&amp;Stocks!$A$2)</f>
        <v>0</v>
      </c>
      <c r="L187" s="4">
        <f>SUMIFS(Movimientos!$E$6:$E$16,Movimientos!$C$6:$C$16,Stocks!$A187,Movimientos!$F$6:$F$16,Stocks!L$3,Movimientos!$A$6:$A$16,"&lt;="&amp;Stocks!$A$2)-SUMIFS(Movimientos!$E$6:$E$16,Movimientos!$C$6:$C$16,Stocks!$A187,Movimientos!$G$6:$G$16,Stocks!L$3,Movimientos!$A$6:$A$16,"&lt;="&amp;Stocks!$A$2)</f>
        <v>0</v>
      </c>
    </row>
    <row r="188" spans="1:12" x14ac:dyDescent="0.25">
      <c r="A188" t="str">
        <f>Codificación!A187</f>
        <v/>
      </c>
      <c r="B188" s="1">
        <f>Codificación!B187</f>
        <v>0</v>
      </c>
      <c r="E188" s="4">
        <f>SUMIFS(Movimientos!$E$6:$E$16,Movimientos!$C$6:$C$16,Stocks!$A188,Movimientos!$F$6:$F$16,Stocks!E$3,Movimientos!$A$6:$A$16,"&lt;="&amp;Stocks!$A$2)-SUMIFS(Movimientos!$E$6:$E$16,Movimientos!$C$6:$C$16,Stocks!$A188,Movimientos!$G$6:$G$16,Stocks!E$3,Movimientos!$A$6:$A$16,"&lt;="&amp;Stocks!$A$2)</f>
        <v>0</v>
      </c>
      <c r="F188" s="4">
        <f>SUMIFS(Movimientos!$E$6:$E$16,Movimientos!$C$6:$C$16,Stocks!$A188,Movimientos!$F$6:$F$16,Stocks!F$3,Movimientos!$A$6:$A$16,"&lt;="&amp;Stocks!$A$2)-SUMIFS(Movimientos!$E$6:$E$16,Movimientos!$C$6:$C$16,Stocks!$A188,Movimientos!$G$6:$G$16,Stocks!F$3,Movimientos!$A$6:$A$16,"&lt;="&amp;Stocks!$A$2)</f>
        <v>0</v>
      </c>
      <c r="G188" s="4">
        <f>SUMIFS(Movimientos!$E$6:$E$16,Movimientos!$C$6:$C$16,Stocks!$A188,Movimientos!$F$6:$F$16,Stocks!G$3,Movimientos!$A$6:$A$16,"&lt;="&amp;Stocks!$A$2)-SUMIFS(Movimientos!$E$6:$E$16,Movimientos!$C$6:$C$16,Stocks!$A188,Movimientos!$G$6:$G$16,Stocks!G$3,Movimientos!$A$6:$A$16,"&lt;="&amp;Stocks!$A$2)</f>
        <v>0</v>
      </c>
      <c r="H188" s="4">
        <f>SUMIFS(Movimientos!$E$6:$E$16,Movimientos!$C$6:$C$16,Stocks!$A188,Movimientos!$F$6:$F$16,Stocks!H$3,Movimientos!$A$6:$A$16,"&lt;="&amp;Stocks!$A$2)-SUMIFS(Movimientos!$E$6:$E$16,Movimientos!$C$6:$C$16,Stocks!$A188,Movimientos!$G$6:$G$16,Stocks!H$3,Movimientos!$A$6:$A$16,"&lt;="&amp;Stocks!$A$2)</f>
        <v>0</v>
      </c>
      <c r="I188" s="4">
        <f>SUMIFS(Movimientos!$E$6:$E$16,Movimientos!$C$6:$C$16,Stocks!$A188,Movimientos!$F$6:$F$16,Stocks!I$3,Movimientos!$A$6:$A$16,"&lt;="&amp;Stocks!$A$2)-SUMIFS(Movimientos!$E$6:$E$16,Movimientos!$C$6:$C$16,Stocks!$A188,Movimientos!$G$6:$G$16,Stocks!I$3,Movimientos!$A$6:$A$16,"&lt;="&amp;Stocks!$A$2)</f>
        <v>0</v>
      </c>
      <c r="J188" s="4">
        <f>SUMIFS(Movimientos!$E$6:$E$16,Movimientos!$C$6:$C$16,Stocks!$A188,Movimientos!$F$6:$F$16,Stocks!J$3,Movimientos!$A$6:$A$16,"&lt;="&amp;Stocks!$A$2)-SUMIFS(Movimientos!$E$6:$E$16,Movimientos!$C$6:$C$16,Stocks!$A188,Movimientos!$G$6:$G$16,Stocks!J$3,Movimientos!$A$6:$A$16,"&lt;="&amp;Stocks!$A$2)</f>
        <v>0</v>
      </c>
      <c r="K188" s="4">
        <f>SUMIFS(Movimientos!$E$6:$E$16,Movimientos!$C$6:$C$16,Stocks!$A188,Movimientos!$F$6:$F$16,Stocks!K$3,Movimientos!$A$6:$A$16,"&lt;="&amp;Stocks!$A$2)-SUMIFS(Movimientos!$E$6:$E$16,Movimientos!$C$6:$C$16,Stocks!$A188,Movimientos!$G$6:$G$16,Stocks!K$3,Movimientos!$A$6:$A$16,"&lt;="&amp;Stocks!$A$2)</f>
        <v>0</v>
      </c>
      <c r="L188" s="4">
        <f>SUMIFS(Movimientos!$E$6:$E$16,Movimientos!$C$6:$C$16,Stocks!$A188,Movimientos!$F$6:$F$16,Stocks!L$3,Movimientos!$A$6:$A$16,"&lt;="&amp;Stocks!$A$2)-SUMIFS(Movimientos!$E$6:$E$16,Movimientos!$C$6:$C$16,Stocks!$A188,Movimientos!$G$6:$G$16,Stocks!L$3,Movimientos!$A$6:$A$16,"&lt;="&amp;Stocks!$A$2)</f>
        <v>0</v>
      </c>
    </row>
    <row r="189" spans="1:12" x14ac:dyDescent="0.25">
      <c r="A189" t="str">
        <f>Codificación!A188</f>
        <v/>
      </c>
      <c r="B189" s="1">
        <f>Codificación!B188</f>
        <v>0</v>
      </c>
      <c r="E189" s="4">
        <f>SUMIFS(Movimientos!$E$6:$E$16,Movimientos!$C$6:$C$16,Stocks!$A189,Movimientos!$F$6:$F$16,Stocks!E$3,Movimientos!$A$6:$A$16,"&lt;="&amp;Stocks!$A$2)-SUMIFS(Movimientos!$E$6:$E$16,Movimientos!$C$6:$C$16,Stocks!$A189,Movimientos!$G$6:$G$16,Stocks!E$3,Movimientos!$A$6:$A$16,"&lt;="&amp;Stocks!$A$2)</f>
        <v>0</v>
      </c>
      <c r="F189" s="4">
        <f>SUMIFS(Movimientos!$E$6:$E$16,Movimientos!$C$6:$C$16,Stocks!$A189,Movimientos!$F$6:$F$16,Stocks!F$3,Movimientos!$A$6:$A$16,"&lt;="&amp;Stocks!$A$2)-SUMIFS(Movimientos!$E$6:$E$16,Movimientos!$C$6:$C$16,Stocks!$A189,Movimientos!$G$6:$G$16,Stocks!F$3,Movimientos!$A$6:$A$16,"&lt;="&amp;Stocks!$A$2)</f>
        <v>0</v>
      </c>
      <c r="G189" s="4">
        <f>SUMIFS(Movimientos!$E$6:$E$16,Movimientos!$C$6:$C$16,Stocks!$A189,Movimientos!$F$6:$F$16,Stocks!G$3,Movimientos!$A$6:$A$16,"&lt;="&amp;Stocks!$A$2)-SUMIFS(Movimientos!$E$6:$E$16,Movimientos!$C$6:$C$16,Stocks!$A189,Movimientos!$G$6:$G$16,Stocks!G$3,Movimientos!$A$6:$A$16,"&lt;="&amp;Stocks!$A$2)</f>
        <v>0</v>
      </c>
      <c r="H189" s="4">
        <f>SUMIFS(Movimientos!$E$6:$E$16,Movimientos!$C$6:$C$16,Stocks!$A189,Movimientos!$F$6:$F$16,Stocks!H$3,Movimientos!$A$6:$A$16,"&lt;="&amp;Stocks!$A$2)-SUMIFS(Movimientos!$E$6:$E$16,Movimientos!$C$6:$C$16,Stocks!$A189,Movimientos!$G$6:$G$16,Stocks!H$3,Movimientos!$A$6:$A$16,"&lt;="&amp;Stocks!$A$2)</f>
        <v>0</v>
      </c>
      <c r="I189" s="4">
        <f>SUMIFS(Movimientos!$E$6:$E$16,Movimientos!$C$6:$C$16,Stocks!$A189,Movimientos!$F$6:$F$16,Stocks!I$3,Movimientos!$A$6:$A$16,"&lt;="&amp;Stocks!$A$2)-SUMIFS(Movimientos!$E$6:$E$16,Movimientos!$C$6:$C$16,Stocks!$A189,Movimientos!$G$6:$G$16,Stocks!I$3,Movimientos!$A$6:$A$16,"&lt;="&amp;Stocks!$A$2)</f>
        <v>0</v>
      </c>
      <c r="J189" s="4">
        <f>SUMIFS(Movimientos!$E$6:$E$16,Movimientos!$C$6:$C$16,Stocks!$A189,Movimientos!$F$6:$F$16,Stocks!J$3,Movimientos!$A$6:$A$16,"&lt;="&amp;Stocks!$A$2)-SUMIFS(Movimientos!$E$6:$E$16,Movimientos!$C$6:$C$16,Stocks!$A189,Movimientos!$G$6:$G$16,Stocks!J$3,Movimientos!$A$6:$A$16,"&lt;="&amp;Stocks!$A$2)</f>
        <v>0</v>
      </c>
      <c r="K189" s="4">
        <f>SUMIFS(Movimientos!$E$6:$E$16,Movimientos!$C$6:$C$16,Stocks!$A189,Movimientos!$F$6:$F$16,Stocks!K$3,Movimientos!$A$6:$A$16,"&lt;="&amp;Stocks!$A$2)-SUMIFS(Movimientos!$E$6:$E$16,Movimientos!$C$6:$C$16,Stocks!$A189,Movimientos!$G$6:$G$16,Stocks!K$3,Movimientos!$A$6:$A$16,"&lt;="&amp;Stocks!$A$2)</f>
        <v>0</v>
      </c>
      <c r="L189" s="4">
        <f>SUMIFS(Movimientos!$E$6:$E$16,Movimientos!$C$6:$C$16,Stocks!$A189,Movimientos!$F$6:$F$16,Stocks!L$3,Movimientos!$A$6:$A$16,"&lt;="&amp;Stocks!$A$2)-SUMIFS(Movimientos!$E$6:$E$16,Movimientos!$C$6:$C$16,Stocks!$A189,Movimientos!$G$6:$G$16,Stocks!L$3,Movimientos!$A$6:$A$16,"&lt;="&amp;Stocks!$A$2)</f>
        <v>0</v>
      </c>
    </row>
    <row r="190" spans="1:12" x14ac:dyDescent="0.25">
      <c r="A190" t="str">
        <f>Codificación!A189</f>
        <v/>
      </c>
      <c r="B190" s="1">
        <f>Codificación!B189</f>
        <v>0</v>
      </c>
      <c r="E190" s="4">
        <f>SUMIFS(Movimientos!$E$6:$E$16,Movimientos!$C$6:$C$16,Stocks!$A190,Movimientos!$F$6:$F$16,Stocks!E$3,Movimientos!$A$6:$A$16,"&lt;="&amp;Stocks!$A$2)-SUMIFS(Movimientos!$E$6:$E$16,Movimientos!$C$6:$C$16,Stocks!$A190,Movimientos!$G$6:$G$16,Stocks!E$3,Movimientos!$A$6:$A$16,"&lt;="&amp;Stocks!$A$2)</f>
        <v>0</v>
      </c>
      <c r="F190" s="4">
        <f>SUMIFS(Movimientos!$E$6:$E$16,Movimientos!$C$6:$C$16,Stocks!$A190,Movimientos!$F$6:$F$16,Stocks!F$3,Movimientos!$A$6:$A$16,"&lt;="&amp;Stocks!$A$2)-SUMIFS(Movimientos!$E$6:$E$16,Movimientos!$C$6:$C$16,Stocks!$A190,Movimientos!$G$6:$G$16,Stocks!F$3,Movimientos!$A$6:$A$16,"&lt;="&amp;Stocks!$A$2)</f>
        <v>0</v>
      </c>
      <c r="G190" s="4">
        <f>SUMIFS(Movimientos!$E$6:$E$16,Movimientos!$C$6:$C$16,Stocks!$A190,Movimientos!$F$6:$F$16,Stocks!G$3,Movimientos!$A$6:$A$16,"&lt;="&amp;Stocks!$A$2)-SUMIFS(Movimientos!$E$6:$E$16,Movimientos!$C$6:$C$16,Stocks!$A190,Movimientos!$G$6:$G$16,Stocks!G$3,Movimientos!$A$6:$A$16,"&lt;="&amp;Stocks!$A$2)</f>
        <v>0</v>
      </c>
      <c r="H190" s="4">
        <f>SUMIFS(Movimientos!$E$6:$E$16,Movimientos!$C$6:$C$16,Stocks!$A190,Movimientos!$F$6:$F$16,Stocks!H$3,Movimientos!$A$6:$A$16,"&lt;="&amp;Stocks!$A$2)-SUMIFS(Movimientos!$E$6:$E$16,Movimientos!$C$6:$C$16,Stocks!$A190,Movimientos!$G$6:$G$16,Stocks!H$3,Movimientos!$A$6:$A$16,"&lt;="&amp;Stocks!$A$2)</f>
        <v>0</v>
      </c>
      <c r="I190" s="4">
        <f>SUMIFS(Movimientos!$E$6:$E$16,Movimientos!$C$6:$C$16,Stocks!$A190,Movimientos!$F$6:$F$16,Stocks!I$3,Movimientos!$A$6:$A$16,"&lt;="&amp;Stocks!$A$2)-SUMIFS(Movimientos!$E$6:$E$16,Movimientos!$C$6:$C$16,Stocks!$A190,Movimientos!$G$6:$G$16,Stocks!I$3,Movimientos!$A$6:$A$16,"&lt;="&amp;Stocks!$A$2)</f>
        <v>0</v>
      </c>
      <c r="J190" s="4">
        <f>SUMIFS(Movimientos!$E$6:$E$16,Movimientos!$C$6:$C$16,Stocks!$A190,Movimientos!$F$6:$F$16,Stocks!J$3,Movimientos!$A$6:$A$16,"&lt;="&amp;Stocks!$A$2)-SUMIFS(Movimientos!$E$6:$E$16,Movimientos!$C$6:$C$16,Stocks!$A190,Movimientos!$G$6:$G$16,Stocks!J$3,Movimientos!$A$6:$A$16,"&lt;="&amp;Stocks!$A$2)</f>
        <v>0</v>
      </c>
      <c r="K190" s="4">
        <f>SUMIFS(Movimientos!$E$6:$E$16,Movimientos!$C$6:$C$16,Stocks!$A190,Movimientos!$F$6:$F$16,Stocks!K$3,Movimientos!$A$6:$A$16,"&lt;="&amp;Stocks!$A$2)-SUMIFS(Movimientos!$E$6:$E$16,Movimientos!$C$6:$C$16,Stocks!$A190,Movimientos!$G$6:$G$16,Stocks!K$3,Movimientos!$A$6:$A$16,"&lt;="&amp;Stocks!$A$2)</f>
        <v>0</v>
      </c>
      <c r="L190" s="4">
        <f>SUMIFS(Movimientos!$E$6:$E$16,Movimientos!$C$6:$C$16,Stocks!$A190,Movimientos!$F$6:$F$16,Stocks!L$3,Movimientos!$A$6:$A$16,"&lt;="&amp;Stocks!$A$2)-SUMIFS(Movimientos!$E$6:$E$16,Movimientos!$C$6:$C$16,Stocks!$A190,Movimientos!$G$6:$G$16,Stocks!L$3,Movimientos!$A$6:$A$16,"&lt;="&amp;Stocks!$A$2)</f>
        <v>0</v>
      </c>
    </row>
    <row r="191" spans="1:12" x14ac:dyDescent="0.25">
      <c r="A191" t="str">
        <f>Codificación!A190</f>
        <v/>
      </c>
      <c r="B191" s="1">
        <f>Codificación!B190</f>
        <v>0</v>
      </c>
      <c r="E191" s="4">
        <f>SUMIFS(Movimientos!$E$6:$E$16,Movimientos!$C$6:$C$16,Stocks!$A191,Movimientos!$F$6:$F$16,Stocks!E$3,Movimientos!$A$6:$A$16,"&lt;="&amp;Stocks!$A$2)-SUMIFS(Movimientos!$E$6:$E$16,Movimientos!$C$6:$C$16,Stocks!$A191,Movimientos!$G$6:$G$16,Stocks!E$3,Movimientos!$A$6:$A$16,"&lt;="&amp;Stocks!$A$2)</f>
        <v>0</v>
      </c>
      <c r="F191" s="4">
        <f>SUMIFS(Movimientos!$E$6:$E$16,Movimientos!$C$6:$C$16,Stocks!$A191,Movimientos!$F$6:$F$16,Stocks!F$3,Movimientos!$A$6:$A$16,"&lt;="&amp;Stocks!$A$2)-SUMIFS(Movimientos!$E$6:$E$16,Movimientos!$C$6:$C$16,Stocks!$A191,Movimientos!$G$6:$G$16,Stocks!F$3,Movimientos!$A$6:$A$16,"&lt;="&amp;Stocks!$A$2)</f>
        <v>0</v>
      </c>
      <c r="G191" s="4">
        <f>SUMIFS(Movimientos!$E$6:$E$16,Movimientos!$C$6:$C$16,Stocks!$A191,Movimientos!$F$6:$F$16,Stocks!G$3,Movimientos!$A$6:$A$16,"&lt;="&amp;Stocks!$A$2)-SUMIFS(Movimientos!$E$6:$E$16,Movimientos!$C$6:$C$16,Stocks!$A191,Movimientos!$G$6:$G$16,Stocks!G$3,Movimientos!$A$6:$A$16,"&lt;="&amp;Stocks!$A$2)</f>
        <v>0</v>
      </c>
      <c r="H191" s="4">
        <f>SUMIFS(Movimientos!$E$6:$E$16,Movimientos!$C$6:$C$16,Stocks!$A191,Movimientos!$F$6:$F$16,Stocks!H$3,Movimientos!$A$6:$A$16,"&lt;="&amp;Stocks!$A$2)-SUMIFS(Movimientos!$E$6:$E$16,Movimientos!$C$6:$C$16,Stocks!$A191,Movimientos!$G$6:$G$16,Stocks!H$3,Movimientos!$A$6:$A$16,"&lt;="&amp;Stocks!$A$2)</f>
        <v>0</v>
      </c>
      <c r="I191" s="4">
        <f>SUMIFS(Movimientos!$E$6:$E$16,Movimientos!$C$6:$C$16,Stocks!$A191,Movimientos!$F$6:$F$16,Stocks!I$3,Movimientos!$A$6:$A$16,"&lt;="&amp;Stocks!$A$2)-SUMIFS(Movimientos!$E$6:$E$16,Movimientos!$C$6:$C$16,Stocks!$A191,Movimientos!$G$6:$G$16,Stocks!I$3,Movimientos!$A$6:$A$16,"&lt;="&amp;Stocks!$A$2)</f>
        <v>0</v>
      </c>
      <c r="J191" s="4">
        <f>SUMIFS(Movimientos!$E$6:$E$16,Movimientos!$C$6:$C$16,Stocks!$A191,Movimientos!$F$6:$F$16,Stocks!J$3,Movimientos!$A$6:$A$16,"&lt;="&amp;Stocks!$A$2)-SUMIFS(Movimientos!$E$6:$E$16,Movimientos!$C$6:$C$16,Stocks!$A191,Movimientos!$G$6:$G$16,Stocks!J$3,Movimientos!$A$6:$A$16,"&lt;="&amp;Stocks!$A$2)</f>
        <v>0</v>
      </c>
      <c r="K191" s="4">
        <f>SUMIFS(Movimientos!$E$6:$E$16,Movimientos!$C$6:$C$16,Stocks!$A191,Movimientos!$F$6:$F$16,Stocks!K$3,Movimientos!$A$6:$A$16,"&lt;="&amp;Stocks!$A$2)-SUMIFS(Movimientos!$E$6:$E$16,Movimientos!$C$6:$C$16,Stocks!$A191,Movimientos!$G$6:$G$16,Stocks!K$3,Movimientos!$A$6:$A$16,"&lt;="&amp;Stocks!$A$2)</f>
        <v>0</v>
      </c>
      <c r="L191" s="4">
        <f>SUMIFS(Movimientos!$E$6:$E$16,Movimientos!$C$6:$C$16,Stocks!$A191,Movimientos!$F$6:$F$16,Stocks!L$3,Movimientos!$A$6:$A$16,"&lt;="&amp;Stocks!$A$2)-SUMIFS(Movimientos!$E$6:$E$16,Movimientos!$C$6:$C$16,Stocks!$A191,Movimientos!$G$6:$G$16,Stocks!L$3,Movimientos!$A$6:$A$16,"&lt;="&amp;Stocks!$A$2)</f>
        <v>0</v>
      </c>
    </row>
    <row r="192" spans="1:12" x14ac:dyDescent="0.25">
      <c r="A192" t="str">
        <f>Codificación!A191</f>
        <v/>
      </c>
      <c r="B192" s="1">
        <f>Codificación!B191</f>
        <v>0</v>
      </c>
      <c r="E192" s="4">
        <f>SUMIFS(Movimientos!$E$6:$E$16,Movimientos!$C$6:$C$16,Stocks!$A192,Movimientos!$F$6:$F$16,Stocks!E$3,Movimientos!$A$6:$A$16,"&lt;="&amp;Stocks!$A$2)-SUMIFS(Movimientos!$E$6:$E$16,Movimientos!$C$6:$C$16,Stocks!$A192,Movimientos!$G$6:$G$16,Stocks!E$3,Movimientos!$A$6:$A$16,"&lt;="&amp;Stocks!$A$2)</f>
        <v>0</v>
      </c>
      <c r="F192" s="4">
        <f>SUMIFS(Movimientos!$E$6:$E$16,Movimientos!$C$6:$C$16,Stocks!$A192,Movimientos!$F$6:$F$16,Stocks!F$3,Movimientos!$A$6:$A$16,"&lt;="&amp;Stocks!$A$2)-SUMIFS(Movimientos!$E$6:$E$16,Movimientos!$C$6:$C$16,Stocks!$A192,Movimientos!$G$6:$G$16,Stocks!F$3,Movimientos!$A$6:$A$16,"&lt;="&amp;Stocks!$A$2)</f>
        <v>0</v>
      </c>
      <c r="G192" s="4">
        <f>SUMIFS(Movimientos!$E$6:$E$16,Movimientos!$C$6:$C$16,Stocks!$A192,Movimientos!$F$6:$F$16,Stocks!G$3,Movimientos!$A$6:$A$16,"&lt;="&amp;Stocks!$A$2)-SUMIFS(Movimientos!$E$6:$E$16,Movimientos!$C$6:$C$16,Stocks!$A192,Movimientos!$G$6:$G$16,Stocks!G$3,Movimientos!$A$6:$A$16,"&lt;="&amp;Stocks!$A$2)</f>
        <v>0</v>
      </c>
      <c r="H192" s="4">
        <f>SUMIFS(Movimientos!$E$6:$E$16,Movimientos!$C$6:$C$16,Stocks!$A192,Movimientos!$F$6:$F$16,Stocks!H$3,Movimientos!$A$6:$A$16,"&lt;="&amp;Stocks!$A$2)-SUMIFS(Movimientos!$E$6:$E$16,Movimientos!$C$6:$C$16,Stocks!$A192,Movimientos!$G$6:$G$16,Stocks!H$3,Movimientos!$A$6:$A$16,"&lt;="&amp;Stocks!$A$2)</f>
        <v>0</v>
      </c>
      <c r="I192" s="4">
        <f>SUMIFS(Movimientos!$E$6:$E$16,Movimientos!$C$6:$C$16,Stocks!$A192,Movimientos!$F$6:$F$16,Stocks!I$3,Movimientos!$A$6:$A$16,"&lt;="&amp;Stocks!$A$2)-SUMIFS(Movimientos!$E$6:$E$16,Movimientos!$C$6:$C$16,Stocks!$A192,Movimientos!$G$6:$G$16,Stocks!I$3,Movimientos!$A$6:$A$16,"&lt;="&amp;Stocks!$A$2)</f>
        <v>0</v>
      </c>
      <c r="J192" s="4">
        <f>SUMIFS(Movimientos!$E$6:$E$16,Movimientos!$C$6:$C$16,Stocks!$A192,Movimientos!$F$6:$F$16,Stocks!J$3,Movimientos!$A$6:$A$16,"&lt;="&amp;Stocks!$A$2)-SUMIFS(Movimientos!$E$6:$E$16,Movimientos!$C$6:$C$16,Stocks!$A192,Movimientos!$G$6:$G$16,Stocks!J$3,Movimientos!$A$6:$A$16,"&lt;="&amp;Stocks!$A$2)</f>
        <v>0</v>
      </c>
      <c r="K192" s="4">
        <f>SUMIFS(Movimientos!$E$6:$E$16,Movimientos!$C$6:$C$16,Stocks!$A192,Movimientos!$F$6:$F$16,Stocks!K$3,Movimientos!$A$6:$A$16,"&lt;="&amp;Stocks!$A$2)-SUMIFS(Movimientos!$E$6:$E$16,Movimientos!$C$6:$C$16,Stocks!$A192,Movimientos!$G$6:$G$16,Stocks!K$3,Movimientos!$A$6:$A$16,"&lt;="&amp;Stocks!$A$2)</f>
        <v>0</v>
      </c>
      <c r="L192" s="4">
        <f>SUMIFS(Movimientos!$E$6:$E$16,Movimientos!$C$6:$C$16,Stocks!$A192,Movimientos!$F$6:$F$16,Stocks!L$3,Movimientos!$A$6:$A$16,"&lt;="&amp;Stocks!$A$2)-SUMIFS(Movimientos!$E$6:$E$16,Movimientos!$C$6:$C$16,Stocks!$A192,Movimientos!$G$6:$G$16,Stocks!L$3,Movimientos!$A$6:$A$16,"&lt;="&amp;Stocks!$A$2)</f>
        <v>0</v>
      </c>
    </row>
    <row r="193" spans="1:12" x14ac:dyDescent="0.25">
      <c r="A193" t="str">
        <f>Codificación!A192</f>
        <v/>
      </c>
      <c r="B193" s="1">
        <f>Codificación!B192</f>
        <v>0</v>
      </c>
      <c r="E193" s="4">
        <f>SUMIFS(Movimientos!$E$6:$E$16,Movimientos!$C$6:$C$16,Stocks!$A193,Movimientos!$F$6:$F$16,Stocks!E$3,Movimientos!$A$6:$A$16,"&lt;="&amp;Stocks!$A$2)-SUMIFS(Movimientos!$E$6:$E$16,Movimientos!$C$6:$C$16,Stocks!$A193,Movimientos!$G$6:$G$16,Stocks!E$3,Movimientos!$A$6:$A$16,"&lt;="&amp;Stocks!$A$2)</f>
        <v>0</v>
      </c>
      <c r="F193" s="4">
        <f>SUMIFS(Movimientos!$E$6:$E$16,Movimientos!$C$6:$C$16,Stocks!$A193,Movimientos!$F$6:$F$16,Stocks!F$3,Movimientos!$A$6:$A$16,"&lt;="&amp;Stocks!$A$2)-SUMIFS(Movimientos!$E$6:$E$16,Movimientos!$C$6:$C$16,Stocks!$A193,Movimientos!$G$6:$G$16,Stocks!F$3,Movimientos!$A$6:$A$16,"&lt;="&amp;Stocks!$A$2)</f>
        <v>0</v>
      </c>
      <c r="G193" s="4">
        <f>SUMIFS(Movimientos!$E$6:$E$16,Movimientos!$C$6:$C$16,Stocks!$A193,Movimientos!$F$6:$F$16,Stocks!G$3,Movimientos!$A$6:$A$16,"&lt;="&amp;Stocks!$A$2)-SUMIFS(Movimientos!$E$6:$E$16,Movimientos!$C$6:$C$16,Stocks!$A193,Movimientos!$G$6:$G$16,Stocks!G$3,Movimientos!$A$6:$A$16,"&lt;="&amp;Stocks!$A$2)</f>
        <v>0</v>
      </c>
      <c r="H193" s="4">
        <f>SUMIFS(Movimientos!$E$6:$E$16,Movimientos!$C$6:$C$16,Stocks!$A193,Movimientos!$F$6:$F$16,Stocks!H$3,Movimientos!$A$6:$A$16,"&lt;="&amp;Stocks!$A$2)-SUMIFS(Movimientos!$E$6:$E$16,Movimientos!$C$6:$C$16,Stocks!$A193,Movimientos!$G$6:$G$16,Stocks!H$3,Movimientos!$A$6:$A$16,"&lt;="&amp;Stocks!$A$2)</f>
        <v>0</v>
      </c>
      <c r="I193" s="4">
        <f>SUMIFS(Movimientos!$E$6:$E$16,Movimientos!$C$6:$C$16,Stocks!$A193,Movimientos!$F$6:$F$16,Stocks!I$3,Movimientos!$A$6:$A$16,"&lt;="&amp;Stocks!$A$2)-SUMIFS(Movimientos!$E$6:$E$16,Movimientos!$C$6:$C$16,Stocks!$A193,Movimientos!$G$6:$G$16,Stocks!I$3,Movimientos!$A$6:$A$16,"&lt;="&amp;Stocks!$A$2)</f>
        <v>0</v>
      </c>
      <c r="J193" s="4">
        <f>SUMIFS(Movimientos!$E$6:$E$16,Movimientos!$C$6:$C$16,Stocks!$A193,Movimientos!$F$6:$F$16,Stocks!J$3,Movimientos!$A$6:$A$16,"&lt;="&amp;Stocks!$A$2)-SUMIFS(Movimientos!$E$6:$E$16,Movimientos!$C$6:$C$16,Stocks!$A193,Movimientos!$G$6:$G$16,Stocks!J$3,Movimientos!$A$6:$A$16,"&lt;="&amp;Stocks!$A$2)</f>
        <v>0</v>
      </c>
      <c r="K193" s="4">
        <f>SUMIFS(Movimientos!$E$6:$E$16,Movimientos!$C$6:$C$16,Stocks!$A193,Movimientos!$F$6:$F$16,Stocks!K$3,Movimientos!$A$6:$A$16,"&lt;="&amp;Stocks!$A$2)-SUMIFS(Movimientos!$E$6:$E$16,Movimientos!$C$6:$C$16,Stocks!$A193,Movimientos!$G$6:$G$16,Stocks!K$3,Movimientos!$A$6:$A$16,"&lt;="&amp;Stocks!$A$2)</f>
        <v>0</v>
      </c>
      <c r="L193" s="4">
        <f>SUMIFS(Movimientos!$E$6:$E$16,Movimientos!$C$6:$C$16,Stocks!$A193,Movimientos!$F$6:$F$16,Stocks!L$3,Movimientos!$A$6:$A$16,"&lt;="&amp;Stocks!$A$2)-SUMIFS(Movimientos!$E$6:$E$16,Movimientos!$C$6:$C$16,Stocks!$A193,Movimientos!$G$6:$G$16,Stocks!L$3,Movimientos!$A$6:$A$16,"&lt;="&amp;Stocks!$A$2)</f>
        <v>0</v>
      </c>
    </row>
    <row r="194" spans="1:12" x14ac:dyDescent="0.25">
      <c r="A194" t="str">
        <f>Codificación!A193</f>
        <v/>
      </c>
      <c r="B194" s="1">
        <f>Codificación!B193</f>
        <v>0</v>
      </c>
      <c r="E194" s="4">
        <f>SUMIFS(Movimientos!$E$6:$E$16,Movimientos!$C$6:$C$16,Stocks!$A194,Movimientos!$F$6:$F$16,Stocks!E$3,Movimientos!$A$6:$A$16,"&lt;="&amp;Stocks!$A$2)-SUMIFS(Movimientos!$E$6:$E$16,Movimientos!$C$6:$C$16,Stocks!$A194,Movimientos!$G$6:$G$16,Stocks!E$3,Movimientos!$A$6:$A$16,"&lt;="&amp;Stocks!$A$2)</f>
        <v>0</v>
      </c>
      <c r="F194" s="4">
        <f>SUMIFS(Movimientos!$E$6:$E$16,Movimientos!$C$6:$C$16,Stocks!$A194,Movimientos!$F$6:$F$16,Stocks!F$3,Movimientos!$A$6:$A$16,"&lt;="&amp;Stocks!$A$2)-SUMIFS(Movimientos!$E$6:$E$16,Movimientos!$C$6:$C$16,Stocks!$A194,Movimientos!$G$6:$G$16,Stocks!F$3,Movimientos!$A$6:$A$16,"&lt;="&amp;Stocks!$A$2)</f>
        <v>0</v>
      </c>
      <c r="G194" s="4">
        <f>SUMIFS(Movimientos!$E$6:$E$16,Movimientos!$C$6:$C$16,Stocks!$A194,Movimientos!$F$6:$F$16,Stocks!G$3,Movimientos!$A$6:$A$16,"&lt;="&amp;Stocks!$A$2)-SUMIFS(Movimientos!$E$6:$E$16,Movimientos!$C$6:$C$16,Stocks!$A194,Movimientos!$G$6:$G$16,Stocks!G$3,Movimientos!$A$6:$A$16,"&lt;="&amp;Stocks!$A$2)</f>
        <v>0</v>
      </c>
      <c r="H194" s="4">
        <f>SUMIFS(Movimientos!$E$6:$E$16,Movimientos!$C$6:$C$16,Stocks!$A194,Movimientos!$F$6:$F$16,Stocks!H$3,Movimientos!$A$6:$A$16,"&lt;="&amp;Stocks!$A$2)-SUMIFS(Movimientos!$E$6:$E$16,Movimientos!$C$6:$C$16,Stocks!$A194,Movimientos!$G$6:$G$16,Stocks!H$3,Movimientos!$A$6:$A$16,"&lt;="&amp;Stocks!$A$2)</f>
        <v>0</v>
      </c>
      <c r="I194" s="4">
        <f>SUMIFS(Movimientos!$E$6:$E$16,Movimientos!$C$6:$C$16,Stocks!$A194,Movimientos!$F$6:$F$16,Stocks!I$3,Movimientos!$A$6:$A$16,"&lt;="&amp;Stocks!$A$2)-SUMIFS(Movimientos!$E$6:$E$16,Movimientos!$C$6:$C$16,Stocks!$A194,Movimientos!$G$6:$G$16,Stocks!I$3,Movimientos!$A$6:$A$16,"&lt;="&amp;Stocks!$A$2)</f>
        <v>0</v>
      </c>
      <c r="J194" s="4">
        <f>SUMIFS(Movimientos!$E$6:$E$16,Movimientos!$C$6:$C$16,Stocks!$A194,Movimientos!$F$6:$F$16,Stocks!J$3,Movimientos!$A$6:$A$16,"&lt;="&amp;Stocks!$A$2)-SUMIFS(Movimientos!$E$6:$E$16,Movimientos!$C$6:$C$16,Stocks!$A194,Movimientos!$G$6:$G$16,Stocks!J$3,Movimientos!$A$6:$A$16,"&lt;="&amp;Stocks!$A$2)</f>
        <v>0</v>
      </c>
      <c r="K194" s="4">
        <f>SUMIFS(Movimientos!$E$6:$E$16,Movimientos!$C$6:$C$16,Stocks!$A194,Movimientos!$F$6:$F$16,Stocks!K$3,Movimientos!$A$6:$A$16,"&lt;="&amp;Stocks!$A$2)-SUMIFS(Movimientos!$E$6:$E$16,Movimientos!$C$6:$C$16,Stocks!$A194,Movimientos!$G$6:$G$16,Stocks!K$3,Movimientos!$A$6:$A$16,"&lt;="&amp;Stocks!$A$2)</f>
        <v>0</v>
      </c>
      <c r="L194" s="4">
        <f>SUMIFS(Movimientos!$E$6:$E$16,Movimientos!$C$6:$C$16,Stocks!$A194,Movimientos!$F$6:$F$16,Stocks!L$3,Movimientos!$A$6:$A$16,"&lt;="&amp;Stocks!$A$2)-SUMIFS(Movimientos!$E$6:$E$16,Movimientos!$C$6:$C$16,Stocks!$A194,Movimientos!$G$6:$G$16,Stocks!L$3,Movimientos!$A$6:$A$16,"&lt;="&amp;Stocks!$A$2)</f>
        <v>0</v>
      </c>
    </row>
    <row r="195" spans="1:12" x14ac:dyDescent="0.25">
      <c r="A195" t="str">
        <f>Codificación!A194</f>
        <v/>
      </c>
      <c r="B195" s="1">
        <f>Codificación!B194</f>
        <v>0</v>
      </c>
      <c r="E195" s="4">
        <f>SUMIFS(Movimientos!$E$6:$E$16,Movimientos!$C$6:$C$16,Stocks!$A195,Movimientos!$F$6:$F$16,Stocks!E$3,Movimientos!$A$6:$A$16,"&lt;="&amp;Stocks!$A$2)-SUMIFS(Movimientos!$E$6:$E$16,Movimientos!$C$6:$C$16,Stocks!$A195,Movimientos!$G$6:$G$16,Stocks!E$3,Movimientos!$A$6:$A$16,"&lt;="&amp;Stocks!$A$2)</f>
        <v>0</v>
      </c>
      <c r="F195" s="4">
        <f>SUMIFS(Movimientos!$E$6:$E$16,Movimientos!$C$6:$C$16,Stocks!$A195,Movimientos!$F$6:$F$16,Stocks!F$3,Movimientos!$A$6:$A$16,"&lt;="&amp;Stocks!$A$2)-SUMIFS(Movimientos!$E$6:$E$16,Movimientos!$C$6:$C$16,Stocks!$A195,Movimientos!$G$6:$G$16,Stocks!F$3,Movimientos!$A$6:$A$16,"&lt;="&amp;Stocks!$A$2)</f>
        <v>0</v>
      </c>
      <c r="G195" s="4">
        <f>SUMIFS(Movimientos!$E$6:$E$16,Movimientos!$C$6:$C$16,Stocks!$A195,Movimientos!$F$6:$F$16,Stocks!G$3,Movimientos!$A$6:$A$16,"&lt;="&amp;Stocks!$A$2)-SUMIFS(Movimientos!$E$6:$E$16,Movimientos!$C$6:$C$16,Stocks!$A195,Movimientos!$G$6:$G$16,Stocks!G$3,Movimientos!$A$6:$A$16,"&lt;="&amp;Stocks!$A$2)</f>
        <v>0</v>
      </c>
      <c r="H195" s="4">
        <f>SUMIFS(Movimientos!$E$6:$E$16,Movimientos!$C$6:$C$16,Stocks!$A195,Movimientos!$F$6:$F$16,Stocks!H$3,Movimientos!$A$6:$A$16,"&lt;="&amp;Stocks!$A$2)-SUMIFS(Movimientos!$E$6:$E$16,Movimientos!$C$6:$C$16,Stocks!$A195,Movimientos!$G$6:$G$16,Stocks!H$3,Movimientos!$A$6:$A$16,"&lt;="&amp;Stocks!$A$2)</f>
        <v>0</v>
      </c>
      <c r="I195" s="4">
        <f>SUMIFS(Movimientos!$E$6:$E$16,Movimientos!$C$6:$C$16,Stocks!$A195,Movimientos!$F$6:$F$16,Stocks!I$3,Movimientos!$A$6:$A$16,"&lt;="&amp;Stocks!$A$2)-SUMIFS(Movimientos!$E$6:$E$16,Movimientos!$C$6:$C$16,Stocks!$A195,Movimientos!$G$6:$G$16,Stocks!I$3,Movimientos!$A$6:$A$16,"&lt;="&amp;Stocks!$A$2)</f>
        <v>0</v>
      </c>
      <c r="J195" s="4">
        <f>SUMIFS(Movimientos!$E$6:$E$16,Movimientos!$C$6:$C$16,Stocks!$A195,Movimientos!$F$6:$F$16,Stocks!J$3,Movimientos!$A$6:$A$16,"&lt;="&amp;Stocks!$A$2)-SUMIFS(Movimientos!$E$6:$E$16,Movimientos!$C$6:$C$16,Stocks!$A195,Movimientos!$G$6:$G$16,Stocks!J$3,Movimientos!$A$6:$A$16,"&lt;="&amp;Stocks!$A$2)</f>
        <v>0</v>
      </c>
      <c r="K195" s="4">
        <f>SUMIFS(Movimientos!$E$6:$E$16,Movimientos!$C$6:$C$16,Stocks!$A195,Movimientos!$F$6:$F$16,Stocks!K$3,Movimientos!$A$6:$A$16,"&lt;="&amp;Stocks!$A$2)-SUMIFS(Movimientos!$E$6:$E$16,Movimientos!$C$6:$C$16,Stocks!$A195,Movimientos!$G$6:$G$16,Stocks!K$3,Movimientos!$A$6:$A$16,"&lt;="&amp;Stocks!$A$2)</f>
        <v>0</v>
      </c>
      <c r="L195" s="4">
        <f>SUMIFS(Movimientos!$E$6:$E$16,Movimientos!$C$6:$C$16,Stocks!$A195,Movimientos!$F$6:$F$16,Stocks!L$3,Movimientos!$A$6:$A$16,"&lt;="&amp;Stocks!$A$2)-SUMIFS(Movimientos!$E$6:$E$16,Movimientos!$C$6:$C$16,Stocks!$A195,Movimientos!$G$6:$G$16,Stocks!L$3,Movimientos!$A$6:$A$16,"&lt;="&amp;Stocks!$A$2)</f>
        <v>0</v>
      </c>
    </row>
    <row r="196" spans="1:12" x14ac:dyDescent="0.25">
      <c r="A196" t="str">
        <f>Codificación!A195</f>
        <v/>
      </c>
      <c r="B196" s="1">
        <f>Codificación!B195</f>
        <v>0</v>
      </c>
      <c r="E196" s="4">
        <f>SUMIFS(Movimientos!$E$6:$E$16,Movimientos!$C$6:$C$16,Stocks!$A196,Movimientos!$F$6:$F$16,Stocks!E$3,Movimientos!$A$6:$A$16,"&lt;="&amp;Stocks!$A$2)-SUMIFS(Movimientos!$E$6:$E$16,Movimientos!$C$6:$C$16,Stocks!$A196,Movimientos!$G$6:$G$16,Stocks!E$3,Movimientos!$A$6:$A$16,"&lt;="&amp;Stocks!$A$2)</f>
        <v>0</v>
      </c>
      <c r="F196" s="4">
        <f>SUMIFS(Movimientos!$E$6:$E$16,Movimientos!$C$6:$C$16,Stocks!$A196,Movimientos!$F$6:$F$16,Stocks!F$3,Movimientos!$A$6:$A$16,"&lt;="&amp;Stocks!$A$2)-SUMIFS(Movimientos!$E$6:$E$16,Movimientos!$C$6:$C$16,Stocks!$A196,Movimientos!$G$6:$G$16,Stocks!F$3,Movimientos!$A$6:$A$16,"&lt;="&amp;Stocks!$A$2)</f>
        <v>0</v>
      </c>
      <c r="G196" s="4">
        <f>SUMIFS(Movimientos!$E$6:$E$16,Movimientos!$C$6:$C$16,Stocks!$A196,Movimientos!$F$6:$F$16,Stocks!G$3,Movimientos!$A$6:$A$16,"&lt;="&amp;Stocks!$A$2)-SUMIFS(Movimientos!$E$6:$E$16,Movimientos!$C$6:$C$16,Stocks!$A196,Movimientos!$G$6:$G$16,Stocks!G$3,Movimientos!$A$6:$A$16,"&lt;="&amp;Stocks!$A$2)</f>
        <v>0</v>
      </c>
      <c r="H196" s="4">
        <f>SUMIFS(Movimientos!$E$6:$E$16,Movimientos!$C$6:$C$16,Stocks!$A196,Movimientos!$F$6:$F$16,Stocks!H$3,Movimientos!$A$6:$A$16,"&lt;="&amp;Stocks!$A$2)-SUMIFS(Movimientos!$E$6:$E$16,Movimientos!$C$6:$C$16,Stocks!$A196,Movimientos!$G$6:$G$16,Stocks!H$3,Movimientos!$A$6:$A$16,"&lt;="&amp;Stocks!$A$2)</f>
        <v>0</v>
      </c>
      <c r="I196" s="4">
        <f>SUMIFS(Movimientos!$E$6:$E$16,Movimientos!$C$6:$C$16,Stocks!$A196,Movimientos!$F$6:$F$16,Stocks!I$3,Movimientos!$A$6:$A$16,"&lt;="&amp;Stocks!$A$2)-SUMIFS(Movimientos!$E$6:$E$16,Movimientos!$C$6:$C$16,Stocks!$A196,Movimientos!$G$6:$G$16,Stocks!I$3,Movimientos!$A$6:$A$16,"&lt;="&amp;Stocks!$A$2)</f>
        <v>0</v>
      </c>
      <c r="J196" s="4">
        <f>SUMIFS(Movimientos!$E$6:$E$16,Movimientos!$C$6:$C$16,Stocks!$A196,Movimientos!$F$6:$F$16,Stocks!J$3,Movimientos!$A$6:$A$16,"&lt;="&amp;Stocks!$A$2)-SUMIFS(Movimientos!$E$6:$E$16,Movimientos!$C$6:$C$16,Stocks!$A196,Movimientos!$G$6:$G$16,Stocks!J$3,Movimientos!$A$6:$A$16,"&lt;="&amp;Stocks!$A$2)</f>
        <v>0</v>
      </c>
      <c r="K196" s="4">
        <f>SUMIFS(Movimientos!$E$6:$E$16,Movimientos!$C$6:$C$16,Stocks!$A196,Movimientos!$F$6:$F$16,Stocks!K$3,Movimientos!$A$6:$A$16,"&lt;="&amp;Stocks!$A$2)-SUMIFS(Movimientos!$E$6:$E$16,Movimientos!$C$6:$C$16,Stocks!$A196,Movimientos!$G$6:$G$16,Stocks!K$3,Movimientos!$A$6:$A$16,"&lt;="&amp;Stocks!$A$2)</f>
        <v>0</v>
      </c>
      <c r="L196" s="4">
        <f>SUMIFS(Movimientos!$E$6:$E$16,Movimientos!$C$6:$C$16,Stocks!$A196,Movimientos!$F$6:$F$16,Stocks!L$3,Movimientos!$A$6:$A$16,"&lt;="&amp;Stocks!$A$2)-SUMIFS(Movimientos!$E$6:$E$16,Movimientos!$C$6:$C$16,Stocks!$A196,Movimientos!$G$6:$G$16,Stocks!L$3,Movimientos!$A$6:$A$16,"&lt;="&amp;Stocks!$A$2)</f>
        <v>0</v>
      </c>
    </row>
    <row r="197" spans="1:12" x14ac:dyDescent="0.25">
      <c r="A197" t="str">
        <f>Codificación!A196</f>
        <v/>
      </c>
      <c r="B197" s="1">
        <f>Codificación!B196</f>
        <v>0</v>
      </c>
      <c r="E197" s="4">
        <f>SUMIFS(Movimientos!$E$6:$E$16,Movimientos!$C$6:$C$16,Stocks!$A197,Movimientos!$F$6:$F$16,Stocks!E$3,Movimientos!$A$6:$A$16,"&lt;="&amp;Stocks!$A$2)-SUMIFS(Movimientos!$E$6:$E$16,Movimientos!$C$6:$C$16,Stocks!$A197,Movimientos!$G$6:$G$16,Stocks!E$3,Movimientos!$A$6:$A$16,"&lt;="&amp;Stocks!$A$2)</f>
        <v>0</v>
      </c>
      <c r="F197" s="4">
        <f>SUMIFS(Movimientos!$E$6:$E$16,Movimientos!$C$6:$C$16,Stocks!$A197,Movimientos!$F$6:$F$16,Stocks!F$3,Movimientos!$A$6:$A$16,"&lt;="&amp;Stocks!$A$2)-SUMIFS(Movimientos!$E$6:$E$16,Movimientos!$C$6:$C$16,Stocks!$A197,Movimientos!$G$6:$G$16,Stocks!F$3,Movimientos!$A$6:$A$16,"&lt;="&amp;Stocks!$A$2)</f>
        <v>0</v>
      </c>
      <c r="G197" s="4">
        <f>SUMIFS(Movimientos!$E$6:$E$16,Movimientos!$C$6:$C$16,Stocks!$A197,Movimientos!$F$6:$F$16,Stocks!G$3,Movimientos!$A$6:$A$16,"&lt;="&amp;Stocks!$A$2)-SUMIFS(Movimientos!$E$6:$E$16,Movimientos!$C$6:$C$16,Stocks!$A197,Movimientos!$G$6:$G$16,Stocks!G$3,Movimientos!$A$6:$A$16,"&lt;="&amp;Stocks!$A$2)</f>
        <v>0</v>
      </c>
      <c r="H197" s="4">
        <f>SUMIFS(Movimientos!$E$6:$E$16,Movimientos!$C$6:$C$16,Stocks!$A197,Movimientos!$F$6:$F$16,Stocks!H$3,Movimientos!$A$6:$A$16,"&lt;="&amp;Stocks!$A$2)-SUMIFS(Movimientos!$E$6:$E$16,Movimientos!$C$6:$C$16,Stocks!$A197,Movimientos!$G$6:$G$16,Stocks!H$3,Movimientos!$A$6:$A$16,"&lt;="&amp;Stocks!$A$2)</f>
        <v>0</v>
      </c>
      <c r="I197" s="4">
        <f>SUMIFS(Movimientos!$E$6:$E$16,Movimientos!$C$6:$C$16,Stocks!$A197,Movimientos!$F$6:$F$16,Stocks!I$3,Movimientos!$A$6:$A$16,"&lt;="&amp;Stocks!$A$2)-SUMIFS(Movimientos!$E$6:$E$16,Movimientos!$C$6:$C$16,Stocks!$A197,Movimientos!$G$6:$G$16,Stocks!I$3,Movimientos!$A$6:$A$16,"&lt;="&amp;Stocks!$A$2)</f>
        <v>0</v>
      </c>
      <c r="J197" s="4">
        <f>SUMIFS(Movimientos!$E$6:$E$16,Movimientos!$C$6:$C$16,Stocks!$A197,Movimientos!$F$6:$F$16,Stocks!J$3,Movimientos!$A$6:$A$16,"&lt;="&amp;Stocks!$A$2)-SUMIFS(Movimientos!$E$6:$E$16,Movimientos!$C$6:$C$16,Stocks!$A197,Movimientos!$G$6:$G$16,Stocks!J$3,Movimientos!$A$6:$A$16,"&lt;="&amp;Stocks!$A$2)</f>
        <v>0</v>
      </c>
      <c r="K197" s="4">
        <f>SUMIFS(Movimientos!$E$6:$E$16,Movimientos!$C$6:$C$16,Stocks!$A197,Movimientos!$F$6:$F$16,Stocks!K$3,Movimientos!$A$6:$A$16,"&lt;="&amp;Stocks!$A$2)-SUMIFS(Movimientos!$E$6:$E$16,Movimientos!$C$6:$C$16,Stocks!$A197,Movimientos!$G$6:$G$16,Stocks!K$3,Movimientos!$A$6:$A$16,"&lt;="&amp;Stocks!$A$2)</f>
        <v>0</v>
      </c>
      <c r="L197" s="4">
        <f>SUMIFS(Movimientos!$E$6:$E$16,Movimientos!$C$6:$C$16,Stocks!$A197,Movimientos!$F$6:$F$16,Stocks!L$3,Movimientos!$A$6:$A$16,"&lt;="&amp;Stocks!$A$2)-SUMIFS(Movimientos!$E$6:$E$16,Movimientos!$C$6:$C$16,Stocks!$A197,Movimientos!$G$6:$G$16,Stocks!L$3,Movimientos!$A$6:$A$16,"&lt;="&amp;Stocks!$A$2)</f>
        <v>0</v>
      </c>
    </row>
    <row r="198" spans="1:12" x14ac:dyDescent="0.25">
      <c r="A198" t="str">
        <f>Codificación!A197</f>
        <v/>
      </c>
      <c r="B198" s="1">
        <f>Codificación!B197</f>
        <v>0</v>
      </c>
      <c r="E198" s="4">
        <f>SUMIFS(Movimientos!$E$6:$E$16,Movimientos!$C$6:$C$16,Stocks!$A198,Movimientos!$F$6:$F$16,Stocks!E$3,Movimientos!$A$6:$A$16,"&lt;="&amp;Stocks!$A$2)-SUMIFS(Movimientos!$E$6:$E$16,Movimientos!$C$6:$C$16,Stocks!$A198,Movimientos!$G$6:$G$16,Stocks!E$3,Movimientos!$A$6:$A$16,"&lt;="&amp;Stocks!$A$2)</f>
        <v>0</v>
      </c>
      <c r="F198" s="4">
        <f>SUMIFS(Movimientos!$E$6:$E$16,Movimientos!$C$6:$C$16,Stocks!$A198,Movimientos!$F$6:$F$16,Stocks!F$3,Movimientos!$A$6:$A$16,"&lt;="&amp;Stocks!$A$2)-SUMIFS(Movimientos!$E$6:$E$16,Movimientos!$C$6:$C$16,Stocks!$A198,Movimientos!$G$6:$G$16,Stocks!F$3,Movimientos!$A$6:$A$16,"&lt;="&amp;Stocks!$A$2)</f>
        <v>0</v>
      </c>
      <c r="G198" s="4">
        <f>SUMIFS(Movimientos!$E$6:$E$16,Movimientos!$C$6:$C$16,Stocks!$A198,Movimientos!$F$6:$F$16,Stocks!G$3,Movimientos!$A$6:$A$16,"&lt;="&amp;Stocks!$A$2)-SUMIFS(Movimientos!$E$6:$E$16,Movimientos!$C$6:$C$16,Stocks!$A198,Movimientos!$G$6:$G$16,Stocks!G$3,Movimientos!$A$6:$A$16,"&lt;="&amp;Stocks!$A$2)</f>
        <v>0</v>
      </c>
      <c r="H198" s="4">
        <f>SUMIFS(Movimientos!$E$6:$E$16,Movimientos!$C$6:$C$16,Stocks!$A198,Movimientos!$F$6:$F$16,Stocks!H$3,Movimientos!$A$6:$A$16,"&lt;="&amp;Stocks!$A$2)-SUMIFS(Movimientos!$E$6:$E$16,Movimientos!$C$6:$C$16,Stocks!$A198,Movimientos!$G$6:$G$16,Stocks!H$3,Movimientos!$A$6:$A$16,"&lt;="&amp;Stocks!$A$2)</f>
        <v>0</v>
      </c>
      <c r="I198" s="4">
        <f>SUMIFS(Movimientos!$E$6:$E$16,Movimientos!$C$6:$C$16,Stocks!$A198,Movimientos!$F$6:$F$16,Stocks!I$3,Movimientos!$A$6:$A$16,"&lt;="&amp;Stocks!$A$2)-SUMIFS(Movimientos!$E$6:$E$16,Movimientos!$C$6:$C$16,Stocks!$A198,Movimientos!$G$6:$G$16,Stocks!I$3,Movimientos!$A$6:$A$16,"&lt;="&amp;Stocks!$A$2)</f>
        <v>0</v>
      </c>
      <c r="J198" s="4">
        <f>SUMIFS(Movimientos!$E$6:$E$16,Movimientos!$C$6:$C$16,Stocks!$A198,Movimientos!$F$6:$F$16,Stocks!J$3,Movimientos!$A$6:$A$16,"&lt;="&amp;Stocks!$A$2)-SUMIFS(Movimientos!$E$6:$E$16,Movimientos!$C$6:$C$16,Stocks!$A198,Movimientos!$G$6:$G$16,Stocks!J$3,Movimientos!$A$6:$A$16,"&lt;="&amp;Stocks!$A$2)</f>
        <v>0</v>
      </c>
      <c r="K198" s="4">
        <f>SUMIFS(Movimientos!$E$6:$E$16,Movimientos!$C$6:$C$16,Stocks!$A198,Movimientos!$F$6:$F$16,Stocks!K$3,Movimientos!$A$6:$A$16,"&lt;="&amp;Stocks!$A$2)-SUMIFS(Movimientos!$E$6:$E$16,Movimientos!$C$6:$C$16,Stocks!$A198,Movimientos!$G$6:$G$16,Stocks!K$3,Movimientos!$A$6:$A$16,"&lt;="&amp;Stocks!$A$2)</f>
        <v>0</v>
      </c>
      <c r="L198" s="4">
        <f>SUMIFS(Movimientos!$E$6:$E$16,Movimientos!$C$6:$C$16,Stocks!$A198,Movimientos!$F$6:$F$16,Stocks!L$3,Movimientos!$A$6:$A$16,"&lt;="&amp;Stocks!$A$2)-SUMIFS(Movimientos!$E$6:$E$16,Movimientos!$C$6:$C$16,Stocks!$A198,Movimientos!$G$6:$G$16,Stocks!L$3,Movimientos!$A$6:$A$16,"&lt;="&amp;Stocks!$A$2)</f>
        <v>0</v>
      </c>
    </row>
    <row r="199" spans="1:12" x14ac:dyDescent="0.25">
      <c r="A199" t="str">
        <f>Codificación!A198</f>
        <v/>
      </c>
      <c r="B199" s="1">
        <f>Codificación!B198</f>
        <v>0</v>
      </c>
      <c r="E199" s="4">
        <f>SUMIFS(Movimientos!$E$6:$E$16,Movimientos!$C$6:$C$16,Stocks!$A199,Movimientos!$F$6:$F$16,Stocks!E$3,Movimientos!$A$6:$A$16,"&lt;="&amp;Stocks!$A$2)-SUMIFS(Movimientos!$E$6:$E$16,Movimientos!$C$6:$C$16,Stocks!$A199,Movimientos!$G$6:$G$16,Stocks!E$3,Movimientos!$A$6:$A$16,"&lt;="&amp;Stocks!$A$2)</f>
        <v>0</v>
      </c>
      <c r="F199" s="4">
        <f>SUMIFS(Movimientos!$E$6:$E$16,Movimientos!$C$6:$C$16,Stocks!$A199,Movimientos!$F$6:$F$16,Stocks!F$3,Movimientos!$A$6:$A$16,"&lt;="&amp;Stocks!$A$2)-SUMIFS(Movimientos!$E$6:$E$16,Movimientos!$C$6:$C$16,Stocks!$A199,Movimientos!$G$6:$G$16,Stocks!F$3,Movimientos!$A$6:$A$16,"&lt;="&amp;Stocks!$A$2)</f>
        <v>0</v>
      </c>
      <c r="G199" s="4">
        <f>SUMIFS(Movimientos!$E$6:$E$16,Movimientos!$C$6:$C$16,Stocks!$A199,Movimientos!$F$6:$F$16,Stocks!G$3,Movimientos!$A$6:$A$16,"&lt;="&amp;Stocks!$A$2)-SUMIFS(Movimientos!$E$6:$E$16,Movimientos!$C$6:$C$16,Stocks!$A199,Movimientos!$G$6:$G$16,Stocks!G$3,Movimientos!$A$6:$A$16,"&lt;="&amp;Stocks!$A$2)</f>
        <v>0</v>
      </c>
      <c r="H199" s="4">
        <f>SUMIFS(Movimientos!$E$6:$E$16,Movimientos!$C$6:$C$16,Stocks!$A199,Movimientos!$F$6:$F$16,Stocks!H$3,Movimientos!$A$6:$A$16,"&lt;="&amp;Stocks!$A$2)-SUMIFS(Movimientos!$E$6:$E$16,Movimientos!$C$6:$C$16,Stocks!$A199,Movimientos!$G$6:$G$16,Stocks!H$3,Movimientos!$A$6:$A$16,"&lt;="&amp;Stocks!$A$2)</f>
        <v>0</v>
      </c>
      <c r="I199" s="4">
        <f>SUMIFS(Movimientos!$E$6:$E$16,Movimientos!$C$6:$C$16,Stocks!$A199,Movimientos!$F$6:$F$16,Stocks!I$3,Movimientos!$A$6:$A$16,"&lt;="&amp;Stocks!$A$2)-SUMIFS(Movimientos!$E$6:$E$16,Movimientos!$C$6:$C$16,Stocks!$A199,Movimientos!$G$6:$G$16,Stocks!I$3,Movimientos!$A$6:$A$16,"&lt;="&amp;Stocks!$A$2)</f>
        <v>0</v>
      </c>
      <c r="J199" s="4">
        <f>SUMIFS(Movimientos!$E$6:$E$16,Movimientos!$C$6:$C$16,Stocks!$A199,Movimientos!$F$6:$F$16,Stocks!J$3,Movimientos!$A$6:$A$16,"&lt;="&amp;Stocks!$A$2)-SUMIFS(Movimientos!$E$6:$E$16,Movimientos!$C$6:$C$16,Stocks!$A199,Movimientos!$G$6:$G$16,Stocks!J$3,Movimientos!$A$6:$A$16,"&lt;="&amp;Stocks!$A$2)</f>
        <v>0</v>
      </c>
      <c r="K199" s="4">
        <f>SUMIFS(Movimientos!$E$6:$E$16,Movimientos!$C$6:$C$16,Stocks!$A199,Movimientos!$F$6:$F$16,Stocks!K$3,Movimientos!$A$6:$A$16,"&lt;="&amp;Stocks!$A$2)-SUMIFS(Movimientos!$E$6:$E$16,Movimientos!$C$6:$C$16,Stocks!$A199,Movimientos!$G$6:$G$16,Stocks!K$3,Movimientos!$A$6:$A$16,"&lt;="&amp;Stocks!$A$2)</f>
        <v>0</v>
      </c>
      <c r="L199" s="4">
        <f>SUMIFS(Movimientos!$E$6:$E$16,Movimientos!$C$6:$C$16,Stocks!$A199,Movimientos!$F$6:$F$16,Stocks!L$3,Movimientos!$A$6:$A$16,"&lt;="&amp;Stocks!$A$2)-SUMIFS(Movimientos!$E$6:$E$16,Movimientos!$C$6:$C$16,Stocks!$A199,Movimientos!$G$6:$G$16,Stocks!L$3,Movimientos!$A$6:$A$16,"&lt;="&amp;Stocks!$A$2)</f>
        <v>0</v>
      </c>
    </row>
    <row r="200" spans="1:12" x14ac:dyDescent="0.25">
      <c r="A200" t="str">
        <f>Codificación!A199</f>
        <v/>
      </c>
      <c r="B200" s="1">
        <f>Codificación!B199</f>
        <v>0</v>
      </c>
      <c r="E200" s="4">
        <f>SUMIFS(Movimientos!$E$6:$E$16,Movimientos!$C$6:$C$16,Stocks!$A200,Movimientos!$F$6:$F$16,Stocks!E$3,Movimientos!$A$6:$A$16,"&lt;="&amp;Stocks!$A$2)-SUMIFS(Movimientos!$E$6:$E$16,Movimientos!$C$6:$C$16,Stocks!$A200,Movimientos!$G$6:$G$16,Stocks!E$3,Movimientos!$A$6:$A$16,"&lt;="&amp;Stocks!$A$2)</f>
        <v>0</v>
      </c>
      <c r="F200" s="4">
        <f>SUMIFS(Movimientos!$E$6:$E$16,Movimientos!$C$6:$C$16,Stocks!$A200,Movimientos!$F$6:$F$16,Stocks!F$3,Movimientos!$A$6:$A$16,"&lt;="&amp;Stocks!$A$2)-SUMIFS(Movimientos!$E$6:$E$16,Movimientos!$C$6:$C$16,Stocks!$A200,Movimientos!$G$6:$G$16,Stocks!F$3,Movimientos!$A$6:$A$16,"&lt;="&amp;Stocks!$A$2)</f>
        <v>0</v>
      </c>
      <c r="G200" s="4">
        <f>SUMIFS(Movimientos!$E$6:$E$16,Movimientos!$C$6:$C$16,Stocks!$A200,Movimientos!$F$6:$F$16,Stocks!G$3,Movimientos!$A$6:$A$16,"&lt;="&amp;Stocks!$A$2)-SUMIFS(Movimientos!$E$6:$E$16,Movimientos!$C$6:$C$16,Stocks!$A200,Movimientos!$G$6:$G$16,Stocks!G$3,Movimientos!$A$6:$A$16,"&lt;="&amp;Stocks!$A$2)</f>
        <v>0</v>
      </c>
      <c r="H200" s="4">
        <f>SUMIFS(Movimientos!$E$6:$E$16,Movimientos!$C$6:$C$16,Stocks!$A200,Movimientos!$F$6:$F$16,Stocks!H$3,Movimientos!$A$6:$A$16,"&lt;="&amp;Stocks!$A$2)-SUMIFS(Movimientos!$E$6:$E$16,Movimientos!$C$6:$C$16,Stocks!$A200,Movimientos!$G$6:$G$16,Stocks!H$3,Movimientos!$A$6:$A$16,"&lt;="&amp;Stocks!$A$2)</f>
        <v>0</v>
      </c>
      <c r="I200" s="4">
        <f>SUMIFS(Movimientos!$E$6:$E$16,Movimientos!$C$6:$C$16,Stocks!$A200,Movimientos!$F$6:$F$16,Stocks!I$3,Movimientos!$A$6:$A$16,"&lt;="&amp;Stocks!$A$2)-SUMIFS(Movimientos!$E$6:$E$16,Movimientos!$C$6:$C$16,Stocks!$A200,Movimientos!$G$6:$G$16,Stocks!I$3,Movimientos!$A$6:$A$16,"&lt;="&amp;Stocks!$A$2)</f>
        <v>0</v>
      </c>
      <c r="J200" s="4">
        <f>SUMIFS(Movimientos!$E$6:$E$16,Movimientos!$C$6:$C$16,Stocks!$A200,Movimientos!$F$6:$F$16,Stocks!J$3,Movimientos!$A$6:$A$16,"&lt;="&amp;Stocks!$A$2)-SUMIFS(Movimientos!$E$6:$E$16,Movimientos!$C$6:$C$16,Stocks!$A200,Movimientos!$G$6:$G$16,Stocks!J$3,Movimientos!$A$6:$A$16,"&lt;="&amp;Stocks!$A$2)</f>
        <v>0</v>
      </c>
      <c r="K200" s="4">
        <f>SUMIFS(Movimientos!$E$6:$E$16,Movimientos!$C$6:$C$16,Stocks!$A200,Movimientos!$F$6:$F$16,Stocks!K$3,Movimientos!$A$6:$A$16,"&lt;="&amp;Stocks!$A$2)-SUMIFS(Movimientos!$E$6:$E$16,Movimientos!$C$6:$C$16,Stocks!$A200,Movimientos!$G$6:$G$16,Stocks!K$3,Movimientos!$A$6:$A$16,"&lt;="&amp;Stocks!$A$2)</f>
        <v>0</v>
      </c>
      <c r="L200" s="4">
        <f>SUMIFS(Movimientos!$E$6:$E$16,Movimientos!$C$6:$C$16,Stocks!$A200,Movimientos!$F$6:$F$16,Stocks!L$3,Movimientos!$A$6:$A$16,"&lt;="&amp;Stocks!$A$2)-SUMIFS(Movimientos!$E$6:$E$16,Movimientos!$C$6:$C$16,Stocks!$A200,Movimientos!$G$6:$G$16,Stocks!L$3,Movimientos!$A$6:$A$16,"&lt;="&amp;Stocks!$A$2)</f>
        <v>0</v>
      </c>
    </row>
    <row r="201" spans="1:12" x14ac:dyDescent="0.25">
      <c r="A201" t="str">
        <f>Codificación!A200</f>
        <v/>
      </c>
      <c r="B201" s="1">
        <f>Codificación!B200</f>
        <v>0</v>
      </c>
      <c r="E201" s="4">
        <f>SUMIFS(Movimientos!$E$6:$E$16,Movimientos!$C$6:$C$16,Stocks!$A201,Movimientos!$F$6:$F$16,Stocks!E$3,Movimientos!$A$6:$A$16,"&lt;="&amp;Stocks!$A$2)-SUMIFS(Movimientos!$E$6:$E$16,Movimientos!$C$6:$C$16,Stocks!$A201,Movimientos!$G$6:$G$16,Stocks!E$3,Movimientos!$A$6:$A$16,"&lt;="&amp;Stocks!$A$2)</f>
        <v>0</v>
      </c>
      <c r="F201" s="4">
        <f>SUMIFS(Movimientos!$E$6:$E$16,Movimientos!$C$6:$C$16,Stocks!$A201,Movimientos!$F$6:$F$16,Stocks!F$3,Movimientos!$A$6:$A$16,"&lt;="&amp;Stocks!$A$2)-SUMIFS(Movimientos!$E$6:$E$16,Movimientos!$C$6:$C$16,Stocks!$A201,Movimientos!$G$6:$G$16,Stocks!F$3,Movimientos!$A$6:$A$16,"&lt;="&amp;Stocks!$A$2)</f>
        <v>0</v>
      </c>
      <c r="G201" s="4">
        <f>SUMIFS(Movimientos!$E$6:$E$16,Movimientos!$C$6:$C$16,Stocks!$A201,Movimientos!$F$6:$F$16,Stocks!G$3,Movimientos!$A$6:$A$16,"&lt;="&amp;Stocks!$A$2)-SUMIFS(Movimientos!$E$6:$E$16,Movimientos!$C$6:$C$16,Stocks!$A201,Movimientos!$G$6:$G$16,Stocks!G$3,Movimientos!$A$6:$A$16,"&lt;="&amp;Stocks!$A$2)</f>
        <v>0</v>
      </c>
      <c r="H201" s="4">
        <f>SUMIFS(Movimientos!$E$6:$E$16,Movimientos!$C$6:$C$16,Stocks!$A201,Movimientos!$F$6:$F$16,Stocks!H$3,Movimientos!$A$6:$A$16,"&lt;="&amp;Stocks!$A$2)-SUMIFS(Movimientos!$E$6:$E$16,Movimientos!$C$6:$C$16,Stocks!$A201,Movimientos!$G$6:$G$16,Stocks!H$3,Movimientos!$A$6:$A$16,"&lt;="&amp;Stocks!$A$2)</f>
        <v>0</v>
      </c>
      <c r="I201" s="4">
        <f>SUMIFS(Movimientos!$E$6:$E$16,Movimientos!$C$6:$C$16,Stocks!$A201,Movimientos!$F$6:$F$16,Stocks!I$3,Movimientos!$A$6:$A$16,"&lt;="&amp;Stocks!$A$2)-SUMIFS(Movimientos!$E$6:$E$16,Movimientos!$C$6:$C$16,Stocks!$A201,Movimientos!$G$6:$G$16,Stocks!I$3,Movimientos!$A$6:$A$16,"&lt;="&amp;Stocks!$A$2)</f>
        <v>0</v>
      </c>
      <c r="J201" s="4">
        <f>SUMIFS(Movimientos!$E$6:$E$16,Movimientos!$C$6:$C$16,Stocks!$A201,Movimientos!$F$6:$F$16,Stocks!J$3,Movimientos!$A$6:$A$16,"&lt;="&amp;Stocks!$A$2)-SUMIFS(Movimientos!$E$6:$E$16,Movimientos!$C$6:$C$16,Stocks!$A201,Movimientos!$G$6:$G$16,Stocks!J$3,Movimientos!$A$6:$A$16,"&lt;="&amp;Stocks!$A$2)</f>
        <v>0</v>
      </c>
      <c r="K201" s="4">
        <f>SUMIFS(Movimientos!$E$6:$E$16,Movimientos!$C$6:$C$16,Stocks!$A201,Movimientos!$F$6:$F$16,Stocks!K$3,Movimientos!$A$6:$A$16,"&lt;="&amp;Stocks!$A$2)-SUMIFS(Movimientos!$E$6:$E$16,Movimientos!$C$6:$C$16,Stocks!$A201,Movimientos!$G$6:$G$16,Stocks!K$3,Movimientos!$A$6:$A$16,"&lt;="&amp;Stocks!$A$2)</f>
        <v>0</v>
      </c>
      <c r="L201" s="4">
        <f>SUMIFS(Movimientos!$E$6:$E$16,Movimientos!$C$6:$C$16,Stocks!$A201,Movimientos!$F$6:$F$16,Stocks!L$3,Movimientos!$A$6:$A$16,"&lt;="&amp;Stocks!$A$2)-SUMIFS(Movimientos!$E$6:$E$16,Movimientos!$C$6:$C$16,Stocks!$A201,Movimientos!$G$6:$G$16,Stocks!L$3,Movimientos!$A$6:$A$16,"&lt;="&amp;Stocks!$A$2)</f>
        <v>0</v>
      </c>
    </row>
    <row r="202" spans="1:12" x14ac:dyDescent="0.25">
      <c r="A202" t="str">
        <f>Codificación!A201</f>
        <v/>
      </c>
      <c r="B202" s="1">
        <f>Codificación!B201</f>
        <v>0</v>
      </c>
      <c r="E202" s="4">
        <f>SUMIFS(Movimientos!$E$6:$E$16,Movimientos!$C$6:$C$16,Stocks!$A202,Movimientos!$F$6:$F$16,Stocks!E$3,Movimientos!$A$6:$A$16,"&lt;="&amp;Stocks!$A$2)-SUMIFS(Movimientos!$E$6:$E$16,Movimientos!$C$6:$C$16,Stocks!$A202,Movimientos!$G$6:$G$16,Stocks!E$3,Movimientos!$A$6:$A$16,"&lt;="&amp;Stocks!$A$2)</f>
        <v>0</v>
      </c>
      <c r="F202" s="4">
        <f>SUMIFS(Movimientos!$E$6:$E$16,Movimientos!$C$6:$C$16,Stocks!$A202,Movimientos!$F$6:$F$16,Stocks!F$3,Movimientos!$A$6:$A$16,"&lt;="&amp;Stocks!$A$2)-SUMIFS(Movimientos!$E$6:$E$16,Movimientos!$C$6:$C$16,Stocks!$A202,Movimientos!$G$6:$G$16,Stocks!F$3,Movimientos!$A$6:$A$16,"&lt;="&amp;Stocks!$A$2)</f>
        <v>0</v>
      </c>
      <c r="G202" s="4">
        <f>SUMIFS(Movimientos!$E$6:$E$16,Movimientos!$C$6:$C$16,Stocks!$A202,Movimientos!$F$6:$F$16,Stocks!G$3,Movimientos!$A$6:$A$16,"&lt;="&amp;Stocks!$A$2)-SUMIFS(Movimientos!$E$6:$E$16,Movimientos!$C$6:$C$16,Stocks!$A202,Movimientos!$G$6:$G$16,Stocks!G$3,Movimientos!$A$6:$A$16,"&lt;="&amp;Stocks!$A$2)</f>
        <v>0</v>
      </c>
      <c r="H202" s="4">
        <f>SUMIFS(Movimientos!$E$6:$E$16,Movimientos!$C$6:$C$16,Stocks!$A202,Movimientos!$F$6:$F$16,Stocks!H$3,Movimientos!$A$6:$A$16,"&lt;="&amp;Stocks!$A$2)-SUMIFS(Movimientos!$E$6:$E$16,Movimientos!$C$6:$C$16,Stocks!$A202,Movimientos!$G$6:$G$16,Stocks!H$3,Movimientos!$A$6:$A$16,"&lt;="&amp;Stocks!$A$2)</f>
        <v>0</v>
      </c>
      <c r="I202" s="4">
        <f>SUMIFS(Movimientos!$E$6:$E$16,Movimientos!$C$6:$C$16,Stocks!$A202,Movimientos!$F$6:$F$16,Stocks!I$3,Movimientos!$A$6:$A$16,"&lt;="&amp;Stocks!$A$2)-SUMIFS(Movimientos!$E$6:$E$16,Movimientos!$C$6:$C$16,Stocks!$A202,Movimientos!$G$6:$G$16,Stocks!I$3,Movimientos!$A$6:$A$16,"&lt;="&amp;Stocks!$A$2)</f>
        <v>0</v>
      </c>
      <c r="J202" s="4">
        <f>SUMIFS(Movimientos!$E$6:$E$16,Movimientos!$C$6:$C$16,Stocks!$A202,Movimientos!$F$6:$F$16,Stocks!J$3,Movimientos!$A$6:$A$16,"&lt;="&amp;Stocks!$A$2)-SUMIFS(Movimientos!$E$6:$E$16,Movimientos!$C$6:$C$16,Stocks!$A202,Movimientos!$G$6:$G$16,Stocks!J$3,Movimientos!$A$6:$A$16,"&lt;="&amp;Stocks!$A$2)</f>
        <v>0</v>
      </c>
      <c r="K202" s="4">
        <f>SUMIFS(Movimientos!$E$6:$E$16,Movimientos!$C$6:$C$16,Stocks!$A202,Movimientos!$F$6:$F$16,Stocks!K$3,Movimientos!$A$6:$A$16,"&lt;="&amp;Stocks!$A$2)-SUMIFS(Movimientos!$E$6:$E$16,Movimientos!$C$6:$C$16,Stocks!$A202,Movimientos!$G$6:$G$16,Stocks!K$3,Movimientos!$A$6:$A$16,"&lt;="&amp;Stocks!$A$2)</f>
        <v>0</v>
      </c>
      <c r="L202" s="4">
        <f>SUMIFS(Movimientos!$E$6:$E$16,Movimientos!$C$6:$C$16,Stocks!$A202,Movimientos!$F$6:$F$16,Stocks!L$3,Movimientos!$A$6:$A$16,"&lt;="&amp;Stocks!$A$2)-SUMIFS(Movimientos!$E$6:$E$16,Movimientos!$C$6:$C$16,Stocks!$A202,Movimientos!$G$6:$G$16,Stocks!L$3,Movimientos!$A$6:$A$16,"&lt;="&amp;Stocks!$A$2)</f>
        <v>0</v>
      </c>
    </row>
    <row r="203" spans="1:12" x14ac:dyDescent="0.25">
      <c r="A203" t="str">
        <f>Codificación!A202</f>
        <v/>
      </c>
      <c r="B203" s="1">
        <f>Codificación!B202</f>
        <v>0</v>
      </c>
      <c r="E203" s="4">
        <f>SUMIFS(Movimientos!$E$6:$E$16,Movimientos!$C$6:$C$16,Stocks!$A203,Movimientos!$F$6:$F$16,Stocks!E$3,Movimientos!$A$6:$A$16,"&lt;="&amp;Stocks!$A$2)-SUMIFS(Movimientos!$E$6:$E$16,Movimientos!$C$6:$C$16,Stocks!$A203,Movimientos!$G$6:$G$16,Stocks!E$3,Movimientos!$A$6:$A$16,"&lt;="&amp;Stocks!$A$2)</f>
        <v>0</v>
      </c>
      <c r="F203" s="4">
        <f>SUMIFS(Movimientos!$E$6:$E$16,Movimientos!$C$6:$C$16,Stocks!$A203,Movimientos!$F$6:$F$16,Stocks!F$3,Movimientos!$A$6:$A$16,"&lt;="&amp;Stocks!$A$2)-SUMIFS(Movimientos!$E$6:$E$16,Movimientos!$C$6:$C$16,Stocks!$A203,Movimientos!$G$6:$G$16,Stocks!F$3,Movimientos!$A$6:$A$16,"&lt;="&amp;Stocks!$A$2)</f>
        <v>0</v>
      </c>
      <c r="G203" s="4">
        <f>SUMIFS(Movimientos!$E$6:$E$16,Movimientos!$C$6:$C$16,Stocks!$A203,Movimientos!$F$6:$F$16,Stocks!G$3,Movimientos!$A$6:$A$16,"&lt;="&amp;Stocks!$A$2)-SUMIFS(Movimientos!$E$6:$E$16,Movimientos!$C$6:$C$16,Stocks!$A203,Movimientos!$G$6:$G$16,Stocks!G$3,Movimientos!$A$6:$A$16,"&lt;="&amp;Stocks!$A$2)</f>
        <v>0</v>
      </c>
      <c r="H203" s="4">
        <f>SUMIFS(Movimientos!$E$6:$E$16,Movimientos!$C$6:$C$16,Stocks!$A203,Movimientos!$F$6:$F$16,Stocks!H$3,Movimientos!$A$6:$A$16,"&lt;="&amp;Stocks!$A$2)-SUMIFS(Movimientos!$E$6:$E$16,Movimientos!$C$6:$C$16,Stocks!$A203,Movimientos!$G$6:$G$16,Stocks!H$3,Movimientos!$A$6:$A$16,"&lt;="&amp;Stocks!$A$2)</f>
        <v>0</v>
      </c>
      <c r="I203" s="4">
        <f>SUMIFS(Movimientos!$E$6:$E$16,Movimientos!$C$6:$C$16,Stocks!$A203,Movimientos!$F$6:$F$16,Stocks!I$3,Movimientos!$A$6:$A$16,"&lt;="&amp;Stocks!$A$2)-SUMIFS(Movimientos!$E$6:$E$16,Movimientos!$C$6:$C$16,Stocks!$A203,Movimientos!$G$6:$G$16,Stocks!I$3,Movimientos!$A$6:$A$16,"&lt;="&amp;Stocks!$A$2)</f>
        <v>0</v>
      </c>
      <c r="J203" s="4">
        <f>SUMIFS(Movimientos!$E$6:$E$16,Movimientos!$C$6:$C$16,Stocks!$A203,Movimientos!$F$6:$F$16,Stocks!J$3,Movimientos!$A$6:$A$16,"&lt;="&amp;Stocks!$A$2)-SUMIFS(Movimientos!$E$6:$E$16,Movimientos!$C$6:$C$16,Stocks!$A203,Movimientos!$G$6:$G$16,Stocks!J$3,Movimientos!$A$6:$A$16,"&lt;="&amp;Stocks!$A$2)</f>
        <v>0</v>
      </c>
      <c r="K203" s="4">
        <f>SUMIFS(Movimientos!$E$6:$E$16,Movimientos!$C$6:$C$16,Stocks!$A203,Movimientos!$F$6:$F$16,Stocks!K$3,Movimientos!$A$6:$A$16,"&lt;="&amp;Stocks!$A$2)-SUMIFS(Movimientos!$E$6:$E$16,Movimientos!$C$6:$C$16,Stocks!$A203,Movimientos!$G$6:$G$16,Stocks!K$3,Movimientos!$A$6:$A$16,"&lt;="&amp;Stocks!$A$2)</f>
        <v>0</v>
      </c>
      <c r="L203" s="4">
        <f>SUMIFS(Movimientos!$E$6:$E$16,Movimientos!$C$6:$C$16,Stocks!$A203,Movimientos!$F$6:$F$16,Stocks!L$3,Movimientos!$A$6:$A$16,"&lt;="&amp;Stocks!$A$2)-SUMIFS(Movimientos!$E$6:$E$16,Movimientos!$C$6:$C$16,Stocks!$A203,Movimientos!$G$6:$G$16,Stocks!L$3,Movimientos!$A$6:$A$16,"&lt;="&amp;Stocks!$A$2)</f>
        <v>0</v>
      </c>
    </row>
    <row r="204" spans="1:12" x14ac:dyDescent="0.25">
      <c r="A204" t="str">
        <f>Codificación!A203</f>
        <v/>
      </c>
      <c r="B204" s="1">
        <f>Codificación!B203</f>
        <v>0</v>
      </c>
      <c r="E204" s="4">
        <f>SUMIFS(Movimientos!$E$6:$E$16,Movimientos!$C$6:$C$16,Stocks!$A204,Movimientos!$F$6:$F$16,Stocks!E$3,Movimientos!$A$6:$A$16,"&lt;="&amp;Stocks!$A$2)-SUMIFS(Movimientos!$E$6:$E$16,Movimientos!$C$6:$C$16,Stocks!$A204,Movimientos!$G$6:$G$16,Stocks!E$3,Movimientos!$A$6:$A$16,"&lt;="&amp;Stocks!$A$2)</f>
        <v>0</v>
      </c>
      <c r="F204" s="4">
        <f>SUMIFS(Movimientos!$E$6:$E$16,Movimientos!$C$6:$C$16,Stocks!$A204,Movimientos!$F$6:$F$16,Stocks!F$3,Movimientos!$A$6:$A$16,"&lt;="&amp;Stocks!$A$2)-SUMIFS(Movimientos!$E$6:$E$16,Movimientos!$C$6:$C$16,Stocks!$A204,Movimientos!$G$6:$G$16,Stocks!F$3,Movimientos!$A$6:$A$16,"&lt;="&amp;Stocks!$A$2)</f>
        <v>0</v>
      </c>
      <c r="G204" s="4">
        <f>SUMIFS(Movimientos!$E$6:$E$16,Movimientos!$C$6:$C$16,Stocks!$A204,Movimientos!$F$6:$F$16,Stocks!G$3,Movimientos!$A$6:$A$16,"&lt;="&amp;Stocks!$A$2)-SUMIFS(Movimientos!$E$6:$E$16,Movimientos!$C$6:$C$16,Stocks!$A204,Movimientos!$G$6:$G$16,Stocks!G$3,Movimientos!$A$6:$A$16,"&lt;="&amp;Stocks!$A$2)</f>
        <v>0</v>
      </c>
      <c r="H204" s="4">
        <f>SUMIFS(Movimientos!$E$6:$E$16,Movimientos!$C$6:$C$16,Stocks!$A204,Movimientos!$F$6:$F$16,Stocks!H$3,Movimientos!$A$6:$A$16,"&lt;="&amp;Stocks!$A$2)-SUMIFS(Movimientos!$E$6:$E$16,Movimientos!$C$6:$C$16,Stocks!$A204,Movimientos!$G$6:$G$16,Stocks!H$3,Movimientos!$A$6:$A$16,"&lt;="&amp;Stocks!$A$2)</f>
        <v>0</v>
      </c>
      <c r="I204" s="4">
        <f>SUMIFS(Movimientos!$E$6:$E$16,Movimientos!$C$6:$C$16,Stocks!$A204,Movimientos!$F$6:$F$16,Stocks!I$3,Movimientos!$A$6:$A$16,"&lt;="&amp;Stocks!$A$2)-SUMIFS(Movimientos!$E$6:$E$16,Movimientos!$C$6:$C$16,Stocks!$A204,Movimientos!$G$6:$G$16,Stocks!I$3,Movimientos!$A$6:$A$16,"&lt;="&amp;Stocks!$A$2)</f>
        <v>0</v>
      </c>
      <c r="J204" s="4">
        <f>SUMIFS(Movimientos!$E$6:$E$16,Movimientos!$C$6:$C$16,Stocks!$A204,Movimientos!$F$6:$F$16,Stocks!J$3,Movimientos!$A$6:$A$16,"&lt;="&amp;Stocks!$A$2)-SUMIFS(Movimientos!$E$6:$E$16,Movimientos!$C$6:$C$16,Stocks!$A204,Movimientos!$G$6:$G$16,Stocks!J$3,Movimientos!$A$6:$A$16,"&lt;="&amp;Stocks!$A$2)</f>
        <v>0</v>
      </c>
      <c r="K204" s="4">
        <f>SUMIFS(Movimientos!$E$6:$E$16,Movimientos!$C$6:$C$16,Stocks!$A204,Movimientos!$F$6:$F$16,Stocks!K$3,Movimientos!$A$6:$A$16,"&lt;="&amp;Stocks!$A$2)-SUMIFS(Movimientos!$E$6:$E$16,Movimientos!$C$6:$C$16,Stocks!$A204,Movimientos!$G$6:$G$16,Stocks!K$3,Movimientos!$A$6:$A$16,"&lt;="&amp;Stocks!$A$2)</f>
        <v>0</v>
      </c>
      <c r="L204" s="4">
        <f>SUMIFS(Movimientos!$E$6:$E$16,Movimientos!$C$6:$C$16,Stocks!$A204,Movimientos!$F$6:$F$16,Stocks!L$3,Movimientos!$A$6:$A$16,"&lt;="&amp;Stocks!$A$2)-SUMIFS(Movimientos!$E$6:$E$16,Movimientos!$C$6:$C$16,Stocks!$A204,Movimientos!$G$6:$G$16,Stocks!L$3,Movimientos!$A$6:$A$16,"&lt;="&amp;Stocks!$A$2)</f>
        <v>0</v>
      </c>
    </row>
    <row r="205" spans="1:12" x14ac:dyDescent="0.25">
      <c r="A205" t="str">
        <f>Codificación!A204</f>
        <v/>
      </c>
      <c r="B205" s="1">
        <f>Codificación!B204</f>
        <v>0</v>
      </c>
      <c r="E205" s="4">
        <f>SUMIFS(Movimientos!$E$6:$E$16,Movimientos!$C$6:$C$16,Stocks!$A205,Movimientos!$F$6:$F$16,Stocks!E$3,Movimientos!$A$6:$A$16,"&lt;="&amp;Stocks!$A$2)-SUMIFS(Movimientos!$E$6:$E$16,Movimientos!$C$6:$C$16,Stocks!$A205,Movimientos!$G$6:$G$16,Stocks!E$3,Movimientos!$A$6:$A$16,"&lt;="&amp;Stocks!$A$2)</f>
        <v>0</v>
      </c>
      <c r="F205" s="4">
        <f>SUMIFS(Movimientos!$E$6:$E$16,Movimientos!$C$6:$C$16,Stocks!$A205,Movimientos!$F$6:$F$16,Stocks!F$3,Movimientos!$A$6:$A$16,"&lt;="&amp;Stocks!$A$2)-SUMIFS(Movimientos!$E$6:$E$16,Movimientos!$C$6:$C$16,Stocks!$A205,Movimientos!$G$6:$G$16,Stocks!F$3,Movimientos!$A$6:$A$16,"&lt;="&amp;Stocks!$A$2)</f>
        <v>0</v>
      </c>
      <c r="G205" s="4">
        <f>SUMIFS(Movimientos!$E$6:$E$16,Movimientos!$C$6:$C$16,Stocks!$A205,Movimientos!$F$6:$F$16,Stocks!G$3,Movimientos!$A$6:$A$16,"&lt;="&amp;Stocks!$A$2)-SUMIFS(Movimientos!$E$6:$E$16,Movimientos!$C$6:$C$16,Stocks!$A205,Movimientos!$G$6:$G$16,Stocks!G$3,Movimientos!$A$6:$A$16,"&lt;="&amp;Stocks!$A$2)</f>
        <v>0</v>
      </c>
      <c r="H205" s="4">
        <f>SUMIFS(Movimientos!$E$6:$E$16,Movimientos!$C$6:$C$16,Stocks!$A205,Movimientos!$F$6:$F$16,Stocks!H$3,Movimientos!$A$6:$A$16,"&lt;="&amp;Stocks!$A$2)-SUMIFS(Movimientos!$E$6:$E$16,Movimientos!$C$6:$C$16,Stocks!$A205,Movimientos!$G$6:$G$16,Stocks!H$3,Movimientos!$A$6:$A$16,"&lt;="&amp;Stocks!$A$2)</f>
        <v>0</v>
      </c>
      <c r="I205" s="4">
        <f>SUMIFS(Movimientos!$E$6:$E$16,Movimientos!$C$6:$C$16,Stocks!$A205,Movimientos!$F$6:$F$16,Stocks!I$3,Movimientos!$A$6:$A$16,"&lt;="&amp;Stocks!$A$2)-SUMIFS(Movimientos!$E$6:$E$16,Movimientos!$C$6:$C$16,Stocks!$A205,Movimientos!$G$6:$G$16,Stocks!I$3,Movimientos!$A$6:$A$16,"&lt;="&amp;Stocks!$A$2)</f>
        <v>0</v>
      </c>
      <c r="J205" s="4">
        <f>SUMIFS(Movimientos!$E$6:$E$16,Movimientos!$C$6:$C$16,Stocks!$A205,Movimientos!$F$6:$F$16,Stocks!J$3,Movimientos!$A$6:$A$16,"&lt;="&amp;Stocks!$A$2)-SUMIFS(Movimientos!$E$6:$E$16,Movimientos!$C$6:$C$16,Stocks!$A205,Movimientos!$G$6:$G$16,Stocks!J$3,Movimientos!$A$6:$A$16,"&lt;="&amp;Stocks!$A$2)</f>
        <v>0</v>
      </c>
      <c r="K205" s="4">
        <f>SUMIFS(Movimientos!$E$6:$E$16,Movimientos!$C$6:$C$16,Stocks!$A205,Movimientos!$F$6:$F$16,Stocks!K$3,Movimientos!$A$6:$A$16,"&lt;="&amp;Stocks!$A$2)-SUMIFS(Movimientos!$E$6:$E$16,Movimientos!$C$6:$C$16,Stocks!$A205,Movimientos!$G$6:$G$16,Stocks!K$3,Movimientos!$A$6:$A$16,"&lt;="&amp;Stocks!$A$2)</f>
        <v>0</v>
      </c>
      <c r="L205" s="4">
        <f>SUMIFS(Movimientos!$E$6:$E$16,Movimientos!$C$6:$C$16,Stocks!$A205,Movimientos!$F$6:$F$16,Stocks!L$3,Movimientos!$A$6:$A$16,"&lt;="&amp;Stocks!$A$2)-SUMIFS(Movimientos!$E$6:$E$16,Movimientos!$C$6:$C$16,Stocks!$A205,Movimientos!$G$6:$G$16,Stocks!L$3,Movimientos!$A$6:$A$16,"&lt;="&amp;Stocks!$A$2)</f>
        <v>0</v>
      </c>
    </row>
    <row r="206" spans="1:12" x14ac:dyDescent="0.25">
      <c r="A206" t="str">
        <f>Codificación!A205</f>
        <v/>
      </c>
      <c r="B206" s="1">
        <f>Codificación!B205</f>
        <v>0</v>
      </c>
      <c r="E206" s="4">
        <f>SUMIFS(Movimientos!$E$6:$E$16,Movimientos!$C$6:$C$16,Stocks!$A206,Movimientos!$F$6:$F$16,Stocks!E$3,Movimientos!$A$6:$A$16,"&lt;="&amp;Stocks!$A$2)-SUMIFS(Movimientos!$E$6:$E$16,Movimientos!$C$6:$C$16,Stocks!$A206,Movimientos!$G$6:$G$16,Stocks!E$3,Movimientos!$A$6:$A$16,"&lt;="&amp;Stocks!$A$2)</f>
        <v>0</v>
      </c>
      <c r="F206" s="4">
        <f>SUMIFS(Movimientos!$E$6:$E$16,Movimientos!$C$6:$C$16,Stocks!$A206,Movimientos!$F$6:$F$16,Stocks!F$3,Movimientos!$A$6:$A$16,"&lt;="&amp;Stocks!$A$2)-SUMIFS(Movimientos!$E$6:$E$16,Movimientos!$C$6:$C$16,Stocks!$A206,Movimientos!$G$6:$G$16,Stocks!F$3,Movimientos!$A$6:$A$16,"&lt;="&amp;Stocks!$A$2)</f>
        <v>0</v>
      </c>
      <c r="G206" s="4">
        <f>SUMIFS(Movimientos!$E$6:$E$16,Movimientos!$C$6:$C$16,Stocks!$A206,Movimientos!$F$6:$F$16,Stocks!G$3,Movimientos!$A$6:$A$16,"&lt;="&amp;Stocks!$A$2)-SUMIFS(Movimientos!$E$6:$E$16,Movimientos!$C$6:$C$16,Stocks!$A206,Movimientos!$G$6:$G$16,Stocks!G$3,Movimientos!$A$6:$A$16,"&lt;="&amp;Stocks!$A$2)</f>
        <v>0</v>
      </c>
      <c r="H206" s="4">
        <f>SUMIFS(Movimientos!$E$6:$E$16,Movimientos!$C$6:$C$16,Stocks!$A206,Movimientos!$F$6:$F$16,Stocks!H$3,Movimientos!$A$6:$A$16,"&lt;="&amp;Stocks!$A$2)-SUMIFS(Movimientos!$E$6:$E$16,Movimientos!$C$6:$C$16,Stocks!$A206,Movimientos!$G$6:$G$16,Stocks!H$3,Movimientos!$A$6:$A$16,"&lt;="&amp;Stocks!$A$2)</f>
        <v>0</v>
      </c>
      <c r="I206" s="4">
        <f>SUMIFS(Movimientos!$E$6:$E$16,Movimientos!$C$6:$C$16,Stocks!$A206,Movimientos!$F$6:$F$16,Stocks!I$3,Movimientos!$A$6:$A$16,"&lt;="&amp;Stocks!$A$2)-SUMIFS(Movimientos!$E$6:$E$16,Movimientos!$C$6:$C$16,Stocks!$A206,Movimientos!$G$6:$G$16,Stocks!I$3,Movimientos!$A$6:$A$16,"&lt;="&amp;Stocks!$A$2)</f>
        <v>0</v>
      </c>
      <c r="J206" s="4">
        <f>SUMIFS(Movimientos!$E$6:$E$16,Movimientos!$C$6:$C$16,Stocks!$A206,Movimientos!$F$6:$F$16,Stocks!J$3,Movimientos!$A$6:$A$16,"&lt;="&amp;Stocks!$A$2)-SUMIFS(Movimientos!$E$6:$E$16,Movimientos!$C$6:$C$16,Stocks!$A206,Movimientos!$G$6:$G$16,Stocks!J$3,Movimientos!$A$6:$A$16,"&lt;="&amp;Stocks!$A$2)</f>
        <v>0</v>
      </c>
      <c r="K206" s="4">
        <f>SUMIFS(Movimientos!$E$6:$E$16,Movimientos!$C$6:$C$16,Stocks!$A206,Movimientos!$F$6:$F$16,Stocks!K$3,Movimientos!$A$6:$A$16,"&lt;="&amp;Stocks!$A$2)-SUMIFS(Movimientos!$E$6:$E$16,Movimientos!$C$6:$C$16,Stocks!$A206,Movimientos!$G$6:$G$16,Stocks!K$3,Movimientos!$A$6:$A$16,"&lt;="&amp;Stocks!$A$2)</f>
        <v>0</v>
      </c>
      <c r="L206" s="4">
        <f>SUMIFS(Movimientos!$E$6:$E$16,Movimientos!$C$6:$C$16,Stocks!$A206,Movimientos!$F$6:$F$16,Stocks!L$3,Movimientos!$A$6:$A$16,"&lt;="&amp;Stocks!$A$2)-SUMIFS(Movimientos!$E$6:$E$16,Movimientos!$C$6:$C$16,Stocks!$A206,Movimientos!$G$6:$G$16,Stocks!L$3,Movimientos!$A$6:$A$16,"&lt;="&amp;Stocks!$A$2)</f>
        <v>0</v>
      </c>
    </row>
    <row r="207" spans="1:12" x14ac:dyDescent="0.25">
      <c r="A207" t="str">
        <f>Codificación!A206</f>
        <v/>
      </c>
      <c r="B207" s="1">
        <f>Codificación!B206</f>
        <v>0</v>
      </c>
      <c r="E207" s="4">
        <f>SUMIFS(Movimientos!$E$6:$E$16,Movimientos!$C$6:$C$16,Stocks!$A207,Movimientos!$F$6:$F$16,Stocks!E$3,Movimientos!$A$6:$A$16,"&lt;="&amp;Stocks!$A$2)-SUMIFS(Movimientos!$E$6:$E$16,Movimientos!$C$6:$C$16,Stocks!$A207,Movimientos!$G$6:$G$16,Stocks!E$3,Movimientos!$A$6:$A$16,"&lt;="&amp;Stocks!$A$2)</f>
        <v>0</v>
      </c>
      <c r="F207" s="4">
        <f>SUMIFS(Movimientos!$E$6:$E$16,Movimientos!$C$6:$C$16,Stocks!$A207,Movimientos!$F$6:$F$16,Stocks!F$3,Movimientos!$A$6:$A$16,"&lt;="&amp;Stocks!$A$2)-SUMIFS(Movimientos!$E$6:$E$16,Movimientos!$C$6:$C$16,Stocks!$A207,Movimientos!$G$6:$G$16,Stocks!F$3,Movimientos!$A$6:$A$16,"&lt;="&amp;Stocks!$A$2)</f>
        <v>0</v>
      </c>
      <c r="G207" s="4">
        <f>SUMIFS(Movimientos!$E$6:$E$16,Movimientos!$C$6:$C$16,Stocks!$A207,Movimientos!$F$6:$F$16,Stocks!G$3,Movimientos!$A$6:$A$16,"&lt;="&amp;Stocks!$A$2)-SUMIFS(Movimientos!$E$6:$E$16,Movimientos!$C$6:$C$16,Stocks!$A207,Movimientos!$G$6:$G$16,Stocks!G$3,Movimientos!$A$6:$A$16,"&lt;="&amp;Stocks!$A$2)</f>
        <v>0</v>
      </c>
      <c r="H207" s="4">
        <f>SUMIFS(Movimientos!$E$6:$E$16,Movimientos!$C$6:$C$16,Stocks!$A207,Movimientos!$F$6:$F$16,Stocks!H$3,Movimientos!$A$6:$A$16,"&lt;="&amp;Stocks!$A$2)-SUMIFS(Movimientos!$E$6:$E$16,Movimientos!$C$6:$C$16,Stocks!$A207,Movimientos!$G$6:$G$16,Stocks!H$3,Movimientos!$A$6:$A$16,"&lt;="&amp;Stocks!$A$2)</f>
        <v>0</v>
      </c>
      <c r="I207" s="4">
        <f>SUMIFS(Movimientos!$E$6:$E$16,Movimientos!$C$6:$C$16,Stocks!$A207,Movimientos!$F$6:$F$16,Stocks!I$3,Movimientos!$A$6:$A$16,"&lt;="&amp;Stocks!$A$2)-SUMIFS(Movimientos!$E$6:$E$16,Movimientos!$C$6:$C$16,Stocks!$A207,Movimientos!$G$6:$G$16,Stocks!I$3,Movimientos!$A$6:$A$16,"&lt;="&amp;Stocks!$A$2)</f>
        <v>0</v>
      </c>
      <c r="J207" s="4">
        <f>SUMIFS(Movimientos!$E$6:$E$16,Movimientos!$C$6:$C$16,Stocks!$A207,Movimientos!$F$6:$F$16,Stocks!J$3,Movimientos!$A$6:$A$16,"&lt;="&amp;Stocks!$A$2)-SUMIFS(Movimientos!$E$6:$E$16,Movimientos!$C$6:$C$16,Stocks!$A207,Movimientos!$G$6:$G$16,Stocks!J$3,Movimientos!$A$6:$A$16,"&lt;="&amp;Stocks!$A$2)</f>
        <v>0</v>
      </c>
      <c r="K207" s="4">
        <f>SUMIFS(Movimientos!$E$6:$E$16,Movimientos!$C$6:$C$16,Stocks!$A207,Movimientos!$F$6:$F$16,Stocks!K$3,Movimientos!$A$6:$A$16,"&lt;="&amp;Stocks!$A$2)-SUMIFS(Movimientos!$E$6:$E$16,Movimientos!$C$6:$C$16,Stocks!$A207,Movimientos!$G$6:$G$16,Stocks!K$3,Movimientos!$A$6:$A$16,"&lt;="&amp;Stocks!$A$2)</f>
        <v>0</v>
      </c>
      <c r="L207" s="4">
        <f>SUMIFS(Movimientos!$E$6:$E$16,Movimientos!$C$6:$C$16,Stocks!$A207,Movimientos!$F$6:$F$16,Stocks!L$3,Movimientos!$A$6:$A$16,"&lt;="&amp;Stocks!$A$2)-SUMIFS(Movimientos!$E$6:$E$16,Movimientos!$C$6:$C$16,Stocks!$A207,Movimientos!$G$6:$G$16,Stocks!L$3,Movimientos!$A$6:$A$16,"&lt;="&amp;Stocks!$A$2)</f>
        <v>0</v>
      </c>
    </row>
    <row r="208" spans="1:12" x14ac:dyDescent="0.25">
      <c r="A208" t="str">
        <f>Codificación!A207</f>
        <v/>
      </c>
      <c r="B208" s="1">
        <f>Codificación!B207</f>
        <v>0</v>
      </c>
      <c r="E208" s="4">
        <f>SUMIFS(Movimientos!$E$6:$E$16,Movimientos!$C$6:$C$16,Stocks!$A208,Movimientos!$F$6:$F$16,Stocks!E$3,Movimientos!$A$6:$A$16,"&lt;="&amp;Stocks!$A$2)-SUMIFS(Movimientos!$E$6:$E$16,Movimientos!$C$6:$C$16,Stocks!$A208,Movimientos!$G$6:$G$16,Stocks!E$3,Movimientos!$A$6:$A$16,"&lt;="&amp;Stocks!$A$2)</f>
        <v>0</v>
      </c>
      <c r="F208" s="4">
        <f>SUMIFS(Movimientos!$E$6:$E$16,Movimientos!$C$6:$C$16,Stocks!$A208,Movimientos!$F$6:$F$16,Stocks!F$3,Movimientos!$A$6:$A$16,"&lt;="&amp;Stocks!$A$2)-SUMIFS(Movimientos!$E$6:$E$16,Movimientos!$C$6:$C$16,Stocks!$A208,Movimientos!$G$6:$G$16,Stocks!F$3,Movimientos!$A$6:$A$16,"&lt;="&amp;Stocks!$A$2)</f>
        <v>0</v>
      </c>
      <c r="G208" s="4">
        <f>SUMIFS(Movimientos!$E$6:$E$16,Movimientos!$C$6:$C$16,Stocks!$A208,Movimientos!$F$6:$F$16,Stocks!G$3,Movimientos!$A$6:$A$16,"&lt;="&amp;Stocks!$A$2)-SUMIFS(Movimientos!$E$6:$E$16,Movimientos!$C$6:$C$16,Stocks!$A208,Movimientos!$G$6:$G$16,Stocks!G$3,Movimientos!$A$6:$A$16,"&lt;="&amp;Stocks!$A$2)</f>
        <v>0</v>
      </c>
      <c r="H208" s="4">
        <f>SUMIFS(Movimientos!$E$6:$E$16,Movimientos!$C$6:$C$16,Stocks!$A208,Movimientos!$F$6:$F$16,Stocks!H$3,Movimientos!$A$6:$A$16,"&lt;="&amp;Stocks!$A$2)-SUMIFS(Movimientos!$E$6:$E$16,Movimientos!$C$6:$C$16,Stocks!$A208,Movimientos!$G$6:$G$16,Stocks!H$3,Movimientos!$A$6:$A$16,"&lt;="&amp;Stocks!$A$2)</f>
        <v>0</v>
      </c>
      <c r="I208" s="4">
        <f>SUMIFS(Movimientos!$E$6:$E$16,Movimientos!$C$6:$C$16,Stocks!$A208,Movimientos!$F$6:$F$16,Stocks!I$3,Movimientos!$A$6:$A$16,"&lt;="&amp;Stocks!$A$2)-SUMIFS(Movimientos!$E$6:$E$16,Movimientos!$C$6:$C$16,Stocks!$A208,Movimientos!$G$6:$G$16,Stocks!I$3,Movimientos!$A$6:$A$16,"&lt;="&amp;Stocks!$A$2)</f>
        <v>0</v>
      </c>
      <c r="J208" s="4">
        <f>SUMIFS(Movimientos!$E$6:$E$16,Movimientos!$C$6:$C$16,Stocks!$A208,Movimientos!$F$6:$F$16,Stocks!J$3,Movimientos!$A$6:$A$16,"&lt;="&amp;Stocks!$A$2)-SUMIFS(Movimientos!$E$6:$E$16,Movimientos!$C$6:$C$16,Stocks!$A208,Movimientos!$G$6:$G$16,Stocks!J$3,Movimientos!$A$6:$A$16,"&lt;="&amp;Stocks!$A$2)</f>
        <v>0</v>
      </c>
      <c r="K208" s="4">
        <f>SUMIFS(Movimientos!$E$6:$E$16,Movimientos!$C$6:$C$16,Stocks!$A208,Movimientos!$F$6:$F$16,Stocks!K$3,Movimientos!$A$6:$A$16,"&lt;="&amp;Stocks!$A$2)-SUMIFS(Movimientos!$E$6:$E$16,Movimientos!$C$6:$C$16,Stocks!$A208,Movimientos!$G$6:$G$16,Stocks!K$3,Movimientos!$A$6:$A$16,"&lt;="&amp;Stocks!$A$2)</f>
        <v>0</v>
      </c>
      <c r="L208" s="4">
        <f>SUMIFS(Movimientos!$E$6:$E$16,Movimientos!$C$6:$C$16,Stocks!$A208,Movimientos!$F$6:$F$16,Stocks!L$3,Movimientos!$A$6:$A$16,"&lt;="&amp;Stocks!$A$2)-SUMIFS(Movimientos!$E$6:$E$16,Movimientos!$C$6:$C$16,Stocks!$A208,Movimientos!$G$6:$G$16,Stocks!L$3,Movimientos!$A$6:$A$16,"&lt;="&amp;Stocks!$A$2)</f>
        <v>0</v>
      </c>
    </row>
    <row r="209" spans="1:12" x14ac:dyDescent="0.25">
      <c r="A209" t="str">
        <f>Codificación!A208</f>
        <v/>
      </c>
      <c r="B209" s="1">
        <f>Codificación!B208</f>
        <v>0</v>
      </c>
      <c r="E209" s="4">
        <f>SUMIFS(Movimientos!$E$6:$E$16,Movimientos!$C$6:$C$16,Stocks!$A209,Movimientos!$F$6:$F$16,Stocks!E$3,Movimientos!$A$6:$A$16,"&lt;="&amp;Stocks!$A$2)-SUMIFS(Movimientos!$E$6:$E$16,Movimientos!$C$6:$C$16,Stocks!$A209,Movimientos!$G$6:$G$16,Stocks!E$3,Movimientos!$A$6:$A$16,"&lt;="&amp;Stocks!$A$2)</f>
        <v>0</v>
      </c>
      <c r="F209" s="4">
        <f>SUMIFS(Movimientos!$E$6:$E$16,Movimientos!$C$6:$C$16,Stocks!$A209,Movimientos!$F$6:$F$16,Stocks!F$3,Movimientos!$A$6:$A$16,"&lt;="&amp;Stocks!$A$2)-SUMIFS(Movimientos!$E$6:$E$16,Movimientos!$C$6:$C$16,Stocks!$A209,Movimientos!$G$6:$G$16,Stocks!F$3,Movimientos!$A$6:$A$16,"&lt;="&amp;Stocks!$A$2)</f>
        <v>0</v>
      </c>
      <c r="G209" s="4">
        <f>SUMIFS(Movimientos!$E$6:$E$16,Movimientos!$C$6:$C$16,Stocks!$A209,Movimientos!$F$6:$F$16,Stocks!G$3,Movimientos!$A$6:$A$16,"&lt;="&amp;Stocks!$A$2)-SUMIFS(Movimientos!$E$6:$E$16,Movimientos!$C$6:$C$16,Stocks!$A209,Movimientos!$G$6:$G$16,Stocks!G$3,Movimientos!$A$6:$A$16,"&lt;="&amp;Stocks!$A$2)</f>
        <v>0</v>
      </c>
      <c r="H209" s="4">
        <f>SUMIFS(Movimientos!$E$6:$E$16,Movimientos!$C$6:$C$16,Stocks!$A209,Movimientos!$F$6:$F$16,Stocks!H$3,Movimientos!$A$6:$A$16,"&lt;="&amp;Stocks!$A$2)-SUMIFS(Movimientos!$E$6:$E$16,Movimientos!$C$6:$C$16,Stocks!$A209,Movimientos!$G$6:$G$16,Stocks!H$3,Movimientos!$A$6:$A$16,"&lt;="&amp;Stocks!$A$2)</f>
        <v>0</v>
      </c>
      <c r="I209" s="4">
        <f>SUMIFS(Movimientos!$E$6:$E$16,Movimientos!$C$6:$C$16,Stocks!$A209,Movimientos!$F$6:$F$16,Stocks!I$3,Movimientos!$A$6:$A$16,"&lt;="&amp;Stocks!$A$2)-SUMIFS(Movimientos!$E$6:$E$16,Movimientos!$C$6:$C$16,Stocks!$A209,Movimientos!$G$6:$G$16,Stocks!I$3,Movimientos!$A$6:$A$16,"&lt;="&amp;Stocks!$A$2)</f>
        <v>0</v>
      </c>
      <c r="J209" s="4">
        <f>SUMIFS(Movimientos!$E$6:$E$16,Movimientos!$C$6:$C$16,Stocks!$A209,Movimientos!$F$6:$F$16,Stocks!J$3,Movimientos!$A$6:$A$16,"&lt;="&amp;Stocks!$A$2)-SUMIFS(Movimientos!$E$6:$E$16,Movimientos!$C$6:$C$16,Stocks!$A209,Movimientos!$G$6:$G$16,Stocks!J$3,Movimientos!$A$6:$A$16,"&lt;="&amp;Stocks!$A$2)</f>
        <v>0</v>
      </c>
      <c r="K209" s="4">
        <f>SUMIFS(Movimientos!$E$6:$E$16,Movimientos!$C$6:$C$16,Stocks!$A209,Movimientos!$F$6:$F$16,Stocks!K$3,Movimientos!$A$6:$A$16,"&lt;="&amp;Stocks!$A$2)-SUMIFS(Movimientos!$E$6:$E$16,Movimientos!$C$6:$C$16,Stocks!$A209,Movimientos!$G$6:$G$16,Stocks!K$3,Movimientos!$A$6:$A$16,"&lt;="&amp;Stocks!$A$2)</f>
        <v>0</v>
      </c>
      <c r="L209" s="4">
        <f>SUMIFS(Movimientos!$E$6:$E$16,Movimientos!$C$6:$C$16,Stocks!$A209,Movimientos!$F$6:$F$16,Stocks!L$3,Movimientos!$A$6:$A$16,"&lt;="&amp;Stocks!$A$2)-SUMIFS(Movimientos!$E$6:$E$16,Movimientos!$C$6:$C$16,Stocks!$A209,Movimientos!$G$6:$G$16,Stocks!L$3,Movimientos!$A$6:$A$16,"&lt;="&amp;Stocks!$A$2)</f>
        <v>0</v>
      </c>
    </row>
    <row r="210" spans="1:12" x14ac:dyDescent="0.25">
      <c r="A210" t="str">
        <f>Codificación!A209</f>
        <v/>
      </c>
      <c r="B210" s="1">
        <f>Codificación!B209</f>
        <v>0</v>
      </c>
      <c r="E210" s="4">
        <f>SUMIFS(Movimientos!$E$6:$E$16,Movimientos!$C$6:$C$16,Stocks!$A210,Movimientos!$F$6:$F$16,Stocks!E$3,Movimientos!$A$6:$A$16,"&lt;="&amp;Stocks!$A$2)-SUMIFS(Movimientos!$E$6:$E$16,Movimientos!$C$6:$C$16,Stocks!$A210,Movimientos!$G$6:$G$16,Stocks!E$3,Movimientos!$A$6:$A$16,"&lt;="&amp;Stocks!$A$2)</f>
        <v>0</v>
      </c>
      <c r="F210" s="4">
        <f>SUMIFS(Movimientos!$E$6:$E$16,Movimientos!$C$6:$C$16,Stocks!$A210,Movimientos!$F$6:$F$16,Stocks!F$3,Movimientos!$A$6:$A$16,"&lt;="&amp;Stocks!$A$2)-SUMIFS(Movimientos!$E$6:$E$16,Movimientos!$C$6:$C$16,Stocks!$A210,Movimientos!$G$6:$G$16,Stocks!F$3,Movimientos!$A$6:$A$16,"&lt;="&amp;Stocks!$A$2)</f>
        <v>0</v>
      </c>
      <c r="G210" s="4">
        <f>SUMIFS(Movimientos!$E$6:$E$16,Movimientos!$C$6:$C$16,Stocks!$A210,Movimientos!$F$6:$F$16,Stocks!G$3,Movimientos!$A$6:$A$16,"&lt;="&amp;Stocks!$A$2)-SUMIFS(Movimientos!$E$6:$E$16,Movimientos!$C$6:$C$16,Stocks!$A210,Movimientos!$G$6:$G$16,Stocks!G$3,Movimientos!$A$6:$A$16,"&lt;="&amp;Stocks!$A$2)</f>
        <v>0</v>
      </c>
      <c r="H210" s="4">
        <f>SUMIFS(Movimientos!$E$6:$E$16,Movimientos!$C$6:$C$16,Stocks!$A210,Movimientos!$F$6:$F$16,Stocks!H$3,Movimientos!$A$6:$A$16,"&lt;="&amp;Stocks!$A$2)-SUMIFS(Movimientos!$E$6:$E$16,Movimientos!$C$6:$C$16,Stocks!$A210,Movimientos!$G$6:$G$16,Stocks!H$3,Movimientos!$A$6:$A$16,"&lt;="&amp;Stocks!$A$2)</f>
        <v>0</v>
      </c>
      <c r="I210" s="4">
        <f>SUMIFS(Movimientos!$E$6:$E$16,Movimientos!$C$6:$C$16,Stocks!$A210,Movimientos!$F$6:$F$16,Stocks!I$3,Movimientos!$A$6:$A$16,"&lt;="&amp;Stocks!$A$2)-SUMIFS(Movimientos!$E$6:$E$16,Movimientos!$C$6:$C$16,Stocks!$A210,Movimientos!$G$6:$G$16,Stocks!I$3,Movimientos!$A$6:$A$16,"&lt;="&amp;Stocks!$A$2)</f>
        <v>0</v>
      </c>
      <c r="J210" s="4">
        <f>SUMIFS(Movimientos!$E$6:$E$16,Movimientos!$C$6:$C$16,Stocks!$A210,Movimientos!$F$6:$F$16,Stocks!J$3,Movimientos!$A$6:$A$16,"&lt;="&amp;Stocks!$A$2)-SUMIFS(Movimientos!$E$6:$E$16,Movimientos!$C$6:$C$16,Stocks!$A210,Movimientos!$G$6:$G$16,Stocks!J$3,Movimientos!$A$6:$A$16,"&lt;="&amp;Stocks!$A$2)</f>
        <v>0</v>
      </c>
      <c r="K210" s="4">
        <f>SUMIFS(Movimientos!$E$6:$E$16,Movimientos!$C$6:$C$16,Stocks!$A210,Movimientos!$F$6:$F$16,Stocks!K$3,Movimientos!$A$6:$A$16,"&lt;="&amp;Stocks!$A$2)-SUMIFS(Movimientos!$E$6:$E$16,Movimientos!$C$6:$C$16,Stocks!$A210,Movimientos!$G$6:$G$16,Stocks!K$3,Movimientos!$A$6:$A$16,"&lt;="&amp;Stocks!$A$2)</f>
        <v>0</v>
      </c>
      <c r="L210" s="4">
        <f>SUMIFS(Movimientos!$E$6:$E$16,Movimientos!$C$6:$C$16,Stocks!$A210,Movimientos!$F$6:$F$16,Stocks!L$3,Movimientos!$A$6:$A$16,"&lt;="&amp;Stocks!$A$2)-SUMIFS(Movimientos!$E$6:$E$16,Movimientos!$C$6:$C$16,Stocks!$A210,Movimientos!$G$6:$G$16,Stocks!L$3,Movimientos!$A$6:$A$16,"&lt;="&amp;Stocks!$A$2)</f>
        <v>0</v>
      </c>
    </row>
    <row r="211" spans="1:12" x14ac:dyDescent="0.25">
      <c r="A211" t="str">
        <f>Codificación!A210</f>
        <v/>
      </c>
      <c r="B211" s="1">
        <f>Codificación!B210</f>
        <v>0</v>
      </c>
      <c r="E211" s="4">
        <f>SUMIFS(Movimientos!$E$6:$E$16,Movimientos!$C$6:$C$16,Stocks!$A211,Movimientos!$F$6:$F$16,Stocks!E$3,Movimientos!$A$6:$A$16,"&lt;="&amp;Stocks!$A$2)-SUMIFS(Movimientos!$E$6:$E$16,Movimientos!$C$6:$C$16,Stocks!$A211,Movimientos!$G$6:$G$16,Stocks!E$3,Movimientos!$A$6:$A$16,"&lt;="&amp;Stocks!$A$2)</f>
        <v>0</v>
      </c>
      <c r="F211" s="4">
        <f>SUMIFS(Movimientos!$E$6:$E$16,Movimientos!$C$6:$C$16,Stocks!$A211,Movimientos!$F$6:$F$16,Stocks!F$3,Movimientos!$A$6:$A$16,"&lt;="&amp;Stocks!$A$2)-SUMIFS(Movimientos!$E$6:$E$16,Movimientos!$C$6:$C$16,Stocks!$A211,Movimientos!$G$6:$G$16,Stocks!F$3,Movimientos!$A$6:$A$16,"&lt;="&amp;Stocks!$A$2)</f>
        <v>0</v>
      </c>
      <c r="G211" s="4">
        <f>SUMIFS(Movimientos!$E$6:$E$16,Movimientos!$C$6:$C$16,Stocks!$A211,Movimientos!$F$6:$F$16,Stocks!G$3,Movimientos!$A$6:$A$16,"&lt;="&amp;Stocks!$A$2)-SUMIFS(Movimientos!$E$6:$E$16,Movimientos!$C$6:$C$16,Stocks!$A211,Movimientos!$G$6:$G$16,Stocks!G$3,Movimientos!$A$6:$A$16,"&lt;="&amp;Stocks!$A$2)</f>
        <v>0</v>
      </c>
      <c r="H211" s="4">
        <f>SUMIFS(Movimientos!$E$6:$E$16,Movimientos!$C$6:$C$16,Stocks!$A211,Movimientos!$F$6:$F$16,Stocks!H$3,Movimientos!$A$6:$A$16,"&lt;="&amp;Stocks!$A$2)-SUMIFS(Movimientos!$E$6:$E$16,Movimientos!$C$6:$C$16,Stocks!$A211,Movimientos!$G$6:$G$16,Stocks!H$3,Movimientos!$A$6:$A$16,"&lt;="&amp;Stocks!$A$2)</f>
        <v>0</v>
      </c>
      <c r="I211" s="4">
        <f>SUMIFS(Movimientos!$E$6:$E$16,Movimientos!$C$6:$C$16,Stocks!$A211,Movimientos!$F$6:$F$16,Stocks!I$3,Movimientos!$A$6:$A$16,"&lt;="&amp;Stocks!$A$2)-SUMIFS(Movimientos!$E$6:$E$16,Movimientos!$C$6:$C$16,Stocks!$A211,Movimientos!$G$6:$G$16,Stocks!I$3,Movimientos!$A$6:$A$16,"&lt;="&amp;Stocks!$A$2)</f>
        <v>0</v>
      </c>
      <c r="J211" s="4">
        <f>SUMIFS(Movimientos!$E$6:$E$16,Movimientos!$C$6:$C$16,Stocks!$A211,Movimientos!$F$6:$F$16,Stocks!J$3,Movimientos!$A$6:$A$16,"&lt;="&amp;Stocks!$A$2)-SUMIFS(Movimientos!$E$6:$E$16,Movimientos!$C$6:$C$16,Stocks!$A211,Movimientos!$G$6:$G$16,Stocks!J$3,Movimientos!$A$6:$A$16,"&lt;="&amp;Stocks!$A$2)</f>
        <v>0</v>
      </c>
      <c r="K211" s="4">
        <f>SUMIFS(Movimientos!$E$6:$E$16,Movimientos!$C$6:$C$16,Stocks!$A211,Movimientos!$F$6:$F$16,Stocks!K$3,Movimientos!$A$6:$A$16,"&lt;="&amp;Stocks!$A$2)-SUMIFS(Movimientos!$E$6:$E$16,Movimientos!$C$6:$C$16,Stocks!$A211,Movimientos!$G$6:$G$16,Stocks!K$3,Movimientos!$A$6:$A$16,"&lt;="&amp;Stocks!$A$2)</f>
        <v>0</v>
      </c>
      <c r="L211" s="4">
        <f>SUMIFS(Movimientos!$E$6:$E$16,Movimientos!$C$6:$C$16,Stocks!$A211,Movimientos!$F$6:$F$16,Stocks!L$3,Movimientos!$A$6:$A$16,"&lt;="&amp;Stocks!$A$2)-SUMIFS(Movimientos!$E$6:$E$16,Movimientos!$C$6:$C$16,Stocks!$A211,Movimientos!$G$6:$G$16,Stocks!L$3,Movimientos!$A$6:$A$16,"&lt;="&amp;Stocks!$A$2)</f>
        <v>0</v>
      </c>
    </row>
    <row r="212" spans="1:12" x14ac:dyDescent="0.25">
      <c r="A212" t="str">
        <f>Codificación!A211</f>
        <v/>
      </c>
      <c r="B212" s="1">
        <f>Codificación!B211</f>
        <v>0</v>
      </c>
      <c r="E212" s="4">
        <f>SUMIFS(Movimientos!$E$6:$E$16,Movimientos!$C$6:$C$16,Stocks!$A212,Movimientos!$F$6:$F$16,Stocks!E$3,Movimientos!$A$6:$A$16,"&lt;="&amp;Stocks!$A$2)-SUMIFS(Movimientos!$E$6:$E$16,Movimientos!$C$6:$C$16,Stocks!$A212,Movimientos!$G$6:$G$16,Stocks!E$3,Movimientos!$A$6:$A$16,"&lt;="&amp;Stocks!$A$2)</f>
        <v>0</v>
      </c>
      <c r="F212" s="4">
        <f>SUMIFS(Movimientos!$E$6:$E$16,Movimientos!$C$6:$C$16,Stocks!$A212,Movimientos!$F$6:$F$16,Stocks!F$3,Movimientos!$A$6:$A$16,"&lt;="&amp;Stocks!$A$2)-SUMIFS(Movimientos!$E$6:$E$16,Movimientos!$C$6:$C$16,Stocks!$A212,Movimientos!$G$6:$G$16,Stocks!F$3,Movimientos!$A$6:$A$16,"&lt;="&amp;Stocks!$A$2)</f>
        <v>0</v>
      </c>
      <c r="G212" s="4">
        <f>SUMIFS(Movimientos!$E$6:$E$16,Movimientos!$C$6:$C$16,Stocks!$A212,Movimientos!$F$6:$F$16,Stocks!G$3,Movimientos!$A$6:$A$16,"&lt;="&amp;Stocks!$A$2)-SUMIFS(Movimientos!$E$6:$E$16,Movimientos!$C$6:$C$16,Stocks!$A212,Movimientos!$G$6:$G$16,Stocks!G$3,Movimientos!$A$6:$A$16,"&lt;="&amp;Stocks!$A$2)</f>
        <v>0</v>
      </c>
      <c r="H212" s="4">
        <f>SUMIFS(Movimientos!$E$6:$E$16,Movimientos!$C$6:$C$16,Stocks!$A212,Movimientos!$F$6:$F$16,Stocks!H$3,Movimientos!$A$6:$A$16,"&lt;="&amp;Stocks!$A$2)-SUMIFS(Movimientos!$E$6:$E$16,Movimientos!$C$6:$C$16,Stocks!$A212,Movimientos!$G$6:$G$16,Stocks!H$3,Movimientos!$A$6:$A$16,"&lt;="&amp;Stocks!$A$2)</f>
        <v>0</v>
      </c>
      <c r="I212" s="4">
        <f>SUMIFS(Movimientos!$E$6:$E$16,Movimientos!$C$6:$C$16,Stocks!$A212,Movimientos!$F$6:$F$16,Stocks!I$3,Movimientos!$A$6:$A$16,"&lt;="&amp;Stocks!$A$2)-SUMIFS(Movimientos!$E$6:$E$16,Movimientos!$C$6:$C$16,Stocks!$A212,Movimientos!$G$6:$G$16,Stocks!I$3,Movimientos!$A$6:$A$16,"&lt;="&amp;Stocks!$A$2)</f>
        <v>0</v>
      </c>
      <c r="J212" s="4">
        <f>SUMIFS(Movimientos!$E$6:$E$16,Movimientos!$C$6:$C$16,Stocks!$A212,Movimientos!$F$6:$F$16,Stocks!J$3,Movimientos!$A$6:$A$16,"&lt;="&amp;Stocks!$A$2)-SUMIFS(Movimientos!$E$6:$E$16,Movimientos!$C$6:$C$16,Stocks!$A212,Movimientos!$G$6:$G$16,Stocks!J$3,Movimientos!$A$6:$A$16,"&lt;="&amp;Stocks!$A$2)</f>
        <v>0</v>
      </c>
      <c r="K212" s="4">
        <f>SUMIFS(Movimientos!$E$6:$E$16,Movimientos!$C$6:$C$16,Stocks!$A212,Movimientos!$F$6:$F$16,Stocks!K$3,Movimientos!$A$6:$A$16,"&lt;="&amp;Stocks!$A$2)-SUMIFS(Movimientos!$E$6:$E$16,Movimientos!$C$6:$C$16,Stocks!$A212,Movimientos!$G$6:$G$16,Stocks!K$3,Movimientos!$A$6:$A$16,"&lt;="&amp;Stocks!$A$2)</f>
        <v>0</v>
      </c>
      <c r="L212" s="4">
        <f>SUMIFS(Movimientos!$E$6:$E$16,Movimientos!$C$6:$C$16,Stocks!$A212,Movimientos!$F$6:$F$16,Stocks!L$3,Movimientos!$A$6:$A$16,"&lt;="&amp;Stocks!$A$2)-SUMIFS(Movimientos!$E$6:$E$16,Movimientos!$C$6:$C$16,Stocks!$A212,Movimientos!$G$6:$G$16,Stocks!L$3,Movimientos!$A$6:$A$16,"&lt;="&amp;Stocks!$A$2)</f>
        <v>0</v>
      </c>
    </row>
    <row r="213" spans="1:12" x14ac:dyDescent="0.25">
      <c r="A213" t="str">
        <f>Codificación!A212</f>
        <v/>
      </c>
      <c r="B213" s="1">
        <f>Codificación!B212</f>
        <v>0</v>
      </c>
      <c r="E213" s="4">
        <f>SUMIFS(Movimientos!$E$6:$E$16,Movimientos!$C$6:$C$16,Stocks!$A213,Movimientos!$F$6:$F$16,Stocks!E$3,Movimientos!$A$6:$A$16,"&lt;="&amp;Stocks!$A$2)-SUMIFS(Movimientos!$E$6:$E$16,Movimientos!$C$6:$C$16,Stocks!$A213,Movimientos!$G$6:$G$16,Stocks!E$3,Movimientos!$A$6:$A$16,"&lt;="&amp;Stocks!$A$2)</f>
        <v>0</v>
      </c>
      <c r="F213" s="4">
        <f>SUMIFS(Movimientos!$E$6:$E$16,Movimientos!$C$6:$C$16,Stocks!$A213,Movimientos!$F$6:$F$16,Stocks!F$3,Movimientos!$A$6:$A$16,"&lt;="&amp;Stocks!$A$2)-SUMIFS(Movimientos!$E$6:$E$16,Movimientos!$C$6:$C$16,Stocks!$A213,Movimientos!$G$6:$G$16,Stocks!F$3,Movimientos!$A$6:$A$16,"&lt;="&amp;Stocks!$A$2)</f>
        <v>0</v>
      </c>
      <c r="G213" s="4">
        <f>SUMIFS(Movimientos!$E$6:$E$16,Movimientos!$C$6:$C$16,Stocks!$A213,Movimientos!$F$6:$F$16,Stocks!G$3,Movimientos!$A$6:$A$16,"&lt;="&amp;Stocks!$A$2)-SUMIFS(Movimientos!$E$6:$E$16,Movimientos!$C$6:$C$16,Stocks!$A213,Movimientos!$G$6:$G$16,Stocks!G$3,Movimientos!$A$6:$A$16,"&lt;="&amp;Stocks!$A$2)</f>
        <v>0</v>
      </c>
      <c r="H213" s="4">
        <f>SUMIFS(Movimientos!$E$6:$E$16,Movimientos!$C$6:$C$16,Stocks!$A213,Movimientos!$F$6:$F$16,Stocks!H$3,Movimientos!$A$6:$A$16,"&lt;="&amp;Stocks!$A$2)-SUMIFS(Movimientos!$E$6:$E$16,Movimientos!$C$6:$C$16,Stocks!$A213,Movimientos!$G$6:$G$16,Stocks!H$3,Movimientos!$A$6:$A$16,"&lt;="&amp;Stocks!$A$2)</f>
        <v>0</v>
      </c>
      <c r="I213" s="4">
        <f>SUMIFS(Movimientos!$E$6:$E$16,Movimientos!$C$6:$C$16,Stocks!$A213,Movimientos!$F$6:$F$16,Stocks!I$3,Movimientos!$A$6:$A$16,"&lt;="&amp;Stocks!$A$2)-SUMIFS(Movimientos!$E$6:$E$16,Movimientos!$C$6:$C$16,Stocks!$A213,Movimientos!$G$6:$G$16,Stocks!I$3,Movimientos!$A$6:$A$16,"&lt;="&amp;Stocks!$A$2)</f>
        <v>0</v>
      </c>
      <c r="J213" s="4">
        <f>SUMIFS(Movimientos!$E$6:$E$16,Movimientos!$C$6:$C$16,Stocks!$A213,Movimientos!$F$6:$F$16,Stocks!J$3,Movimientos!$A$6:$A$16,"&lt;="&amp;Stocks!$A$2)-SUMIFS(Movimientos!$E$6:$E$16,Movimientos!$C$6:$C$16,Stocks!$A213,Movimientos!$G$6:$G$16,Stocks!J$3,Movimientos!$A$6:$A$16,"&lt;="&amp;Stocks!$A$2)</f>
        <v>0</v>
      </c>
      <c r="K213" s="4">
        <f>SUMIFS(Movimientos!$E$6:$E$16,Movimientos!$C$6:$C$16,Stocks!$A213,Movimientos!$F$6:$F$16,Stocks!K$3,Movimientos!$A$6:$A$16,"&lt;="&amp;Stocks!$A$2)-SUMIFS(Movimientos!$E$6:$E$16,Movimientos!$C$6:$C$16,Stocks!$A213,Movimientos!$G$6:$G$16,Stocks!K$3,Movimientos!$A$6:$A$16,"&lt;="&amp;Stocks!$A$2)</f>
        <v>0</v>
      </c>
      <c r="L213" s="4">
        <f>SUMIFS(Movimientos!$E$6:$E$16,Movimientos!$C$6:$C$16,Stocks!$A213,Movimientos!$F$6:$F$16,Stocks!L$3,Movimientos!$A$6:$A$16,"&lt;="&amp;Stocks!$A$2)-SUMIFS(Movimientos!$E$6:$E$16,Movimientos!$C$6:$C$16,Stocks!$A213,Movimientos!$G$6:$G$16,Stocks!L$3,Movimientos!$A$6:$A$16,"&lt;="&amp;Stocks!$A$2)</f>
        <v>0</v>
      </c>
    </row>
    <row r="214" spans="1:12" x14ac:dyDescent="0.25">
      <c r="A214" t="str">
        <f>Codificación!A213</f>
        <v/>
      </c>
      <c r="B214" s="1">
        <f>Codificación!B213</f>
        <v>0</v>
      </c>
      <c r="E214" s="4">
        <f>SUMIFS(Movimientos!$E$6:$E$16,Movimientos!$C$6:$C$16,Stocks!$A214,Movimientos!$F$6:$F$16,Stocks!E$3,Movimientos!$A$6:$A$16,"&lt;="&amp;Stocks!$A$2)-SUMIFS(Movimientos!$E$6:$E$16,Movimientos!$C$6:$C$16,Stocks!$A214,Movimientos!$G$6:$G$16,Stocks!E$3,Movimientos!$A$6:$A$16,"&lt;="&amp;Stocks!$A$2)</f>
        <v>0</v>
      </c>
      <c r="F214" s="4">
        <f>SUMIFS(Movimientos!$E$6:$E$16,Movimientos!$C$6:$C$16,Stocks!$A214,Movimientos!$F$6:$F$16,Stocks!F$3,Movimientos!$A$6:$A$16,"&lt;="&amp;Stocks!$A$2)-SUMIFS(Movimientos!$E$6:$E$16,Movimientos!$C$6:$C$16,Stocks!$A214,Movimientos!$G$6:$G$16,Stocks!F$3,Movimientos!$A$6:$A$16,"&lt;="&amp;Stocks!$A$2)</f>
        <v>0</v>
      </c>
      <c r="G214" s="4">
        <f>SUMIFS(Movimientos!$E$6:$E$16,Movimientos!$C$6:$C$16,Stocks!$A214,Movimientos!$F$6:$F$16,Stocks!G$3,Movimientos!$A$6:$A$16,"&lt;="&amp;Stocks!$A$2)-SUMIFS(Movimientos!$E$6:$E$16,Movimientos!$C$6:$C$16,Stocks!$A214,Movimientos!$G$6:$G$16,Stocks!G$3,Movimientos!$A$6:$A$16,"&lt;="&amp;Stocks!$A$2)</f>
        <v>0</v>
      </c>
      <c r="H214" s="4">
        <f>SUMIFS(Movimientos!$E$6:$E$16,Movimientos!$C$6:$C$16,Stocks!$A214,Movimientos!$F$6:$F$16,Stocks!H$3,Movimientos!$A$6:$A$16,"&lt;="&amp;Stocks!$A$2)-SUMIFS(Movimientos!$E$6:$E$16,Movimientos!$C$6:$C$16,Stocks!$A214,Movimientos!$G$6:$G$16,Stocks!H$3,Movimientos!$A$6:$A$16,"&lt;="&amp;Stocks!$A$2)</f>
        <v>0</v>
      </c>
      <c r="I214" s="4">
        <f>SUMIFS(Movimientos!$E$6:$E$16,Movimientos!$C$6:$C$16,Stocks!$A214,Movimientos!$F$6:$F$16,Stocks!I$3,Movimientos!$A$6:$A$16,"&lt;="&amp;Stocks!$A$2)-SUMIFS(Movimientos!$E$6:$E$16,Movimientos!$C$6:$C$16,Stocks!$A214,Movimientos!$G$6:$G$16,Stocks!I$3,Movimientos!$A$6:$A$16,"&lt;="&amp;Stocks!$A$2)</f>
        <v>0</v>
      </c>
      <c r="J214" s="4">
        <f>SUMIFS(Movimientos!$E$6:$E$16,Movimientos!$C$6:$C$16,Stocks!$A214,Movimientos!$F$6:$F$16,Stocks!J$3,Movimientos!$A$6:$A$16,"&lt;="&amp;Stocks!$A$2)-SUMIFS(Movimientos!$E$6:$E$16,Movimientos!$C$6:$C$16,Stocks!$A214,Movimientos!$G$6:$G$16,Stocks!J$3,Movimientos!$A$6:$A$16,"&lt;="&amp;Stocks!$A$2)</f>
        <v>0</v>
      </c>
      <c r="K214" s="4">
        <f>SUMIFS(Movimientos!$E$6:$E$16,Movimientos!$C$6:$C$16,Stocks!$A214,Movimientos!$F$6:$F$16,Stocks!K$3,Movimientos!$A$6:$A$16,"&lt;="&amp;Stocks!$A$2)-SUMIFS(Movimientos!$E$6:$E$16,Movimientos!$C$6:$C$16,Stocks!$A214,Movimientos!$G$6:$G$16,Stocks!K$3,Movimientos!$A$6:$A$16,"&lt;="&amp;Stocks!$A$2)</f>
        <v>0</v>
      </c>
      <c r="L214" s="4">
        <f>SUMIFS(Movimientos!$E$6:$E$16,Movimientos!$C$6:$C$16,Stocks!$A214,Movimientos!$F$6:$F$16,Stocks!L$3,Movimientos!$A$6:$A$16,"&lt;="&amp;Stocks!$A$2)-SUMIFS(Movimientos!$E$6:$E$16,Movimientos!$C$6:$C$16,Stocks!$A214,Movimientos!$G$6:$G$16,Stocks!L$3,Movimientos!$A$6:$A$16,"&lt;="&amp;Stocks!$A$2)</f>
        <v>0</v>
      </c>
    </row>
    <row r="215" spans="1:12" x14ac:dyDescent="0.25">
      <c r="A215" t="str">
        <f>Codificación!A214</f>
        <v/>
      </c>
      <c r="B215" s="1">
        <f>Codificación!B214</f>
        <v>0</v>
      </c>
      <c r="E215" s="4">
        <f>SUMIFS(Movimientos!$E$6:$E$16,Movimientos!$C$6:$C$16,Stocks!$A215,Movimientos!$F$6:$F$16,Stocks!E$3,Movimientos!$A$6:$A$16,"&lt;="&amp;Stocks!$A$2)-SUMIFS(Movimientos!$E$6:$E$16,Movimientos!$C$6:$C$16,Stocks!$A215,Movimientos!$G$6:$G$16,Stocks!E$3,Movimientos!$A$6:$A$16,"&lt;="&amp;Stocks!$A$2)</f>
        <v>0</v>
      </c>
      <c r="F215" s="4">
        <f>SUMIFS(Movimientos!$E$6:$E$16,Movimientos!$C$6:$C$16,Stocks!$A215,Movimientos!$F$6:$F$16,Stocks!F$3,Movimientos!$A$6:$A$16,"&lt;="&amp;Stocks!$A$2)-SUMIFS(Movimientos!$E$6:$E$16,Movimientos!$C$6:$C$16,Stocks!$A215,Movimientos!$G$6:$G$16,Stocks!F$3,Movimientos!$A$6:$A$16,"&lt;="&amp;Stocks!$A$2)</f>
        <v>0</v>
      </c>
      <c r="G215" s="4">
        <f>SUMIFS(Movimientos!$E$6:$E$16,Movimientos!$C$6:$C$16,Stocks!$A215,Movimientos!$F$6:$F$16,Stocks!G$3,Movimientos!$A$6:$A$16,"&lt;="&amp;Stocks!$A$2)-SUMIFS(Movimientos!$E$6:$E$16,Movimientos!$C$6:$C$16,Stocks!$A215,Movimientos!$G$6:$G$16,Stocks!G$3,Movimientos!$A$6:$A$16,"&lt;="&amp;Stocks!$A$2)</f>
        <v>0</v>
      </c>
      <c r="H215" s="4">
        <f>SUMIFS(Movimientos!$E$6:$E$16,Movimientos!$C$6:$C$16,Stocks!$A215,Movimientos!$F$6:$F$16,Stocks!H$3,Movimientos!$A$6:$A$16,"&lt;="&amp;Stocks!$A$2)-SUMIFS(Movimientos!$E$6:$E$16,Movimientos!$C$6:$C$16,Stocks!$A215,Movimientos!$G$6:$G$16,Stocks!H$3,Movimientos!$A$6:$A$16,"&lt;="&amp;Stocks!$A$2)</f>
        <v>0</v>
      </c>
      <c r="I215" s="4">
        <f>SUMIFS(Movimientos!$E$6:$E$16,Movimientos!$C$6:$C$16,Stocks!$A215,Movimientos!$F$6:$F$16,Stocks!I$3,Movimientos!$A$6:$A$16,"&lt;="&amp;Stocks!$A$2)-SUMIFS(Movimientos!$E$6:$E$16,Movimientos!$C$6:$C$16,Stocks!$A215,Movimientos!$G$6:$G$16,Stocks!I$3,Movimientos!$A$6:$A$16,"&lt;="&amp;Stocks!$A$2)</f>
        <v>0</v>
      </c>
      <c r="J215" s="4">
        <f>SUMIFS(Movimientos!$E$6:$E$16,Movimientos!$C$6:$C$16,Stocks!$A215,Movimientos!$F$6:$F$16,Stocks!J$3,Movimientos!$A$6:$A$16,"&lt;="&amp;Stocks!$A$2)-SUMIFS(Movimientos!$E$6:$E$16,Movimientos!$C$6:$C$16,Stocks!$A215,Movimientos!$G$6:$G$16,Stocks!J$3,Movimientos!$A$6:$A$16,"&lt;="&amp;Stocks!$A$2)</f>
        <v>0</v>
      </c>
      <c r="K215" s="4">
        <f>SUMIFS(Movimientos!$E$6:$E$16,Movimientos!$C$6:$C$16,Stocks!$A215,Movimientos!$F$6:$F$16,Stocks!K$3,Movimientos!$A$6:$A$16,"&lt;="&amp;Stocks!$A$2)-SUMIFS(Movimientos!$E$6:$E$16,Movimientos!$C$6:$C$16,Stocks!$A215,Movimientos!$G$6:$G$16,Stocks!K$3,Movimientos!$A$6:$A$16,"&lt;="&amp;Stocks!$A$2)</f>
        <v>0</v>
      </c>
      <c r="L215" s="4">
        <f>SUMIFS(Movimientos!$E$6:$E$16,Movimientos!$C$6:$C$16,Stocks!$A215,Movimientos!$F$6:$F$16,Stocks!L$3,Movimientos!$A$6:$A$16,"&lt;="&amp;Stocks!$A$2)-SUMIFS(Movimientos!$E$6:$E$16,Movimientos!$C$6:$C$16,Stocks!$A215,Movimientos!$G$6:$G$16,Stocks!L$3,Movimientos!$A$6:$A$16,"&lt;="&amp;Stocks!$A$2)</f>
        <v>0</v>
      </c>
    </row>
    <row r="216" spans="1:12" x14ac:dyDescent="0.25">
      <c r="A216" t="str">
        <f>Codificación!A215</f>
        <v/>
      </c>
      <c r="B216" s="1">
        <f>Codificación!B215</f>
        <v>0</v>
      </c>
      <c r="E216" s="4">
        <f>SUMIFS(Movimientos!$E$6:$E$16,Movimientos!$C$6:$C$16,Stocks!$A216,Movimientos!$F$6:$F$16,Stocks!E$3,Movimientos!$A$6:$A$16,"&lt;="&amp;Stocks!$A$2)-SUMIFS(Movimientos!$E$6:$E$16,Movimientos!$C$6:$C$16,Stocks!$A216,Movimientos!$G$6:$G$16,Stocks!E$3,Movimientos!$A$6:$A$16,"&lt;="&amp;Stocks!$A$2)</f>
        <v>0</v>
      </c>
      <c r="F216" s="4">
        <f>SUMIFS(Movimientos!$E$6:$E$16,Movimientos!$C$6:$C$16,Stocks!$A216,Movimientos!$F$6:$F$16,Stocks!F$3,Movimientos!$A$6:$A$16,"&lt;="&amp;Stocks!$A$2)-SUMIFS(Movimientos!$E$6:$E$16,Movimientos!$C$6:$C$16,Stocks!$A216,Movimientos!$G$6:$G$16,Stocks!F$3,Movimientos!$A$6:$A$16,"&lt;="&amp;Stocks!$A$2)</f>
        <v>0</v>
      </c>
      <c r="G216" s="4">
        <f>SUMIFS(Movimientos!$E$6:$E$16,Movimientos!$C$6:$C$16,Stocks!$A216,Movimientos!$F$6:$F$16,Stocks!G$3,Movimientos!$A$6:$A$16,"&lt;="&amp;Stocks!$A$2)-SUMIFS(Movimientos!$E$6:$E$16,Movimientos!$C$6:$C$16,Stocks!$A216,Movimientos!$G$6:$G$16,Stocks!G$3,Movimientos!$A$6:$A$16,"&lt;="&amp;Stocks!$A$2)</f>
        <v>0</v>
      </c>
      <c r="H216" s="4">
        <f>SUMIFS(Movimientos!$E$6:$E$16,Movimientos!$C$6:$C$16,Stocks!$A216,Movimientos!$F$6:$F$16,Stocks!H$3,Movimientos!$A$6:$A$16,"&lt;="&amp;Stocks!$A$2)-SUMIFS(Movimientos!$E$6:$E$16,Movimientos!$C$6:$C$16,Stocks!$A216,Movimientos!$G$6:$G$16,Stocks!H$3,Movimientos!$A$6:$A$16,"&lt;="&amp;Stocks!$A$2)</f>
        <v>0</v>
      </c>
      <c r="I216" s="4">
        <f>SUMIFS(Movimientos!$E$6:$E$16,Movimientos!$C$6:$C$16,Stocks!$A216,Movimientos!$F$6:$F$16,Stocks!I$3,Movimientos!$A$6:$A$16,"&lt;="&amp;Stocks!$A$2)-SUMIFS(Movimientos!$E$6:$E$16,Movimientos!$C$6:$C$16,Stocks!$A216,Movimientos!$G$6:$G$16,Stocks!I$3,Movimientos!$A$6:$A$16,"&lt;="&amp;Stocks!$A$2)</f>
        <v>0</v>
      </c>
      <c r="J216" s="4">
        <f>SUMIFS(Movimientos!$E$6:$E$16,Movimientos!$C$6:$C$16,Stocks!$A216,Movimientos!$F$6:$F$16,Stocks!J$3,Movimientos!$A$6:$A$16,"&lt;="&amp;Stocks!$A$2)-SUMIFS(Movimientos!$E$6:$E$16,Movimientos!$C$6:$C$16,Stocks!$A216,Movimientos!$G$6:$G$16,Stocks!J$3,Movimientos!$A$6:$A$16,"&lt;="&amp;Stocks!$A$2)</f>
        <v>0</v>
      </c>
      <c r="K216" s="4">
        <f>SUMIFS(Movimientos!$E$6:$E$16,Movimientos!$C$6:$C$16,Stocks!$A216,Movimientos!$F$6:$F$16,Stocks!K$3,Movimientos!$A$6:$A$16,"&lt;="&amp;Stocks!$A$2)-SUMIFS(Movimientos!$E$6:$E$16,Movimientos!$C$6:$C$16,Stocks!$A216,Movimientos!$G$6:$G$16,Stocks!K$3,Movimientos!$A$6:$A$16,"&lt;="&amp;Stocks!$A$2)</f>
        <v>0</v>
      </c>
      <c r="L216" s="4">
        <f>SUMIFS(Movimientos!$E$6:$E$16,Movimientos!$C$6:$C$16,Stocks!$A216,Movimientos!$F$6:$F$16,Stocks!L$3,Movimientos!$A$6:$A$16,"&lt;="&amp;Stocks!$A$2)-SUMIFS(Movimientos!$E$6:$E$16,Movimientos!$C$6:$C$16,Stocks!$A216,Movimientos!$G$6:$G$16,Stocks!L$3,Movimientos!$A$6:$A$16,"&lt;="&amp;Stocks!$A$2)</f>
        <v>0</v>
      </c>
    </row>
    <row r="217" spans="1:12" x14ac:dyDescent="0.25">
      <c r="A217" t="str">
        <f>Codificación!A216</f>
        <v/>
      </c>
      <c r="B217" s="1">
        <f>Codificación!B216</f>
        <v>0</v>
      </c>
      <c r="E217" s="4">
        <f>SUMIFS(Movimientos!$E$6:$E$16,Movimientos!$C$6:$C$16,Stocks!$A217,Movimientos!$F$6:$F$16,Stocks!E$3,Movimientos!$A$6:$A$16,"&lt;="&amp;Stocks!$A$2)-SUMIFS(Movimientos!$E$6:$E$16,Movimientos!$C$6:$C$16,Stocks!$A217,Movimientos!$G$6:$G$16,Stocks!E$3,Movimientos!$A$6:$A$16,"&lt;="&amp;Stocks!$A$2)</f>
        <v>0</v>
      </c>
      <c r="F217" s="4">
        <f>SUMIFS(Movimientos!$E$6:$E$16,Movimientos!$C$6:$C$16,Stocks!$A217,Movimientos!$F$6:$F$16,Stocks!F$3,Movimientos!$A$6:$A$16,"&lt;="&amp;Stocks!$A$2)-SUMIFS(Movimientos!$E$6:$E$16,Movimientos!$C$6:$C$16,Stocks!$A217,Movimientos!$G$6:$G$16,Stocks!F$3,Movimientos!$A$6:$A$16,"&lt;="&amp;Stocks!$A$2)</f>
        <v>0</v>
      </c>
      <c r="G217" s="4">
        <f>SUMIFS(Movimientos!$E$6:$E$16,Movimientos!$C$6:$C$16,Stocks!$A217,Movimientos!$F$6:$F$16,Stocks!G$3,Movimientos!$A$6:$A$16,"&lt;="&amp;Stocks!$A$2)-SUMIFS(Movimientos!$E$6:$E$16,Movimientos!$C$6:$C$16,Stocks!$A217,Movimientos!$G$6:$G$16,Stocks!G$3,Movimientos!$A$6:$A$16,"&lt;="&amp;Stocks!$A$2)</f>
        <v>0</v>
      </c>
      <c r="H217" s="4">
        <f>SUMIFS(Movimientos!$E$6:$E$16,Movimientos!$C$6:$C$16,Stocks!$A217,Movimientos!$F$6:$F$16,Stocks!H$3,Movimientos!$A$6:$A$16,"&lt;="&amp;Stocks!$A$2)-SUMIFS(Movimientos!$E$6:$E$16,Movimientos!$C$6:$C$16,Stocks!$A217,Movimientos!$G$6:$G$16,Stocks!H$3,Movimientos!$A$6:$A$16,"&lt;="&amp;Stocks!$A$2)</f>
        <v>0</v>
      </c>
      <c r="I217" s="4">
        <f>SUMIFS(Movimientos!$E$6:$E$16,Movimientos!$C$6:$C$16,Stocks!$A217,Movimientos!$F$6:$F$16,Stocks!I$3,Movimientos!$A$6:$A$16,"&lt;="&amp;Stocks!$A$2)-SUMIFS(Movimientos!$E$6:$E$16,Movimientos!$C$6:$C$16,Stocks!$A217,Movimientos!$G$6:$G$16,Stocks!I$3,Movimientos!$A$6:$A$16,"&lt;="&amp;Stocks!$A$2)</f>
        <v>0</v>
      </c>
      <c r="J217" s="4">
        <f>SUMIFS(Movimientos!$E$6:$E$16,Movimientos!$C$6:$C$16,Stocks!$A217,Movimientos!$F$6:$F$16,Stocks!J$3,Movimientos!$A$6:$A$16,"&lt;="&amp;Stocks!$A$2)-SUMIFS(Movimientos!$E$6:$E$16,Movimientos!$C$6:$C$16,Stocks!$A217,Movimientos!$G$6:$G$16,Stocks!J$3,Movimientos!$A$6:$A$16,"&lt;="&amp;Stocks!$A$2)</f>
        <v>0</v>
      </c>
      <c r="K217" s="4">
        <f>SUMIFS(Movimientos!$E$6:$E$16,Movimientos!$C$6:$C$16,Stocks!$A217,Movimientos!$F$6:$F$16,Stocks!K$3,Movimientos!$A$6:$A$16,"&lt;="&amp;Stocks!$A$2)-SUMIFS(Movimientos!$E$6:$E$16,Movimientos!$C$6:$C$16,Stocks!$A217,Movimientos!$G$6:$G$16,Stocks!K$3,Movimientos!$A$6:$A$16,"&lt;="&amp;Stocks!$A$2)</f>
        <v>0</v>
      </c>
      <c r="L217" s="4">
        <f>SUMIFS(Movimientos!$E$6:$E$16,Movimientos!$C$6:$C$16,Stocks!$A217,Movimientos!$F$6:$F$16,Stocks!L$3,Movimientos!$A$6:$A$16,"&lt;="&amp;Stocks!$A$2)-SUMIFS(Movimientos!$E$6:$E$16,Movimientos!$C$6:$C$16,Stocks!$A217,Movimientos!$G$6:$G$16,Stocks!L$3,Movimientos!$A$6:$A$16,"&lt;="&amp;Stocks!$A$2)</f>
        <v>0</v>
      </c>
    </row>
    <row r="218" spans="1:12" x14ac:dyDescent="0.25">
      <c r="A218" t="str">
        <f>Codificación!A217</f>
        <v/>
      </c>
      <c r="B218" s="1">
        <f>Codificación!B217</f>
        <v>0</v>
      </c>
      <c r="E218" s="4">
        <f>SUMIFS(Movimientos!$E$6:$E$16,Movimientos!$C$6:$C$16,Stocks!$A218,Movimientos!$F$6:$F$16,Stocks!E$3,Movimientos!$A$6:$A$16,"&lt;="&amp;Stocks!$A$2)-SUMIFS(Movimientos!$E$6:$E$16,Movimientos!$C$6:$C$16,Stocks!$A218,Movimientos!$G$6:$G$16,Stocks!E$3,Movimientos!$A$6:$A$16,"&lt;="&amp;Stocks!$A$2)</f>
        <v>0</v>
      </c>
      <c r="F218" s="4">
        <f>SUMIFS(Movimientos!$E$6:$E$16,Movimientos!$C$6:$C$16,Stocks!$A218,Movimientos!$F$6:$F$16,Stocks!F$3,Movimientos!$A$6:$A$16,"&lt;="&amp;Stocks!$A$2)-SUMIFS(Movimientos!$E$6:$E$16,Movimientos!$C$6:$C$16,Stocks!$A218,Movimientos!$G$6:$G$16,Stocks!F$3,Movimientos!$A$6:$A$16,"&lt;="&amp;Stocks!$A$2)</f>
        <v>0</v>
      </c>
      <c r="G218" s="4">
        <f>SUMIFS(Movimientos!$E$6:$E$16,Movimientos!$C$6:$C$16,Stocks!$A218,Movimientos!$F$6:$F$16,Stocks!G$3,Movimientos!$A$6:$A$16,"&lt;="&amp;Stocks!$A$2)-SUMIFS(Movimientos!$E$6:$E$16,Movimientos!$C$6:$C$16,Stocks!$A218,Movimientos!$G$6:$G$16,Stocks!G$3,Movimientos!$A$6:$A$16,"&lt;="&amp;Stocks!$A$2)</f>
        <v>0</v>
      </c>
      <c r="H218" s="4">
        <f>SUMIFS(Movimientos!$E$6:$E$16,Movimientos!$C$6:$C$16,Stocks!$A218,Movimientos!$F$6:$F$16,Stocks!H$3,Movimientos!$A$6:$A$16,"&lt;="&amp;Stocks!$A$2)-SUMIFS(Movimientos!$E$6:$E$16,Movimientos!$C$6:$C$16,Stocks!$A218,Movimientos!$G$6:$G$16,Stocks!H$3,Movimientos!$A$6:$A$16,"&lt;="&amp;Stocks!$A$2)</f>
        <v>0</v>
      </c>
      <c r="I218" s="4">
        <f>SUMIFS(Movimientos!$E$6:$E$16,Movimientos!$C$6:$C$16,Stocks!$A218,Movimientos!$F$6:$F$16,Stocks!I$3,Movimientos!$A$6:$A$16,"&lt;="&amp;Stocks!$A$2)-SUMIFS(Movimientos!$E$6:$E$16,Movimientos!$C$6:$C$16,Stocks!$A218,Movimientos!$G$6:$G$16,Stocks!I$3,Movimientos!$A$6:$A$16,"&lt;="&amp;Stocks!$A$2)</f>
        <v>0</v>
      </c>
      <c r="J218" s="4">
        <f>SUMIFS(Movimientos!$E$6:$E$16,Movimientos!$C$6:$C$16,Stocks!$A218,Movimientos!$F$6:$F$16,Stocks!J$3,Movimientos!$A$6:$A$16,"&lt;="&amp;Stocks!$A$2)-SUMIFS(Movimientos!$E$6:$E$16,Movimientos!$C$6:$C$16,Stocks!$A218,Movimientos!$G$6:$G$16,Stocks!J$3,Movimientos!$A$6:$A$16,"&lt;="&amp;Stocks!$A$2)</f>
        <v>0</v>
      </c>
      <c r="K218" s="4">
        <f>SUMIFS(Movimientos!$E$6:$E$16,Movimientos!$C$6:$C$16,Stocks!$A218,Movimientos!$F$6:$F$16,Stocks!K$3,Movimientos!$A$6:$A$16,"&lt;="&amp;Stocks!$A$2)-SUMIFS(Movimientos!$E$6:$E$16,Movimientos!$C$6:$C$16,Stocks!$A218,Movimientos!$G$6:$G$16,Stocks!K$3,Movimientos!$A$6:$A$16,"&lt;="&amp;Stocks!$A$2)</f>
        <v>0</v>
      </c>
      <c r="L218" s="4">
        <f>SUMIFS(Movimientos!$E$6:$E$16,Movimientos!$C$6:$C$16,Stocks!$A218,Movimientos!$F$6:$F$16,Stocks!L$3,Movimientos!$A$6:$A$16,"&lt;="&amp;Stocks!$A$2)-SUMIFS(Movimientos!$E$6:$E$16,Movimientos!$C$6:$C$16,Stocks!$A218,Movimientos!$G$6:$G$16,Stocks!L$3,Movimientos!$A$6:$A$16,"&lt;="&amp;Stocks!$A$2)</f>
        <v>0</v>
      </c>
    </row>
    <row r="219" spans="1:12" x14ac:dyDescent="0.25">
      <c r="A219" t="str">
        <f>Codificación!A218</f>
        <v/>
      </c>
      <c r="B219" s="1">
        <f>Codificación!B218</f>
        <v>0</v>
      </c>
      <c r="E219" s="4">
        <f>SUMIFS(Movimientos!$E$6:$E$16,Movimientos!$C$6:$C$16,Stocks!$A219,Movimientos!$F$6:$F$16,Stocks!E$3,Movimientos!$A$6:$A$16,"&lt;="&amp;Stocks!$A$2)-SUMIFS(Movimientos!$E$6:$E$16,Movimientos!$C$6:$C$16,Stocks!$A219,Movimientos!$G$6:$G$16,Stocks!E$3,Movimientos!$A$6:$A$16,"&lt;="&amp;Stocks!$A$2)</f>
        <v>0</v>
      </c>
      <c r="F219" s="4">
        <f>SUMIFS(Movimientos!$E$6:$E$16,Movimientos!$C$6:$C$16,Stocks!$A219,Movimientos!$F$6:$F$16,Stocks!F$3,Movimientos!$A$6:$A$16,"&lt;="&amp;Stocks!$A$2)-SUMIFS(Movimientos!$E$6:$E$16,Movimientos!$C$6:$C$16,Stocks!$A219,Movimientos!$G$6:$G$16,Stocks!F$3,Movimientos!$A$6:$A$16,"&lt;="&amp;Stocks!$A$2)</f>
        <v>0</v>
      </c>
      <c r="G219" s="4">
        <f>SUMIFS(Movimientos!$E$6:$E$16,Movimientos!$C$6:$C$16,Stocks!$A219,Movimientos!$F$6:$F$16,Stocks!G$3,Movimientos!$A$6:$A$16,"&lt;="&amp;Stocks!$A$2)-SUMIFS(Movimientos!$E$6:$E$16,Movimientos!$C$6:$C$16,Stocks!$A219,Movimientos!$G$6:$G$16,Stocks!G$3,Movimientos!$A$6:$A$16,"&lt;="&amp;Stocks!$A$2)</f>
        <v>0</v>
      </c>
      <c r="H219" s="4">
        <f>SUMIFS(Movimientos!$E$6:$E$16,Movimientos!$C$6:$C$16,Stocks!$A219,Movimientos!$F$6:$F$16,Stocks!H$3,Movimientos!$A$6:$A$16,"&lt;="&amp;Stocks!$A$2)-SUMIFS(Movimientos!$E$6:$E$16,Movimientos!$C$6:$C$16,Stocks!$A219,Movimientos!$G$6:$G$16,Stocks!H$3,Movimientos!$A$6:$A$16,"&lt;="&amp;Stocks!$A$2)</f>
        <v>0</v>
      </c>
      <c r="I219" s="4">
        <f>SUMIFS(Movimientos!$E$6:$E$16,Movimientos!$C$6:$C$16,Stocks!$A219,Movimientos!$F$6:$F$16,Stocks!I$3,Movimientos!$A$6:$A$16,"&lt;="&amp;Stocks!$A$2)-SUMIFS(Movimientos!$E$6:$E$16,Movimientos!$C$6:$C$16,Stocks!$A219,Movimientos!$G$6:$G$16,Stocks!I$3,Movimientos!$A$6:$A$16,"&lt;="&amp;Stocks!$A$2)</f>
        <v>0</v>
      </c>
      <c r="J219" s="4">
        <f>SUMIFS(Movimientos!$E$6:$E$16,Movimientos!$C$6:$C$16,Stocks!$A219,Movimientos!$F$6:$F$16,Stocks!J$3,Movimientos!$A$6:$A$16,"&lt;="&amp;Stocks!$A$2)-SUMIFS(Movimientos!$E$6:$E$16,Movimientos!$C$6:$C$16,Stocks!$A219,Movimientos!$G$6:$G$16,Stocks!J$3,Movimientos!$A$6:$A$16,"&lt;="&amp;Stocks!$A$2)</f>
        <v>0</v>
      </c>
      <c r="K219" s="4">
        <f>SUMIFS(Movimientos!$E$6:$E$16,Movimientos!$C$6:$C$16,Stocks!$A219,Movimientos!$F$6:$F$16,Stocks!K$3,Movimientos!$A$6:$A$16,"&lt;="&amp;Stocks!$A$2)-SUMIFS(Movimientos!$E$6:$E$16,Movimientos!$C$6:$C$16,Stocks!$A219,Movimientos!$G$6:$G$16,Stocks!K$3,Movimientos!$A$6:$A$16,"&lt;="&amp;Stocks!$A$2)</f>
        <v>0</v>
      </c>
      <c r="L219" s="4">
        <f>SUMIFS(Movimientos!$E$6:$E$16,Movimientos!$C$6:$C$16,Stocks!$A219,Movimientos!$F$6:$F$16,Stocks!L$3,Movimientos!$A$6:$A$16,"&lt;="&amp;Stocks!$A$2)-SUMIFS(Movimientos!$E$6:$E$16,Movimientos!$C$6:$C$16,Stocks!$A219,Movimientos!$G$6:$G$16,Stocks!L$3,Movimientos!$A$6:$A$16,"&lt;="&amp;Stocks!$A$2)</f>
        <v>0</v>
      </c>
    </row>
    <row r="220" spans="1:12" x14ac:dyDescent="0.25">
      <c r="A220" t="str">
        <f>Codificación!A219</f>
        <v/>
      </c>
      <c r="B220" s="1">
        <f>Codificación!B219</f>
        <v>0</v>
      </c>
      <c r="E220" s="4">
        <f>SUMIFS(Movimientos!$E$6:$E$16,Movimientos!$C$6:$C$16,Stocks!$A220,Movimientos!$F$6:$F$16,Stocks!E$3,Movimientos!$A$6:$A$16,"&lt;="&amp;Stocks!$A$2)-SUMIFS(Movimientos!$E$6:$E$16,Movimientos!$C$6:$C$16,Stocks!$A220,Movimientos!$G$6:$G$16,Stocks!E$3,Movimientos!$A$6:$A$16,"&lt;="&amp;Stocks!$A$2)</f>
        <v>0</v>
      </c>
      <c r="F220" s="4">
        <f>SUMIFS(Movimientos!$E$6:$E$16,Movimientos!$C$6:$C$16,Stocks!$A220,Movimientos!$F$6:$F$16,Stocks!F$3,Movimientos!$A$6:$A$16,"&lt;="&amp;Stocks!$A$2)-SUMIFS(Movimientos!$E$6:$E$16,Movimientos!$C$6:$C$16,Stocks!$A220,Movimientos!$G$6:$G$16,Stocks!F$3,Movimientos!$A$6:$A$16,"&lt;="&amp;Stocks!$A$2)</f>
        <v>0</v>
      </c>
      <c r="G220" s="4">
        <f>SUMIFS(Movimientos!$E$6:$E$16,Movimientos!$C$6:$C$16,Stocks!$A220,Movimientos!$F$6:$F$16,Stocks!G$3,Movimientos!$A$6:$A$16,"&lt;="&amp;Stocks!$A$2)-SUMIFS(Movimientos!$E$6:$E$16,Movimientos!$C$6:$C$16,Stocks!$A220,Movimientos!$G$6:$G$16,Stocks!G$3,Movimientos!$A$6:$A$16,"&lt;="&amp;Stocks!$A$2)</f>
        <v>0</v>
      </c>
      <c r="H220" s="4">
        <f>SUMIFS(Movimientos!$E$6:$E$16,Movimientos!$C$6:$C$16,Stocks!$A220,Movimientos!$F$6:$F$16,Stocks!H$3,Movimientos!$A$6:$A$16,"&lt;="&amp;Stocks!$A$2)-SUMIFS(Movimientos!$E$6:$E$16,Movimientos!$C$6:$C$16,Stocks!$A220,Movimientos!$G$6:$G$16,Stocks!H$3,Movimientos!$A$6:$A$16,"&lt;="&amp;Stocks!$A$2)</f>
        <v>0</v>
      </c>
      <c r="I220" s="4">
        <f>SUMIFS(Movimientos!$E$6:$E$16,Movimientos!$C$6:$C$16,Stocks!$A220,Movimientos!$F$6:$F$16,Stocks!I$3,Movimientos!$A$6:$A$16,"&lt;="&amp;Stocks!$A$2)-SUMIFS(Movimientos!$E$6:$E$16,Movimientos!$C$6:$C$16,Stocks!$A220,Movimientos!$G$6:$G$16,Stocks!I$3,Movimientos!$A$6:$A$16,"&lt;="&amp;Stocks!$A$2)</f>
        <v>0</v>
      </c>
      <c r="J220" s="4">
        <f>SUMIFS(Movimientos!$E$6:$E$16,Movimientos!$C$6:$C$16,Stocks!$A220,Movimientos!$F$6:$F$16,Stocks!J$3,Movimientos!$A$6:$A$16,"&lt;="&amp;Stocks!$A$2)-SUMIFS(Movimientos!$E$6:$E$16,Movimientos!$C$6:$C$16,Stocks!$A220,Movimientos!$G$6:$G$16,Stocks!J$3,Movimientos!$A$6:$A$16,"&lt;="&amp;Stocks!$A$2)</f>
        <v>0</v>
      </c>
      <c r="K220" s="4">
        <f>SUMIFS(Movimientos!$E$6:$E$16,Movimientos!$C$6:$C$16,Stocks!$A220,Movimientos!$F$6:$F$16,Stocks!K$3,Movimientos!$A$6:$A$16,"&lt;="&amp;Stocks!$A$2)-SUMIFS(Movimientos!$E$6:$E$16,Movimientos!$C$6:$C$16,Stocks!$A220,Movimientos!$G$6:$G$16,Stocks!K$3,Movimientos!$A$6:$A$16,"&lt;="&amp;Stocks!$A$2)</f>
        <v>0</v>
      </c>
      <c r="L220" s="4">
        <f>SUMIFS(Movimientos!$E$6:$E$16,Movimientos!$C$6:$C$16,Stocks!$A220,Movimientos!$F$6:$F$16,Stocks!L$3,Movimientos!$A$6:$A$16,"&lt;="&amp;Stocks!$A$2)-SUMIFS(Movimientos!$E$6:$E$16,Movimientos!$C$6:$C$16,Stocks!$A220,Movimientos!$G$6:$G$16,Stocks!L$3,Movimientos!$A$6:$A$16,"&lt;="&amp;Stocks!$A$2)</f>
        <v>0</v>
      </c>
    </row>
    <row r="221" spans="1:12" x14ac:dyDescent="0.25">
      <c r="A221" t="str">
        <f>Codificación!A220</f>
        <v/>
      </c>
      <c r="B221" s="1">
        <f>Codificación!B220</f>
        <v>0</v>
      </c>
      <c r="E221" s="4">
        <f>SUMIFS(Movimientos!$E$6:$E$16,Movimientos!$C$6:$C$16,Stocks!$A221,Movimientos!$F$6:$F$16,Stocks!E$3,Movimientos!$A$6:$A$16,"&lt;="&amp;Stocks!$A$2)-SUMIFS(Movimientos!$E$6:$E$16,Movimientos!$C$6:$C$16,Stocks!$A221,Movimientos!$G$6:$G$16,Stocks!E$3,Movimientos!$A$6:$A$16,"&lt;="&amp;Stocks!$A$2)</f>
        <v>0</v>
      </c>
      <c r="F221" s="4">
        <f>SUMIFS(Movimientos!$E$6:$E$16,Movimientos!$C$6:$C$16,Stocks!$A221,Movimientos!$F$6:$F$16,Stocks!F$3,Movimientos!$A$6:$A$16,"&lt;="&amp;Stocks!$A$2)-SUMIFS(Movimientos!$E$6:$E$16,Movimientos!$C$6:$C$16,Stocks!$A221,Movimientos!$G$6:$G$16,Stocks!F$3,Movimientos!$A$6:$A$16,"&lt;="&amp;Stocks!$A$2)</f>
        <v>0</v>
      </c>
      <c r="G221" s="4">
        <f>SUMIFS(Movimientos!$E$6:$E$16,Movimientos!$C$6:$C$16,Stocks!$A221,Movimientos!$F$6:$F$16,Stocks!G$3,Movimientos!$A$6:$A$16,"&lt;="&amp;Stocks!$A$2)-SUMIFS(Movimientos!$E$6:$E$16,Movimientos!$C$6:$C$16,Stocks!$A221,Movimientos!$G$6:$G$16,Stocks!G$3,Movimientos!$A$6:$A$16,"&lt;="&amp;Stocks!$A$2)</f>
        <v>0</v>
      </c>
      <c r="H221" s="4">
        <f>SUMIFS(Movimientos!$E$6:$E$16,Movimientos!$C$6:$C$16,Stocks!$A221,Movimientos!$F$6:$F$16,Stocks!H$3,Movimientos!$A$6:$A$16,"&lt;="&amp;Stocks!$A$2)-SUMIFS(Movimientos!$E$6:$E$16,Movimientos!$C$6:$C$16,Stocks!$A221,Movimientos!$G$6:$G$16,Stocks!H$3,Movimientos!$A$6:$A$16,"&lt;="&amp;Stocks!$A$2)</f>
        <v>0</v>
      </c>
      <c r="I221" s="4">
        <f>SUMIFS(Movimientos!$E$6:$E$16,Movimientos!$C$6:$C$16,Stocks!$A221,Movimientos!$F$6:$F$16,Stocks!I$3,Movimientos!$A$6:$A$16,"&lt;="&amp;Stocks!$A$2)-SUMIFS(Movimientos!$E$6:$E$16,Movimientos!$C$6:$C$16,Stocks!$A221,Movimientos!$G$6:$G$16,Stocks!I$3,Movimientos!$A$6:$A$16,"&lt;="&amp;Stocks!$A$2)</f>
        <v>0</v>
      </c>
      <c r="J221" s="4">
        <f>SUMIFS(Movimientos!$E$6:$E$16,Movimientos!$C$6:$C$16,Stocks!$A221,Movimientos!$F$6:$F$16,Stocks!J$3,Movimientos!$A$6:$A$16,"&lt;="&amp;Stocks!$A$2)-SUMIFS(Movimientos!$E$6:$E$16,Movimientos!$C$6:$C$16,Stocks!$A221,Movimientos!$G$6:$G$16,Stocks!J$3,Movimientos!$A$6:$A$16,"&lt;="&amp;Stocks!$A$2)</f>
        <v>0</v>
      </c>
      <c r="K221" s="4">
        <f>SUMIFS(Movimientos!$E$6:$E$16,Movimientos!$C$6:$C$16,Stocks!$A221,Movimientos!$F$6:$F$16,Stocks!K$3,Movimientos!$A$6:$A$16,"&lt;="&amp;Stocks!$A$2)-SUMIFS(Movimientos!$E$6:$E$16,Movimientos!$C$6:$C$16,Stocks!$A221,Movimientos!$G$6:$G$16,Stocks!K$3,Movimientos!$A$6:$A$16,"&lt;="&amp;Stocks!$A$2)</f>
        <v>0</v>
      </c>
      <c r="L221" s="4">
        <f>SUMIFS(Movimientos!$E$6:$E$16,Movimientos!$C$6:$C$16,Stocks!$A221,Movimientos!$F$6:$F$16,Stocks!L$3,Movimientos!$A$6:$A$16,"&lt;="&amp;Stocks!$A$2)-SUMIFS(Movimientos!$E$6:$E$16,Movimientos!$C$6:$C$16,Stocks!$A221,Movimientos!$G$6:$G$16,Stocks!L$3,Movimientos!$A$6:$A$16,"&lt;="&amp;Stocks!$A$2)</f>
        <v>0</v>
      </c>
    </row>
    <row r="222" spans="1:12" x14ac:dyDescent="0.25">
      <c r="A222" t="str">
        <f>Codificación!A221</f>
        <v/>
      </c>
      <c r="B222" s="1">
        <f>Codificación!B221</f>
        <v>0</v>
      </c>
      <c r="E222" s="4">
        <f>SUMIFS(Movimientos!$E$6:$E$16,Movimientos!$C$6:$C$16,Stocks!$A222,Movimientos!$F$6:$F$16,Stocks!E$3,Movimientos!$A$6:$A$16,"&lt;="&amp;Stocks!$A$2)-SUMIFS(Movimientos!$E$6:$E$16,Movimientos!$C$6:$C$16,Stocks!$A222,Movimientos!$G$6:$G$16,Stocks!E$3,Movimientos!$A$6:$A$16,"&lt;="&amp;Stocks!$A$2)</f>
        <v>0</v>
      </c>
      <c r="F222" s="4">
        <f>SUMIFS(Movimientos!$E$6:$E$16,Movimientos!$C$6:$C$16,Stocks!$A222,Movimientos!$F$6:$F$16,Stocks!F$3,Movimientos!$A$6:$A$16,"&lt;="&amp;Stocks!$A$2)-SUMIFS(Movimientos!$E$6:$E$16,Movimientos!$C$6:$C$16,Stocks!$A222,Movimientos!$G$6:$G$16,Stocks!F$3,Movimientos!$A$6:$A$16,"&lt;="&amp;Stocks!$A$2)</f>
        <v>0</v>
      </c>
      <c r="G222" s="4">
        <f>SUMIFS(Movimientos!$E$6:$E$16,Movimientos!$C$6:$C$16,Stocks!$A222,Movimientos!$F$6:$F$16,Stocks!G$3,Movimientos!$A$6:$A$16,"&lt;="&amp;Stocks!$A$2)-SUMIFS(Movimientos!$E$6:$E$16,Movimientos!$C$6:$C$16,Stocks!$A222,Movimientos!$G$6:$G$16,Stocks!G$3,Movimientos!$A$6:$A$16,"&lt;="&amp;Stocks!$A$2)</f>
        <v>0</v>
      </c>
      <c r="H222" s="4">
        <f>SUMIFS(Movimientos!$E$6:$E$16,Movimientos!$C$6:$C$16,Stocks!$A222,Movimientos!$F$6:$F$16,Stocks!H$3,Movimientos!$A$6:$A$16,"&lt;="&amp;Stocks!$A$2)-SUMIFS(Movimientos!$E$6:$E$16,Movimientos!$C$6:$C$16,Stocks!$A222,Movimientos!$G$6:$G$16,Stocks!H$3,Movimientos!$A$6:$A$16,"&lt;="&amp;Stocks!$A$2)</f>
        <v>0</v>
      </c>
      <c r="I222" s="4">
        <f>SUMIFS(Movimientos!$E$6:$E$16,Movimientos!$C$6:$C$16,Stocks!$A222,Movimientos!$F$6:$F$16,Stocks!I$3,Movimientos!$A$6:$A$16,"&lt;="&amp;Stocks!$A$2)-SUMIFS(Movimientos!$E$6:$E$16,Movimientos!$C$6:$C$16,Stocks!$A222,Movimientos!$G$6:$G$16,Stocks!I$3,Movimientos!$A$6:$A$16,"&lt;="&amp;Stocks!$A$2)</f>
        <v>0</v>
      </c>
      <c r="J222" s="4">
        <f>SUMIFS(Movimientos!$E$6:$E$16,Movimientos!$C$6:$C$16,Stocks!$A222,Movimientos!$F$6:$F$16,Stocks!J$3,Movimientos!$A$6:$A$16,"&lt;="&amp;Stocks!$A$2)-SUMIFS(Movimientos!$E$6:$E$16,Movimientos!$C$6:$C$16,Stocks!$A222,Movimientos!$G$6:$G$16,Stocks!J$3,Movimientos!$A$6:$A$16,"&lt;="&amp;Stocks!$A$2)</f>
        <v>0</v>
      </c>
      <c r="K222" s="4">
        <f>SUMIFS(Movimientos!$E$6:$E$16,Movimientos!$C$6:$C$16,Stocks!$A222,Movimientos!$F$6:$F$16,Stocks!K$3,Movimientos!$A$6:$A$16,"&lt;="&amp;Stocks!$A$2)-SUMIFS(Movimientos!$E$6:$E$16,Movimientos!$C$6:$C$16,Stocks!$A222,Movimientos!$G$6:$G$16,Stocks!K$3,Movimientos!$A$6:$A$16,"&lt;="&amp;Stocks!$A$2)</f>
        <v>0</v>
      </c>
      <c r="L222" s="4">
        <f>SUMIFS(Movimientos!$E$6:$E$16,Movimientos!$C$6:$C$16,Stocks!$A222,Movimientos!$F$6:$F$16,Stocks!L$3,Movimientos!$A$6:$A$16,"&lt;="&amp;Stocks!$A$2)-SUMIFS(Movimientos!$E$6:$E$16,Movimientos!$C$6:$C$16,Stocks!$A222,Movimientos!$G$6:$G$16,Stocks!L$3,Movimientos!$A$6:$A$16,"&lt;="&amp;Stocks!$A$2)</f>
        <v>0</v>
      </c>
    </row>
    <row r="223" spans="1:12" x14ac:dyDescent="0.25">
      <c r="A223" t="str">
        <f>Codificación!A222</f>
        <v/>
      </c>
      <c r="B223" s="1">
        <f>Codificación!B222</f>
        <v>0</v>
      </c>
      <c r="E223" s="4">
        <f>SUMIFS(Movimientos!$E$6:$E$16,Movimientos!$C$6:$C$16,Stocks!$A223,Movimientos!$F$6:$F$16,Stocks!E$3,Movimientos!$A$6:$A$16,"&lt;="&amp;Stocks!$A$2)-SUMIFS(Movimientos!$E$6:$E$16,Movimientos!$C$6:$C$16,Stocks!$A223,Movimientos!$G$6:$G$16,Stocks!E$3,Movimientos!$A$6:$A$16,"&lt;="&amp;Stocks!$A$2)</f>
        <v>0</v>
      </c>
      <c r="F223" s="4">
        <f>SUMIFS(Movimientos!$E$6:$E$16,Movimientos!$C$6:$C$16,Stocks!$A223,Movimientos!$F$6:$F$16,Stocks!F$3,Movimientos!$A$6:$A$16,"&lt;="&amp;Stocks!$A$2)-SUMIFS(Movimientos!$E$6:$E$16,Movimientos!$C$6:$C$16,Stocks!$A223,Movimientos!$G$6:$G$16,Stocks!F$3,Movimientos!$A$6:$A$16,"&lt;="&amp;Stocks!$A$2)</f>
        <v>0</v>
      </c>
      <c r="G223" s="4">
        <f>SUMIFS(Movimientos!$E$6:$E$16,Movimientos!$C$6:$C$16,Stocks!$A223,Movimientos!$F$6:$F$16,Stocks!G$3,Movimientos!$A$6:$A$16,"&lt;="&amp;Stocks!$A$2)-SUMIFS(Movimientos!$E$6:$E$16,Movimientos!$C$6:$C$16,Stocks!$A223,Movimientos!$G$6:$G$16,Stocks!G$3,Movimientos!$A$6:$A$16,"&lt;="&amp;Stocks!$A$2)</f>
        <v>0</v>
      </c>
      <c r="H223" s="4">
        <f>SUMIFS(Movimientos!$E$6:$E$16,Movimientos!$C$6:$C$16,Stocks!$A223,Movimientos!$F$6:$F$16,Stocks!H$3,Movimientos!$A$6:$A$16,"&lt;="&amp;Stocks!$A$2)-SUMIFS(Movimientos!$E$6:$E$16,Movimientos!$C$6:$C$16,Stocks!$A223,Movimientos!$G$6:$G$16,Stocks!H$3,Movimientos!$A$6:$A$16,"&lt;="&amp;Stocks!$A$2)</f>
        <v>0</v>
      </c>
      <c r="I223" s="4">
        <f>SUMIFS(Movimientos!$E$6:$E$16,Movimientos!$C$6:$C$16,Stocks!$A223,Movimientos!$F$6:$F$16,Stocks!I$3,Movimientos!$A$6:$A$16,"&lt;="&amp;Stocks!$A$2)-SUMIFS(Movimientos!$E$6:$E$16,Movimientos!$C$6:$C$16,Stocks!$A223,Movimientos!$G$6:$G$16,Stocks!I$3,Movimientos!$A$6:$A$16,"&lt;="&amp;Stocks!$A$2)</f>
        <v>0</v>
      </c>
      <c r="J223" s="4">
        <f>SUMIFS(Movimientos!$E$6:$E$16,Movimientos!$C$6:$C$16,Stocks!$A223,Movimientos!$F$6:$F$16,Stocks!J$3,Movimientos!$A$6:$A$16,"&lt;="&amp;Stocks!$A$2)-SUMIFS(Movimientos!$E$6:$E$16,Movimientos!$C$6:$C$16,Stocks!$A223,Movimientos!$G$6:$G$16,Stocks!J$3,Movimientos!$A$6:$A$16,"&lt;="&amp;Stocks!$A$2)</f>
        <v>0</v>
      </c>
      <c r="K223" s="4">
        <f>SUMIFS(Movimientos!$E$6:$E$16,Movimientos!$C$6:$C$16,Stocks!$A223,Movimientos!$F$6:$F$16,Stocks!K$3,Movimientos!$A$6:$A$16,"&lt;="&amp;Stocks!$A$2)-SUMIFS(Movimientos!$E$6:$E$16,Movimientos!$C$6:$C$16,Stocks!$A223,Movimientos!$G$6:$G$16,Stocks!K$3,Movimientos!$A$6:$A$16,"&lt;="&amp;Stocks!$A$2)</f>
        <v>0</v>
      </c>
      <c r="L223" s="4">
        <f>SUMIFS(Movimientos!$E$6:$E$16,Movimientos!$C$6:$C$16,Stocks!$A223,Movimientos!$F$6:$F$16,Stocks!L$3,Movimientos!$A$6:$A$16,"&lt;="&amp;Stocks!$A$2)-SUMIFS(Movimientos!$E$6:$E$16,Movimientos!$C$6:$C$16,Stocks!$A223,Movimientos!$G$6:$G$16,Stocks!L$3,Movimientos!$A$6:$A$16,"&lt;="&amp;Stocks!$A$2)</f>
        <v>0</v>
      </c>
    </row>
    <row r="224" spans="1:12" x14ac:dyDescent="0.25">
      <c r="A224" t="str">
        <f>Codificación!A223</f>
        <v/>
      </c>
      <c r="B224" s="1">
        <f>Codificación!B223</f>
        <v>0</v>
      </c>
      <c r="E224" s="4">
        <f>SUMIFS(Movimientos!$E$6:$E$16,Movimientos!$C$6:$C$16,Stocks!$A224,Movimientos!$F$6:$F$16,Stocks!E$3,Movimientos!$A$6:$A$16,"&lt;="&amp;Stocks!$A$2)-SUMIFS(Movimientos!$E$6:$E$16,Movimientos!$C$6:$C$16,Stocks!$A224,Movimientos!$G$6:$G$16,Stocks!E$3,Movimientos!$A$6:$A$16,"&lt;="&amp;Stocks!$A$2)</f>
        <v>0</v>
      </c>
      <c r="F224" s="4">
        <f>SUMIFS(Movimientos!$E$6:$E$16,Movimientos!$C$6:$C$16,Stocks!$A224,Movimientos!$F$6:$F$16,Stocks!F$3,Movimientos!$A$6:$A$16,"&lt;="&amp;Stocks!$A$2)-SUMIFS(Movimientos!$E$6:$E$16,Movimientos!$C$6:$C$16,Stocks!$A224,Movimientos!$G$6:$G$16,Stocks!F$3,Movimientos!$A$6:$A$16,"&lt;="&amp;Stocks!$A$2)</f>
        <v>0</v>
      </c>
      <c r="G224" s="4">
        <f>SUMIFS(Movimientos!$E$6:$E$16,Movimientos!$C$6:$C$16,Stocks!$A224,Movimientos!$F$6:$F$16,Stocks!G$3,Movimientos!$A$6:$A$16,"&lt;="&amp;Stocks!$A$2)-SUMIFS(Movimientos!$E$6:$E$16,Movimientos!$C$6:$C$16,Stocks!$A224,Movimientos!$G$6:$G$16,Stocks!G$3,Movimientos!$A$6:$A$16,"&lt;="&amp;Stocks!$A$2)</f>
        <v>0</v>
      </c>
      <c r="H224" s="4">
        <f>SUMIFS(Movimientos!$E$6:$E$16,Movimientos!$C$6:$C$16,Stocks!$A224,Movimientos!$F$6:$F$16,Stocks!H$3,Movimientos!$A$6:$A$16,"&lt;="&amp;Stocks!$A$2)-SUMIFS(Movimientos!$E$6:$E$16,Movimientos!$C$6:$C$16,Stocks!$A224,Movimientos!$G$6:$G$16,Stocks!H$3,Movimientos!$A$6:$A$16,"&lt;="&amp;Stocks!$A$2)</f>
        <v>0</v>
      </c>
      <c r="I224" s="4">
        <f>SUMIFS(Movimientos!$E$6:$E$16,Movimientos!$C$6:$C$16,Stocks!$A224,Movimientos!$F$6:$F$16,Stocks!I$3,Movimientos!$A$6:$A$16,"&lt;="&amp;Stocks!$A$2)-SUMIFS(Movimientos!$E$6:$E$16,Movimientos!$C$6:$C$16,Stocks!$A224,Movimientos!$G$6:$G$16,Stocks!I$3,Movimientos!$A$6:$A$16,"&lt;="&amp;Stocks!$A$2)</f>
        <v>0</v>
      </c>
      <c r="J224" s="4">
        <f>SUMIFS(Movimientos!$E$6:$E$16,Movimientos!$C$6:$C$16,Stocks!$A224,Movimientos!$F$6:$F$16,Stocks!J$3,Movimientos!$A$6:$A$16,"&lt;="&amp;Stocks!$A$2)-SUMIFS(Movimientos!$E$6:$E$16,Movimientos!$C$6:$C$16,Stocks!$A224,Movimientos!$G$6:$G$16,Stocks!J$3,Movimientos!$A$6:$A$16,"&lt;="&amp;Stocks!$A$2)</f>
        <v>0</v>
      </c>
      <c r="K224" s="4">
        <f>SUMIFS(Movimientos!$E$6:$E$16,Movimientos!$C$6:$C$16,Stocks!$A224,Movimientos!$F$6:$F$16,Stocks!K$3,Movimientos!$A$6:$A$16,"&lt;="&amp;Stocks!$A$2)-SUMIFS(Movimientos!$E$6:$E$16,Movimientos!$C$6:$C$16,Stocks!$A224,Movimientos!$G$6:$G$16,Stocks!K$3,Movimientos!$A$6:$A$16,"&lt;="&amp;Stocks!$A$2)</f>
        <v>0</v>
      </c>
      <c r="L224" s="4">
        <f>SUMIFS(Movimientos!$E$6:$E$16,Movimientos!$C$6:$C$16,Stocks!$A224,Movimientos!$F$6:$F$16,Stocks!L$3,Movimientos!$A$6:$A$16,"&lt;="&amp;Stocks!$A$2)-SUMIFS(Movimientos!$E$6:$E$16,Movimientos!$C$6:$C$16,Stocks!$A224,Movimientos!$G$6:$G$16,Stocks!L$3,Movimientos!$A$6:$A$16,"&lt;="&amp;Stocks!$A$2)</f>
        <v>0</v>
      </c>
    </row>
    <row r="225" spans="1:12" x14ac:dyDescent="0.25">
      <c r="A225" t="str">
        <f>Codificación!A224</f>
        <v/>
      </c>
      <c r="B225" s="1">
        <f>Codificación!B224</f>
        <v>0</v>
      </c>
      <c r="E225" s="4">
        <f>SUMIFS(Movimientos!$E$6:$E$16,Movimientos!$C$6:$C$16,Stocks!$A225,Movimientos!$F$6:$F$16,Stocks!E$3,Movimientos!$A$6:$A$16,"&lt;="&amp;Stocks!$A$2)-SUMIFS(Movimientos!$E$6:$E$16,Movimientos!$C$6:$C$16,Stocks!$A225,Movimientos!$G$6:$G$16,Stocks!E$3,Movimientos!$A$6:$A$16,"&lt;="&amp;Stocks!$A$2)</f>
        <v>0</v>
      </c>
      <c r="F225" s="4">
        <f>SUMIFS(Movimientos!$E$6:$E$16,Movimientos!$C$6:$C$16,Stocks!$A225,Movimientos!$F$6:$F$16,Stocks!F$3,Movimientos!$A$6:$A$16,"&lt;="&amp;Stocks!$A$2)-SUMIFS(Movimientos!$E$6:$E$16,Movimientos!$C$6:$C$16,Stocks!$A225,Movimientos!$G$6:$G$16,Stocks!F$3,Movimientos!$A$6:$A$16,"&lt;="&amp;Stocks!$A$2)</f>
        <v>0</v>
      </c>
      <c r="G225" s="4">
        <f>SUMIFS(Movimientos!$E$6:$E$16,Movimientos!$C$6:$C$16,Stocks!$A225,Movimientos!$F$6:$F$16,Stocks!G$3,Movimientos!$A$6:$A$16,"&lt;="&amp;Stocks!$A$2)-SUMIFS(Movimientos!$E$6:$E$16,Movimientos!$C$6:$C$16,Stocks!$A225,Movimientos!$G$6:$G$16,Stocks!G$3,Movimientos!$A$6:$A$16,"&lt;="&amp;Stocks!$A$2)</f>
        <v>0</v>
      </c>
      <c r="H225" s="4">
        <f>SUMIFS(Movimientos!$E$6:$E$16,Movimientos!$C$6:$C$16,Stocks!$A225,Movimientos!$F$6:$F$16,Stocks!H$3,Movimientos!$A$6:$A$16,"&lt;="&amp;Stocks!$A$2)-SUMIFS(Movimientos!$E$6:$E$16,Movimientos!$C$6:$C$16,Stocks!$A225,Movimientos!$G$6:$G$16,Stocks!H$3,Movimientos!$A$6:$A$16,"&lt;="&amp;Stocks!$A$2)</f>
        <v>0</v>
      </c>
      <c r="I225" s="4">
        <f>SUMIFS(Movimientos!$E$6:$E$16,Movimientos!$C$6:$C$16,Stocks!$A225,Movimientos!$F$6:$F$16,Stocks!I$3,Movimientos!$A$6:$A$16,"&lt;="&amp;Stocks!$A$2)-SUMIFS(Movimientos!$E$6:$E$16,Movimientos!$C$6:$C$16,Stocks!$A225,Movimientos!$G$6:$G$16,Stocks!I$3,Movimientos!$A$6:$A$16,"&lt;="&amp;Stocks!$A$2)</f>
        <v>0</v>
      </c>
      <c r="J225" s="4">
        <f>SUMIFS(Movimientos!$E$6:$E$16,Movimientos!$C$6:$C$16,Stocks!$A225,Movimientos!$F$6:$F$16,Stocks!J$3,Movimientos!$A$6:$A$16,"&lt;="&amp;Stocks!$A$2)-SUMIFS(Movimientos!$E$6:$E$16,Movimientos!$C$6:$C$16,Stocks!$A225,Movimientos!$G$6:$G$16,Stocks!J$3,Movimientos!$A$6:$A$16,"&lt;="&amp;Stocks!$A$2)</f>
        <v>0</v>
      </c>
      <c r="K225" s="4">
        <f>SUMIFS(Movimientos!$E$6:$E$16,Movimientos!$C$6:$C$16,Stocks!$A225,Movimientos!$F$6:$F$16,Stocks!K$3,Movimientos!$A$6:$A$16,"&lt;="&amp;Stocks!$A$2)-SUMIFS(Movimientos!$E$6:$E$16,Movimientos!$C$6:$C$16,Stocks!$A225,Movimientos!$G$6:$G$16,Stocks!K$3,Movimientos!$A$6:$A$16,"&lt;="&amp;Stocks!$A$2)</f>
        <v>0</v>
      </c>
      <c r="L225" s="4">
        <f>SUMIFS(Movimientos!$E$6:$E$16,Movimientos!$C$6:$C$16,Stocks!$A225,Movimientos!$F$6:$F$16,Stocks!L$3,Movimientos!$A$6:$A$16,"&lt;="&amp;Stocks!$A$2)-SUMIFS(Movimientos!$E$6:$E$16,Movimientos!$C$6:$C$16,Stocks!$A225,Movimientos!$G$6:$G$16,Stocks!L$3,Movimientos!$A$6:$A$16,"&lt;="&amp;Stocks!$A$2)</f>
        <v>0</v>
      </c>
    </row>
    <row r="226" spans="1:12" x14ac:dyDescent="0.25">
      <c r="A226" t="str">
        <f>Codificación!A225</f>
        <v/>
      </c>
      <c r="B226" s="1">
        <f>Codificación!B225</f>
        <v>0</v>
      </c>
      <c r="E226" s="4">
        <f>SUMIFS(Movimientos!$E$6:$E$16,Movimientos!$C$6:$C$16,Stocks!$A226,Movimientos!$F$6:$F$16,Stocks!E$3,Movimientos!$A$6:$A$16,"&lt;="&amp;Stocks!$A$2)-SUMIFS(Movimientos!$E$6:$E$16,Movimientos!$C$6:$C$16,Stocks!$A226,Movimientos!$G$6:$G$16,Stocks!E$3,Movimientos!$A$6:$A$16,"&lt;="&amp;Stocks!$A$2)</f>
        <v>0</v>
      </c>
      <c r="F226" s="4">
        <f>SUMIFS(Movimientos!$E$6:$E$16,Movimientos!$C$6:$C$16,Stocks!$A226,Movimientos!$F$6:$F$16,Stocks!F$3,Movimientos!$A$6:$A$16,"&lt;="&amp;Stocks!$A$2)-SUMIFS(Movimientos!$E$6:$E$16,Movimientos!$C$6:$C$16,Stocks!$A226,Movimientos!$G$6:$G$16,Stocks!F$3,Movimientos!$A$6:$A$16,"&lt;="&amp;Stocks!$A$2)</f>
        <v>0</v>
      </c>
      <c r="G226" s="4">
        <f>SUMIFS(Movimientos!$E$6:$E$16,Movimientos!$C$6:$C$16,Stocks!$A226,Movimientos!$F$6:$F$16,Stocks!G$3,Movimientos!$A$6:$A$16,"&lt;="&amp;Stocks!$A$2)-SUMIFS(Movimientos!$E$6:$E$16,Movimientos!$C$6:$C$16,Stocks!$A226,Movimientos!$G$6:$G$16,Stocks!G$3,Movimientos!$A$6:$A$16,"&lt;="&amp;Stocks!$A$2)</f>
        <v>0</v>
      </c>
      <c r="H226" s="4">
        <f>SUMIFS(Movimientos!$E$6:$E$16,Movimientos!$C$6:$C$16,Stocks!$A226,Movimientos!$F$6:$F$16,Stocks!H$3,Movimientos!$A$6:$A$16,"&lt;="&amp;Stocks!$A$2)-SUMIFS(Movimientos!$E$6:$E$16,Movimientos!$C$6:$C$16,Stocks!$A226,Movimientos!$G$6:$G$16,Stocks!H$3,Movimientos!$A$6:$A$16,"&lt;="&amp;Stocks!$A$2)</f>
        <v>0</v>
      </c>
      <c r="I226" s="4">
        <f>SUMIFS(Movimientos!$E$6:$E$16,Movimientos!$C$6:$C$16,Stocks!$A226,Movimientos!$F$6:$F$16,Stocks!I$3,Movimientos!$A$6:$A$16,"&lt;="&amp;Stocks!$A$2)-SUMIFS(Movimientos!$E$6:$E$16,Movimientos!$C$6:$C$16,Stocks!$A226,Movimientos!$G$6:$G$16,Stocks!I$3,Movimientos!$A$6:$A$16,"&lt;="&amp;Stocks!$A$2)</f>
        <v>0</v>
      </c>
      <c r="J226" s="4">
        <f>SUMIFS(Movimientos!$E$6:$E$16,Movimientos!$C$6:$C$16,Stocks!$A226,Movimientos!$F$6:$F$16,Stocks!J$3,Movimientos!$A$6:$A$16,"&lt;="&amp;Stocks!$A$2)-SUMIFS(Movimientos!$E$6:$E$16,Movimientos!$C$6:$C$16,Stocks!$A226,Movimientos!$G$6:$G$16,Stocks!J$3,Movimientos!$A$6:$A$16,"&lt;="&amp;Stocks!$A$2)</f>
        <v>0</v>
      </c>
      <c r="K226" s="4">
        <f>SUMIFS(Movimientos!$E$6:$E$16,Movimientos!$C$6:$C$16,Stocks!$A226,Movimientos!$F$6:$F$16,Stocks!K$3,Movimientos!$A$6:$A$16,"&lt;="&amp;Stocks!$A$2)-SUMIFS(Movimientos!$E$6:$E$16,Movimientos!$C$6:$C$16,Stocks!$A226,Movimientos!$G$6:$G$16,Stocks!K$3,Movimientos!$A$6:$A$16,"&lt;="&amp;Stocks!$A$2)</f>
        <v>0</v>
      </c>
      <c r="L226" s="4">
        <f>SUMIFS(Movimientos!$E$6:$E$16,Movimientos!$C$6:$C$16,Stocks!$A226,Movimientos!$F$6:$F$16,Stocks!L$3,Movimientos!$A$6:$A$16,"&lt;="&amp;Stocks!$A$2)-SUMIFS(Movimientos!$E$6:$E$16,Movimientos!$C$6:$C$16,Stocks!$A226,Movimientos!$G$6:$G$16,Stocks!L$3,Movimientos!$A$6:$A$16,"&lt;="&amp;Stocks!$A$2)</f>
        <v>0</v>
      </c>
    </row>
    <row r="227" spans="1:12" x14ac:dyDescent="0.25">
      <c r="A227" t="str">
        <f>Codificación!A226</f>
        <v/>
      </c>
      <c r="B227" s="1">
        <f>Codificación!B226</f>
        <v>0</v>
      </c>
      <c r="E227" s="4">
        <f>SUMIFS(Movimientos!$E$6:$E$16,Movimientos!$C$6:$C$16,Stocks!$A227,Movimientos!$F$6:$F$16,Stocks!E$3,Movimientos!$A$6:$A$16,"&lt;="&amp;Stocks!$A$2)-SUMIFS(Movimientos!$E$6:$E$16,Movimientos!$C$6:$C$16,Stocks!$A227,Movimientos!$G$6:$G$16,Stocks!E$3,Movimientos!$A$6:$A$16,"&lt;="&amp;Stocks!$A$2)</f>
        <v>0</v>
      </c>
      <c r="F227" s="4">
        <f>SUMIFS(Movimientos!$E$6:$E$16,Movimientos!$C$6:$C$16,Stocks!$A227,Movimientos!$F$6:$F$16,Stocks!F$3,Movimientos!$A$6:$A$16,"&lt;="&amp;Stocks!$A$2)-SUMIFS(Movimientos!$E$6:$E$16,Movimientos!$C$6:$C$16,Stocks!$A227,Movimientos!$G$6:$G$16,Stocks!F$3,Movimientos!$A$6:$A$16,"&lt;="&amp;Stocks!$A$2)</f>
        <v>0</v>
      </c>
      <c r="G227" s="4">
        <f>SUMIFS(Movimientos!$E$6:$E$16,Movimientos!$C$6:$C$16,Stocks!$A227,Movimientos!$F$6:$F$16,Stocks!G$3,Movimientos!$A$6:$A$16,"&lt;="&amp;Stocks!$A$2)-SUMIFS(Movimientos!$E$6:$E$16,Movimientos!$C$6:$C$16,Stocks!$A227,Movimientos!$G$6:$G$16,Stocks!G$3,Movimientos!$A$6:$A$16,"&lt;="&amp;Stocks!$A$2)</f>
        <v>0</v>
      </c>
      <c r="H227" s="4">
        <f>SUMIFS(Movimientos!$E$6:$E$16,Movimientos!$C$6:$C$16,Stocks!$A227,Movimientos!$F$6:$F$16,Stocks!H$3,Movimientos!$A$6:$A$16,"&lt;="&amp;Stocks!$A$2)-SUMIFS(Movimientos!$E$6:$E$16,Movimientos!$C$6:$C$16,Stocks!$A227,Movimientos!$G$6:$G$16,Stocks!H$3,Movimientos!$A$6:$A$16,"&lt;="&amp;Stocks!$A$2)</f>
        <v>0</v>
      </c>
      <c r="I227" s="4">
        <f>SUMIFS(Movimientos!$E$6:$E$16,Movimientos!$C$6:$C$16,Stocks!$A227,Movimientos!$F$6:$F$16,Stocks!I$3,Movimientos!$A$6:$A$16,"&lt;="&amp;Stocks!$A$2)-SUMIFS(Movimientos!$E$6:$E$16,Movimientos!$C$6:$C$16,Stocks!$A227,Movimientos!$G$6:$G$16,Stocks!I$3,Movimientos!$A$6:$A$16,"&lt;="&amp;Stocks!$A$2)</f>
        <v>0</v>
      </c>
      <c r="J227" s="4">
        <f>SUMIFS(Movimientos!$E$6:$E$16,Movimientos!$C$6:$C$16,Stocks!$A227,Movimientos!$F$6:$F$16,Stocks!J$3,Movimientos!$A$6:$A$16,"&lt;="&amp;Stocks!$A$2)-SUMIFS(Movimientos!$E$6:$E$16,Movimientos!$C$6:$C$16,Stocks!$A227,Movimientos!$G$6:$G$16,Stocks!J$3,Movimientos!$A$6:$A$16,"&lt;="&amp;Stocks!$A$2)</f>
        <v>0</v>
      </c>
      <c r="K227" s="4">
        <f>SUMIFS(Movimientos!$E$6:$E$16,Movimientos!$C$6:$C$16,Stocks!$A227,Movimientos!$F$6:$F$16,Stocks!K$3,Movimientos!$A$6:$A$16,"&lt;="&amp;Stocks!$A$2)-SUMIFS(Movimientos!$E$6:$E$16,Movimientos!$C$6:$C$16,Stocks!$A227,Movimientos!$G$6:$G$16,Stocks!K$3,Movimientos!$A$6:$A$16,"&lt;="&amp;Stocks!$A$2)</f>
        <v>0</v>
      </c>
      <c r="L227" s="4">
        <f>SUMIFS(Movimientos!$E$6:$E$16,Movimientos!$C$6:$C$16,Stocks!$A227,Movimientos!$F$6:$F$16,Stocks!L$3,Movimientos!$A$6:$A$16,"&lt;="&amp;Stocks!$A$2)-SUMIFS(Movimientos!$E$6:$E$16,Movimientos!$C$6:$C$16,Stocks!$A227,Movimientos!$G$6:$G$16,Stocks!L$3,Movimientos!$A$6:$A$16,"&lt;="&amp;Stocks!$A$2)</f>
        <v>0</v>
      </c>
    </row>
    <row r="228" spans="1:12" x14ac:dyDescent="0.25">
      <c r="A228" t="str">
        <f>Codificación!A227</f>
        <v/>
      </c>
      <c r="B228" s="1">
        <f>Codificación!B227</f>
        <v>0</v>
      </c>
      <c r="E228" s="4">
        <f>SUMIFS(Movimientos!$E$6:$E$16,Movimientos!$C$6:$C$16,Stocks!$A228,Movimientos!$F$6:$F$16,Stocks!E$3,Movimientos!$A$6:$A$16,"&lt;="&amp;Stocks!$A$2)-SUMIFS(Movimientos!$E$6:$E$16,Movimientos!$C$6:$C$16,Stocks!$A228,Movimientos!$G$6:$G$16,Stocks!E$3,Movimientos!$A$6:$A$16,"&lt;="&amp;Stocks!$A$2)</f>
        <v>0</v>
      </c>
      <c r="F228" s="4">
        <f>SUMIFS(Movimientos!$E$6:$E$16,Movimientos!$C$6:$C$16,Stocks!$A228,Movimientos!$F$6:$F$16,Stocks!F$3,Movimientos!$A$6:$A$16,"&lt;="&amp;Stocks!$A$2)-SUMIFS(Movimientos!$E$6:$E$16,Movimientos!$C$6:$C$16,Stocks!$A228,Movimientos!$G$6:$G$16,Stocks!F$3,Movimientos!$A$6:$A$16,"&lt;="&amp;Stocks!$A$2)</f>
        <v>0</v>
      </c>
      <c r="G228" s="4">
        <f>SUMIFS(Movimientos!$E$6:$E$16,Movimientos!$C$6:$C$16,Stocks!$A228,Movimientos!$F$6:$F$16,Stocks!G$3,Movimientos!$A$6:$A$16,"&lt;="&amp;Stocks!$A$2)-SUMIFS(Movimientos!$E$6:$E$16,Movimientos!$C$6:$C$16,Stocks!$A228,Movimientos!$G$6:$G$16,Stocks!G$3,Movimientos!$A$6:$A$16,"&lt;="&amp;Stocks!$A$2)</f>
        <v>0</v>
      </c>
      <c r="H228" s="4">
        <f>SUMIFS(Movimientos!$E$6:$E$16,Movimientos!$C$6:$C$16,Stocks!$A228,Movimientos!$F$6:$F$16,Stocks!H$3,Movimientos!$A$6:$A$16,"&lt;="&amp;Stocks!$A$2)-SUMIFS(Movimientos!$E$6:$E$16,Movimientos!$C$6:$C$16,Stocks!$A228,Movimientos!$G$6:$G$16,Stocks!H$3,Movimientos!$A$6:$A$16,"&lt;="&amp;Stocks!$A$2)</f>
        <v>0</v>
      </c>
      <c r="I228" s="4">
        <f>SUMIFS(Movimientos!$E$6:$E$16,Movimientos!$C$6:$C$16,Stocks!$A228,Movimientos!$F$6:$F$16,Stocks!I$3,Movimientos!$A$6:$A$16,"&lt;="&amp;Stocks!$A$2)-SUMIFS(Movimientos!$E$6:$E$16,Movimientos!$C$6:$C$16,Stocks!$A228,Movimientos!$G$6:$G$16,Stocks!I$3,Movimientos!$A$6:$A$16,"&lt;="&amp;Stocks!$A$2)</f>
        <v>0</v>
      </c>
      <c r="J228" s="4">
        <f>SUMIFS(Movimientos!$E$6:$E$16,Movimientos!$C$6:$C$16,Stocks!$A228,Movimientos!$F$6:$F$16,Stocks!J$3,Movimientos!$A$6:$A$16,"&lt;="&amp;Stocks!$A$2)-SUMIFS(Movimientos!$E$6:$E$16,Movimientos!$C$6:$C$16,Stocks!$A228,Movimientos!$G$6:$G$16,Stocks!J$3,Movimientos!$A$6:$A$16,"&lt;="&amp;Stocks!$A$2)</f>
        <v>0</v>
      </c>
      <c r="K228" s="4">
        <f>SUMIFS(Movimientos!$E$6:$E$16,Movimientos!$C$6:$C$16,Stocks!$A228,Movimientos!$F$6:$F$16,Stocks!K$3,Movimientos!$A$6:$A$16,"&lt;="&amp;Stocks!$A$2)-SUMIFS(Movimientos!$E$6:$E$16,Movimientos!$C$6:$C$16,Stocks!$A228,Movimientos!$G$6:$G$16,Stocks!K$3,Movimientos!$A$6:$A$16,"&lt;="&amp;Stocks!$A$2)</f>
        <v>0</v>
      </c>
      <c r="L228" s="4">
        <f>SUMIFS(Movimientos!$E$6:$E$16,Movimientos!$C$6:$C$16,Stocks!$A228,Movimientos!$F$6:$F$16,Stocks!L$3,Movimientos!$A$6:$A$16,"&lt;="&amp;Stocks!$A$2)-SUMIFS(Movimientos!$E$6:$E$16,Movimientos!$C$6:$C$16,Stocks!$A228,Movimientos!$G$6:$G$16,Stocks!L$3,Movimientos!$A$6:$A$16,"&lt;="&amp;Stocks!$A$2)</f>
        <v>0</v>
      </c>
    </row>
    <row r="229" spans="1:12" x14ac:dyDescent="0.25">
      <c r="A229" t="str">
        <f>Codificación!A228</f>
        <v/>
      </c>
      <c r="B229" s="1">
        <f>Codificación!B228</f>
        <v>0</v>
      </c>
      <c r="E229" s="4">
        <f>SUMIFS(Movimientos!$E$6:$E$16,Movimientos!$C$6:$C$16,Stocks!$A229,Movimientos!$F$6:$F$16,Stocks!E$3,Movimientos!$A$6:$A$16,"&lt;="&amp;Stocks!$A$2)-SUMIFS(Movimientos!$E$6:$E$16,Movimientos!$C$6:$C$16,Stocks!$A229,Movimientos!$G$6:$G$16,Stocks!E$3,Movimientos!$A$6:$A$16,"&lt;="&amp;Stocks!$A$2)</f>
        <v>0</v>
      </c>
      <c r="F229" s="4">
        <f>SUMIFS(Movimientos!$E$6:$E$16,Movimientos!$C$6:$C$16,Stocks!$A229,Movimientos!$F$6:$F$16,Stocks!F$3,Movimientos!$A$6:$A$16,"&lt;="&amp;Stocks!$A$2)-SUMIFS(Movimientos!$E$6:$E$16,Movimientos!$C$6:$C$16,Stocks!$A229,Movimientos!$G$6:$G$16,Stocks!F$3,Movimientos!$A$6:$A$16,"&lt;="&amp;Stocks!$A$2)</f>
        <v>0</v>
      </c>
      <c r="G229" s="4">
        <f>SUMIFS(Movimientos!$E$6:$E$16,Movimientos!$C$6:$C$16,Stocks!$A229,Movimientos!$F$6:$F$16,Stocks!G$3,Movimientos!$A$6:$A$16,"&lt;="&amp;Stocks!$A$2)-SUMIFS(Movimientos!$E$6:$E$16,Movimientos!$C$6:$C$16,Stocks!$A229,Movimientos!$G$6:$G$16,Stocks!G$3,Movimientos!$A$6:$A$16,"&lt;="&amp;Stocks!$A$2)</f>
        <v>0</v>
      </c>
      <c r="H229" s="4">
        <f>SUMIFS(Movimientos!$E$6:$E$16,Movimientos!$C$6:$C$16,Stocks!$A229,Movimientos!$F$6:$F$16,Stocks!H$3,Movimientos!$A$6:$A$16,"&lt;="&amp;Stocks!$A$2)-SUMIFS(Movimientos!$E$6:$E$16,Movimientos!$C$6:$C$16,Stocks!$A229,Movimientos!$G$6:$G$16,Stocks!H$3,Movimientos!$A$6:$A$16,"&lt;="&amp;Stocks!$A$2)</f>
        <v>0</v>
      </c>
      <c r="I229" s="4">
        <f>SUMIFS(Movimientos!$E$6:$E$16,Movimientos!$C$6:$C$16,Stocks!$A229,Movimientos!$F$6:$F$16,Stocks!I$3,Movimientos!$A$6:$A$16,"&lt;="&amp;Stocks!$A$2)-SUMIFS(Movimientos!$E$6:$E$16,Movimientos!$C$6:$C$16,Stocks!$A229,Movimientos!$G$6:$G$16,Stocks!I$3,Movimientos!$A$6:$A$16,"&lt;="&amp;Stocks!$A$2)</f>
        <v>0</v>
      </c>
      <c r="J229" s="4">
        <f>SUMIFS(Movimientos!$E$6:$E$16,Movimientos!$C$6:$C$16,Stocks!$A229,Movimientos!$F$6:$F$16,Stocks!J$3,Movimientos!$A$6:$A$16,"&lt;="&amp;Stocks!$A$2)-SUMIFS(Movimientos!$E$6:$E$16,Movimientos!$C$6:$C$16,Stocks!$A229,Movimientos!$G$6:$G$16,Stocks!J$3,Movimientos!$A$6:$A$16,"&lt;="&amp;Stocks!$A$2)</f>
        <v>0</v>
      </c>
      <c r="K229" s="4">
        <f>SUMIFS(Movimientos!$E$6:$E$16,Movimientos!$C$6:$C$16,Stocks!$A229,Movimientos!$F$6:$F$16,Stocks!K$3,Movimientos!$A$6:$A$16,"&lt;="&amp;Stocks!$A$2)-SUMIFS(Movimientos!$E$6:$E$16,Movimientos!$C$6:$C$16,Stocks!$A229,Movimientos!$G$6:$G$16,Stocks!K$3,Movimientos!$A$6:$A$16,"&lt;="&amp;Stocks!$A$2)</f>
        <v>0</v>
      </c>
      <c r="L229" s="4">
        <f>SUMIFS(Movimientos!$E$6:$E$16,Movimientos!$C$6:$C$16,Stocks!$A229,Movimientos!$F$6:$F$16,Stocks!L$3,Movimientos!$A$6:$A$16,"&lt;="&amp;Stocks!$A$2)-SUMIFS(Movimientos!$E$6:$E$16,Movimientos!$C$6:$C$16,Stocks!$A229,Movimientos!$G$6:$G$16,Stocks!L$3,Movimientos!$A$6:$A$16,"&lt;="&amp;Stocks!$A$2)</f>
        <v>0</v>
      </c>
    </row>
    <row r="230" spans="1:12" x14ac:dyDescent="0.25">
      <c r="A230" t="str">
        <f>Codificación!A229</f>
        <v/>
      </c>
      <c r="B230" s="1">
        <f>Codificación!B229</f>
        <v>0</v>
      </c>
      <c r="E230" s="4">
        <f>SUMIFS(Movimientos!$E$6:$E$16,Movimientos!$C$6:$C$16,Stocks!$A230,Movimientos!$F$6:$F$16,Stocks!E$3,Movimientos!$A$6:$A$16,"&lt;="&amp;Stocks!$A$2)-SUMIFS(Movimientos!$E$6:$E$16,Movimientos!$C$6:$C$16,Stocks!$A230,Movimientos!$G$6:$G$16,Stocks!E$3,Movimientos!$A$6:$A$16,"&lt;="&amp;Stocks!$A$2)</f>
        <v>0</v>
      </c>
      <c r="F230" s="4">
        <f>SUMIFS(Movimientos!$E$6:$E$16,Movimientos!$C$6:$C$16,Stocks!$A230,Movimientos!$F$6:$F$16,Stocks!F$3,Movimientos!$A$6:$A$16,"&lt;="&amp;Stocks!$A$2)-SUMIFS(Movimientos!$E$6:$E$16,Movimientos!$C$6:$C$16,Stocks!$A230,Movimientos!$G$6:$G$16,Stocks!F$3,Movimientos!$A$6:$A$16,"&lt;="&amp;Stocks!$A$2)</f>
        <v>0</v>
      </c>
      <c r="G230" s="4">
        <f>SUMIFS(Movimientos!$E$6:$E$16,Movimientos!$C$6:$C$16,Stocks!$A230,Movimientos!$F$6:$F$16,Stocks!G$3,Movimientos!$A$6:$A$16,"&lt;="&amp;Stocks!$A$2)-SUMIFS(Movimientos!$E$6:$E$16,Movimientos!$C$6:$C$16,Stocks!$A230,Movimientos!$G$6:$G$16,Stocks!G$3,Movimientos!$A$6:$A$16,"&lt;="&amp;Stocks!$A$2)</f>
        <v>0</v>
      </c>
      <c r="H230" s="4">
        <f>SUMIFS(Movimientos!$E$6:$E$16,Movimientos!$C$6:$C$16,Stocks!$A230,Movimientos!$F$6:$F$16,Stocks!H$3,Movimientos!$A$6:$A$16,"&lt;="&amp;Stocks!$A$2)-SUMIFS(Movimientos!$E$6:$E$16,Movimientos!$C$6:$C$16,Stocks!$A230,Movimientos!$G$6:$G$16,Stocks!H$3,Movimientos!$A$6:$A$16,"&lt;="&amp;Stocks!$A$2)</f>
        <v>0</v>
      </c>
      <c r="I230" s="4">
        <f>SUMIFS(Movimientos!$E$6:$E$16,Movimientos!$C$6:$C$16,Stocks!$A230,Movimientos!$F$6:$F$16,Stocks!I$3,Movimientos!$A$6:$A$16,"&lt;="&amp;Stocks!$A$2)-SUMIFS(Movimientos!$E$6:$E$16,Movimientos!$C$6:$C$16,Stocks!$A230,Movimientos!$G$6:$G$16,Stocks!I$3,Movimientos!$A$6:$A$16,"&lt;="&amp;Stocks!$A$2)</f>
        <v>0</v>
      </c>
      <c r="J230" s="4">
        <f>SUMIFS(Movimientos!$E$6:$E$16,Movimientos!$C$6:$C$16,Stocks!$A230,Movimientos!$F$6:$F$16,Stocks!J$3,Movimientos!$A$6:$A$16,"&lt;="&amp;Stocks!$A$2)-SUMIFS(Movimientos!$E$6:$E$16,Movimientos!$C$6:$C$16,Stocks!$A230,Movimientos!$G$6:$G$16,Stocks!J$3,Movimientos!$A$6:$A$16,"&lt;="&amp;Stocks!$A$2)</f>
        <v>0</v>
      </c>
      <c r="K230" s="4">
        <f>SUMIFS(Movimientos!$E$6:$E$16,Movimientos!$C$6:$C$16,Stocks!$A230,Movimientos!$F$6:$F$16,Stocks!K$3,Movimientos!$A$6:$A$16,"&lt;="&amp;Stocks!$A$2)-SUMIFS(Movimientos!$E$6:$E$16,Movimientos!$C$6:$C$16,Stocks!$A230,Movimientos!$G$6:$G$16,Stocks!K$3,Movimientos!$A$6:$A$16,"&lt;="&amp;Stocks!$A$2)</f>
        <v>0</v>
      </c>
      <c r="L230" s="4">
        <f>SUMIFS(Movimientos!$E$6:$E$16,Movimientos!$C$6:$C$16,Stocks!$A230,Movimientos!$F$6:$F$16,Stocks!L$3,Movimientos!$A$6:$A$16,"&lt;="&amp;Stocks!$A$2)-SUMIFS(Movimientos!$E$6:$E$16,Movimientos!$C$6:$C$16,Stocks!$A230,Movimientos!$G$6:$G$16,Stocks!L$3,Movimientos!$A$6:$A$16,"&lt;="&amp;Stocks!$A$2)</f>
        <v>0</v>
      </c>
    </row>
    <row r="231" spans="1:12" x14ac:dyDescent="0.25">
      <c r="A231" t="str">
        <f>Codificación!A230</f>
        <v/>
      </c>
      <c r="B231" s="1">
        <f>Codificación!B230</f>
        <v>0</v>
      </c>
      <c r="E231" s="4">
        <f>SUMIFS(Movimientos!$E$6:$E$16,Movimientos!$C$6:$C$16,Stocks!$A231,Movimientos!$F$6:$F$16,Stocks!E$3,Movimientos!$A$6:$A$16,"&lt;="&amp;Stocks!$A$2)-SUMIFS(Movimientos!$E$6:$E$16,Movimientos!$C$6:$C$16,Stocks!$A231,Movimientos!$G$6:$G$16,Stocks!E$3,Movimientos!$A$6:$A$16,"&lt;="&amp;Stocks!$A$2)</f>
        <v>0</v>
      </c>
      <c r="F231" s="4">
        <f>SUMIFS(Movimientos!$E$6:$E$16,Movimientos!$C$6:$C$16,Stocks!$A231,Movimientos!$F$6:$F$16,Stocks!F$3,Movimientos!$A$6:$A$16,"&lt;="&amp;Stocks!$A$2)-SUMIFS(Movimientos!$E$6:$E$16,Movimientos!$C$6:$C$16,Stocks!$A231,Movimientos!$G$6:$G$16,Stocks!F$3,Movimientos!$A$6:$A$16,"&lt;="&amp;Stocks!$A$2)</f>
        <v>0</v>
      </c>
      <c r="G231" s="4">
        <f>SUMIFS(Movimientos!$E$6:$E$16,Movimientos!$C$6:$C$16,Stocks!$A231,Movimientos!$F$6:$F$16,Stocks!G$3,Movimientos!$A$6:$A$16,"&lt;="&amp;Stocks!$A$2)-SUMIFS(Movimientos!$E$6:$E$16,Movimientos!$C$6:$C$16,Stocks!$A231,Movimientos!$G$6:$G$16,Stocks!G$3,Movimientos!$A$6:$A$16,"&lt;="&amp;Stocks!$A$2)</f>
        <v>0</v>
      </c>
      <c r="H231" s="4">
        <f>SUMIFS(Movimientos!$E$6:$E$16,Movimientos!$C$6:$C$16,Stocks!$A231,Movimientos!$F$6:$F$16,Stocks!H$3,Movimientos!$A$6:$A$16,"&lt;="&amp;Stocks!$A$2)-SUMIFS(Movimientos!$E$6:$E$16,Movimientos!$C$6:$C$16,Stocks!$A231,Movimientos!$G$6:$G$16,Stocks!H$3,Movimientos!$A$6:$A$16,"&lt;="&amp;Stocks!$A$2)</f>
        <v>0</v>
      </c>
      <c r="I231" s="4">
        <f>SUMIFS(Movimientos!$E$6:$E$16,Movimientos!$C$6:$C$16,Stocks!$A231,Movimientos!$F$6:$F$16,Stocks!I$3,Movimientos!$A$6:$A$16,"&lt;="&amp;Stocks!$A$2)-SUMIFS(Movimientos!$E$6:$E$16,Movimientos!$C$6:$C$16,Stocks!$A231,Movimientos!$G$6:$G$16,Stocks!I$3,Movimientos!$A$6:$A$16,"&lt;="&amp;Stocks!$A$2)</f>
        <v>0</v>
      </c>
      <c r="J231" s="4">
        <f>SUMIFS(Movimientos!$E$6:$E$16,Movimientos!$C$6:$C$16,Stocks!$A231,Movimientos!$F$6:$F$16,Stocks!J$3,Movimientos!$A$6:$A$16,"&lt;="&amp;Stocks!$A$2)-SUMIFS(Movimientos!$E$6:$E$16,Movimientos!$C$6:$C$16,Stocks!$A231,Movimientos!$G$6:$G$16,Stocks!J$3,Movimientos!$A$6:$A$16,"&lt;="&amp;Stocks!$A$2)</f>
        <v>0</v>
      </c>
      <c r="K231" s="4">
        <f>SUMIFS(Movimientos!$E$6:$E$16,Movimientos!$C$6:$C$16,Stocks!$A231,Movimientos!$F$6:$F$16,Stocks!K$3,Movimientos!$A$6:$A$16,"&lt;="&amp;Stocks!$A$2)-SUMIFS(Movimientos!$E$6:$E$16,Movimientos!$C$6:$C$16,Stocks!$A231,Movimientos!$G$6:$G$16,Stocks!K$3,Movimientos!$A$6:$A$16,"&lt;="&amp;Stocks!$A$2)</f>
        <v>0</v>
      </c>
      <c r="L231" s="4">
        <f>SUMIFS(Movimientos!$E$6:$E$16,Movimientos!$C$6:$C$16,Stocks!$A231,Movimientos!$F$6:$F$16,Stocks!L$3,Movimientos!$A$6:$A$16,"&lt;="&amp;Stocks!$A$2)-SUMIFS(Movimientos!$E$6:$E$16,Movimientos!$C$6:$C$16,Stocks!$A231,Movimientos!$G$6:$G$16,Stocks!L$3,Movimientos!$A$6:$A$16,"&lt;="&amp;Stocks!$A$2)</f>
        <v>0</v>
      </c>
    </row>
    <row r="232" spans="1:12" x14ac:dyDescent="0.25">
      <c r="A232" t="str">
        <f>Codificación!A231</f>
        <v/>
      </c>
      <c r="B232" s="1">
        <f>Codificación!B231</f>
        <v>0</v>
      </c>
      <c r="E232" s="4">
        <f>SUMIFS(Movimientos!$E$6:$E$16,Movimientos!$C$6:$C$16,Stocks!$A232,Movimientos!$F$6:$F$16,Stocks!E$3,Movimientos!$A$6:$A$16,"&lt;="&amp;Stocks!$A$2)-SUMIFS(Movimientos!$E$6:$E$16,Movimientos!$C$6:$C$16,Stocks!$A232,Movimientos!$G$6:$G$16,Stocks!E$3,Movimientos!$A$6:$A$16,"&lt;="&amp;Stocks!$A$2)</f>
        <v>0</v>
      </c>
      <c r="F232" s="4">
        <f>SUMIFS(Movimientos!$E$6:$E$16,Movimientos!$C$6:$C$16,Stocks!$A232,Movimientos!$F$6:$F$16,Stocks!F$3,Movimientos!$A$6:$A$16,"&lt;="&amp;Stocks!$A$2)-SUMIFS(Movimientos!$E$6:$E$16,Movimientos!$C$6:$C$16,Stocks!$A232,Movimientos!$G$6:$G$16,Stocks!F$3,Movimientos!$A$6:$A$16,"&lt;="&amp;Stocks!$A$2)</f>
        <v>0</v>
      </c>
      <c r="G232" s="4">
        <f>SUMIFS(Movimientos!$E$6:$E$16,Movimientos!$C$6:$C$16,Stocks!$A232,Movimientos!$F$6:$F$16,Stocks!G$3,Movimientos!$A$6:$A$16,"&lt;="&amp;Stocks!$A$2)-SUMIFS(Movimientos!$E$6:$E$16,Movimientos!$C$6:$C$16,Stocks!$A232,Movimientos!$G$6:$G$16,Stocks!G$3,Movimientos!$A$6:$A$16,"&lt;="&amp;Stocks!$A$2)</f>
        <v>0</v>
      </c>
      <c r="H232" s="4">
        <f>SUMIFS(Movimientos!$E$6:$E$16,Movimientos!$C$6:$C$16,Stocks!$A232,Movimientos!$F$6:$F$16,Stocks!H$3,Movimientos!$A$6:$A$16,"&lt;="&amp;Stocks!$A$2)-SUMIFS(Movimientos!$E$6:$E$16,Movimientos!$C$6:$C$16,Stocks!$A232,Movimientos!$G$6:$G$16,Stocks!H$3,Movimientos!$A$6:$A$16,"&lt;="&amp;Stocks!$A$2)</f>
        <v>0</v>
      </c>
      <c r="I232" s="4">
        <f>SUMIFS(Movimientos!$E$6:$E$16,Movimientos!$C$6:$C$16,Stocks!$A232,Movimientos!$F$6:$F$16,Stocks!I$3,Movimientos!$A$6:$A$16,"&lt;="&amp;Stocks!$A$2)-SUMIFS(Movimientos!$E$6:$E$16,Movimientos!$C$6:$C$16,Stocks!$A232,Movimientos!$G$6:$G$16,Stocks!I$3,Movimientos!$A$6:$A$16,"&lt;="&amp;Stocks!$A$2)</f>
        <v>0</v>
      </c>
      <c r="J232" s="4">
        <f>SUMIFS(Movimientos!$E$6:$E$16,Movimientos!$C$6:$C$16,Stocks!$A232,Movimientos!$F$6:$F$16,Stocks!J$3,Movimientos!$A$6:$A$16,"&lt;="&amp;Stocks!$A$2)-SUMIFS(Movimientos!$E$6:$E$16,Movimientos!$C$6:$C$16,Stocks!$A232,Movimientos!$G$6:$G$16,Stocks!J$3,Movimientos!$A$6:$A$16,"&lt;="&amp;Stocks!$A$2)</f>
        <v>0</v>
      </c>
      <c r="K232" s="4">
        <f>SUMIFS(Movimientos!$E$6:$E$16,Movimientos!$C$6:$C$16,Stocks!$A232,Movimientos!$F$6:$F$16,Stocks!K$3,Movimientos!$A$6:$A$16,"&lt;="&amp;Stocks!$A$2)-SUMIFS(Movimientos!$E$6:$E$16,Movimientos!$C$6:$C$16,Stocks!$A232,Movimientos!$G$6:$G$16,Stocks!K$3,Movimientos!$A$6:$A$16,"&lt;="&amp;Stocks!$A$2)</f>
        <v>0</v>
      </c>
      <c r="L232" s="4">
        <f>SUMIFS(Movimientos!$E$6:$E$16,Movimientos!$C$6:$C$16,Stocks!$A232,Movimientos!$F$6:$F$16,Stocks!L$3,Movimientos!$A$6:$A$16,"&lt;="&amp;Stocks!$A$2)-SUMIFS(Movimientos!$E$6:$E$16,Movimientos!$C$6:$C$16,Stocks!$A232,Movimientos!$G$6:$G$16,Stocks!L$3,Movimientos!$A$6:$A$16,"&lt;="&amp;Stocks!$A$2)</f>
        <v>0</v>
      </c>
    </row>
    <row r="233" spans="1:12" x14ac:dyDescent="0.25">
      <c r="A233" t="str">
        <f>Codificación!A232</f>
        <v/>
      </c>
      <c r="B233" s="1">
        <f>Codificación!B232</f>
        <v>0</v>
      </c>
      <c r="E233" s="4">
        <f>SUMIFS(Movimientos!$E$6:$E$16,Movimientos!$C$6:$C$16,Stocks!$A233,Movimientos!$F$6:$F$16,Stocks!E$3,Movimientos!$A$6:$A$16,"&lt;="&amp;Stocks!$A$2)-SUMIFS(Movimientos!$E$6:$E$16,Movimientos!$C$6:$C$16,Stocks!$A233,Movimientos!$G$6:$G$16,Stocks!E$3,Movimientos!$A$6:$A$16,"&lt;="&amp;Stocks!$A$2)</f>
        <v>0</v>
      </c>
      <c r="F233" s="4">
        <f>SUMIFS(Movimientos!$E$6:$E$16,Movimientos!$C$6:$C$16,Stocks!$A233,Movimientos!$F$6:$F$16,Stocks!F$3,Movimientos!$A$6:$A$16,"&lt;="&amp;Stocks!$A$2)-SUMIFS(Movimientos!$E$6:$E$16,Movimientos!$C$6:$C$16,Stocks!$A233,Movimientos!$G$6:$G$16,Stocks!F$3,Movimientos!$A$6:$A$16,"&lt;="&amp;Stocks!$A$2)</f>
        <v>0</v>
      </c>
      <c r="G233" s="4">
        <f>SUMIFS(Movimientos!$E$6:$E$16,Movimientos!$C$6:$C$16,Stocks!$A233,Movimientos!$F$6:$F$16,Stocks!G$3,Movimientos!$A$6:$A$16,"&lt;="&amp;Stocks!$A$2)-SUMIFS(Movimientos!$E$6:$E$16,Movimientos!$C$6:$C$16,Stocks!$A233,Movimientos!$G$6:$G$16,Stocks!G$3,Movimientos!$A$6:$A$16,"&lt;="&amp;Stocks!$A$2)</f>
        <v>0</v>
      </c>
      <c r="H233" s="4">
        <f>SUMIFS(Movimientos!$E$6:$E$16,Movimientos!$C$6:$C$16,Stocks!$A233,Movimientos!$F$6:$F$16,Stocks!H$3,Movimientos!$A$6:$A$16,"&lt;="&amp;Stocks!$A$2)-SUMIFS(Movimientos!$E$6:$E$16,Movimientos!$C$6:$C$16,Stocks!$A233,Movimientos!$G$6:$G$16,Stocks!H$3,Movimientos!$A$6:$A$16,"&lt;="&amp;Stocks!$A$2)</f>
        <v>0</v>
      </c>
      <c r="I233" s="4">
        <f>SUMIFS(Movimientos!$E$6:$E$16,Movimientos!$C$6:$C$16,Stocks!$A233,Movimientos!$F$6:$F$16,Stocks!I$3,Movimientos!$A$6:$A$16,"&lt;="&amp;Stocks!$A$2)-SUMIFS(Movimientos!$E$6:$E$16,Movimientos!$C$6:$C$16,Stocks!$A233,Movimientos!$G$6:$G$16,Stocks!I$3,Movimientos!$A$6:$A$16,"&lt;="&amp;Stocks!$A$2)</f>
        <v>0</v>
      </c>
      <c r="J233" s="4">
        <f>SUMIFS(Movimientos!$E$6:$E$16,Movimientos!$C$6:$C$16,Stocks!$A233,Movimientos!$F$6:$F$16,Stocks!J$3,Movimientos!$A$6:$A$16,"&lt;="&amp;Stocks!$A$2)-SUMIFS(Movimientos!$E$6:$E$16,Movimientos!$C$6:$C$16,Stocks!$A233,Movimientos!$G$6:$G$16,Stocks!J$3,Movimientos!$A$6:$A$16,"&lt;="&amp;Stocks!$A$2)</f>
        <v>0</v>
      </c>
      <c r="K233" s="4">
        <f>SUMIFS(Movimientos!$E$6:$E$16,Movimientos!$C$6:$C$16,Stocks!$A233,Movimientos!$F$6:$F$16,Stocks!K$3,Movimientos!$A$6:$A$16,"&lt;="&amp;Stocks!$A$2)-SUMIFS(Movimientos!$E$6:$E$16,Movimientos!$C$6:$C$16,Stocks!$A233,Movimientos!$G$6:$G$16,Stocks!K$3,Movimientos!$A$6:$A$16,"&lt;="&amp;Stocks!$A$2)</f>
        <v>0</v>
      </c>
      <c r="L233" s="4">
        <f>SUMIFS(Movimientos!$E$6:$E$16,Movimientos!$C$6:$C$16,Stocks!$A233,Movimientos!$F$6:$F$16,Stocks!L$3,Movimientos!$A$6:$A$16,"&lt;="&amp;Stocks!$A$2)-SUMIFS(Movimientos!$E$6:$E$16,Movimientos!$C$6:$C$16,Stocks!$A233,Movimientos!$G$6:$G$16,Stocks!L$3,Movimientos!$A$6:$A$16,"&lt;="&amp;Stocks!$A$2)</f>
        <v>0</v>
      </c>
    </row>
    <row r="234" spans="1:12" x14ac:dyDescent="0.25">
      <c r="A234" t="str">
        <f>Codificación!A233</f>
        <v/>
      </c>
      <c r="B234" s="1">
        <f>Codificación!B233</f>
        <v>0</v>
      </c>
      <c r="E234" s="4">
        <f>SUMIFS(Movimientos!$E$6:$E$16,Movimientos!$C$6:$C$16,Stocks!$A234,Movimientos!$F$6:$F$16,Stocks!E$3,Movimientos!$A$6:$A$16,"&lt;="&amp;Stocks!$A$2)-SUMIFS(Movimientos!$E$6:$E$16,Movimientos!$C$6:$C$16,Stocks!$A234,Movimientos!$G$6:$G$16,Stocks!E$3,Movimientos!$A$6:$A$16,"&lt;="&amp;Stocks!$A$2)</f>
        <v>0</v>
      </c>
      <c r="F234" s="4">
        <f>SUMIFS(Movimientos!$E$6:$E$16,Movimientos!$C$6:$C$16,Stocks!$A234,Movimientos!$F$6:$F$16,Stocks!F$3,Movimientos!$A$6:$A$16,"&lt;="&amp;Stocks!$A$2)-SUMIFS(Movimientos!$E$6:$E$16,Movimientos!$C$6:$C$16,Stocks!$A234,Movimientos!$G$6:$G$16,Stocks!F$3,Movimientos!$A$6:$A$16,"&lt;="&amp;Stocks!$A$2)</f>
        <v>0</v>
      </c>
      <c r="G234" s="4">
        <f>SUMIFS(Movimientos!$E$6:$E$16,Movimientos!$C$6:$C$16,Stocks!$A234,Movimientos!$F$6:$F$16,Stocks!G$3,Movimientos!$A$6:$A$16,"&lt;="&amp;Stocks!$A$2)-SUMIFS(Movimientos!$E$6:$E$16,Movimientos!$C$6:$C$16,Stocks!$A234,Movimientos!$G$6:$G$16,Stocks!G$3,Movimientos!$A$6:$A$16,"&lt;="&amp;Stocks!$A$2)</f>
        <v>0</v>
      </c>
      <c r="H234" s="4">
        <f>SUMIFS(Movimientos!$E$6:$E$16,Movimientos!$C$6:$C$16,Stocks!$A234,Movimientos!$F$6:$F$16,Stocks!H$3,Movimientos!$A$6:$A$16,"&lt;="&amp;Stocks!$A$2)-SUMIFS(Movimientos!$E$6:$E$16,Movimientos!$C$6:$C$16,Stocks!$A234,Movimientos!$G$6:$G$16,Stocks!H$3,Movimientos!$A$6:$A$16,"&lt;="&amp;Stocks!$A$2)</f>
        <v>0</v>
      </c>
      <c r="I234" s="4">
        <f>SUMIFS(Movimientos!$E$6:$E$16,Movimientos!$C$6:$C$16,Stocks!$A234,Movimientos!$F$6:$F$16,Stocks!I$3,Movimientos!$A$6:$A$16,"&lt;="&amp;Stocks!$A$2)-SUMIFS(Movimientos!$E$6:$E$16,Movimientos!$C$6:$C$16,Stocks!$A234,Movimientos!$G$6:$G$16,Stocks!I$3,Movimientos!$A$6:$A$16,"&lt;="&amp;Stocks!$A$2)</f>
        <v>0</v>
      </c>
      <c r="J234" s="4">
        <f>SUMIFS(Movimientos!$E$6:$E$16,Movimientos!$C$6:$C$16,Stocks!$A234,Movimientos!$F$6:$F$16,Stocks!J$3,Movimientos!$A$6:$A$16,"&lt;="&amp;Stocks!$A$2)-SUMIFS(Movimientos!$E$6:$E$16,Movimientos!$C$6:$C$16,Stocks!$A234,Movimientos!$G$6:$G$16,Stocks!J$3,Movimientos!$A$6:$A$16,"&lt;="&amp;Stocks!$A$2)</f>
        <v>0</v>
      </c>
      <c r="K234" s="4">
        <f>SUMIFS(Movimientos!$E$6:$E$16,Movimientos!$C$6:$C$16,Stocks!$A234,Movimientos!$F$6:$F$16,Stocks!K$3,Movimientos!$A$6:$A$16,"&lt;="&amp;Stocks!$A$2)-SUMIFS(Movimientos!$E$6:$E$16,Movimientos!$C$6:$C$16,Stocks!$A234,Movimientos!$G$6:$G$16,Stocks!K$3,Movimientos!$A$6:$A$16,"&lt;="&amp;Stocks!$A$2)</f>
        <v>0</v>
      </c>
      <c r="L234" s="4">
        <f>SUMIFS(Movimientos!$E$6:$E$16,Movimientos!$C$6:$C$16,Stocks!$A234,Movimientos!$F$6:$F$16,Stocks!L$3,Movimientos!$A$6:$A$16,"&lt;="&amp;Stocks!$A$2)-SUMIFS(Movimientos!$E$6:$E$16,Movimientos!$C$6:$C$16,Stocks!$A234,Movimientos!$G$6:$G$16,Stocks!L$3,Movimientos!$A$6:$A$16,"&lt;="&amp;Stocks!$A$2)</f>
        <v>0</v>
      </c>
    </row>
    <row r="235" spans="1:12" x14ac:dyDescent="0.25">
      <c r="A235" t="str">
        <f>Codificación!A234</f>
        <v/>
      </c>
      <c r="B235" s="1">
        <f>Codificación!B234</f>
        <v>0</v>
      </c>
      <c r="E235" s="4">
        <f>SUMIFS(Movimientos!$E$6:$E$16,Movimientos!$C$6:$C$16,Stocks!$A235,Movimientos!$F$6:$F$16,Stocks!E$3,Movimientos!$A$6:$A$16,"&lt;="&amp;Stocks!$A$2)-SUMIFS(Movimientos!$E$6:$E$16,Movimientos!$C$6:$C$16,Stocks!$A235,Movimientos!$G$6:$G$16,Stocks!E$3,Movimientos!$A$6:$A$16,"&lt;="&amp;Stocks!$A$2)</f>
        <v>0</v>
      </c>
      <c r="F235" s="4">
        <f>SUMIFS(Movimientos!$E$6:$E$16,Movimientos!$C$6:$C$16,Stocks!$A235,Movimientos!$F$6:$F$16,Stocks!F$3,Movimientos!$A$6:$A$16,"&lt;="&amp;Stocks!$A$2)-SUMIFS(Movimientos!$E$6:$E$16,Movimientos!$C$6:$C$16,Stocks!$A235,Movimientos!$G$6:$G$16,Stocks!F$3,Movimientos!$A$6:$A$16,"&lt;="&amp;Stocks!$A$2)</f>
        <v>0</v>
      </c>
      <c r="G235" s="4">
        <f>SUMIFS(Movimientos!$E$6:$E$16,Movimientos!$C$6:$C$16,Stocks!$A235,Movimientos!$F$6:$F$16,Stocks!G$3,Movimientos!$A$6:$A$16,"&lt;="&amp;Stocks!$A$2)-SUMIFS(Movimientos!$E$6:$E$16,Movimientos!$C$6:$C$16,Stocks!$A235,Movimientos!$G$6:$G$16,Stocks!G$3,Movimientos!$A$6:$A$16,"&lt;="&amp;Stocks!$A$2)</f>
        <v>0</v>
      </c>
      <c r="H235" s="4">
        <f>SUMIFS(Movimientos!$E$6:$E$16,Movimientos!$C$6:$C$16,Stocks!$A235,Movimientos!$F$6:$F$16,Stocks!H$3,Movimientos!$A$6:$A$16,"&lt;="&amp;Stocks!$A$2)-SUMIFS(Movimientos!$E$6:$E$16,Movimientos!$C$6:$C$16,Stocks!$A235,Movimientos!$G$6:$G$16,Stocks!H$3,Movimientos!$A$6:$A$16,"&lt;="&amp;Stocks!$A$2)</f>
        <v>0</v>
      </c>
      <c r="I235" s="4">
        <f>SUMIFS(Movimientos!$E$6:$E$16,Movimientos!$C$6:$C$16,Stocks!$A235,Movimientos!$F$6:$F$16,Stocks!I$3,Movimientos!$A$6:$A$16,"&lt;="&amp;Stocks!$A$2)-SUMIFS(Movimientos!$E$6:$E$16,Movimientos!$C$6:$C$16,Stocks!$A235,Movimientos!$G$6:$G$16,Stocks!I$3,Movimientos!$A$6:$A$16,"&lt;="&amp;Stocks!$A$2)</f>
        <v>0</v>
      </c>
      <c r="J235" s="4">
        <f>SUMIFS(Movimientos!$E$6:$E$16,Movimientos!$C$6:$C$16,Stocks!$A235,Movimientos!$F$6:$F$16,Stocks!J$3,Movimientos!$A$6:$A$16,"&lt;="&amp;Stocks!$A$2)-SUMIFS(Movimientos!$E$6:$E$16,Movimientos!$C$6:$C$16,Stocks!$A235,Movimientos!$G$6:$G$16,Stocks!J$3,Movimientos!$A$6:$A$16,"&lt;="&amp;Stocks!$A$2)</f>
        <v>0</v>
      </c>
      <c r="K235" s="4">
        <f>SUMIFS(Movimientos!$E$6:$E$16,Movimientos!$C$6:$C$16,Stocks!$A235,Movimientos!$F$6:$F$16,Stocks!K$3,Movimientos!$A$6:$A$16,"&lt;="&amp;Stocks!$A$2)-SUMIFS(Movimientos!$E$6:$E$16,Movimientos!$C$6:$C$16,Stocks!$A235,Movimientos!$G$6:$G$16,Stocks!K$3,Movimientos!$A$6:$A$16,"&lt;="&amp;Stocks!$A$2)</f>
        <v>0</v>
      </c>
      <c r="L235" s="4">
        <f>SUMIFS(Movimientos!$E$6:$E$16,Movimientos!$C$6:$C$16,Stocks!$A235,Movimientos!$F$6:$F$16,Stocks!L$3,Movimientos!$A$6:$A$16,"&lt;="&amp;Stocks!$A$2)-SUMIFS(Movimientos!$E$6:$E$16,Movimientos!$C$6:$C$16,Stocks!$A235,Movimientos!$G$6:$G$16,Stocks!L$3,Movimientos!$A$6:$A$16,"&lt;="&amp;Stocks!$A$2)</f>
        <v>0</v>
      </c>
    </row>
    <row r="236" spans="1:12" x14ac:dyDescent="0.25">
      <c r="A236" t="str">
        <f>Codificación!A235</f>
        <v/>
      </c>
      <c r="B236" s="1">
        <f>Codificación!B235</f>
        <v>0</v>
      </c>
      <c r="E236" s="4">
        <f>SUMIFS(Movimientos!$E$6:$E$16,Movimientos!$C$6:$C$16,Stocks!$A236,Movimientos!$F$6:$F$16,Stocks!E$3,Movimientos!$A$6:$A$16,"&lt;="&amp;Stocks!$A$2)-SUMIFS(Movimientos!$E$6:$E$16,Movimientos!$C$6:$C$16,Stocks!$A236,Movimientos!$G$6:$G$16,Stocks!E$3,Movimientos!$A$6:$A$16,"&lt;="&amp;Stocks!$A$2)</f>
        <v>0</v>
      </c>
      <c r="F236" s="4">
        <f>SUMIFS(Movimientos!$E$6:$E$16,Movimientos!$C$6:$C$16,Stocks!$A236,Movimientos!$F$6:$F$16,Stocks!F$3,Movimientos!$A$6:$A$16,"&lt;="&amp;Stocks!$A$2)-SUMIFS(Movimientos!$E$6:$E$16,Movimientos!$C$6:$C$16,Stocks!$A236,Movimientos!$G$6:$G$16,Stocks!F$3,Movimientos!$A$6:$A$16,"&lt;="&amp;Stocks!$A$2)</f>
        <v>0</v>
      </c>
      <c r="G236" s="4">
        <f>SUMIFS(Movimientos!$E$6:$E$16,Movimientos!$C$6:$C$16,Stocks!$A236,Movimientos!$F$6:$F$16,Stocks!G$3,Movimientos!$A$6:$A$16,"&lt;="&amp;Stocks!$A$2)-SUMIFS(Movimientos!$E$6:$E$16,Movimientos!$C$6:$C$16,Stocks!$A236,Movimientos!$G$6:$G$16,Stocks!G$3,Movimientos!$A$6:$A$16,"&lt;="&amp;Stocks!$A$2)</f>
        <v>0</v>
      </c>
      <c r="H236" s="4">
        <f>SUMIFS(Movimientos!$E$6:$E$16,Movimientos!$C$6:$C$16,Stocks!$A236,Movimientos!$F$6:$F$16,Stocks!H$3,Movimientos!$A$6:$A$16,"&lt;="&amp;Stocks!$A$2)-SUMIFS(Movimientos!$E$6:$E$16,Movimientos!$C$6:$C$16,Stocks!$A236,Movimientos!$G$6:$G$16,Stocks!H$3,Movimientos!$A$6:$A$16,"&lt;="&amp;Stocks!$A$2)</f>
        <v>0</v>
      </c>
      <c r="I236" s="4">
        <f>SUMIFS(Movimientos!$E$6:$E$16,Movimientos!$C$6:$C$16,Stocks!$A236,Movimientos!$F$6:$F$16,Stocks!I$3,Movimientos!$A$6:$A$16,"&lt;="&amp;Stocks!$A$2)-SUMIFS(Movimientos!$E$6:$E$16,Movimientos!$C$6:$C$16,Stocks!$A236,Movimientos!$G$6:$G$16,Stocks!I$3,Movimientos!$A$6:$A$16,"&lt;="&amp;Stocks!$A$2)</f>
        <v>0</v>
      </c>
      <c r="J236" s="4">
        <f>SUMIFS(Movimientos!$E$6:$E$16,Movimientos!$C$6:$C$16,Stocks!$A236,Movimientos!$F$6:$F$16,Stocks!J$3,Movimientos!$A$6:$A$16,"&lt;="&amp;Stocks!$A$2)-SUMIFS(Movimientos!$E$6:$E$16,Movimientos!$C$6:$C$16,Stocks!$A236,Movimientos!$G$6:$G$16,Stocks!J$3,Movimientos!$A$6:$A$16,"&lt;="&amp;Stocks!$A$2)</f>
        <v>0</v>
      </c>
      <c r="K236" s="4">
        <f>SUMIFS(Movimientos!$E$6:$E$16,Movimientos!$C$6:$C$16,Stocks!$A236,Movimientos!$F$6:$F$16,Stocks!K$3,Movimientos!$A$6:$A$16,"&lt;="&amp;Stocks!$A$2)-SUMIFS(Movimientos!$E$6:$E$16,Movimientos!$C$6:$C$16,Stocks!$A236,Movimientos!$G$6:$G$16,Stocks!K$3,Movimientos!$A$6:$A$16,"&lt;="&amp;Stocks!$A$2)</f>
        <v>0</v>
      </c>
      <c r="L236" s="4">
        <f>SUMIFS(Movimientos!$E$6:$E$16,Movimientos!$C$6:$C$16,Stocks!$A236,Movimientos!$F$6:$F$16,Stocks!L$3,Movimientos!$A$6:$A$16,"&lt;="&amp;Stocks!$A$2)-SUMIFS(Movimientos!$E$6:$E$16,Movimientos!$C$6:$C$16,Stocks!$A236,Movimientos!$G$6:$G$16,Stocks!L$3,Movimientos!$A$6:$A$16,"&lt;="&amp;Stocks!$A$2)</f>
        <v>0</v>
      </c>
    </row>
    <row r="237" spans="1:12" x14ac:dyDescent="0.25">
      <c r="A237" t="str">
        <f>Codificación!A236</f>
        <v/>
      </c>
      <c r="B237" s="1">
        <f>Codificación!B236</f>
        <v>0</v>
      </c>
      <c r="E237" s="4">
        <f>SUMIFS(Movimientos!$E$6:$E$16,Movimientos!$C$6:$C$16,Stocks!$A237,Movimientos!$F$6:$F$16,Stocks!E$3,Movimientos!$A$6:$A$16,"&lt;="&amp;Stocks!$A$2)-SUMIFS(Movimientos!$E$6:$E$16,Movimientos!$C$6:$C$16,Stocks!$A237,Movimientos!$G$6:$G$16,Stocks!E$3,Movimientos!$A$6:$A$16,"&lt;="&amp;Stocks!$A$2)</f>
        <v>0</v>
      </c>
      <c r="F237" s="4">
        <f>SUMIFS(Movimientos!$E$6:$E$16,Movimientos!$C$6:$C$16,Stocks!$A237,Movimientos!$F$6:$F$16,Stocks!F$3,Movimientos!$A$6:$A$16,"&lt;="&amp;Stocks!$A$2)-SUMIFS(Movimientos!$E$6:$E$16,Movimientos!$C$6:$C$16,Stocks!$A237,Movimientos!$G$6:$G$16,Stocks!F$3,Movimientos!$A$6:$A$16,"&lt;="&amp;Stocks!$A$2)</f>
        <v>0</v>
      </c>
      <c r="G237" s="4">
        <f>SUMIFS(Movimientos!$E$6:$E$16,Movimientos!$C$6:$C$16,Stocks!$A237,Movimientos!$F$6:$F$16,Stocks!G$3,Movimientos!$A$6:$A$16,"&lt;="&amp;Stocks!$A$2)-SUMIFS(Movimientos!$E$6:$E$16,Movimientos!$C$6:$C$16,Stocks!$A237,Movimientos!$G$6:$G$16,Stocks!G$3,Movimientos!$A$6:$A$16,"&lt;="&amp;Stocks!$A$2)</f>
        <v>0</v>
      </c>
      <c r="H237" s="4">
        <f>SUMIFS(Movimientos!$E$6:$E$16,Movimientos!$C$6:$C$16,Stocks!$A237,Movimientos!$F$6:$F$16,Stocks!H$3,Movimientos!$A$6:$A$16,"&lt;="&amp;Stocks!$A$2)-SUMIFS(Movimientos!$E$6:$E$16,Movimientos!$C$6:$C$16,Stocks!$A237,Movimientos!$G$6:$G$16,Stocks!H$3,Movimientos!$A$6:$A$16,"&lt;="&amp;Stocks!$A$2)</f>
        <v>0</v>
      </c>
      <c r="I237" s="4">
        <f>SUMIFS(Movimientos!$E$6:$E$16,Movimientos!$C$6:$C$16,Stocks!$A237,Movimientos!$F$6:$F$16,Stocks!I$3,Movimientos!$A$6:$A$16,"&lt;="&amp;Stocks!$A$2)-SUMIFS(Movimientos!$E$6:$E$16,Movimientos!$C$6:$C$16,Stocks!$A237,Movimientos!$G$6:$G$16,Stocks!I$3,Movimientos!$A$6:$A$16,"&lt;="&amp;Stocks!$A$2)</f>
        <v>0</v>
      </c>
      <c r="J237" s="4">
        <f>SUMIFS(Movimientos!$E$6:$E$16,Movimientos!$C$6:$C$16,Stocks!$A237,Movimientos!$F$6:$F$16,Stocks!J$3,Movimientos!$A$6:$A$16,"&lt;="&amp;Stocks!$A$2)-SUMIFS(Movimientos!$E$6:$E$16,Movimientos!$C$6:$C$16,Stocks!$A237,Movimientos!$G$6:$G$16,Stocks!J$3,Movimientos!$A$6:$A$16,"&lt;="&amp;Stocks!$A$2)</f>
        <v>0</v>
      </c>
      <c r="K237" s="4">
        <f>SUMIFS(Movimientos!$E$6:$E$16,Movimientos!$C$6:$C$16,Stocks!$A237,Movimientos!$F$6:$F$16,Stocks!K$3,Movimientos!$A$6:$A$16,"&lt;="&amp;Stocks!$A$2)-SUMIFS(Movimientos!$E$6:$E$16,Movimientos!$C$6:$C$16,Stocks!$A237,Movimientos!$G$6:$G$16,Stocks!K$3,Movimientos!$A$6:$A$16,"&lt;="&amp;Stocks!$A$2)</f>
        <v>0</v>
      </c>
      <c r="L237" s="4">
        <f>SUMIFS(Movimientos!$E$6:$E$16,Movimientos!$C$6:$C$16,Stocks!$A237,Movimientos!$F$6:$F$16,Stocks!L$3,Movimientos!$A$6:$A$16,"&lt;="&amp;Stocks!$A$2)-SUMIFS(Movimientos!$E$6:$E$16,Movimientos!$C$6:$C$16,Stocks!$A237,Movimientos!$G$6:$G$16,Stocks!L$3,Movimientos!$A$6:$A$16,"&lt;="&amp;Stocks!$A$2)</f>
        <v>0</v>
      </c>
    </row>
    <row r="238" spans="1:12" x14ac:dyDescent="0.25">
      <c r="A238" t="str">
        <f>Codificación!A237</f>
        <v/>
      </c>
      <c r="B238" s="1">
        <f>Codificación!B237</f>
        <v>0</v>
      </c>
      <c r="E238" s="4">
        <f>SUMIFS(Movimientos!$E$6:$E$16,Movimientos!$C$6:$C$16,Stocks!$A238,Movimientos!$F$6:$F$16,Stocks!E$3,Movimientos!$A$6:$A$16,"&lt;="&amp;Stocks!$A$2)-SUMIFS(Movimientos!$E$6:$E$16,Movimientos!$C$6:$C$16,Stocks!$A238,Movimientos!$G$6:$G$16,Stocks!E$3,Movimientos!$A$6:$A$16,"&lt;="&amp;Stocks!$A$2)</f>
        <v>0</v>
      </c>
      <c r="F238" s="4">
        <f>SUMIFS(Movimientos!$E$6:$E$16,Movimientos!$C$6:$C$16,Stocks!$A238,Movimientos!$F$6:$F$16,Stocks!F$3,Movimientos!$A$6:$A$16,"&lt;="&amp;Stocks!$A$2)-SUMIFS(Movimientos!$E$6:$E$16,Movimientos!$C$6:$C$16,Stocks!$A238,Movimientos!$G$6:$G$16,Stocks!F$3,Movimientos!$A$6:$A$16,"&lt;="&amp;Stocks!$A$2)</f>
        <v>0</v>
      </c>
      <c r="G238" s="4">
        <f>SUMIFS(Movimientos!$E$6:$E$16,Movimientos!$C$6:$C$16,Stocks!$A238,Movimientos!$F$6:$F$16,Stocks!G$3,Movimientos!$A$6:$A$16,"&lt;="&amp;Stocks!$A$2)-SUMIFS(Movimientos!$E$6:$E$16,Movimientos!$C$6:$C$16,Stocks!$A238,Movimientos!$G$6:$G$16,Stocks!G$3,Movimientos!$A$6:$A$16,"&lt;="&amp;Stocks!$A$2)</f>
        <v>0</v>
      </c>
      <c r="H238" s="4">
        <f>SUMIFS(Movimientos!$E$6:$E$16,Movimientos!$C$6:$C$16,Stocks!$A238,Movimientos!$F$6:$F$16,Stocks!H$3,Movimientos!$A$6:$A$16,"&lt;="&amp;Stocks!$A$2)-SUMIFS(Movimientos!$E$6:$E$16,Movimientos!$C$6:$C$16,Stocks!$A238,Movimientos!$G$6:$G$16,Stocks!H$3,Movimientos!$A$6:$A$16,"&lt;="&amp;Stocks!$A$2)</f>
        <v>0</v>
      </c>
      <c r="I238" s="4">
        <f>SUMIFS(Movimientos!$E$6:$E$16,Movimientos!$C$6:$C$16,Stocks!$A238,Movimientos!$F$6:$F$16,Stocks!I$3,Movimientos!$A$6:$A$16,"&lt;="&amp;Stocks!$A$2)-SUMIFS(Movimientos!$E$6:$E$16,Movimientos!$C$6:$C$16,Stocks!$A238,Movimientos!$G$6:$G$16,Stocks!I$3,Movimientos!$A$6:$A$16,"&lt;="&amp;Stocks!$A$2)</f>
        <v>0</v>
      </c>
      <c r="J238" s="4">
        <f>SUMIFS(Movimientos!$E$6:$E$16,Movimientos!$C$6:$C$16,Stocks!$A238,Movimientos!$F$6:$F$16,Stocks!J$3,Movimientos!$A$6:$A$16,"&lt;="&amp;Stocks!$A$2)-SUMIFS(Movimientos!$E$6:$E$16,Movimientos!$C$6:$C$16,Stocks!$A238,Movimientos!$G$6:$G$16,Stocks!J$3,Movimientos!$A$6:$A$16,"&lt;="&amp;Stocks!$A$2)</f>
        <v>0</v>
      </c>
      <c r="K238" s="4">
        <f>SUMIFS(Movimientos!$E$6:$E$16,Movimientos!$C$6:$C$16,Stocks!$A238,Movimientos!$F$6:$F$16,Stocks!K$3,Movimientos!$A$6:$A$16,"&lt;="&amp;Stocks!$A$2)-SUMIFS(Movimientos!$E$6:$E$16,Movimientos!$C$6:$C$16,Stocks!$A238,Movimientos!$G$6:$G$16,Stocks!K$3,Movimientos!$A$6:$A$16,"&lt;="&amp;Stocks!$A$2)</f>
        <v>0</v>
      </c>
      <c r="L238" s="4">
        <f>SUMIFS(Movimientos!$E$6:$E$16,Movimientos!$C$6:$C$16,Stocks!$A238,Movimientos!$F$6:$F$16,Stocks!L$3,Movimientos!$A$6:$A$16,"&lt;="&amp;Stocks!$A$2)-SUMIFS(Movimientos!$E$6:$E$16,Movimientos!$C$6:$C$16,Stocks!$A238,Movimientos!$G$6:$G$16,Stocks!L$3,Movimientos!$A$6:$A$16,"&lt;="&amp;Stocks!$A$2)</f>
        <v>0</v>
      </c>
    </row>
    <row r="239" spans="1:12" x14ac:dyDescent="0.25">
      <c r="A239" t="str">
        <f>Codificación!A238</f>
        <v/>
      </c>
      <c r="B239" s="1">
        <f>Codificación!B238</f>
        <v>0</v>
      </c>
      <c r="E239" s="4">
        <f>SUMIFS(Movimientos!$E$6:$E$16,Movimientos!$C$6:$C$16,Stocks!$A239,Movimientos!$F$6:$F$16,Stocks!E$3,Movimientos!$A$6:$A$16,"&lt;="&amp;Stocks!$A$2)-SUMIFS(Movimientos!$E$6:$E$16,Movimientos!$C$6:$C$16,Stocks!$A239,Movimientos!$G$6:$G$16,Stocks!E$3,Movimientos!$A$6:$A$16,"&lt;="&amp;Stocks!$A$2)</f>
        <v>0</v>
      </c>
      <c r="F239" s="4">
        <f>SUMIFS(Movimientos!$E$6:$E$16,Movimientos!$C$6:$C$16,Stocks!$A239,Movimientos!$F$6:$F$16,Stocks!F$3,Movimientos!$A$6:$A$16,"&lt;="&amp;Stocks!$A$2)-SUMIFS(Movimientos!$E$6:$E$16,Movimientos!$C$6:$C$16,Stocks!$A239,Movimientos!$G$6:$G$16,Stocks!F$3,Movimientos!$A$6:$A$16,"&lt;="&amp;Stocks!$A$2)</f>
        <v>0</v>
      </c>
      <c r="G239" s="4">
        <f>SUMIFS(Movimientos!$E$6:$E$16,Movimientos!$C$6:$C$16,Stocks!$A239,Movimientos!$F$6:$F$16,Stocks!G$3,Movimientos!$A$6:$A$16,"&lt;="&amp;Stocks!$A$2)-SUMIFS(Movimientos!$E$6:$E$16,Movimientos!$C$6:$C$16,Stocks!$A239,Movimientos!$G$6:$G$16,Stocks!G$3,Movimientos!$A$6:$A$16,"&lt;="&amp;Stocks!$A$2)</f>
        <v>0</v>
      </c>
      <c r="H239" s="4">
        <f>SUMIFS(Movimientos!$E$6:$E$16,Movimientos!$C$6:$C$16,Stocks!$A239,Movimientos!$F$6:$F$16,Stocks!H$3,Movimientos!$A$6:$A$16,"&lt;="&amp;Stocks!$A$2)-SUMIFS(Movimientos!$E$6:$E$16,Movimientos!$C$6:$C$16,Stocks!$A239,Movimientos!$G$6:$G$16,Stocks!H$3,Movimientos!$A$6:$A$16,"&lt;="&amp;Stocks!$A$2)</f>
        <v>0</v>
      </c>
      <c r="I239" s="4">
        <f>SUMIFS(Movimientos!$E$6:$E$16,Movimientos!$C$6:$C$16,Stocks!$A239,Movimientos!$F$6:$F$16,Stocks!I$3,Movimientos!$A$6:$A$16,"&lt;="&amp;Stocks!$A$2)-SUMIFS(Movimientos!$E$6:$E$16,Movimientos!$C$6:$C$16,Stocks!$A239,Movimientos!$G$6:$G$16,Stocks!I$3,Movimientos!$A$6:$A$16,"&lt;="&amp;Stocks!$A$2)</f>
        <v>0</v>
      </c>
      <c r="J239" s="4">
        <f>SUMIFS(Movimientos!$E$6:$E$16,Movimientos!$C$6:$C$16,Stocks!$A239,Movimientos!$F$6:$F$16,Stocks!J$3,Movimientos!$A$6:$A$16,"&lt;="&amp;Stocks!$A$2)-SUMIFS(Movimientos!$E$6:$E$16,Movimientos!$C$6:$C$16,Stocks!$A239,Movimientos!$G$6:$G$16,Stocks!J$3,Movimientos!$A$6:$A$16,"&lt;="&amp;Stocks!$A$2)</f>
        <v>0</v>
      </c>
      <c r="K239" s="4">
        <f>SUMIFS(Movimientos!$E$6:$E$16,Movimientos!$C$6:$C$16,Stocks!$A239,Movimientos!$F$6:$F$16,Stocks!K$3,Movimientos!$A$6:$A$16,"&lt;="&amp;Stocks!$A$2)-SUMIFS(Movimientos!$E$6:$E$16,Movimientos!$C$6:$C$16,Stocks!$A239,Movimientos!$G$6:$G$16,Stocks!K$3,Movimientos!$A$6:$A$16,"&lt;="&amp;Stocks!$A$2)</f>
        <v>0</v>
      </c>
      <c r="L239" s="4">
        <f>SUMIFS(Movimientos!$E$6:$E$16,Movimientos!$C$6:$C$16,Stocks!$A239,Movimientos!$F$6:$F$16,Stocks!L$3,Movimientos!$A$6:$A$16,"&lt;="&amp;Stocks!$A$2)-SUMIFS(Movimientos!$E$6:$E$16,Movimientos!$C$6:$C$16,Stocks!$A239,Movimientos!$G$6:$G$16,Stocks!L$3,Movimientos!$A$6:$A$16,"&lt;="&amp;Stocks!$A$2)</f>
        <v>0</v>
      </c>
    </row>
    <row r="240" spans="1:12" x14ac:dyDescent="0.25">
      <c r="A240" t="str">
        <f>Codificación!A239</f>
        <v/>
      </c>
      <c r="B240" s="1">
        <f>Codificación!B239</f>
        <v>0</v>
      </c>
      <c r="E240" s="4">
        <f>SUMIFS(Movimientos!$E$6:$E$16,Movimientos!$C$6:$C$16,Stocks!$A240,Movimientos!$F$6:$F$16,Stocks!E$3,Movimientos!$A$6:$A$16,"&lt;="&amp;Stocks!$A$2)-SUMIFS(Movimientos!$E$6:$E$16,Movimientos!$C$6:$C$16,Stocks!$A240,Movimientos!$G$6:$G$16,Stocks!E$3,Movimientos!$A$6:$A$16,"&lt;="&amp;Stocks!$A$2)</f>
        <v>0</v>
      </c>
      <c r="F240" s="4">
        <f>SUMIFS(Movimientos!$E$6:$E$16,Movimientos!$C$6:$C$16,Stocks!$A240,Movimientos!$F$6:$F$16,Stocks!F$3,Movimientos!$A$6:$A$16,"&lt;="&amp;Stocks!$A$2)-SUMIFS(Movimientos!$E$6:$E$16,Movimientos!$C$6:$C$16,Stocks!$A240,Movimientos!$G$6:$G$16,Stocks!F$3,Movimientos!$A$6:$A$16,"&lt;="&amp;Stocks!$A$2)</f>
        <v>0</v>
      </c>
      <c r="G240" s="4">
        <f>SUMIFS(Movimientos!$E$6:$E$16,Movimientos!$C$6:$C$16,Stocks!$A240,Movimientos!$F$6:$F$16,Stocks!G$3,Movimientos!$A$6:$A$16,"&lt;="&amp;Stocks!$A$2)-SUMIFS(Movimientos!$E$6:$E$16,Movimientos!$C$6:$C$16,Stocks!$A240,Movimientos!$G$6:$G$16,Stocks!G$3,Movimientos!$A$6:$A$16,"&lt;="&amp;Stocks!$A$2)</f>
        <v>0</v>
      </c>
      <c r="H240" s="4">
        <f>SUMIFS(Movimientos!$E$6:$E$16,Movimientos!$C$6:$C$16,Stocks!$A240,Movimientos!$F$6:$F$16,Stocks!H$3,Movimientos!$A$6:$A$16,"&lt;="&amp;Stocks!$A$2)-SUMIFS(Movimientos!$E$6:$E$16,Movimientos!$C$6:$C$16,Stocks!$A240,Movimientos!$G$6:$G$16,Stocks!H$3,Movimientos!$A$6:$A$16,"&lt;="&amp;Stocks!$A$2)</f>
        <v>0</v>
      </c>
      <c r="I240" s="4">
        <f>SUMIFS(Movimientos!$E$6:$E$16,Movimientos!$C$6:$C$16,Stocks!$A240,Movimientos!$F$6:$F$16,Stocks!I$3,Movimientos!$A$6:$A$16,"&lt;="&amp;Stocks!$A$2)-SUMIFS(Movimientos!$E$6:$E$16,Movimientos!$C$6:$C$16,Stocks!$A240,Movimientos!$G$6:$G$16,Stocks!I$3,Movimientos!$A$6:$A$16,"&lt;="&amp;Stocks!$A$2)</f>
        <v>0</v>
      </c>
      <c r="J240" s="4">
        <f>SUMIFS(Movimientos!$E$6:$E$16,Movimientos!$C$6:$C$16,Stocks!$A240,Movimientos!$F$6:$F$16,Stocks!J$3,Movimientos!$A$6:$A$16,"&lt;="&amp;Stocks!$A$2)-SUMIFS(Movimientos!$E$6:$E$16,Movimientos!$C$6:$C$16,Stocks!$A240,Movimientos!$G$6:$G$16,Stocks!J$3,Movimientos!$A$6:$A$16,"&lt;="&amp;Stocks!$A$2)</f>
        <v>0</v>
      </c>
      <c r="K240" s="4">
        <f>SUMIFS(Movimientos!$E$6:$E$16,Movimientos!$C$6:$C$16,Stocks!$A240,Movimientos!$F$6:$F$16,Stocks!K$3,Movimientos!$A$6:$A$16,"&lt;="&amp;Stocks!$A$2)-SUMIFS(Movimientos!$E$6:$E$16,Movimientos!$C$6:$C$16,Stocks!$A240,Movimientos!$G$6:$G$16,Stocks!K$3,Movimientos!$A$6:$A$16,"&lt;="&amp;Stocks!$A$2)</f>
        <v>0</v>
      </c>
      <c r="L240" s="4">
        <f>SUMIFS(Movimientos!$E$6:$E$16,Movimientos!$C$6:$C$16,Stocks!$A240,Movimientos!$F$6:$F$16,Stocks!L$3,Movimientos!$A$6:$A$16,"&lt;="&amp;Stocks!$A$2)-SUMIFS(Movimientos!$E$6:$E$16,Movimientos!$C$6:$C$16,Stocks!$A240,Movimientos!$G$6:$G$16,Stocks!L$3,Movimientos!$A$6:$A$16,"&lt;="&amp;Stocks!$A$2)</f>
        <v>0</v>
      </c>
    </row>
    <row r="241" spans="1:12" x14ac:dyDescent="0.25">
      <c r="A241" t="str">
        <f>Codificación!A240</f>
        <v/>
      </c>
      <c r="B241" s="1">
        <f>Codificación!B240</f>
        <v>0</v>
      </c>
      <c r="E241" s="4">
        <f>SUMIFS(Movimientos!$E$6:$E$16,Movimientos!$C$6:$C$16,Stocks!$A241,Movimientos!$F$6:$F$16,Stocks!E$3,Movimientos!$A$6:$A$16,"&lt;="&amp;Stocks!$A$2)-SUMIFS(Movimientos!$E$6:$E$16,Movimientos!$C$6:$C$16,Stocks!$A241,Movimientos!$G$6:$G$16,Stocks!E$3,Movimientos!$A$6:$A$16,"&lt;="&amp;Stocks!$A$2)</f>
        <v>0</v>
      </c>
      <c r="F241" s="4">
        <f>SUMIFS(Movimientos!$E$6:$E$16,Movimientos!$C$6:$C$16,Stocks!$A241,Movimientos!$F$6:$F$16,Stocks!F$3,Movimientos!$A$6:$A$16,"&lt;="&amp;Stocks!$A$2)-SUMIFS(Movimientos!$E$6:$E$16,Movimientos!$C$6:$C$16,Stocks!$A241,Movimientos!$G$6:$G$16,Stocks!F$3,Movimientos!$A$6:$A$16,"&lt;="&amp;Stocks!$A$2)</f>
        <v>0</v>
      </c>
      <c r="G241" s="4">
        <f>SUMIFS(Movimientos!$E$6:$E$16,Movimientos!$C$6:$C$16,Stocks!$A241,Movimientos!$F$6:$F$16,Stocks!G$3,Movimientos!$A$6:$A$16,"&lt;="&amp;Stocks!$A$2)-SUMIFS(Movimientos!$E$6:$E$16,Movimientos!$C$6:$C$16,Stocks!$A241,Movimientos!$G$6:$G$16,Stocks!G$3,Movimientos!$A$6:$A$16,"&lt;="&amp;Stocks!$A$2)</f>
        <v>0</v>
      </c>
      <c r="H241" s="4">
        <f>SUMIFS(Movimientos!$E$6:$E$16,Movimientos!$C$6:$C$16,Stocks!$A241,Movimientos!$F$6:$F$16,Stocks!H$3,Movimientos!$A$6:$A$16,"&lt;="&amp;Stocks!$A$2)-SUMIFS(Movimientos!$E$6:$E$16,Movimientos!$C$6:$C$16,Stocks!$A241,Movimientos!$G$6:$G$16,Stocks!H$3,Movimientos!$A$6:$A$16,"&lt;="&amp;Stocks!$A$2)</f>
        <v>0</v>
      </c>
      <c r="I241" s="4">
        <f>SUMIFS(Movimientos!$E$6:$E$16,Movimientos!$C$6:$C$16,Stocks!$A241,Movimientos!$F$6:$F$16,Stocks!I$3,Movimientos!$A$6:$A$16,"&lt;="&amp;Stocks!$A$2)-SUMIFS(Movimientos!$E$6:$E$16,Movimientos!$C$6:$C$16,Stocks!$A241,Movimientos!$G$6:$G$16,Stocks!I$3,Movimientos!$A$6:$A$16,"&lt;="&amp;Stocks!$A$2)</f>
        <v>0</v>
      </c>
      <c r="J241" s="4">
        <f>SUMIFS(Movimientos!$E$6:$E$16,Movimientos!$C$6:$C$16,Stocks!$A241,Movimientos!$F$6:$F$16,Stocks!J$3,Movimientos!$A$6:$A$16,"&lt;="&amp;Stocks!$A$2)-SUMIFS(Movimientos!$E$6:$E$16,Movimientos!$C$6:$C$16,Stocks!$A241,Movimientos!$G$6:$G$16,Stocks!J$3,Movimientos!$A$6:$A$16,"&lt;="&amp;Stocks!$A$2)</f>
        <v>0</v>
      </c>
      <c r="K241" s="4">
        <f>SUMIFS(Movimientos!$E$6:$E$16,Movimientos!$C$6:$C$16,Stocks!$A241,Movimientos!$F$6:$F$16,Stocks!K$3,Movimientos!$A$6:$A$16,"&lt;="&amp;Stocks!$A$2)-SUMIFS(Movimientos!$E$6:$E$16,Movimientos!$C$6:$C$16,Stocks!$A241,Movimientos!$G$6:$G$16,Stocks!K$3,Movimientos!$A$6:$A$16,"&lt;="&amp;Stocks!$A$2)</f>
        <v>0</v>
      </c>
      <c r="L241" s="4">
        <f>SUMIFS(Movimientos!$E$6:$E$16,Movimientos!$C$6:$C$16,Stocks!$A241,Movimientos!$F$6:$F$16,Stocks!L$3,Movimientos!$A$6:$A$16,"&lt;="&amp;Stocks!$A$2)-SUMIFS(Movimientos!$E$6:$E$16,Movimientos!$C$6:$C$16,Stocks!$A241,Movimientos!$G$6:$G$16,Stocks!L$3,Movimientos!$A$6:$A$16,"&lt;="&amp;Stocks!$A$2)</f>
        <v>0</v>
      </c>
    </row>
    <row r="242" spans="1:12" x14ac:dyDescent="0.25">
      <c r="A242" t="str">
        <f>Codificación!A241</f>
        <v/>
      </c>
      <c r="B242" s="1">
        <f>Codificación!B241</f>
        <v>0</v>
      </c>
      <c r="E242" s="4">
        <f>SUMIFS(Movimientos!$E$6:$E$16,Movimientos!$C$6:$C$16,Stocks!$A242,Movimientos!$F$6:$F$16,Stocks!E$3,Movimientos!$A$6:$A$16,"&lt;="&amp;Stocks!$A$2)-SUMIFS(Movimientos!$E$6:$E$16,Movimientos!$C$6:$C$16,Stocks!$A242,Movimientos!$G$6:$G$16,Stocks!E$3,Movimientos!$A$6:$A$16,"&lt;="&amp;Stocks!$A$2)</f>
        <v>0</v>
      </c>
      <c r="F242" s="4">
        <f>SUMIFS(Movimientos!$E$6:$E$16,Movimientos!$C$6:$C$16,Stocks!$A242,Movimientos!$F$6:$F$16,Stocks!F$3,Movimientos!$A$6:$A$16,"&lt;="&amp;Stocks!$A$2)-SUMIFS(Movimientos!$E$6:$E$16,Movimientos!$C$6:$C$16,Stocks!$A242,Movimientos!$G$6:$G$16,Stocks!F$3,Movimientos!$A$6:$A$16,"&lt;="&amp;Stocks!$A$2)</f>
        <v>0</v>
      </c>
      <c r="G242" s="4">
        <f>SUMIFS(Movimientos!$E$6:$E$16,Movimientos!$C$6:$C$16,Stocks!$A242,Movimientos!$F$6:$F$16,Stocks!G$3,Movimientos!$A$6:$A$16,"&lt;="&amp;Stocks!$A$2)-SUMIFS(Movimientos!$E$6:$E$16,Movimientos!$C$6:$C$16,Stocks!$A242,Movimientos!$G$6:$G$16,Stocks!G$3,Movimientos!$A$6:$A$16,"&lt;="&amp;Stocks!$A$2)</f>
        <v>0</v>
      </c>
      <c r="H242" s="4">
        <f>SUMIFS(Movimientos!$E$6:$E$16,Movimientos!$C$6:$C$16,Stocks!$A242,Movimientos!$F$6:$F$16,Stocks!H$3,Movimientos!$A$6:$A$16,"&lt;="&amp;Stocks!$A$2)-SUMIFS(Movimientos!$E$6:$E$16,Movimientos!$C$6:$C$16,Stocks!$A242,Movimientos!$G$6:$G$16,Stocks!H$3,Movimientos!$A$6:$A$16,"&lt;="&amp;Stocks!$A$2)</f>
        <v>0</v>
      </c>
      <c r="I242" s="4">
        <f>SUMIFS(Movimientos!$E$6:$E$16,Movimientos!$C$6:$C$16,Stocks!$A242,Movimientos!$F$6:$F$16,Stocks!I$3,Movimientos!$A$6:$A$16,"&lt;="&amp;Stocks!$A$2)-SUMIFS(Movimientos!$E$6:$E$16,Movimientos!$C$6:$C$16,Stocks!$A242,Movimientos!$G$6:$G$16,Stocks!I$3,Movimientos!$A$6:$A$16,"&lt;="&amp;Stocks!$A$2)</f>
        <v>0</v>
      </c>
      <c r="J242" s="4">
        <f>SUMIFS(Movimientos!$E$6:$E$16,Movimientos!$C$6:$C$16,Stocks!$A242,Movimientos!$F$6:$F$16,Stocks!J$3,Movimientos!$A$6:$A$16,"&lt;="&amp;Stocks!$A$2)-SUMIFS(Movimientos!$E$6:$E$16,Movimientos!$C$6:$C$16,Stocks!$A242,Movimientos!$G$6:$G$16,Stocks!J$3,Movimientos!$A$6:$A$16,"&lt;="&amp;Stocks!$A$2)</f>
        <v>0</v>
      </c>
      <c r="K242" s="4">
        <f>SUMIFS(Movimientos!$E$6:$E$16,Movimientos!$C$6:$C$16,Stocks!$A242,Movimientos!$F$6:$F$16,Stocks!K$3,Movimientos!$A$6:$A$16,"&lt;="&amp;Stocks!$A$2)-SUMIFS(Movimientos!$E$6:$E$16,Movimientos!$C$6:$C$16,Stocks!$A242,Movimientos!$G$6:$G$16,Stocks!K$3,Movimientos!$A$6:$A$16,"&lt;="&amp;Stocks!$A$2)</f>
        <v>0</v>
      </c>
      <c r="L242" s="4">
        <f>SUMIFS(Movimientos!$E$6:$E$16,Movimientos!$C$6:$C$16,Stocks!$A242,Movimientos!$F$6:$F$16,Stocks!L$3,Movimientos!$A$6:$A$16,"&lt;="&amp;Stocks!$A$2)-SUMIFS(Movimientos!$E$6:$E$16,Movimientos!$C$6:$C$16,Stocks!$A242,Movimientos!$G$6:$G$16,Stocks!L$3,Movimientos!$A$6:$A$16,"&lt;="&amp;Stocks!$A$2)</f>
        <v>0</v>
      </c>
    </row>
    <row r="243" spans="1:12" x14ac:dyDescent="0.25">
      <c r="A243" t="str">
        <f>Codificación!A242</f>
        <v/>
      </c>
      <c r="B243" s="1">
        <f>Codificación!B242</f>
        <v>0</v>
      </c>
      <c r="E243" s="4">
        <f>SUMIFS(Movimientos!$E$6:$E$16,Movimientos!$C$6:$C$16,Stocks!$A243,Movimientos!$F$6:$F$16,Stocks!E$3,Movimientos!$A$6:$A$16,"&lt;="&amp;Stocks!$A$2)-SUMIFS(Movimientos!$E$6:$E$16,Movimientos!$C$6:$C$16,Stocks!$A243,Movimientos!$G$6:$G$16,Stocks!E$3,Movimientos!$A$6:$A$16,"&lt;="&amp;Stocks!$A$2)</f>
        <v>0</v>
      </c>
      <c r="F243" s="4">
        <f>SUMIFS(Movimientos!$E$6:$E$16,Movimientos!$C$6:$C$16,Stocks!$A243,Movimientos!$F$6:$F$16,Stocks!F$3,Movimientos!$A$6:$A$16,"&lt;="&amp;Stocks!$A$2)-SUMIFS(Movimientos!$E$6:$E$16,Movimientos!$C$6:$C$16,Stocks!$A243,Movimientos!$G$6:$G$16,Stocks!F$3,Movimientos!$A$6:$A$16,"&lt;="&amp;Stocks!$A$2)</f>
        <v>0</v>
      </c>
      <c r="G243" s="4">
        <f>SUMIFS(Movimientos!$E$6:$E$16,Movimientos!$C$6:$C$16,Stocks!$A243,Movimientos!$F$6:$F$16,Stocks!G$3,Movimientos!$A$6:$A$16,"&lt;="&amp;Stocks!$A$2)-SUMIFS(Movimientos!$E$6:$E$16,Movimientos!$C$6:$C$16,Stocks!$A243,Movimientos!$G$6:$G$16,Stocks!G$3,Movimientos!$A$6:$A$16,"&lt;="&amp;Stocks!$A$2)</f>
        <v>0</v>
      </c>
      <c r="H243" s="4">
        <f>SUMIFS(Movimientos!$E$6:$E$16,Movimientos!$C$6:$C$16,Stocks!$A243,Movimientos!$F$6:$F$16,Stocks!H$3,Movimientos!$A$6:$A$16,"&lt;="&amp;Stocks!$A$2)-SUMIFS(Movimientos!$E$6:$E$16,Movimientos!$C$6:$C$16,Stocks!$A243,Movimientos!$G$6:$G$16,Stocks!H$3,Movimientos!$A$6:$A$16,"&lt;="&amp;Stocks!$A$2)</f>
        <v>0</v>
      </c>
      <c r="I243" s="4">
        <f>SUMIFS(Movimientos!$E$6:$E$16,Movimientos!$C$6:$C$16,Stocks!$A243,Movimientos!$F$6:$F$16,Stocks!I$3,Movimientos!$A$6:$A$16,"&lt;="&amp;Stocks!$A$2)-SUMIFS(Movimientos!$E$6:$E$16,Movimientos!$C$6:$C$16,Stocks!$A243,Movimientos!$G$6:$G$16,Stocks!I$3,Movimientos!$A$6:$A$16,"&lt;="&amp;Stocks!$A$2)</f>
        <v>0</v>
      </c>
      <c r="J243" s="4">
        <f>SUMIFS(Movimientos!$E$6:$E$16,Movimientos!$C$6:$C$16,Stocks!$A243,Movimientos!$F$6:$F$16,Stocks!J$3,Movimientos!$A$6:$A$16,"&lt;="&amp;Stocks!$A$2)-SUMIFS(Movimientos!$E$6:$E$16,Movimientos!$C$6:$C$16,Stocks!$A243,Movimientos!$G$6:$G$16,Stocks!J$3,Movimientos!$A$6:$A$16,"&lt;="&amp;Stocks!$A$2)</f>
        <v>0</v>
      </c>
      <c r="K243" s="4">
        <f>SUMIFS(Movimientos!$E$6:$E$16,Movimientos!$C$6:$C$16,Stocks!$A243,Movimientos!$F$6:$F$16,Stocks!K$3,Movimientos!$A$6:$A$16,"&lt;="&amp;Stocks!$A$2)-SUMIFS(Movimientos!$E$6:$E$16,Movimientos!$C$6:$C$16,Stocks!$A243,Movimientos!$G$6:$G$16,Stocks!K$3,Movimientos!$A$6:$A$16,"&lt;="&amp;Stocks!$A$2)</f>
        <v>0</v>
      </c>
      <c r="L243" s="4">
        <f>SUMIFS(Movimientos!$E$6:$E$16,Movimientos!$C$6:$C$16,Stocks!$A243,Movimientos!$F$6:$F$16,Stocks!L$3,Movimientos!$A$6:$A$16,"&lt;="&amp;Stocks!$A$2)-SUMIFS(Movimientos!$E$6:$E$16,Movimientos!$C$6:$C$16,Stocks!$A243,Movimientos!$G$6:$G$16,Stocks!L$3,Movimientos!$A$6:$A$16,"&lt;="&amp;Stocks!$A$2)</f>
        <v>0</v>
      </c>
    </row>
    <row r="244" spans="1:12" x14ac:dyDescent="0.25">
      <c r="A244" t="str">
        <f>Codificación!A243</f>
        <v/>
      </c>
      <c r="B244" s="1">
        <f>Codificación!B243</f>
        <v>0</v>
      </c>
      <c r="E244" s="4">
        <f>SUMIFS(Movimientos!$E$6:$E$16,Movimientos!$C$6:$C$16,Stocks!$A244,Movimientos!$F$6:$F$16,Stocks!E$3,Movimientos!$A$6:$A$16,"&lt;="&amp;Stocks!$A$2)-SUMIFS(Movimientos!$E$6:$E$16,Movimientos!$C$6:$C$16,Stocks!$A244,Movimientos!$G$6:$G$16,Stocks!E$3,Movimientos!$A$6:$A$16,"&lt;="&amp;Stocks!$A$2)</f>
        <v>0</v>
      </c>
      <c r="F244" s="4">
        <f>SUMIFS(Movimientos!$E$6:$E$16,Movimientos!$C$6:$C$16,Stocks!$A244,Movimientos!$F$6:$F$16,Stocks!F$3,Movimientos!$A$6:$A$16,"&lt;="&amp;Stocks!$A$2)-SUMIFS(Movimientos!$E$6:$E$16,Movimientos!$C$6:$C$16,Stocks!$A244,Movimientos!$G$6:$G$16,Stocks!F$3,Movimientos!$A$6:$A$16,"&lt;="&amp;Stocks!$A$2)</f>
        <v>0</v>
      </c>
      <c r="G244" s="4">
        <f>SUMIFS(Movimientos!$E$6:$E$16,Movimientos!$C$6:$C$16,Stocks!$A244,Movimientos!$F$6:$F$16,Stocks!G$3,Movimientos!$A$6:$A$16,"&lt;="&amp;Stocks!$A$2)-SUMIFS(Movimientos!$E$6:$E$16,Movimientos!$C$6:$C$16,Stocks!$A244,Movimientos!$G$6:$G$16,Stocks!G$3,Movimientos!$A$6:$A$16,"&lt;="&amp;Stocks!$A$2)</f>
        <v>0</v>
      </c>
      <c r="H244" s="4">
        <f>SUMIFS(Movimientos!$E$6:$E$16,Movimientos!$C$6:$C$16,Stocks!$A244,Movimientos!$F$6:$F$16,Stocks!H$3,Movimientos!$A$6:$A$16,"&lt;="&amp;Stocks!$A$2)-SUMIFS(Movimientos!$E$6:$E$16,Movimientos!$C$6:$C$16,Stocks!$A244,Movimientos!$G$6:$G$16,Stocks!H$3,Movimientos!$A$6:$A$16,"&lt;="&amp;Stocks!$A$2)</f>
        <v>0</v>
      </c>
      <c r="I244" s="4">
        <f>SUMIFS(Movimientos!$E$6:$E$16,Movimientos!$C$6:$C$16,Stocks!$A244,Movimientos!$F$6:$F$16,Stocks!I$3,Movimientos!$A$6:$A$16,"&lt;="&amp;Stocks!$A$2)-SUMIFS(Movimientos!$E$6:$E$16,Movimientos!$C$6:$C$16,Stocks!$A244,Movimientos!$G$6:$G$16,Stocks!I$3,Movimientos!$A$6:$A$16,"&lt;="&amp;Stocks!$A$2)</f>
        <v>0</v>
      </c>
      <c r="J244" s="4">
        <f>SUMIFS(Movimientos!$E$6:$E$16,Movimientos!$C$6:$C$16,Stocks!$A244,Movimientos!$F$6:$F$16,Stocks!J$3,Movimientos!$A$6:$A$16,"&lt;="&amp;Stocks!$A$2)-SUMIFS(Movimientos!$E$6:$E$16,Movimientos!$C$6:$C$16,Stocks!$A244,Movimientos!$G$6:$G$16,Stocks!J$3,Movimientos!$A$6:$A$16,"&lt;="&amp;Stocks!$A$2)</f>
        <v>0</v>
      </c>
      <c r="K244" s="4">
        <f>SUMIFS(Movimientos!$E$6:$E$16,Movimientos!$C$6:$C$16,Stocks!$A244,Movimientos!$F$6:$F$16,Stocks!K$3,Movimientos!$A$6:$A$16,"&lt;="&amp;Stocks!$A$2)-SUMIFS(Movimientos!$E$6:$E$16,Movimientos!$C$6:$C$16,Stocks!$A244,Movimientos!$G$6:$G$16,Stocks!K$3,Movimientos!$A$6:$A$16,"&lt;="&amp;Stocks!$A$2)</f>
        <v>0</v>
      </c>
      <c r="L244" s="4">
        <f>SUMIFS(Movimientos!$E$6:$E$16,Movimientos!$C$6:$C$16,Stocks!$A244,Movimientos!$F$6:$F$16,Stocks!L$3,Movimientos!$A$6:$A$16,"&lt;="&amp;Stocks!$A$2)-SUMIFS(Movimientos!$E$6:$E$16,Movimientos!$C$6:$C$16,Stocks!$A244,Movimientos!$G$6:$G$16,Stocks!L$3,Movimientos!$A$6:$A$16,"&lt;="&amp;Stocks!$A$2)</f>
        <v>0</v>
      </c>
    </row>
    <row r="245" spans="1:12" x14ac:dyDescent="0.25">
      <c r="A245" t="str">
        <f>Codificación!A244</f>
        <v/>
      </c>
      <c r="B245" s="1">
        <f>Codificación!B244</f>
        <v>0</v>
      </c>
      <c r="E245" s="4">
        <f>SUMIFS(Movimientos!$E$6:$E$16,Movimientos!$C$6:$C$16,Stocks!$A245,Movimientos!$F$6:$F$16,Stocks!E$3,Movimientos!$A$6:$A$16,"&lt;="&amp;Stocks!$A$2)-SUMIFS(Movimientos!$E$6:$E$16,Movimientos!$C$6:$C$16,Stocks!$A245,Movimientos!$G$6:$G$16,Stocks!E$3,Movimientos!$A$6:$A$16,"&lt;="&amp;Stocks!$A$2)</f>
        <v>0</v>
      </c>
      <c r="F245" s="4">
        <f>SUMIFS(Movimientos!$E$6:$E$16,Movimientos!$C$6:$C$16,Stocks!$A245,Movimientos!$F$6:$F$16,Stocks!F$3,Movimientos!$A$6:$A$16,"&lt;="&amp;Stocks!$A$2)-SUMIFS(Movimientos!$E$6:$E$16,Movimientos!$C$6:$C$16,Stocks!$A245,Movimientos!$G$6:$G$16,Stocks!F$3,Movimientos!$A$6:$A$16,"&lt;="&amp;Stocks!$A$2)</f>
        <v>0</v>
      </c>
      <c r="G245" s="4">
        <f>SUMIFS(Movimientos!$E$6:$E$16,Movimientos!$C$6:$C$16,Stocks!$A245,Movimientos!$F$6:$F$16,Stocks!G$3,Movimientos!$A$6:$A$16,"&lt;="&amp;Stocks!$A$2)-SUMIFS(Movimientos!$E$6:$E$16,Movimientos!$C$6:$C$16,Stocks!$A245,Movimientos!$G$6:$G$16,Stocks!G$3,Movimientos!$A$6:$A$16,"&lt;="&amp;Stocks!$A$2)</f>
        <v>0</v>
      </c>
      <c r="H245" s="4">
        <f>SUMIFS(Movimientos!$E$6:$E$16,Movimientos!$C$6:$C$16,Stocks!$A245,Movimientos!$F$6:$F$16,Stocks!H$3,Movimientos!$A$6:$A$16,"&lt;="&amp;Stocks!$A$2)-SUMIFS(Movimientos!$E$6:$E$16,Movimientos!$C$6:$C$16,Stocks!$A245,Movimientos!$G$6:$G$16,Stocks!H$3,Movimientos!$A$6:$A$16,"&lt;="&amp;Stocks!$A$2)</f>
        <v>0</v>
      </c>
      <c r="I245" s="4">
        <f>SUMIFS(Movimientos!$E$6:$E$16,Movimientos!$C$6:$C$16,Stocks!$A245,Movimientos!$F$6:$F$16,Stocks!I$3,Movimientos!$A$6:$A$16,"&lt;="&amp;Stocks!$A$2)-SUMIFS(Movimientos!$E$6:$E$16,Movimientos!$C$6:$C$16,Stocks!$A245,Movimientos!$G$6:$G$16,Stocks!I$3,Movimientos!$A$6:$A$16,"&lt;="&amp;Stocks!$A$2)</f>
        <v>0</v>
      </c>
      <c r="J245" s="4">
        <f>SUMIFS(Movimientos!$E$6:$E$16,Movimientos!$C$6:$C$16,Stocks!$A245,Movimientos!$F$6:$F$16,Stocks!J$3,Movimientos!$A$6:$A$16,"&lt;="&amp;Stocks!$A$2)-SUMIFS(Movimientos!$E$6:$E$16,Movimientos!$C$6:$C$16,Stocks!$A245,Movimientos!$G$6:$G$16,Stocks!J$3,Movimientos!$A$6:$A$16,"&lt;="&amp;Stocks!$A$2)</f>
        <v>0</v>
      </c>
      <c r="K245" s="4">
        <f>SUMIFS(Movimientos!$E$6:$E$16,Movimientos!$C$6:$C$16,Stocks!$A245,Movimientos!$F$6:$F$16,Stocks!K$3,Movimientos!$A$6:$A$16,"&lt;="&amp;Stocks!$A$2)-SUMIFS(Movimientos!$E$6:$E$16,Movimientos!$C$6:$C$16,Stocks!$A245,Movimientos!$G$6:$G$16,Stocks!K$3,Movimientos!$A$6:$A$16,"&lt;="&amp;Stocks!$A$2)</f>
        <v>0</v>
      </c>
      <c r="L245" s="4">
        <f>SUMIFS(Movimientos!$E$6:$E$16,Movimientos!$C$6:$C$16,Stocks!$A245,Movimientos!$F$6:$F$16,Stocks!L$3,Movimientos!$A$6:$A$16,"&lt;="&amp;Stocks!$A$2)-SUMIFS(Movimientos!$E$6:$E$16,Movimientos!$C$6:$C$16,Stocks!$A245,Movimientos!$G$6:$G$16,Stocks!L$3,Movimientos!$A$6:$A$16,"&lt;="&amp;Stocks!$A$2)</f>
        <v>0</v>
      </c>
    </row>
    <row r="246" spans="1:12" x14ac:dyDescent="0.25">
      <c r="A246" t="str">
        <f>Codificación!A245</f>
        <v/>
      </c>
      <c r="B246" s="1">
        <f>Codificación!B245</f>
        <v>0</v>
      </c>
      <c r="E246" s="4">
        <f>SUMIFS(Movimientos!$E$6:$E$16,Movimientos!$C$6:$C$16,Stocks!$A246,Movimientos!$F$6:$F$16,Stocks!E$3,Movimientos!$A$6:$A$16,"&lt;="&amp;Stocks!$A$2)-SUMIFS(Movimientos!$E$6:$E$16,Movimientos!$C$6:$C$16,Stocks!$A246,Movimientos!$G$6:$G$16,Stocks!E$3,Movimientos!$A$6:$A$16,"&lt;="&amp;Stocks!$A$2)</f>
        <v>0</v>
      </c>
      <c r="F246" s="4">
        <f>SUMIFS(Movimientos!$E$6:$E$16,Movimientos!$C$6:$C$16,Stocks!$A246,Movimientos!$F$6:$F$16,Stocks!F$3,Movimientos!$A$6:$A$16,"&lt;="&amp;Stocks!$A$2)-SUMIFS(Movimientos!$E$6:$E$16,Movimientos!$C$6:$C$16,Stocks!$A246,Movimientos!$G$6:$G$16,Stocks!F$3,Movimientos!$A$6:$A$16,"&lt;="&amp;Stocks!$A$2)</f>
        <v>0</v>
      </c>
      <c r="G246" s="4">
        <f>SUMIFS(Movimientos!$E$6:$E$16,Movimientos!$C$6:$C$16,Stocks!$A246,Movimientos!$F$6:$F$16,Stocks!G$3,Movimientos!$A$6:$A$16,"&lt;="&amp;Stocks!$A$2)-SUMIFS(Movimientos!$E$6:$E$16,Movimientos!$C$6:$C$16,Stocks!$A246,Movimientos!$G$6:$G$16,Stocks!G$3,Movimientos!$A$6:$A$16,"&lt;="&amp;Stocks!$A$2)</f>
        <v>0</v>
      </c>
      <c r="H246" s="4">
        <f>SUMIFS(Movimientos!$E$6:$E$16,Movimientos!$C$6:$C$16,Stocks!$A246,Movimientos!$F$6:$F$16,Stocks!H$3,Movimientos!$A$6:$A$16,"&lt;="&amp;Stocks!$A$2)-SUMIFS(Movimientos!$E$6:$E$16,Movimientos!$C$6:$C$16,Stocks!$A246,Movimientos!$G$6:$G$16,Stocks!H$3,Movimientos!$A$6:$A$16,"&lt;="&amp;Stocks!$A$2)</f>
        <v>0</v>
      </c>
      <c r="I246" s="4">
        <f>SUMIFS(Movimientos!$E$6:$E$16,Movimientos!$C$6:$C$16,Stocks!$A246,Movimientos!$F$6:$F$16,Stocks!I$3,Movimientos!$A$6:$A$16,"&lt;="&amp;Stocks!$A$2)-SUMIFS(Movimientos!$E$6:$E$16,Movimientos!$C$6:$C$16,Stocks!$A246,Movimientos!$G$6:$G$16,Stocks!I$3,Movimientos!$A$6:$A$16,"&lt;="&amp;Stocks!$A$2)</f>
        <v>0</v>
      </c>
      <c r="J246" s="4">
        <f>SUMIFS(Movimientos!$E$6:$E$16,Movimientos!$C$6:$C$16,Stocks!$A246,Movimientos!$F$6:$F$16,Stocks!J$3,Movimientos!$A$6:$A$16,"&lt;="&amp;Stocks!$A$2)-SUMIFS(Movimientos!$E$6:$E$16,Movimientos!$C$6:$C$16,Stocks!$A246,Movimientos!$G$6:$G$16,Stocks!J$3,Movimientos!$A$6:$A$16,"&lt;="&amp;Stocks!$A$2)</f>
        <v>0</v>
      </c>
      <c r="K246" s="4">
        <f>SUMIFS(Movimientos!$E$6:$E$16,Movimientos!$C$6:$C$16,Stocks!$A246,Movimientos!$F$6:$F$16,Stocks!K$3,Movimientos!$A$6:$A$16,"&lt;="&amp;Stocks!$A$2)-SUMIFS(Movimientos!$E$6:$E$16,Movimientos!$C$6:$C$16,Stocks!$A246,Movimientos!$G$6:$G$16,Stocks!K$3,Movimientos!$A$6:$A$16,"&lt;="&amp;Stocks!$A$2)</f>
        <v>0</v>
      </c>
      <c r="L246" s="4">
        <f>SUMIFS(Movimientos!$E$6:$E$16,Movimientos!$C$6:$C$16,Stocks!$A246,Movimientos!$F$6:$F$16,Stocks!L$3,Movimientos!$A$6:$A$16,"&lt;="&amp;Stocks!$A$2)-SUMIFS(Movimientos!$E$6:$E$16,Movimientos!$C$6:$C$16,Stocks!$A246,Movimientos!$G$6:$G$16,Stocks!L$3,Movimientos!$A$6:$A$16,"&lt;="&amp;Stocks!$A$2)</f>
        <v>0</v>
      </c>
    </row>
    <row r="247" spans="1:12" x14ac:dyDescent="0.25">
      <c r="A247" t="str">
        <f>Codificación!A246</f>
        <v/>
      </c>
      <c r="B247" s="1">
        <f>Codificación!B246</f>
        <v>0</v>
      </c>
      <c r="E247" s="4">
        <f>SUMIFS(Movimientos!$E$6:$E$16,Movimientos!$C$6:$C$16,Stocks!$A247,Movimientos!$F$6:$F$16,Stocks!E$3,Movimientos!$A$6:$A$16,"&lt;="&amp;Stocks!$A$2)-SUMIFS(Movimientos!$E$6:$E$16,Movimientos!$C$6:$C$16,Stocks!$A247,Movimientos!$G$6:$G$16,Stocks!E$3,Movimientos!$A$6:$A$16,"&lt;="&amp;Stocks!$A$2)</f>
        <v>0</v>
      </c>
      <c r="F247" s="4">
        <f>SUMIFS(Movimientos!$E$6:$E$16,Movimientos!$C$6:$C$16,Stocks!$A247,Movimientos!$F$6:$F$16,Stocks!F$3,Movimientos!$A$6:$A$16,"&lt;="&amp;Stocks!$A$2)-SUMIFS(Movimientos!$E$6:$E$16,Movimientos!$C$6:$C$16,Stocks!$A247,Movimientos!$G$6:$G$16,Stocks!F$3,Movimientos!$A$6:$A$16,"&lt;="&amp;Stocks!$A$2)</f>
        <v>0</v>
      </c>
      <c r="G247" s="4">
        <f>SUMIFS(Movimientos!$E$6:$E$16,Movimientos!$C$6:$C$16,Stocks!$A247,Movimientos!$F$6:$F$16,Stocks!G$3,Movimientos!$A$6:$A$16,"&lt;="&amp;Stocks!$A$2)-SUMIFS(Movimientos!$E$6:$E$16,Movimientos!$C$6:$C$16,Stocks!$A247,Movimientos!$G$6:$G$16,Stocks!G$3,Movimientos!$A$6:$A$16,"&lt;="&amp;Stocks!$A$2)</f>
        <v>0</v>
      </c>
      <c r="H247" s="4">
        <f>SUMIFS(Movimientos!$E$6:$E$16,Movimientos!$C$6:$C$16,Stocks!$A247,Movimientos!$F$6:$F$16,Stocks!H$3,Movimientos!$A$6:$A$16,"&lt;="&amp;Stocks!$A$2)-SUMIFS(Movimientos!$E$6:$E$16,Movimientos!$C$6:$C$16,Stocks!$A247,Movimientos!$G$6:$G$16,Stocks!H$3,Movimientos!$A$6:$A$16,"&lt;="&amp;Stocks!$A$2)</f>
        <v>0</v>
      </c>
      <c r="I247" s="4">
        <f>SUMIFS(Movimientos!$E$6:$E$16,Movimientos!$C$6:$C$16,Stocks!$A247,Movimientos!$F$6:$F$16,Stocks!I$3,Movimientos!$A$6:$A$16,"&lt;="&amp;Stocks!$A$2)-SUMIFS(Movimientos!$E$6:$E$16,Movimientos!$C$6:$C$16,Stocks!$A247,Movimientos!$G$6:$G$16,Stocks!I$3,Movimientos!$A$6:$A$16,"&lt;="&amp;Stocks!$A$2)</f>
        <v>0</v>
      </c>
      <c r="J247" s="4">
        <f>SUMIFS(Movimientos!$E$6:$E$16,Movimientos!$C$6:$C$16,Stocks!$A247,Movimientos!$F$6:$F$16,Stocks!J$3,Movimientos!$A$6:$A$16,"&lt;="&amp;Stocks!$A$2)-SUMIFS(Movimientos!$E$6:$E$16,Movimientos!$C$6:$C$16,Stocks!$A247,Movimientos!$G$6:$G$16,Stocks!J$3,Movimientos!$A$6:$A$16,"&lt;="&amp;Stocks!$A$2)</f>
        <v>0</v>
      </c>
      <c r="K247" s="4">
        <f>SUMIFS(Movimientos!$E$6:$E$16,Movimientos!$C$6:$C$16,Stocks!$A247,Movimientos!$F$6:$F$16,Stocks!K$3,Movimientos!$A$6:$A$16,"&lt;="&amp;Stocks!$A$2)-SUMIFS(Movimientos!$E$6:$E$16,Movimientos!$C$6:$C$16,Stocks!$A247,Movimientos!$G$6:$G$16,Stocks!K$3,Movimientos!$A$6:$A$16,"&lt;="&amp;Stocks!$A$2)</f>
        <v>0</v>
      </c>
      <c r="L247" s="4">
        <f>SUMIFS(Movimientos!$E$6:$E$16,Movimientos!$C$6:$C$16,Stocks!$A247,Movimientos!$F$6:$F$16,Stocks!L$3,Movimientos!$A$6:$A$16,"&lt;="&amp;Stocks!$A$2)-SUMIFS(Movimientos!$E$6:$E$16,Movimientos!$C$6:$C$16,Stocks!$A247,Movimientos!$G$6:$G$16,Stocks!L$3,Movimientos!$A$6:$A$16,"&lt;="&amp;Stocks!$A$2)</f>
        <v>0</v>
      </c>
    </row>
    <row r="248" spans="1:12" x14ac:dyDescent="0.25">
      <c r="A248" t="str">
        <f>Codificación!A247</f>
        <v/>
      </c>
      <c r="B248" s="1">
        <f>Codificación!B247</f>
        <v>0</v>
      </c>
      <c r="E248" s="4">
        <f>SUMIFS(Movimientos!$E$6:$E$16,Movimientos!$C$6:$C$16,Stocks!$A248,Movimientos!$F$6:$F$16,Stocks!E$3,Movimientos!$A$6:$A$16,"&lt;="&amp;Stocks!$A$2)-SUMIFS(Movimientos!$E$6:$E$16,Movimientos!$C$6:$C$16,Stocks!$A248,Movimientos!$G$6:$G$16,Stocks!E$3,Movimientos!$A$6:$A$16,"&lt;="&amp;Stocks!$A$2)</f>
        <v>0</v>
      </c>
      <c r="F248" s="4">
        <f>SUMIFS(Movimientos!$E$6:$E$16,Movimientos!$C$6:$C$16,Stocks!$A248,Movimientos!$F$6:$F$16,Stocks!F$3,Movimientos!$A$6:$A$16,"&lt;="&amp;Stocks!$A$2)-SUMIFS(Movimientos!$E$6:$E$16,Movimientos!$C$6:$C$16,Stocks!$A248,Movimientos!$G$6:$G$16,Stocks!F$3,Movimientos!$A$6:$A$16,"&lt;="&amp;Stocks!$A$2)</f>
        <v>0</v>
      </c>
      <c r="G248" s="4">
        <f>SUMIFS(Movimientos!$E$6:$E$16,Movimientos!$C$6:$C$16,Stocks!$A248,Movimientos!$F$6:$F$16,Stocks!G$3,Movimientos!$A$6:$A$16,"&lt;="&amp;Stocks!$A$2)-SUMIFS(Movimientos!$E$6:$E$16,Movimientos!$C$6:$C$16,Stocks!$A248,Movimientos!$G$6:$G$16,Stocks!G$3,Movimientos!$A$6:$A$16,"&lt;="&amp;Stocks!$A$2)</f>
        <v>0</v>
      </c>
      <c r="H248" s="4">
        <f>SUMIFS(Movimientos!$E$6:$E$16,Movimientos!$C$6:$C$16,Stocks!$A248,Movimientos!$F$6:$F$16,Stocks!H$3,Movimientos!$A$6:$A$16,"&lt;="&amp;Stocks!$A$2)-SUMIFS(Movimientos!$E$6:$E$16,Movimientos!$C$6:$C$16,Stocks!$A248,Movimientos!$G$6:$G$16,Stocks!H$3,Movimientos!$A$6:$A$16,"&lt;="&amp;Stocks!$A$2)</f>
        <v>0</v>
      </c>
      <c r="I248" s="4">
        <f>SUMIFS(Movimientos!$E$6:$E$16,Movimientos!$C$6:$C$16,Stocks!$A248,Movimientos!$F$6:$F$16,Stocks!I$3,Movimientos!$A$6:$A$16,"&lt;="&amp;Stocks!$A$2)-SUMIFS(Movimientos!$E$6:$E$16,Movimientos!$C$6:$C$16,Stocks!$A248,Movimientos!$G$6:$G$16,Stocks!I$3,Movimientos!$A$6:$A$16,"&lt;="&amp;Stocks!$A$2)</f>
        <v>0</v>
      </c>
      <c r="J248" s="4">
        <f>SUMIFS(Movimientos!$E$6:$E$16,Movimientos!$C$6:$C$16,Stocks!$A248,Movimientos!$F$6:$F$16,Stocks!J$3,Movimientos!$A$6:$A$16,"&lt;="&amp;Stocks!$A$2)-SUMIFS(Movimientos!$E$6:$E$16,Movimientos!$C$6:$C$16,Stocks!$A248,Movimientos!$G$6:$G$16,Stocks!J$3,Movimientos!$A$6:$A$16,"&lt;="&amp;Stocks!$A$2)</f>
        <v>0</v>
      </c>
      <c r="K248" s="4">
        <f>SUMIFS(Movimientos!$E$6:$E$16,Movimientos!$C$6:$C$16,Stocks!$A248,Movimientos!$F$6:$F$16,Stocks!K$3,Movimientos!$A$6:$A$16,"&lt;="&amp;Stocks!$A$2)-SUMIFS(Movimientos!$E$6:$E$16,Movimientos!$C$6:$C$16,Stocks!$A248,Movimientos!$G$6:$G$16,Stocks!K$3,Movimientos!$A$6:$A$16,"&lt;="&amp;Stocks!$A$2)</f>
        <v>0</v>
      </c>
      <c r="L248" s="4">
        <f>SUMIFS(Movimientos!$E$6:$E$16,Movimientos!$C$6:$C$16,Stocks!$A248,Movimientos!$F$6:$F$16,Stocks!L$3,Movimientos!$A$6:$A$16,"&lt;="&amp;Stocks!$A$2)-SUMIFS(Movimientos!$E$6:$E$16,Movimientos!$C$6:$C$16,Stocks!$A248,Movimientos!$G$6:$G$16,Stocks!L$3,Movimientos!$A$6:$A$16,"&lt;="&amp;Stocks!$A$2)</f>
        <v>0</v>
      </c>
    </row>
    <row r="249" spans="1:12" x14ac:dyDescent="0.25">
      <c r="A249" t="str">
        <f>Codificación!A248</f>
        <v/>
      </c>
      <c r="B249" s="1">
        <f>Codificación!B248</f>
        <v>0</v>
      </c>
      <c r="E249" s="4">
        <f>SUMIFS(Movimientos!$E$6:$E$16,Movimientos!$C$6:$C$16,Stocks!$A249,Movimientos!$F$6:$F$16,Stocks!E$3,Movimientos!$A$6:$A$16,"&lt;="&amp;Stocks!$A$2)-SUMIFS(Movimientos!$E$6:$E$16,Movimientos!$C$6:$C$16,Stocks!$A249,Movimientos!$G$6:$G$16,Stocks!E$3,Movimientos!$A$6:$A$16,"&lt;="&amp;Stocks!$A$2)</f>
        <v>0</v>
      </c>
      <c r="F249" s="4">
        <f>SUMIFS(Movimientos!$E$6:$E$16,Movimientos!$C$6:$C$16,Stocks!$A249,Movimientos!$F$6:$F$16,Stocks!F$3,Movimientos!$A$6:$A$16,"&lt;="&amp;Stocks!$A$2)-SUMIFS(Movimientos!$E$6:$E$16,Movimientos!$C$6:$C$16,Stocks!$A249,Movimientos!$G$6:$G$16,Stocks!F$3,Movimientos!$A$6:$A$16,"&lt;="&amp;Stocks!$A$2)</f>
        <v>0</v>
      </c>
      <c r="G249" s="4">
        <f>SUMIFS(Movimientos!$E$6:$E$16,Movimientos!$C$6:$C$16,Stocks!$A249,Movimientos!$F$6:$F$16,Stocks!G$3,Movimientos!$A$6:$A$16,"&lt;="&amp;Stocks!$A$2)-SUMIFS(Movimientos!$E$6:$E$16,Movimientos!$C$6:$C$16,Stocks!$A249,Movimientos!$G$6:$G$16,Stocks!G$3,Movimientos!$A$6:$A$16,"&lt;="&amp;Stocks!$A$2)</f>
        <v>0</v>
      </c>
      <c r="H249" s="4">
        <f>SUMIFS(Movimientos!$E$6:$E$16,Movimientos!$C$6:$C$16,Stocks!$A249,Movimientos!$F$6:$F$16,Stocks!H$3,Movimientos!$A$6:$A$16,"&lt;="&amp;Stocks!$A$2)-SUMIFS(Movimientos!$E$6:$E$16,Movimientos!$C$6:$C$16,Stocks!$A249,Movimientos!$G$6:$G$16,Stocks!H$3,Movimientos!$A$6:$A$16,"&lt;="&amp;Stocks!$A$2)</f>
        <v>0</v>
      </c>
      <c r="I249" s="4">
        <f>SUMIFS(Movimientos!$E$6:$E$16,Movimientos!$C$6:$C$16,Stocks!$A249,Movimientos!$F$6:$F$16,Stocks!I$3,Movimientos!$A$6:$A$16,"&lt;="&amp;Stocks!$A$2)-SUMIFS(Movimientos!$E$6:$E$16,Movimientos!$C$6:$C$16,Stocks!$A249,Movimientos!$G$6:$G$16,Stocks!I$3,Movimientos!$A$6:$A$16,"&lt;="&amp;Stocks!$A$2)</f>
        <v>0</v>
      </c>
      <c r="J249" s="4">
        <f>SUMIFS(Movimientos!$E$6:$E$16,Movimientos!$C$6:$C$16,Stocks!$A249,Movimientos!$F$6:$F$16,Stocks!J$3,Movimientos!$A$6:$A$16,"&lt;="&amp;Stocks!$A$2)-SUMIFS(Movimientos!$E$6:$E$16,Movimientos!$C$6:$C$16,Stocks!$A249,Movimientos!$G$6:$G$16,Stocks!J$3,Movimientos!$A$6:$A$16,"&lt;="&amp;Stocks!$A$2)</f>
        <v>0</v>
      </c>
      <c r="K249" s="4">
        <f>SUMIFS(Movimientos!$E$6:$E$16,Movimientos!$C$6:$C$16,Stocks!$A249,Movimientos!$F$6:$F$16,Stocks!K$3,Movimientos!$A$6:$A$16,"&lt;="&amp;Stocks!$A$2)-SUMIFS(Movimientos!$E$6:$E$16,Movimientos!$C$6:$C$16,Stocks!$A249,Movimientos!$G$6:$G$16,Stocks!K$3,Movimientos!$A$6:$A$16,"&lt;="&amp;Stocks!$A$2)</f>
        <v>0</v>
      </c>
      <c r="L249" s="4">
        <f>SUMIFS(Movimientos!$E$6:$E$16,Movimientos!$C$6:$C$16,Stocks!$A249,Movimientos!$F$6:$F$16,Stocks!L$3,Movimientos!$A$6:$A$16,"&lt;="&amp;Stocks!$A$2)-SUMIFS(Movimientos!$E$6:$E$16,Movimientos!$C$6:$C$16,Stocks!$A249,Movimientos!$G$6:$G$16,Stocks!L$3,Movimientos!$A$6:$A$16,"&lt;="&amp;Stocks!$A$2)</f>
        <v>0</v>
      </c>
    </row>
    <row r="250" spans="1:12" x14ac:dyDescent="0.25">
      <c r="A250" t="str">
        <f>Codificación!A249</f>
        <v/>
      </c>
      <c r="B250" s="1">
        <f>Codificación!B249</f>
        <v>0</v>
      </c>
      <c r="E250" s="4">
        <f>SUMIFS(Movimientos!$E$6:$E$16,Movimientos!$C$6:$C$16,Stocks!$A250,Movimientos!$F$6:$F$16,Stocks!E$3,Movimientos!$A$6:$A$16,"&lt;="&amp;Stocks!$A$2)-SUMIFS(Movimientos!$E$6:$E$16,Movimientos!$C$6:$C$16,Stocks!$A250,Movimientos!$G$6:$G$16,Stocks!E$3,Movimientos!$A$6:$A$16,"&lt;="&amp;Stocks!$A$2)</f>
        <v>0</v>
      </c>
      <c r="F250" s="4">
        <f>SUMIFS(Movimientos!$E$6:$E$16,Movimientos!$C$6:$C$16,Stocks!$A250,Movimientos!$F$6:$F$16,Stocks!F$3,Movimientos!$A$6:$A$16,"&lt;="&amp;Stocks!$A$2)-SUMIFS(Movimientos!$E$6:$E$16,Movimientos!$C$6:$C$16,Stocks!$A250,Movimientos!$G$6:$G$16,Stocks!F$3,Movimientos!$A$6:$A$16,"&lt;="&amp;Stocks!$A$2)</f>
        <v>0</v>
      </c>
      <c r="G250" s="4">
        <f>SUMIFS(Movimientos!$E$6:$E$16,Movimientos!$C$6:$C$16,Stocks!$A250,Movimientos!$F$6:$F$16,Stocks!G$3,Movimientos!$A$6:$A$16,"&lt;="&amp;Stocks!$A$2)-SUMIFS(Movimientos!$E$6:$E$16,Movimientos!$C$6:$C$16,Stocks!$A250,Movimientos!$G$6:$G$16,Stocks!G$3,Movimientos!$A$6:$A$16,"&lt;="&amp;Stocks!$A$2)</f>
        <v>0</v>
      </c>
      <c r="H250" s="4">
        <f>SUMIFS(Movimientos!$E$6:$E$16,Movimientos!$C$6:$C$16,Stocks!$A250,Movimientos!$F$6:$F$16,Stocks!H$3,Movimientos!$A$6:$A$16,"&lt;="&amp;Stocks!$A$2)-SUMIFS(Movimientos!$E$6:$E$16,Movimientos!$C$6:$C$16,Stocks!$A250,Movimientos!$G$6:$G$16,Stocks!H$3,Movimientos!$A$6:$A$16,"&lt;="&amp;Stocks!$A$2)</f>
        <v>0</v>
      </c>
      <c r="I250" s="4">
        <f>SUMIFS(Movimientos!$E$6:$E$16,Movimientos!$C$6:$C$16,Stocks!$A250,Movimientos!$F$6:$F$16,Stocks!I$3,Movimientos!$A$6:$A$16,"&lt;="&amp;Stocks!$A$2)-SUMIFS(Movimientos!$E$6:$E$16,Movimientos!$C$6:$C$16,Stocks!$A250,Movimientos!$G$6:$G$16,Stocks!I$3,Movimientos!$A$6:$A$16,"&lt;="&amp;Stocks!$A$2)</f>
        <v>0</v>
      </c>
      <c r="J250" s="4">
        <f>SUMIFS(Movimientos!$E$6:$E$16,Movimientos!$C$6:$C$16,Stocks!$A250,Movimientos!$F$6:$F$16,Stocks!J$3,Movimientos!$A$6:$A$16,"&lt;="&amp;Stocks!$A$2)-SUMIFS(Movimientos!$E$6:$E$16,Movimientos!$C$6:$C$16,Stocks!$A250,Movimientos!$G$6:$G$16,Stocks!J$3,Movimientos!$A$6:$A$16,"&lt;="&amp;Stocks!$A$2)</f>
        <v>0</v>
      </c>
      <c r="K250" s="4">
        <f>SUMIFS(Movimientos!$E$6:$E$16,Movimientos!$C$6:$C$16,Stocks!$A250,Movimientos!$F$6:$F$16,Stocks!K$3,Movimientos!$A$6:$A$16,"&lt;="&amp;Stocks!$A$2)-SUMIFS(Movimientos!$E$6:$E$16,Movimientos!$C$6:$C$16,Stocks!$A250,Movimientos!$G$6:$G$16,Stocks!K$3,Movimientos!$A$6:$A$16,"&lt;="&amp;Stocks!$A$2)</f>
        <v>0</v>
      </c>
      <c r="L250" s="4">
        <f>SUMIFS(Movimientos!$E$6:$E$16,Movimientos!$C$6:$C$16,Stocks!$A250,Movimientos!$F$6:$F$16,Stocks!L$3,Movimientos!$A$6:$A$16,"&lt;="&amp;Stocks!$A$2)-SUMIFS(Movimientos!$E$6:$E$16,Movimientos!$C$6:$C$16,Stocks!$A250,Movimientos!$G$6:$G$16,Stocks!L$3,Movimientos!$A$6:$A$16,"&lt;="&amp;Stocks!$A$2)</f>
        <v>0</v>
      </c>
    </row>
    <row r="251" spans="1:12" x14ac:dyDescent="0.25">
      <c r="A251" t="str">
        <f>Codificación!A250</f>
        <v/>
      </c>
      <c r="B251" s="1">
        <f>Codificación!B250</f>
        <v>0</v>
      </c>
      <c r="E251" s="4">
        <f>SUMIFS(Movimientos!$E$6:$E$16,Movimientos!$C$6:$C$16,Stocks!$A251,Movimientos!$F$6:$F$16,Stocks!E$3,Movimientos!$A$6:$A$16,"&lt;="&amp;Stocks!$A$2)-SUMIFS(Movimientos!$E$6:$E$16,Movimientos!$C$6:$C$16,Stocks!$A251,Movimientos!$G$6:$G$16,Stocks!E$3,Movimientos!$A$6:$A$16,"&lt;="&amp;Stocks!$A$2)</f>
        <v>0</v>
      </c>
      <c r="F251" s="4">
        <f>SUMIFS(Movimientos!$E$6:$E$16,Movimientos!$C$6:$C$16,Stocks!$A251,Movimientos!$F$6:$F$16,Stocks!F$3,Movimientos!$A$6:$A$16,"&lt;="&amp;Stocks!$A$2)-SUMIFS(Movimientos!$E$6:$E$16,Movimientos!$C$6:$C$16,Stocks!$A251,Movimientos!$G$6:$G$16,Stocks!F$3,Movimientos!$A$6:$A$16,"&lt;="&amp;Stocks!$A$2)</f>
        <v>0</v>
      </c>
      <c r="G251" s="4">
        <f>SUMIFS(Movimientos!$E$6:$E$16,Movimientos!$C$6:$C$16,Stocks!$A251,Movimientos!$F$6:$F$16,Stocks!G$3,Movimientos!$A$6:$A$16,"&lt;="&amp;Stocks!$A$2)-SUMIFS(Movimientos!$E$6:$E$16,Movimientos!$C$6:$C$16,Stocks!$A251,Movimientos!$G$6:$G$16,Stocks!G$3,Movimientos!$A$6:$A$16,"&lt;="&amp;Stocks!$A$2)</f>
        <v>0</v>
      </c>
      <c r="H251" s="4">
        <f>SUMIFS(Movimientos!$E$6:$E$16,Movimientos!$C$6:$C$16,Stocks!$A251,Movimientos!$F$6:$F$16,Stocks!H$3,Movimientos!$A$6:$A$16,"&lt;="&amp;Stocks!$A$2)-SUMIFS(Movimientos!$E$6:$E$16,Movimientos!$C$6:$C$16,Stocks!$A251,Movimientos!$G$6:$G$16,Stocks!H$3,Movimientos!$A$6:$A$16,"&lt;="&amp;Stocks!$A$2)</f>
        <v>0</v>
      </c>
      <c r="I251" s="4">
        <f>SUMIFS(Movimientos!$E$6:$E$16,Movimientos!$C$6:$C$16,Stocks!$A251,Movimientos!$F$6:$F$16,Stocks!I$3,Movimientos!$A$6:$A$16,"&lt;="&amp;Stocks!$A$2)-SUMIFS(Movimientos!$E$6:$E$16,Movimientos!$C$6:$C$16,Stocks!$A251,Movimientos!$G$6:$G$16,Stocks!I$3,Movimientos!$A$6:$A$16,"&lt;="&amp;Stocks!$A$2)</f>
        <v>0</v>
      </c>
      <c r="J251" s="4">
        <f>SUMIFS(Movimientos!$E$6:$E$16,Movimientos!$C$6:$C$16,Stocks!$A251,Movimientos!$F$6:$F$16,Stocks!J$3,Movimientos!$A$6:$A$16,"&lt;="&amp;Stocks!$A$2)-SUMIFS(Movimientos!$E$6:$E$16,Movimientos!$C$6:$C$16,Stocks!$A251,Movimientos!$G$6:$G$16,Stocks!J$3,Movimientos!$A$6:$A$16,"&lt;="&amp;Stocks!$A$2)</f>
        <v>0</v>
      </c>
      <c r="K251" s="4">
        <f>SUMIFS(Movimientos!$E$6:$E$16,Movimientos!$C$6:$C$16,Stocks!$A251,Movimientos!$F$6:$F$16,Stocks!K$3,Movimientos!$A$6:$A$16,"&lt;="&amp;Stocks!$A$2)-SUMIFS(Movimientos!$E$6:$E$16,Movimientos!$C$6:$C$16,Stocks!$A251,Movimientos!$G$6:$G$16,Stocks!K$3,Movimientos!$A$6:$A$16,"&lt;="&amp;Stocks!$A$2)</f>
        <v>0</v>
      </c>
      <c r="L251" s="4">
        <f>SUMIFS(Movimientos!$E$6:$E$16,Movimientos!$C$6:$C$16,Stocks!$A251,Movimientos!$F$6:$F$16,Stocks!L$3,Movimientos!$A$6:$A$16,"&lt;="&amp;Stocks!$A$2)-SUMIFS(Movimientos!$E$6:$E$16,Movimientos!$C$6:$C$16,Stocks!$A251,Movimientos!$G$6:$G$16,Stocks!L$3,Movimientos!$A$6:$A$16,"&lt;="&amp;Stocks!$A$2)</f>
        <v>0</v>
      </c>
    </row>
    <row r="252" spans="1:12" x14ac:dyDescent="0.25">
      <c r="A252" t="str">
        <f>Codificación!A251</f>
        <v/>
      </c>
      <c r="B252" s="1">
        <f>Codificación!B251</f>
        <v>0</v>
      </c>
      <c r="E252" s="4">
        <f>SUMIFS(Movimientos!$E$6:$E$16,Movimientos!$C$6:$C$16,Stocks!$A252,Movimientos!$F$6:$F$16,Stocks!E$3,Movimientos!$A$6:$A$16,"&lt;="&amp;Stocks!$A$2)-SUMIFS(Movimientos!$E$6:$E$16,Movimientos!$C$6:$C$16,Stocks!$A252,Movimientos!$G$6:$G$16,Stocks!E$3,Movimientos!$A$6:$A$16,"&lt;="&amp;Stocks!$A$2)</f>
        <v>0</v>
      </c>
      <c r="F252" s="4">
        <f>SUMIFS(Movimientos!$E$6:$E$16,Movimientos!$C$6:$C$16,Stocks!$A252,Movimientos!$F$6:$F$16,Stocks!F$3,Movimientos!$A$6:$A$16,"&lt;="&amp;Stocks!$A$2)-SUMIFS(Movimientos!$E$6:$E$16,Movimientos!$C$6:$C$16,Stocks!$A252,Movimientos!$G$6:$G$16,Stocks!F$3,Movimientos!$A$6:$A$16,"&lt;="&amp;Stocks!$A$2)</f>
        <v>0</v>
      </c>
      <c r="G252" s="4">
        <f>SUMIFS(Movimientos!$E$6:$E$16,Movimientos!$C$6:$C$16,Stocks!$A252,Movimientos!$F$6:$F$16,Stocks!G$3,Movimientos!$A$6:$A$16,"&lt;="&amp;Stocks!$A$2)-SUMIFS(Movimientos!$E$6:$E$16,Movimientos!$C$6:$C$16,Stocks!$A252,Movimientos!$G$6:$G$16,Stocks!G$3,Movimientos!$A$6:$A$16,"&lt;="&amp;Stocks!$A$2)</f>
        <v>0</v>
      </c>
      <c r="H252" s="4">
        <f>SUMIFS(Movimientos!$E$6:$E$16,Movimientos!$C$6:$C$16,Stocks!$A252,Movimientos!$F$6:$F$16,Stocks!H$3,Movimientos!$A$6:$A$16,"&lt;="&amp;Stocks!$A$2)-SUMIFS(Movimientos!$E$6:$E$16,Movimientos!$C$6:$C$16,Stocks!$A252,Movimientos!$G$6:$G$16,Stocks!H$3,Movimientos!$A$6:$A$16,"&lt;="&amp;Stocks!$A$2)</f>
        <v>0</v>
      </c>
      <c r="I252" s="4">
        <f>SUMIFS(Movimientos!$E$6:$E$16,Movimientos!$C$6:$C$16,Stocks!$A252,Movimientos!$F$6:$F$16,Stocks!I$3,Movimientos!$A$6:$A$16,"&lt;="&amp;Stocks!$A$2)-SUMIFS(Movimientos!$E$6:$E$16,Movimientos!$C$6:$C$16,Stocks!$A252,Movimientos!$G$6:$G$16,Stocks!I$3,Movimientos!$A$6:$A$16,"&lt;="&amp;Stocks!$A$2)</f>
        <v>0</v>
      </c>
      <c r="J252" s="4">
        <f>SUMIFS(Movimientos!$E$6:$E$16,Movimientos!$C$6:$C$16,Stocks!$A252,Movimientos!$F$6:$F$16,Stocks!J$3,Movimientos!$A$6:$A$16,"&lt;="&amp;Stocks!$A$2)-SUMIFS(Movimientos!$E$6:$E$16,Movimientos!$C$6:$C$16,Stocks!$A252,Movimientos!$G$6:$G$16,Stocks!J$3,Movimientos!$A$6:$A$16,"&lt;="&amp;Stocks!$A$2)</f>
        <v>0</v>
      </c>
      <c r="K252" s="4">
        <f>SUMIFS(Movimientos!$E$6:$E$16,Movimientos!$C$6:$C$16,Stocks!$A252,Movimientos!$F$6:$F$16,Stocks!K$3,Movimientos!$A$6:$A$16,"&lt;="&amp;Stocks!$A$2)-SUMIFS(Movimientos!$E$6:$E$16,Movimientos!$C$6:$C$16,Stocks!$A252,Movimientos!$G$6:$G$16,Stocks!K$3,Movimientos!$A$6:$A$16,"&lt;="&amp;Stocks!$A$2)</f>
        <v>0</v>
      </c>
      <c r="L252" s="4">
        <f>SUMIFS(Movimientos!$E$6:$E$16,Movimientos!$C$6:$C$16,Stocks!$A252,Movimientos!$F$6:$F$16,Stocks!L$3,Movimientos!$A$6:$A$16,"&lt;="&amp;Stocks!$A$2)-SUMIFS(Movimientos!$E$6:$E$16,Movimientos!$C$6:$C$16,Stocks!$A252,Movimientos!$G$6:$G$16,Stocks!L$3,Movimientos!$A$6:$A$16,"&lt;="&amp;Stocks!$A$2)</f>
        <v>0</v>
      </c>
    </row>
    <row r="253" spans="1:12" x14ac:dyDescent="0.25">
      <c r="A253" t="str">
        <f>Codificación!A252</f>
        <v/>
      </c>
      <c r="B253" s="1">
        <f>Codificación!B252</f>
        <v>0</v>
      </c>
      <c r="E253" s="4">
        <f>SUMIFS(Movimientos!$E$6:$E$16,Movimientos!$C$6:$C$16,Stocks!$A253,Movimientos!$F$6:$F$16,Stocks!E$3,Movimientos!$A$6:$A$16,"&lt;="&amp;Stocks!$A$2)-SUMIFS(Movimientos!$E$6:$E$16,Movimientos!$C$6:$C$16,Stocks!$A253,Movimientos!$G$6:$G$16,Stocks!E$3,Movimientos!$A$6:$A$16,"&lt;="&amp;Stocks!$A$2)</f>
        <v>0</v>
      </c>
      <c r="F253" s="4">
        <f>SUMIFS(Movimientos!$E$6:$E$16,Movimientos!$C$6:$C$16,Stocks!$A253,Movimientos!$F$6:$F$16,Stocks!F$3,Movimientos!$A$6:$A$16,"&lt;="&amp;Stocks!$A$2)-SUMIFS(Movimientos!$E$6:$E$16,Movimientos!$C$6:$C$16,Stocks!$A253,Movimientos!$G$6:$G$16,Stocks!F$3,Movimientos!$A$6:$A$16,"&lt;="&amp;Stocks!$A$2)</f>
        <v>0</v>
      </c>
      <c r="G253" s="4">
        <f>SUMIFS(Movimientos!$E$6:$E$16,Movimientos!$C$6:$C$16,Stocks!$A253,Movimientos!$F$6:$F$16,Stocks!G$3,Movimientos!$A$6:$A$16,"&lt;="&amp;Stocks!$A$2)-SUMIFS(Movimientos!$E$6:$E$16,Movimientos!$C$6:$C$16,Stocks!$A253,Movimientos!$G$6:$G$16,Stocks!G$3,Movimientos!$A$6:$A$16,"&lt;="&amp;Stocks!$A$2)</f>
        <v>0</v>
      </c>
      <c r="H253" s="4">
        <f>SUMIFS(Movimientos!$E$6:$E$16,Movimientos!$C$6:$C$16,Stocks!$A253,Movimientos!$F$6:$F$16,Stocks!H$3,Movimientos!$A$6:$A$16,"&lt;="&amp;Stocks!$A$2)-SUMIFS(Movimientos!$E$6:$E$16,Movimientos!$C$6:$C$16,Stocks!$A253,Movimientos!$G$6:$G$16,Stocks!H$3,Movimientos!$A$6:$A$16,"&lt;="&amp;Stocks!$A$2)</f>
        <v>0</v>
      </c>
      <c r="I253" s="4">
        <f>SUMIFS(Movimientos!$E$6:$E$16,Movimientos!$C$6:$C$16,Stocks!$A253,Movimientos!$F$6:$F$16,Stocks!I$3,Movimientos!$A$6:$A$16,"&lt;="&amp;Stocks!$A$2)-SUMIFS(Movimientos!$E$6:$E$16,Movimientos!$C$6:$C$16,Stocks!$A253,Movimientos!$G$6:$G$16,Stocks!I$3,Movimientos!$A$6:$A$16,"&lt;="&amp;Stocks!$A$2)</f>
        <v>0</v>
      </c>
      <c r="J253" s="4">
        <f>SUMIFS(Movimientos!$E$6:$E$16,Movimientos!$C$6:$C$16,Stocks!$A253,Movimientos!$F$6:$F$16,Stocks!J$3,Movimientos!$A$6:$A$16,"&lt;="&amp;Stocks!$A$2)-SUMIFS(Movimientos!$E$6:$E$16,Movimientos!$C$6:$C$16,Stocks!$A253,Movimientos!$G$6:$G$16,Stocks!J$3,Movimientos!$A$6:$A$16,"&lt;="&amp;Stocks!$A$2)</f>
        <v>0</v>
      </c>
      <c r="K253" s="4">
        <f>SUMIFS(Movimientos!$E$6:$E$16,Movimientos!$C$6:$C$16,Stocks!$A253,Movimientos!$F$6:$F$16,Stocks!K$3,Movimientos!$A$6:$A$16,"&lt;="&amp;Stocks!$A$2)-SUMIFS(Movimientos!$E$6:$E$16,Movimientos!$C$6:$C$16,Stocks!$A253,Movimientos!$G$6:$G$16,Stocks!K$3,Movimientos!$A$6:$A$16,"&lt;="&amp;Stocks!$A$2)</f>
        <v>0</v>
      </c>
      <c r="L253" s="4">
        <f>SUMIFS(Movimientos!$E$6:$E$16,Movimientos!$C$6:$C$16,Stocks!$A253,Movimientos!$F$6:$F$16,Stocks!L$3,Movimientos!$A$6:$A$16,"&lt;="&amp;Stocks!$A$2)-SUMIFS(Movimientos!$E$6:$E$16,Movimientos!$C$6:$C$16,Stocks!$A253,Movimientos!$G$6:$G$16,Stocks!L$3,Movimientos!$A$6:$A$16,"&lt;="&amp;Stocks!$A$2)</f>
        <v>0</v>
      </c>
    </row>
    <row r="254" spans="1:12" x14ac:dyDescent="0.25">
      <c r="A254" t="str">
        <f>Codificación!A253</f>
        <v/>
      </c>
      <c r="B254" s="1">
        <f>Codificación!B253</f>
        <v>0</v>
      </c>
      <c r="E254" s="4">
        <f>SUMIFS(Movimientos!$E$6:$E$16,Movimientos!$C$6:$C$16,Stocks!$A254,Movimientos!$F$6:$F$16,Stocks!E$3,Movimientos!$A$6:$A$16,"&lt;="&amp;Stocks!$A$2)-SUMIFS(Movimientos!$E$6:$E$16,Movimientos!$C$6:$C$16,Stocks!$A254,Movimientos!$G$6:$G$16,Stocks!E$3,Movimientos!$A$6:$A$16,"&lt;="&amp;Stocks!$A$2)</f>
        <v>0</v>
      </c>
      <c r="F254" s="4">
        <f>SUMIFS(Movimientos!$E$6:$E$16,Movimientos!$C$6:$C$16,Stocks!$A254,Movimientos!$F$6:$F$16,Stocks!F$3,Movimientos!$A$6:$A$16,"&lt;="&amp;Stocks!$A$2)-SUMIFS(Movimientos!$E$6:$E$16,Movimientos!$C$6:$C$16,Stocks!$A254,Movimientos!$G$6:$G$16,Stocks!F$3,Movimientos!$A$6:$A$16,"&lt;="&amp;Stocks!$A$2)</f>
        <v>0</v>
      </c>
      <c r="G254" s="4">
        <f>SUMIFS(Movimientos!$E$6:$E$16,Movimientos!$C$6:$C$16,Stocks!$A254,Movimientos!$F$6:$F$16,Stocks!G$3,Movimientos!$A$6:$A$16,"&lt;="&amp;Stocks!$A$2)-SUMIFS(Movimientos!$E$6:$E$16,Movimientos!$C$6:$C$16,Stocks!$A254,Movimientos!$G$6:$G$16,Stocks!G$3,Movimientos!$A$6:$A$16,"&lt;="&amp;Stocks!$A$2)</f>
        <v>0</v>
      </c>
      <c r="H254" s="4">
        <f>SUMIFS(Movimientos!$E$6:$E$16,Movimientos!$C$6:$C$16,Stocks!$A254,Movimientos!$F$6:$F$16,Stocks!H$3,Movimientos!$A$6:$A$16,"&lt;="&amp;Stocks!$A$2)-SUMIFS(Movimientos!$E$6:$E$16,Movimientos!$C$6:$C$16,Stocks!$A254,Movimientos!$G$6:$G$16,Stocks!H$3,Movimientos!$A$6:$A$16,"&lt;="&amp;Stocks!$A$2)</f>
        <v>0</v>
      </c>
      <c r="I254" s="4">
        <f>SUMIFS(Movimientos!$E$6:$E$16,Movimientos!$C$6:$C$16,Stocks!$A254,Movimientos!$F$6:$F$16,Stocks!I$3,Movimientos!$A$6:$A$16,"&lt;="&amp;Stocks!$A$2)-SUMIFS(Movimientos!$E$6:$E$16,Movimientos!$C$6:$C$16,Stocks!$A254,Movimientos!$G$6:$G$16,Stocks!I$3,Movimientos!$A$6:$A$16,"&lt;="&amp;Stocks!$A$2)</f>
        <v>0</v>
      </c>
      <c r="J254" s="4">
        <f>SUMIFS(Movimientos!$E$6:$E$16,Movimientos!$C$6:$C$16,Stocks!$A254,Movimientos!$F$6:$F$16,Stocks!J$3,Movimientos!$A$6:$A$16,"&lt;="&amp;Stocks!$A$2)-SUMIFS(Movimientos!$E$6:$E$16,Movimientos!$C$6:$C$16,Stocks!$A254,Movimientos!$G$6:$G$16,Stocks!J$3,Movimientos!$A$6:$A$16,"&lt;="&amp;Stocks!$A$2)</f>
        <v>0</v>
      </c>
      <c r="K254" s="4">
        <f>SUMIFS(Movimientos!$E$6:$E$16,Movimientos!$C$6:$C$16,Stocks!$A254,Movimientos!$F$6:$F$16,Stocks!K$3,Movimientos!$A$6:$A$16,"&lt;="&amp;Stocks!$A$2)-SUMIFS(Movimientos!$E$6:$E$16,Movimientos!$C$6:$C$16,Stocks!$A254,Movimientos!$G$6:$G$16,Stocks!K$3,Movimientos!$A$6:$A$16,"&lt;="&amp;Stocks!$A$2)</f>
        <v>0</v>
      </c>
      <c r="L254" s="4">
        <f>SUMIFS(Movimientos!$E$6:$E$16,Movimientos!$C$6:$C$16,Stocks!$A254,Movimientos!$F$6:$F$16,Stocks!L$3,Movimientos!$A$6:$A$16,"&lt;="&amp;Stocks!$A$2)-SUMIFS(Movimientos!$E$6:$E$16,Movimientos!$C$6:$C$16,Stocks!$A254,Movimientos!$G$6:$G$16,Stocks!L$3,Movimientos!$A$6:$A$16,"&lt;="&amp;Stocks!$A$2)</f>
        <v>0</v>
      </c>
    </row>
    <row r="255" spans="1:12" x14ac:dyDescent="0.25">
      <c r="A255" t="str">
        <f>Codificación!A254</f>
        <v/>
      </c>
      <c r="B255" s="1">
        <f>Codificación!B254</f>
        <v>0</v>
      </c>
      <c r="E255" s="4">
        <f>SUMIFS(Movimientos!$E$6:$E$16,Movimientos!$C$6:$C$16,Stocks!$A255,Movimientos!$F$6:$F$16,Stocks!E$3,Movimientos!$A$6:$A$16,"&lt;="&amp;Stocks!$A$2)-SUMIFS(Movimientos!$E$6:$E$16,Movimientos!$C$6:$C$16,Stocks!$A255,Movimientos!$G$6:$G$16,Stocks!E$3,Movimientos!$A$6:$A$16,"&lt;="&amp;Stocks!$A$2)</f>
        <v>0</v>
      </c>
      <c r="F255" s="4">
        <f>SUMIFS(Movimientos!$E$6:$E$16,Movimientos!$C$6:$C$16,Stocks!$A255,Movimientos!$F$6:$F$16,Stocks!F$3,Movimientos!$A$6:$A$16,"&lt;="&amp;Stocks!$A$2)-SUMIFS(Movimientos!$E$6:$E$16,Movimientos!$C$6:$C$16,Stocks!$A255,Movimientos!$G$6:$G$16,Stocks!F$3,Movimientos!$A$6:$A$16,"&lt;="&amp;Stocks!$A$2)</f>
        <v>0</v>
      </c>
      <c r="G255" s="4">
        <f>SUMIFS(Movimientos!$E$6:$E$16,Movimientos!$C$6:$C$16,Stocks!$A255,Movimientos!$F$6:$F$16,Stocks!G$3,Movimientos!$A$6:$A$16,"&lt;="&amp;Stocks!$A$2)-SUMIFS(Movimientos!$E$6:$E$16,Movimientos!$C$6:$C$16,Stocks!$A255,Movimientos!$G$6:$G$16,Stocks!G$3,Movimientos!$A$6:$A$16,"&lt;="&amp;Stocks!$A$2)</f>
        <v>0</v>
      </c>
      <c r="H255" s="4">
        <f>SUMIFS(Movimientos!$E$6:$E$16,Movimientos!$C$6:$C$16,Stocks!$A255,Movimientos!$F$6:$F$16,Stocks!H$3,Movimientos!$A$6:$A$16,"&lt;="&amp;Stocks!$A$2)-SUMIFS(Movimientos!$E$6:$E$16,Movimientos!$C$6:$C$16,Stocks!$A255,Movimientos!$G$6:$G$16,Stocks!H$3,Movimientos!$A$6:$A$16,"&lt;="&amp;Stocks!$A$2)</f>
        <v>0</v>
      </c>
      <c r="I255" s="4">
        <f>SUMIFS(Movimientos!$E$6:$E$16,Movimientos!$C$6:$C$16,Stocks!$A255,Movimientos!$F$6:$F$16,Stocks!I$3,Movimientos!$A$6:$A$16,"&lt;="&amp;Stocks!$A$2)-SUMIFS(Movimientos!$E$6:$E$16,Movimientos!$C$6:$C$16,Stocks!$A255,Movimientos!$G$6:$G$16,Stocks!I$3,Movimientos!$A$6:$A$16,"&lt;="&amp;Stocks!$A$2)</f>
        <v>0</v>
      </c>
      <c r="J255" s="4">
        <f>SUMIFS(Movimientos!$E$6:$E$16,Movimientos!$C$6:$C$16,Stocks!$A255,Movimientos!$F$6:$F$16,Stocks!J$3,Movimientos!$A$6:$A$16,"&lt;="&amp;Stocks!$A$2)-SUMIFS(Movimientos!$E$6:$E$16,Movimientos!$C$6:$C$16,Stocks!$A255,Movimientos!$G$6:$G$16,Stocks!J$3,Movimientos!$A$6:$A$16,"&lt;="&amp;Stocks!$A$2)</f>
        <v>0</v>
      </c>
      <c r="K255" s="4">
        <f>SUMIFS(Movimientos!$E$6:$E$16,Movimientos!$C$6:$C$16,Stocks!$A255,Movimientos!$F$6:$F$16,Stocks!K$3,Movimientos!$A$6:$A$16,"&lt;="&amp;Stocks!$A$2)-SUMIFS(Movimientos!$E$6:$E$16,Movimientos!$C$6:$C$16,Stocks!$A255,Movimientos!$G$6:$G$16,Stocks!K$3,Movimientos!$A$6:$A$16,"&lt;="&amp;Stocks!$A$2)</f>
        <v>0</v>
      </c>
      <c r="L255" s="4">
        <f>SUMIFS(Movimientos!$E$6:$E$16,Movimientos!$C$6:$C$16,Stocks!$A255,Movimientos!$F$6:$F$16,Stocks!L$3,Movimientos!$A$6:$A$16,"&lt;="&amp;Stocks!$A$2)-SUMIFS(Movimientos!$E$6:$E$16,Movimientos!$C$6:$C$16,Stocks!$A255,Movimientos!$G$6:$G$16,Stocks!L$3,Movimientos!$A$6:$A$16,"&lt;="&amp;Stocks!$A$2)</f>
        <v>0</v>
      </c>
    </row>
    <row r="256" spans="1:12" x14ac:dyDescent="0.25">
      <c r="A256" t="str">
        <f>Codificación!A255</f>
        <v/>
      </c>
      <c r="B256" s="1">
        <f>Codificación!B255</f>
        <v>0</v>
      </c>
      <c r="E256" s="4">
        <f>SUMIFS(Movimientos!$E$6:$E$16,Movimientos!$C$6:$C$16,Stocks!$A256,Movimientos!$F$6:$F$16,Stocks!E$3,Movimientos!$A$6:$A$16,"&lt;="&amp;Stocks!$A$2)-SUMIFS(Movimientos!$E$6:$E$16,Movimientos!$C$6:$C$16,Stocks!$A256,Movimientos!$G$6:$G$16,Stocks!E$3,Movimientos!$A$6:$A$16,"&lt;="&amp;Stocks!$A$2)</f>
        <v>0</v>
      </c>
      <c r="F256" s="4">
        <f>SUMIFS(Movimientos!$E$6:$E$16,Movimientos!$C$6:$C$16,Stocks!$A256,Movimientos!$F$6:$F$16,Stocks!F$3,Movimientos!$A$6:$A$16,"&lt;="&amp;Stocks!$A$2)-SUMIFS(Movimientos!$E$6:$E$16,Movimientos!$C$6:$C$16,Stocks!$A256,Movimientos!$G$6:$G$16,Stocks!F$3,Movimientos!$A$6:$A$16,"&lt;="&amp;Stocks!$A$2)</f>
        <v>0</v>
      </c>
      <c r="G256" s="4">
        <f>SUMIFS(Movimientos!$E$6:$E$16,Movimientos!$C$6:$C$16,Stocks!$A256,Movimientos!$F$6:$F$16,Stocks!G$3,Movimientos!$A$6:$A$16,"&lt;="&amp;Stocks!$A$2)-SUMIFS(Movimientos!$E$6:$E$16,Movimientos!$C$6:$C$16,Stocks!$A256,Movimientos!$G$6:$G$16,Stocks!G$3,Movimientos!$A$6:$A$16,"&lt;="&amp;Stocks!$A$2)</f>
        <v>0</v>
      </c>
      <c r="H256" s="4">
        <f>SUMIFS(Movimientos!$E$6:$E$16,Movimientos!$C$6:$C$16,Stocks!$A256,Movimientos!$F$6:$F$16,Stocks!H$3,Movimientos!$A$6:$A$16,"&lt;="&amp;Stocks!$A$2)-SUMIFS(Movimientos!$E$6:$E$16,Movimientos!$C$6:$C$16,Stocks!$A256,Movimientos!$G$6:$G$16,Stocks!H$3,Movimientos!$A$6:$A$16,"&lt;="&amp;Stocks!$A$2)</f>
        <v>0</v>
      </c>
      <c r="I256" s="4">
        <f>SUMIFS(Movimientos!$E$6:$E$16,Movimientos!$C$6:$C$16,Stocks!$A256,Movimientos!$F$6:$F$16,Stocks!I$3,Movimientos!$A$6:$A$16,"&lt;="&amp;Stocks!$A$2)-SUMIFS(Movimientos!$E$6:$E$16,Movimientos!$C$6:$C$16,Stocks!$A256,Movimientos!$G$6:$G$16,Stocks!I$3,Movimientos!$A$6:$A$16,"&lt;="&amp;Stocks!$A$2)</f>
        <v>0</v>
      </c>
      <c r="J256" s="4">
        <f>SUMIFS(Movimientos!$E$6:$E$16,Movimientos!$C$6:$C$16,Stocks!$A256,Movimientos!$F$6:$F$16,Stocks!J$3,Movimientos!$A$6:$A$16,"&lt;="&amp;Stocks!$A$2)-SUMIFS(Movimientos!$E$6:$E$16,Movimientos!$C$6:$C$16,Stocks!$A256,Movimientos!$G$6:$G$16,Stocks!J$3,Movimientos!$A$6:$A$16,"&lt;="&amp;Stocks!$A$2)</f>
        <v>0</v>
      </c>
      <c r="K256" s="4">
        <f>SUMIFS(Movimientos!$E$6:$E$16,Movimientos!$C$6:$C$16,Stocks!$A256,Movimientos!$F$6:$F$16,Stocks!K$3,Movimientos!$A$6:$A$16,"&lt;="&amp;Stocks!$A$2)-SUMIFS(Movimientos!$E$6:$E$16,Movimientos!$C$6:$C$16,Stocks!$A256,Movimientos!$G$6:$G$16,Stocks!K$3,Movimientos!$A$6:$A$16,"&lt;="&amp;Stocks!$A$2)</f>
        <v>0</v>
      </c>
      <c r="L256" s="4">
        <f>SUMIFS(Movimientos!$E$6:$E$16,Movimientos!$C$6:$C$16,Stocks!$A256,Movimientos!$F$6:$F$16,Stocks!L$3,Movimientos!$A$6:$A$16,"&lt;="&amp;Stocks!$A$2)-SUMIFS(Movimientos!$E$6:$E$16,Movimientos!$C$6:$C$16,Stocks!$A256,Movimientos!$G$6:$G$16,Stocks!L$3,Movimientos!$A$6:$A$16,"&lt;="&amp;Stocks!$A$2)</f>
        <v>0</v>
      </c>
    </row>
    <row r="257" spans="1:12" x14ac:dyDescent="0.25">
      <c r="A257" t="str">
        <f>Codificación!A256</f>
        <v/>
      </c>
      <c r="B257" s="1">
        <f>Codificación!B256</f>
        <v>0</v>
      </c>
      <c r="E257" s="4">
        <f>SUMIFS(Movimientos!$E$6:$E$16,Movimientos!$C$6:$C$16,Stocks!$A257,Movimientos!$F$6:$F$16,Stocks!E$3,Movimientos!$A$6:$A$16,"&lt;="&amp;Stocks!$A$2)-SUMIFS(Movimientos!$E$6:$E$16,Movimientos!$C$6:$C$16,Stocks!$A257,Movimientos!$G$6:$G$16,Stocks!E$3,Movimientos!$A$6:$A$16,"&lt;="&amp;Stocks!$A$2)</f>
        <v>0</v>
      </c>
      <c r="F257" s="4">
        <f>SUMIFS(Movimientos!$E$6:$E$16,Movimientos!$C$6:$C$16,Stocks!$A257,Movimientos!$F$6:$F$16,Stocks!F$3,Movimientos!$A$6:$A$16,"&lt;="&amp;Stocks!$A$2)-SUMIFS(Movimientos!$E$6:$E$16,Movimientos!$C$6:$C$16,Stocks!$A257,Movimientos!$G$6:$G$16,Stocks!F$3,Movimientos!$A$6:$A$16,"&lt;="&amp;Stocks!$A$2)</f>
        <v>0</v>
      </c>
      <c r="G257" s="4">
        <f>SUMIFS(Movimientos!$E$6:$E$16,Movimientos!$C$6:$C$16,Stocks!$A257,Movimientos!$F$6:$F$16,Stocks!G$3,Movimientos!$A$6:$A$16,"&lt;="&amp;Stocks!$A$2)-SUMIFS(Movimientos!$E$6:$E$16,Movimientos!$C$6:$C$16,Stocks!$A257,Movimientos!$G$6:$G$16,Stocks!G$3,Movimientos!$A$6:$A$16,"&lt;="&amp;Stocks!$A$2)</f>
        <v>0</v>
      </c>
      <c r="H257" s="4">
        <f>SUMIFS(Movimientos!$E$6:$E$16,Movimientos!$C$6:$C$16,Stocks!$A257,Movimientos!$F$6:$F$16,Stocks!H$3,Movimientos!$A$6:$A$16,"&lt;="&amp;Stocks!$A$2)-SUMIFS(Movimientos!$E$6:$E$16,Movimientos!$C$6:$C$16,Stocks!$A257,Movimientos!$G$6:$G$16,Stocks!H$3,Movimientos!$A$6:$A$16,"&lt;="&amp;Stocks!$A$2)</f>
        <v>0</v>
      </c>
      <c r="I257" s="4">
        <f>SUMIFS(Movimientos!$E$6:$E$16,Movimientos!$C$6:$C$16,Stocks!$A257,Movimientos!$F$6:$F$16,Stocks!I$3,Movimientos!$A$6:$A$16,"&lt;="&amp;Stocks!$A$2)-SUMIFS(Movimientos!$E$6:$E$16,Movimientos!$C$6:$C$16,Stocks!$A257,Movimientos!$G$6:$G$16,Stocks!I$3,Movimientos!$A$6:$A$16,"&lt;="&amp;Stocks!$A$2)</f>
        <v>0</v>
      </c>
      <c r="J257" s="4">
        <f>SUMIFS(Movimientos!$E$6:$E$16,Movimientos!$C$6:$C$16,Stocks!$A257,Movimientos!$F$6:$F$16,Stocks!J$3,Movimientos!$A$6:$A$16,"&lt;="&amp;Stocks!$A$2)-SUMIFS(Movimientos!$E$6:$E$16,Movimientos!$C$6:$C$16,Stocks!$A257,Movimientos!$G$6:$G$16,Stocks!J$3,Movimientos!$A$6:$A$16,"&lt;="&amp;Stocks!$A$2)</f>
        <v>0</v>
      </c>
      <c r="K257" s="4">
        <f>SUMIFS(Movimientos!$E$6:$E$16,Movimientos!$C$6:$C$16,Stocks!$A257,Movimientos!$F$6:$F$16,Stocks!K$3,Movimientos!$A$6:$A$16,"&lt;="&amp;Stocks!$A$2)-SUMIFS(Movimientos!$E$6:$E$16,Movimientos!$C$6:$C$16,Stocks!$A257,Movimientos!$G$6:$G$16,Stocks!K$3,Movimientos!$A$6:$A$16,"&lt;="&amp;Stocks!$A$2)</f>
        <v>0</v>
      </c>
      <c r="L257" s="4">
        <f>SUMIFS(Movimientos!$E$6:$E$16,Movimientos!$C$6:$C$16,Stocks!$A257,Movimientos!$F$6:$F$16,Stocks!L$3,Movimientos!$A$6:$A$16,"&lt;="&amp;Stocks!$A$2)-SUMIFS(Movimientos!$E$6:$E$16,Movimientos!$C$6:$C$16,Stocks!$A257,Movimientos!$G$6:$G$16,Stocks!L$3,Movimientos!$A$6:$A$16,"&lt;="&amp;Stocks!$A$2)</f>
        <v>0</v>
      </c>
    </row>
    <row r="258" spans="1:12" x14ac:dyDescent="0.25">
      <c r="A258" t="str">
        <f>Codificación!A257</f>
        <v/>
      </c>
      <c r="B258" s="1">
        <f>Codificación!B257</f>
        <v>0</v>
      </c>
      <c r="E258" s="4">
        <f>SUMIFS(Movimientos!$E$6:$E$16,Movimientos!$C$6:$C$16,Stocks!$A258,Movimientos!$F$6:$F$16,Stocks!E$3,Movimientos!$A$6:$A$16,"&lt;="&amp;Stocks!$A$2)-SUMIFS(Movimientos!$E$6:$E$16,Movimientos!$C$6:$C$16,Stocks!$A258,Movimientos!$G$6:$G$16,Stocks!E$3,Movimientos!$A$6:$A$16,"&lt;="&amp;Stocks!$A$2)</f>
        <v>0</v>
      </c>
      <c r="F258" s="4">
        <f>SUMIFS(Movimientos!$E$6:$E$16,Movimientos!$C$6:$C$16,Stocks!$A258,Movimientos!$F$6:$F$16,Stocks!F$3,Movimientos!$A$6:$A$16,"&lt;="&amp;Stocks!$A$2)-SUMIFS(Movimientos!$E$6:$E$16,Movimientos!$C$6:$C$16,Stocks!$A258,Movimientos!$G$6:$G$16,Stocks!F$3,Movimientos!$A$6:$A$16,"&lt;="&amp;Stocks!$A$2)</f>
        <v>0</v>
      </c>
      <c r="G258" s="4">
        <f>SUMIFS(Movimientos!$E$6:$E$16,Movimientos!$C$6:$C$16,Stocks!$A258,Movimientos!$F$6:$F$16,Stocks!G$3,Movimientos!$A$6:$A$16,"&lt;="&amp;Stocks!$A$2)-SUMIFS(Movimientos!$E$6:$E$16,Movimientos!$C$6:$C$16,Stocks!$A258,Movimientos!$G$6:$G$16,Stocks!G$3,Movimientos!$A$6:$A$16,"&lt;="&amp;Stocks!$A$2)</f>
        <v>0</v>
      </c>
      <c r="H258" s="4">
        <f>SUMIFS(Movimientos!$E$6:$E$16,Movimientos!$C$6:$C$16,Stocks!$A258,Movimientos!$F$6:$F$16,Stocks!H$3,Movimientos!$A$6:$A$16,"&lt;="&amp;Stocks!$A$2)-SUMIFS(Movimientos!$E$6:$E$16,Movimientos!$C$6:$C$16,Stocks!$A258,Movimientos!$G$6:$G$16,Stocks!H$3,Movimientos!$A$6:$A$16,"&lt;="&amp;Stocks!$A$2)</f>
        <v>0</v>
      </c>
      <c r="I258" s="4">
        <f>SUMIFS(Movimientos!$E$6:$E$16,Movimientos!$C$6:$C$16,Stocks!$A258,Movimientos!$F$6:$F$16,Stocks!I$3,Movimientos!$A$6:$A$16,"&lt;="&amp;Stocks!$A$2)-SUMIFS(Movimientos!$E$6:$E$16,Movimientos!$C$6:$C$16,Stocks!$A258,Movimientos!$G$6:$G$16,Stocks!I$3,Movimientos!$A$6:$A$16,"&lt;="&amp;Stocks!$A$2)</f>
        <v>0</v>
      </c>
      <c r="J258" s="4">
        <f>SUMIFS(Movimientos!$E$6:$E$16,Movimientos!$C$6:$C$16,Stocks!$A258,Movimientos!$F$6:$F$16,Stocks!J$3,Movimientos!$A$6:$A$16,"&lt;="&amp;Stocks!$A$2)-SUMIFS(Movimientos!$E$6:$E$16,Movimientos!$C$6:$C$16,Stocks!$A258,Movimientos!$G$6:$G$16,Stocks!J$3,Movimientos!$A$6:$A$16,"&lt;="&amp;Stocks!$A$2)</f>
        <v>0</v>
      </c>
      <c r="K258" s="4">
        <f>SUMIFS(Movimientos!$E$6:$E$16,Movimientos!$C$6:$C$16,Stocks!$A258,Movimientos!$F$6:$F$16,Stocks!K$3,Movimientos!$A$6:$A$16,"&lt;="&amp;Stocks!$A$2)-SUMIFS(Movimientos!$E$6:$E$16,Movimientos!$C$6:$C$16,Stocks!$A258,Movimientos!$G$6:$G$16,Stocks!K$3,Movimientos!$A$6:$A$16,"&lt;="&amp;Stocks!$A$2)</f>
        <v>0</v>
      </c>
      <c r="L258" s="4">
        <f>SUMIFS(Movimientos!$E$6:$E$16,Movimientos!$C$6:$C$16,Stocks!$A258,Movimientos!$F$6:$F$16,Stocks!L$3,Movimientos!$A$6:$A$16,"&lt;="&amp;Stocks!$A$2)-SUMIFS(Movimientos!$E$6:$E$16,Movimientos!$C$6:$C$16,Stocks!$A258,Movimientos!$G$6:$G$16,Stocks!L$3,Movimientos!$A$6:$A$16,"&lt;="&amp;Stocks!$A$2)</f>
        <v>0</v>
      </c>
    </row>
    <row r="259" spans="1:12" x14ac:dyDescent="0.25">
      <c r="A259" t="str">
        <f>Codificación!A258</f>
        <v/>
      </c>
      <c r="B259" s="1">
        <f>Codificación!B258</f>
        <v>0</v>
      </c>
      <c r="E259" s="4">
        <f>SUMIFS(Movimientos!$E$6:$E$16,Movimientos!$C$6:$C$16,Stocks!$A259,Movimientos!$F$6:$F$16,Stocks!E$3,Movimientos!$A$6:$A$16,"&lt;="&amp;Stocks!$A$2)-SUMIFS(Movimientos!$E$6:$E$16,Movimientos!$C$6:$C$16,Stocks!$A259,Movimientos!$G$6:$G$16,Stocks!E$3,Movimientos!$A$6:$A$16,"&lt;="&amp;Stocks!$A$2)</f>
        <v>0</v>
      </c>
      <c r="F259" s="4">
        <f>SUMIFS(Movimientos!$E$6:$E$16,Movimientos!$C$6:$C$16,Stocks!$A259,Movimientos!$F$6:$F$16,Stocks!F$3,Movimientos!$A$6:$A$16,"&lt;="&amp;Stocks!$A$2)-SUMIFS(Movimientos!$E$6:$E$16,Movimientos!$C$6:$C$16,Stocks!$A259,Movimientos!$G$6:$G$16,Stocks!F$3,Movimientos!$A$6:$A$16,"&lt;="&amp;Stocks!$A$2)</f>
        <v>0</v>
      </c>
      <c r="G259" s="4">
        <f>SUMIFS(Movimientos!$E$6:$E$16,Movimientos!$C$6:$C$16,Stocks!$A259,Movimientos!$F$6:$F$16,Stocks!G$3,Movimientos!$A$6:$A$16,"&lt;="&amp;Stocks!$A$2)-SUMIFS(Movimientos!$E$6:$E$16,Movimientos!$C$6:$C$16,Stocks!$A259,Movimientos!$G$6:$G$16,Stocks!G$3,Movimientos!$A$6:$A$16,"&lt;="&amp;Stocks!$A$2)</f>
        <v>0</v>
      </c>
      <c r="H259" s="4">
        <f>SUMIFS(Movimientos!$E$6:$E$16,Movimientos!$C$6:$C$16,Stocks!$A259,Movimientos!$F$6:$F$16,Stocks!H$3,Movimientos!$A$6:$A$16,"&lt;="&amp;Stocks!$A$2)-SUMIFS(Movimientos!$E$6:$E$16,Movimientos!$C$6:$C$16,Stocks!$A259,Movimientos!$G$6:$G$16,Stocks!H$3,Movimientos!$A$6:$A$16,"&lt;="&amp;Stocks!$A$2)</f>
        <v>0</v>
      </c>
      <c r="I259" s="4">
        <f>SUMIFS(Movimientos!$E$6:$E$16,Movimientos!$C$6:$C$16,Stocks!$A259,Movimientos!$F$6:$F$16,Stocks!I$3,Movimientos!$A$6:$A$16,"&lt;="&amp;Stocks!$A$2)-SUMIFS(Movimientos!$E$6:$E$16,Movimientos!$C$6:$C$16,Stocks!$A259,Movimientos!$G$6:$G$16,Stocks!I$3,Movimientos!$A$6:$A$16,"&lt;="&amp;Stocks!$A$2)</f>
        <v>0</v>
      </c>
      <c r="J259" s="4">
        <f>SUMIFS(Movimientos!$E$6:$E$16,Movimientos!$C$6:$C$16,Stocks!$A259,Movimientos!$F$6:$F$16,Stocks!J$3,Movimientos!$A$6:$A$16,"&lt;="&amp;Stocks!$A$2)-SUMIFS(Movimientos!$E$6:$E$16,Movimientos!$C$6:$C$16,Stocks!$A259,Movimientos!$G$6:$G$16,Stocks!J$3,Movimientos!$A$6:$A$16,"&lt;="&amp;Stocks!$A$2)</f>
        <v>0</v>
      </c>
      <c r="K259" s="4">
        <f>SUMIFS(Movimientos!$E$6:$E$16,Movimientos!$C$6:$C$16,Stocks!$A259,Movimientos!$F$6:$F$16,Stocks!K$3,Movimientos!$A$6:$A$16,"&lt;="&amp;Stocks!$A$2)-SUMIFS(Movimientos!$E$6:$E$16,Movimientos!$C$6:$C$16,Stocks!$A259,Movimientos!$G$6:$G$16,Stocks!K$3,Movimientos!$A$6:$A$16,"&lt;="&amp;Stocks!$A$2)</f>
        <v>0</v>
      </c>
      <c r="L259" s="4">
        <f>SUMIFS(Movimientos!$E$6:$E$16,Movimientos!$C$6:$C$16,Stocks!$A259,Movimientos!$F$6:$F$16,Stocks!L$3,Movimientos!$A$6:$A$16,"&lt;="&amp;Stocks!$A$2)-SUMIFS(Movimientos!$E$6:$E$16,Movimientos!$C$6:$C$16,Stocks!$A259,Movimientos!$G$6:$G$16,Stocks!L$3,Movimientos!$A$6:$A$16,"&lt;="&amp;Stocks!$A$2)</f>
        <v>0</v>
      </c>
    </row>
    <row r="260" spans="1:12" x14ac:dyDescent="0.25">
      <c r="A260" t="str">
        <f>Codificación!A259</f>
        <v/>
      </c>
      <c r="B260" s="1">
        <f>Codificación!B259</f>
        <v>0</v>
      </c>
      <c r="E260" s="4">
        <f>SUMIFS(Movimientos!$E$6:$E$16,Movimientos!$C$6:$C$16,Stocks!$A260,Movimientos!$F$6:$F$16,Stocks!E$3,Movimientos!$A$6:$A$16,"&lt;="&amp;Stocks!$A$2)-SUMIFS(Movimientos!$E$6:$E$16,Movimientos!$C$6:$C$16,Stocks!$A260,Movimientos!$G$6:$G$16,Stocks!E$3,Movimientos!$A$6:$A$16,"&lt;="&amp;Stocks!$A$2)</f>
        <v>0</v>
      </c>
      <c r="F260" s="4">
        <f>SUMIFS(Movimientos!$E$6:$E$16,Movimientos!$C$6:$C$16,Stocks!$A260,Movimientos!$F$6:$F$16,Stocks!F$3,Movimientos!$A$6:$A$16,"&lt;="&amp;Stocks!$A$2)-SUMIFS(Movimientos!$E$6:$E$16,Movimientos!$C$6:$C$16,Stocks!$A260,Movimientos!$G$6:$G$16,Stocks!F$3,Movimientos!$A$6:$A$16,"&lt;="&amp;Stocks!$A$2)</f>
        <v>0</v>
      </c>
      <c r="G260" s="4">
        <f>SUMIFS(Movimientos!$E$6:$E$16,Movimientos!$C$6:$C$16,Stocks!$A260,Movimientos!$F$6:$F$16,Stocks!G$3,Movimientos!$A$6:$A$16,"&lt;="&amp;Stocks!$A$2)-SUMIFS(Movimientos!$E$6:$E$16,Movimientos!$C$6:$C$16,Stocks!$A260,Movimientos!$G$6:$G$16,Stocks!G$3,Movimientos!$A$6:$A$16,"&lt;="&amp;Stocks!$A$2)</f>
        <v>0</v>
      </c>
      <c r="H260" s="4">
        <f>SUMIFS(Movimientos!$E$6:$E$16,Movimientos!$C$6:$C$16,Stocks!$A260,Movimientos!$F$6:$F$16,Stocks!H$3,Movimientos!$A$6:$A$16,"&lt;="&amp;Stocks!$A$2)-SUMIFS(Movimientos!$E$6:$E$16,Movimientos!$C$6:$C$16,Stocks!$A260,Movimientos!$G$6:$G$16,Stocks!H$3,Movimientos!$A$6:$A$16,"&lt;="&amp;Stocks!$A$2)</f>
        <v>0</v>
      </c>
      <c r="I260" s="4">
        <f>SUMIFS(Movimientos!$E$6:$E$16,Movimientos!$C$6:$C$16,Stocks!$A260,Movimientos!$F$6:$F$16,Stocks!I$3,Movimientos!$A$6:$A$16,"&lt;="&amp;Stocks!$A$2)-SUMIFS(Movimientos!$E$6:$E$16,Movimientos!$C$6:$C$16,Stocks!$A260,Movimientos!$G$6:$G$16,Stocks!I$3,Movimientos!$A$6:$A$16,"&lt;="&amp;Stocks!$A$2)</f>
        <v>0</v>
      </c>
      <c r="J260" s="4">
        <f>SUMIFS(Movimientos!$E$6:$E$16,Movimientos!$C$6:$C$16,Stocks!$A260,Movimientos!$F$6:$F$16,Stocks!J$3,Movimientos!$A$6:$A$16,"&lt;="&amp;Stocks!$A$2)-SUMIFS(Movimientos!$E$6:$E$16,Movimientos!$C$6:$C$16,Stocks!$A260,Movimientos!$G$6:$G$16,Stocks!J$3,Movimientos!$A$6:$A$16,"&lt;="&amp;Stocks!$A$2)</f>
        <v>0</v>
      </c>
      <c r="K260" s="4">
        <f>SUMIFS(Movimientos!$E$6:$E$16,Movimientos!$C$6:$C$16,Stocks!$A260,Movimientos!$F$6:$F$16,Stocks!K$3,Movimientos!$A$6:$A$16,"&lt;="&amp;Stocks!$A$2)-SUMIFS(Movimientos!$E$6:$E$16,Movimientos!$C$6:$C$16,Stocks!$A260,Movimientos!$G$6:$G$16,Stocks!K$3,Movimientos!$A$6:$A$16,"&lt;="&amp;Stocks!$A$2)</f>
        <v>0</v>
      </c>
      <c r="L260" s="4">
        <f>SUMIFS(Movimientos!$E$6:$E$16,Movimientos!$C$6:$C$16,Stocks!$A260,Movimientos!$F$6:$F$16,Stocks!L$3,Movimientos!$A$6:$A$16,"&lt;="&amp;Stocks!$A$2)-SUMIFS(Movimientos!$E$6:$E$16,Movimientos!$C$6:$C$16,Stocks!$A260,Movimientos!$G$6:$G$16,Stocks!L$3,Movimientos!$A$6:$A$16,"&lt;="&amp;Stocks!$A$2)</f>
        <v>0</v>
      </c>
    </row>
    <row r="261" spans="1:12" x14ac:dyDescent="0.25">
      <c r="A261" t="str">
        <f>Codificación!A260</f>
        <v/>
      </c>
      <c r="B261" s="1">
        <f>Codificación!B260</f>
        <v>0</v>
      </c>
      <c r="E261" s="4">
        <f>SUMIFS(Movimientos!$E$6:$E$16,Movimientos!$C$6:$C$16,Stocks!$A261,Movimientos!$F$6:$F$16,Stocks!E$3,Movimientos!$A$6:$A$16,"&lt;="&amp;Stocks!$A$2)-SUMIFS(Movimientos!$E$6:$E$16,Movimientos!$C$6:$C$16,Stocks!$A261,Movimientos!$G$6:$G$16,Stocks!E$3,Movimientos!$A$6:$A$16,"&lt;="&amp;Stocks!$A$2)</f>
        <v>0</v>
      </c>
      <c r="F261" s="4">
        <f>SUMIFS(Movimientos!$E$6:$E$16,Movimientos!$C$6:$C$16,Stocks!$A261,Movimientos!$F$6:$F$16,Stocks!F$3,Movimientos!$A$6:$A$16,"&lt;="&amp;Stocks!$A$2)-SUMIFS(Movimientos!$E$6:$E$16,Movimientos!$C$6:$C$16,Stocks!$A261,Movimientos!$G$6:$G$16,Stocks!F$3,Movimientos!$A$6:$A$16,"&lt;="&amp;Stocks!$A$2)</f>
        <v>0</v>
      </c>
      <c r="G261" s="4">
        <f>SUMIFS(Movimientos!$E$6:$E$16,Movimientos!$C$6:$C$16,Stocks!$A261,Movimientos!$F$6:$F$16,Stocks!G$3,Movimientos!$A$6:$A$16,"&lt;="&amp;Stocks!$A$2)-SUMIFS(Movimientos!$E$6:$E$16,Movimientos!$C$6:$C$16,Stocks!$A261,Movimientos!$G$6:$G$16,Stocks!G$3,Movimientos!$A$6:$A$16,"&lt;="&amp;Stocks!$A$2)</f>
        <v>0</v>
      </c>
      <c r="H261" s="4">
        <f>SUMIFS(Movimientos!$E$6:$E$16,Movimientos!$C$6:$C$16,Stocks!$A261,Movimientos!$F$6:$F$16,Stocks!H$3,Movimientos!$A$6:$A$16,"&lt;="&amp;Stocks!$A$2)-SUMIFS(Movimientos!$E$6:$E$16,Movimientos!$C$6:$C$16,Stocks!$A261,Movimientos!$G$6:$G$16,Stocks!H$3,Movimientos!$A$6:$A$16,"&lt;="&amp;Stocks!$A$2)</f>
        <v>0</v>
      </c>
      <c r="I261" s="4">
        <f>SUMIFS(Movimientos!$E$6:$E$16,Movimientos!$C$6:$C$16,Stocks!$A261,Movimientos!$F$6:$F$16,Stocks!I$3,Movimientos!$A$6:$A$16,"&lt;="&amp;Stocks!$A$2)-SUMIFS(Movimientos!$E$6:$E$16,Movimientos!$C$6:$C$16,Stocks!$A261,Movimientos!$G$6:$G$16,Stocks!I$3,Movimientos!$A$6:$A$16,"&lt;="&amp;Stocks!$A$2)</f>
        <v>0</v>
      </c>
      <c r="J261" s="4">
        <f>SUMIFS(Movimientos!$E$6:$E$16,Movimientos!$C$6:$C$16,Stocks!$A261,Movimientos!$F$6:$F$16,Stocks!J$3,Movimientos!$A$6:$A$16,"&lt;="&amp;Stocks!$A$2)-SUMIFS(Movimientos!$E$6:$E$16,Movimientos!$C$6:$C$16,Stocks!$A261,Movimientos!$G$6:$G$16,Stocks!J$3,Movimientos!$A$6:$A$16,"&lt;="&amp;Stocks!$A$2)</f>
        <v>0</v>
      </c>
      <c r="K261" s="4">
        <f>SUMIFS(Movimientos!$E$6:$E$16,Movimientos!$C$6:$C$16,Stocks!$A261,Movimientos!$F$6:$F$16,Stocks!K$3,Movimientos!$A$6:$A$16,"&lt;="&amp;Stocks!$A$2)-SUMIFS(Movimientos!$E$6:$E$16,Movimientos!$C$6:$C$16,Stocks!$A261,Movimientos!$G$6:$G$16,Stocks!K$3,Movimientos!$A$6:$A$16,"&lt;="&amp;Stocks!$A$2)</f>
        <v>0</v>
      </c>
      <c r="L261" s="4">
        <f>SUMIFS(Movimientos!$E$6:$E$16,Movimientos!$C$6:$C$16,Stocks!$A261,Movimientos!$F$6:$F$16,Stocks!L$3,Movimientos!$A$6:$A$16,"&lt;="&amp;Stocks!$A$2)-SUMIFS(Movimientos!$E$6:$E$16,Movimientos!$C$6:$C$16,Stocks!$A261,Movimientos!$G$6:$G$16,Stocks!L$3,Movimientos!$A$6:$A$16,"&lt;="&amp;Stocks!$A$2)</f>
        <v>0</v>
      </c>
    </row>
    <row r="262" spans="1:12" x14ac:dyDescent="0.25">
      <c r="A262" t="str">
        <f>Codificación!A261</f>
        <v/>
      </c>
      <c r="B262" s="1">
        <f>Codificación!B261</f>
        <v>0</v>
      </c>
      <c r="E262" s="4">
        <f>SUMIFS(Movimientos!$E$6:$E$16,Movimientos!$C$6:$C$16,Stocks!$A262,Movimientos!$F$6:$F$16,Stocks!E$3,Movimientos!$A$6:$A$16,"&lt;="&amp;Stocks!$A$2)-SUMIFS(Movimientos!$E$6:$E$16,Movimientos!$C$6:$C$16,Stocks!$A262,Movimientos!$G$6:$G$16,Stocks!E$3,Movimientos!$A$6:$A$16,"&lt;="&amp;Stocks!$A$2)</f>
        <v>0</v>
      </c>
      <c r="F262" s="4">
        <f>SUMIFS(Movimientos!$E$6:$E$16,Movimientos!$C$6:$C$16,Stocks!$A262,Movimientos!$F$6:$F$16,Stocks!F$3,Movimientos!$A$6:$A$16,"&lt;="&amp;Stocks!$A$2)-SUMIFS(Movimientos!$E$6:$E$16,Movimientos!$C$6:$C$16,Stocks!$A262,Movimientos!$G$6:$G$16,Stocks!F$3,Movimientos!$A$6:$A$16,"&lt;="&amp;Stocks!$A$2)</f>
        <v>0</v>
      </c>
      <c r="G262" s="4">
        <f>SUMIFS(Movimientos!$E$6:$E$16,Movimientos!$C$6:$C$16,Stocks!$A262,Movimientos!$F$6:$F$16,Stocks!G$3,Movimientos!$A$6:$A$16,"&lt;="&amp;Stocks!$A$2)-SUMIFS(Movimientos!$E$6:$E$16,Movimientos!$C$6:$C$16,Stocks!$A262,Movimientos!$G$6:$G$16,Stocks!G$3,Movimientos!$A$6:$A$16,"&lt;="&amp;Stocks!$A$2)</f>
        <v>0</v>
      </c>
      <c r="H262" s="4">
        <f>SUMIFS(Movimientos!$E$6:$E$16,Movimientos!$C$6:$C$16,Stocks!$A262,Movimientos!$F$6:$F$16,Stocks!H$3,Movimientos!$A$6:$A$16,"&lt;="&amp;Stocks!$A$2)-SUMIFS(Movimientos!$E$6:$E$16,Movimientos!$C$6:$C$16,Stocks!$A262,Movimientos!$G$6:$G$16,Stocks!H$3,Movimientos!$A$6:$A$16,"&lt;="&amp;Stocks!$A$2)</f>
        <v>0</v>
      </c>
      <c r="I262" s="4">
        <f>SUMIFS(Movimientos!$E$6:$E$16,Movimientos!$C$6:$C$16,Stocks!$A262,Movimientos!$F$6:$F$16,Stocks!I$3,Movimientos!$A$6:$A$16,"&lt;="&amp;Stocks!$A$2)-SUMIFS(Movimientos!$E$6:$E$16,Movimientos!$C$6:$C$16,Stocks!$A262,Movimientos!$G$6:$G$16,Stocks!I$3,Movimientos!$A$6:$A$16,"&lt;="&amp;Stocks!$A$2)</f>
        <v>0</v>
      </c>
      <c r="J262" s="4">
        <f>SUMIFS(Movimientos!$E$6:$E$16,Movimientos!$C$6:$C$16,Stocks!$A262,Movimientos!$F$6:$F$16,Stocks!J$3,Movimientos!$A$6:$A$16,"&lt;="&amp;Stocks!$A$2)-SUMIFS(Movimientos!$E$6:$E$16,Movimientos!$C$6:$C$16,Stocks!$A262,Movimientos!$G$6:$G$16,Stocks!J$3,Movimientos!$A$6:$A$16,"&lt;="&amp;Stocks!$A$2)</f>
        <v>0</v>
      </c>
      <c r="K262" s="4">
        <f>SUMIFS(Movimientos!$E$6:$E$16,Movimientos!$C$6:$C$16,Stocks!$A262,Movimientos!$F$6:$F$16,Stocks!K$3,Movimientos!$A$6:$A$16,"&lt;="&amp;Stocks!$A$2)-SUMIFS(Movimientos!$E$6:$E$16,Movimientos!$C$6:$C$16,Stocks!$A262,Movimientos!$G$6:$G$16,Stocks!K$3,Movimientos!$A$6:$A$16,"&lt;="&amp;Stocks!$A$2)</f>
        <v>0</v>
      </c>
      <c r="L262" s="4">
        <f>SUMIFS(Movimientos!$E$6:$E$16,Movimientos!$C$6:$C$16,Stocks!$A262,Movimientos!$F$6:$F$16,Stocks!L$3,Movimientos!$A$6:$A$16,"&lt;="&amp;Stocks!$A$2)-SUMIFS(Movimientos!$E$6:$E$16,Movimientos!$C$6:$C$16,Stocks!$A262,Movimientos!$G$6:$G$16,Stocks!L$3,Movimientos!$A$6:$A$16,"&lt;="&amp;Stocks!$A$2)</f>
        <v>0</v>
      </c>
    </row>
    <row r="263" spans="1:12" x14ac:dyDescent="0.25">
      <c r="A263" t="str">
        <f>Codificación!A262</f>
        <v/>
      </c>
      <c r="B263" s="1">
        <f>Codificación!B262</f>
        <v>0</v>
      </c>
      <c r="E263" s="4">
        <f>SUMIFS(Movimientos!$E$6:$E$16,Movimientos!$C$6:$C$16,Stocks!$A263,Movimientos!$F$6:$F$16,Stocks!E$3,Movimientos!$A$6:$A$16,"&lt;="&amp;Stocks!$A$2)-SUMIFS(Movimientos!$E$6:$E$16,Movimientos!$C$6:$C$16,Stocks!$A263,Movimientos!$G$6:$G$16,Stocks!E$3,Movimientos!$A$6:$A$16,"&lt;="&amp;Stocks!$A$2)</f>
        <v>0</v>
      </c>
      <c r="F263" s="4">
        <f>SUMIFS(Movimientos!$E$6:$E$16,Movimientos!$C$6:$C$16,Stocks!$A263,Movimientos!$F$6:$F$16,Stocks!F$3,Movimientos!$A$6:$A$16,"&lt;="&amp;Stocks!$A$2)-SUMIFS(Movimientos!$E$6:$E$16,Movimientos!$C$6:$C$16,Stocks!$A263,Movimientos!$G$6:$G$16,Stocks!F$3,Movimientos!$A$6:$A$16,"&lt;="&amp;Stocks!$A$2)</f>
        <v>0</v>
      </c>
      <c r="G263" s="4">
        <f>SUMIFS(Movimientos!$E$6:$E$16,Movimientos!$C$6:$C$16,Stocks!$A263,Movimientos!$F$6:$F$16,Stocks!G$3,Movimientos!$A$6:$A$16,"&lt;="&amp;Stocks!$A$2)-SUMIFS(Movimientos!$E$6:$E$16,Movimientos!$C$6:$C$16,Stocks!$A263,Movimientos!$G$6:$G$16,Stocks!G$3,Movimientos!$A$6:$A$16,"&lt;="&amp;Stocks!$A$2)</f>
        <v>0</v>
      </c>
      <c r="H263" s="4">
        <f>SUMIFS(Movimientos!$E$6:$E$16,Movimientos!$C$6:$C$16,Stocks!$A263,Movimientos!$F$6:$F$16,Stocks!H$3,Movimientos!$A$6:$A$16,"&lt;="&amp;Stocks!$A$2)-SUMIFS(Movimientos!$E$6:$E$16,Movimientos!$C$6:$C$16,Stocks!$A263,Movimientos!$G$6:$G$16,Stocks!H$3,Movimientos!$A$6:$A$16,"&lt;="&amp;Stocks!$A$2)</f>
        <v>0</v>
      </c>
      <c r="I263" s="4">
        <f>SUMIFS(Movimientos!$E$6:$E$16,Movimientos!$C$6:$C$16,Stocks!$A263,Movimientos!$F$6:$F$16,Stocks!I$3,Movimientos!$A$6:$A$16,"&lt;="&amp;Stocks!$A$2)-SUMIFS(Movimientos!$E$6:$E$16,Movimientos!$C$6:$C$16,Stocks!$A263,Movimientos!$G$6:$G$16,Stocks!I$3,Movimientos!$A$6:$A$16,"&lt;="&amp;Stocks!$A$2)</f>
        <v>0</v>
      </c>
      <c r="J263" s="4">
        <f>SUMIFS(Movimientos!$E$6:$E$16,Movimientos!$C$6:$C$16,Stocks!$A263,Movimientos!$F$6:$F$16,Stocks!J$3,Movimientos!$A$6:$A$16,"&lt;="&amp;Stocks!$A$2)-SUMIFS(Movimientos!$E$6:$E$16,Movimientos!$C$6:$C$16,Stocks!$A263,Movimientos!$G$6:$G$16,Stocks!J$3,Movimientos!$A$6:$A$16,"&lt;="&amp;Stocks!$A$2)</f>
        <v>0</v>
      </c>
      <c r="K263" s="4">
        <f>SUMIFS(Movimientos!$E$6:$E$16,Movimientos!$C$6:$C$16,Stocks!$A263,Movimientos!$F$6:$F$16,Stocks!K$3,Movimientos!$A$6:$A$16,"&lt;="&amp;Stocks!$A$2)-SUMIFS(Movimientos!$E$6:$E$16,Movimientos!$C$6:$C$16,Stocks!$A263,Movimientos!$G$6:$G$16,Stocks!K$3,Movimientos!$A$6:$A$16,"&lt;="&amp;Stocks!$A$2)</f>
        <v>0</v>
      </c>
      <c r="L263" s="4">
        <f>SUMIFS(Movimientos!$E$6:$E$16,Movimientos!$C$6:$C$16,Stocks!$A263,Movimientos!$F$6:$F$16,Stocks!L$3,Movimientos!$A$6:$A$16,"&lt;="&amp;Stocks!$A$2)-SUMIFS(Movimientos!$E$6:$E$16,Movimientos!$C$6:$C$16,Stocks!$A263,Movimientos!$G$6:$G$16,Stocks!L$3,Movimientos!$A$6:$A$16,"&lt;="&amp;Stocks!$A$2)</f>
        <v>0</v>
      </c>
    </row>
    <row r="264" spans="1:12" x14ac:dyDescent="0.25">
      <c r="A264" t="str">
        <f>Codificación!A263</f>
        <v/>
      </c>
      <c r="B264" s="1">
        <f>Codificación!B263</f>
        <v>0</v>
      </c>
      <c r="E264" s="4">
        <f>SUMIFS(Movimientos!$E$6:$E$16,Movimientos!$C$6:$C$16,Stocks!$A264,Movimientos!$F$6:$F$16,Stocks!E$3,Movimientos!$A$6:$A$16,"&lt;="&amp;Stocks!$A$2)-SUMIFS(Movimientos!$E$6:$E$16,Movimientos!$C$6:$C$16,Stocks!$A264,Movimientos!$G$6:$G$16,Stocks!E$3,Movimientos!$A$6:$A$16,"&lt;="&amp;Stocks!$A$2)</f>
        <v>0</v>
      </c>
      <c r="F264" s="4">
        <f>SUMIFS(Movimientos!$E$6:$E$16,Movimientos!$C$6:$C$16,Stocks!$A264,Movimientos!$F$6:$F$16,Stocks!F$3,Movimientos!$A$6:$A$16,"&lt;="&amp;Stocks!$A$2)-SUMIFS(Movimientos!$E$6:$E$16,Movimientos!$C$6:$C$16,Stocks!$A264,Movimientos!$G$6:$G$16,Stocks!F$3,Movimientos!$A$6:$A$16,"&lt;="&amp;Stocks!$A$2)</f>
        <v>0</v>
      </c>
      <c r="G264" s="4">
        <f>SUMIFS(Movimientos!$E$6:$E$16,Movimientos!$C$6:$C$16,Stocks!$A264,Movimientos!$F$6:$F$16,Stocks!G$3,Movimientos!$A$6:$A$16,"&lt;="&amp;Stocks!$A$2)-SUMIFS(Movimientos!$E$6:$E$16,Movimientos!$C$6:$C$16,Stocks!$A264,Movimientos!$G$6:$G$16,Stocks!G$3,Movimientos!$A$6:$A$16,"&lt;="&amp;Stocks!$A$2)</f>
        <v>0</v>
      </c>
      <c r="H264" s="4">
        <f>SUMIFS(Movimientos!$E$6:$E$16,Movimientos!$C$6:$C$16,Stocks!$A264,Movimientos!$F$6:$F$16,Stocks!H$3,Movimientos!$A$6:$A$16,"&lt;="&amp;Stocks!$A$2)-SUMIFS(Movimientos!$E$6:$E$16,Movimientos!$C$6:$C$16,Stocks!$A264,Movimientos!$G$6:$G$16,Stocks!H$3,Movimientos!$A$6:$A$16,"&lt;="&amp;Stocks!$A$2)</f>
        <v>0</v>
      </c>
      <c r="I264" s="4">
        <f>SUMIFS(Movimientos!$E$6:$E$16,Movimientos!$C$6:$C$16,Stocks!$A264,Movimientos!$F$6:$F$16,Stocks!I$3,Movimientos!$A$6:$A$16,"&lt;="&amp;Stocks!$A$2)-SUMIFS(Movimientos!$E$6:$E$16,Movimientos!$C$6:$C$16,Stocks!$A264,Movimientos!$G$6:$G$16,Stocks!I$3,Movimientos!$A$6:$A$16,"&lt;="&amp;Stocks!$A$2)</f>
        <v>0</v>
      </c>
      <c r="J264" s="4">
        <f>SUMIFS(Movimientos!$E$6:$E$16,Movimientos!$C$6:$C$16,Stocks!$A264,Movimientos!$F$6:$F$16,Stocks!J$3,Movimientos!$A$6:$A$16,"&lt;="&amp;Stocks!$A$2)-SUMIFS(Movimientos!$E$6:$E$16,Movimientos!$C$6:$C$16,Stocks!$A264,Movimientos!$G$6:$G$16,Stocks!J$3,Movimientos!$A$6:$A$16,"&lt;="&amp;Stocks!$A$2)</f>
        <v>0</v>
      </c>
      <c r="K264" s="4">
        <f>SUMIFS(Movimientos!$E$6:$E$16,Movimientos!$C$6:$C$16,Stocks!$A264,Movimientos!$F$6:$F$16,Stocks!K$3,Movimientos!$A$6:$A$16,"&lt;="&amp;Stocks!$A$2)-SUMIFS(Movimientos!$E$6:$E$16,Movimientos!$C$6:$C$16,Stocks!$A264,Movimientos!$G$6:$G$16,Stocks!K$3,Movimientos!$A$6:$A$16,"&lt;="&amp;Stocks!$A$2)</f>
        <v>0</v>
      </c>
      <c r="L264" s="4">
        <f>SUMIFS(Movimientos!$E$6:$E$16,Movimientos!$C$6:$C$16,Stocks!$A264,Movimientos!$F$6:$F$16,Stocks!L$3,Movimientos!$A$6:$A$16,"&lt;="&amp;Stocks!$A$2)-SUMIFS(Movimientos!$E$6:$E$16,Movimientos!$C$6:$C$16,Stocks!$A264,Movimientos!$G$6:$G$16,Stocks!L$3,Movimientos!$A$6:$A$16,"&lt;="&amp;Stocks!$A$2)</f>
        <v>0</v>
      </c>
    </row>
    <row r="265" spans="1:12" x14ac:dyDescent="0.25">
      <c r="A265" t="str">
        <f>Codificación!A264</f>
        <v/>
      </c>
      <c r="B265" s="1">
        <f>Codificación!B264</f>
        <v>0</v>
      </c>
      <c r="E265" s="4">
        <f>SUMIFS(Movimientos!$E$6:$E$16,Movimientos!$C$6:$C$16,Stocks!$A265,Movimientos!$F$6:$F$16,Stocks!E$3,Movimientos!$A$6:$A$16,"&lt;="&amp;Stocks!$A$2)-SUMIFS(Movimientos!$E$6:$E$16,Movimientos!$C$6:$C$16,Stocks!$A265,Movimientos!$G$6:$G$16,Stocks!E$3,Movimientos!$A$6:$A$16,"&lt;="&amp;Stocks!$A$2)</f>
        <v>0</v>
      </c>
      <c r="F265" s="4">
        <f>SUMIFS(Movimientos!$E$6:$E$16,Movimientos!$C$6:$C$16,Stocks!$A265,Movimientos!$F$6:$F$16,Stocks!F$3,Movimientos!$A$6:$A$16,"&lt;="&amp;Stocks!$A$2)-SUMIFS(Movimientos!$E$6:$E$16,Movimientos!$C$6:$C$16,Stocks!$A265,Movimientos!$G$6:$G$16,Stocks!F$3,Movimientos!$A$6:$A$16,"&lt;="&amp;Stocks!$A$2)</f>
        <v>0</v>
      </c>
      <c r="G265" s="4">
        <f>SUMIFS(Movimientos!$E$6:$E$16,Movimientos!$C$6:$C$16,Stocks!$A265,Movimientos!$F$6:$F$16,Stocks!G$3,Movimientos!$A$6:$A$16,"&lt;="&amp;Stocks!$A$2)-SUMIFS(Movimientos!$E$6:$E$16,Movimientos!$C$6:$C$16,Stocks!$A265,Movimientos!$G$6:$G$16,Stocks!G$3,Movimientos!$A$6:$A$16,"&lt;="&amp;Stocks!$A$2)</f>
        <v>0</v>
      </c>
      <c r="H265" s="4">
        <f>SUMIFS(Movimientos!$E$6:$E$16,Movimientos!$C$6:$C$16,Stocks!$A265,Movimientos!$F$6:$F$16,Stocks!H$3,Movimientos!$A$6:$A$16,"&lt;="&amp;Stocks!$A$2)-SUMIFS(Movimientos!$E$6:$E$16,Movimientos!$C$6:$C$16,Stocks!$A265,Movimientos!$G$6:$G$16,Stocks!H$3,Movimientos!$A$6:$A$16,"&lt;="&amp;Stocks!$A$2)</f>
        <v>0</v>
      </c>
      <c r="I265" s="4">
        <f>SUMIFS(Movimientos!$E$6:$E$16,Movimientos!$C$6:$C$16,Stocks!$A265,Movimientos!$F$6:$F$16,Stocks!I$3,Movimientos!$A$6:$A$16,"&lt;="&amp;Stocks!$A$2)-SUMIFS(Movimientos!$E$6:$E$16,Movimientos!$C$6:$C$16,Stocks!$A265,Movimientos!$G$6:$G$16,Stocks!I$3,Movimientos!$A$6:$A$16,"&lt;="&amp;Stocks!$A$2)</f>
        <v>0</v>
      </c>
      <c r="J265" s="4">
        <f>SUMIFS(Movimientos!$E$6:$E$16,Movimientos!$C$6:$C$16,Stocks!$A265,Movimientos!$F$6:$F$16,Stocks!J$3,Movimientos!$A$6:$A$16,"&lt;="&amp;Stocks!$A$2)-SUMIFS(Movimientos!$E$6:$E$16,Movimientos!$C$6:$C$16,Stocks!$A265,Movimientos!$G$6:$G$16,Stocks!J$3,Movimientos!$A$6:$A$16,"&lt;="&amp;Stocks!$A$2)</f>
        <v>0</v>
      </c>
      <c r="K265" s="4">
        <f>SUMIFS(Movimientos!$E$6:$E$16,Movimientos!$C$6:$C$16,Stocks!$A265,Movimientos!$F$6:$F$16,Stocks!K$3,Movimientos!$A$6:$A$16,"&lt;="&amp;Stocks!$A$2)-SUMIFS(Movimientos!$E$6:$E$16,Movimientos!$C$6:$C$16,Stocks!$A265,Movimientos!$G$6:$G$16,Stocks!K$3,Movimientos!$A$6:$A$16,"&lt;="&amp;Stocks!$A$2)</f>
        <v>0</v>
      </c>
      <c r="L265" s="4">
        <f>SUMIFS(Movimientos!$E$6:$E$16,Movimientos!$C$6:$C$16,Stocks!$A265,Movimientos!$F$6:$F$16,Stocks!L$3,Movimientos!$A$6:$A$16,"&lt;="&amp;Stocks!$A$2)-SUMIFS(Movimientos!$E$6:$E$16,Movimientos!$C$6:$C$16,Stocks!$A265,Movimientos!$G$6:$G$16,Stocks!L$3,Movimientos!$A$6:$A$16,"&lt;="&amp;Stocks!$A$2)</f>
        <v>0</v>
      </c>
    </row>
    <row r="266" spans="1:12" x14ac:dyDescent="0.25">
      <c r="A266" t="str">
        <f>Codificación!A265</f>
        <v/>
      </c>
      <c r="B266" s="1">
        <f>Codificación!B265</f>
        <v>0</v>
      </c>
      <c r="E266" s="4">
        <f>SUMIFS(Movimientos!$E$6:$E$16,Movimientos!$C$6:$C$16,Stocks!$A266,Movimientos!$F$6:$F$16,Stocks!E$3,Movimientos!$A$6:$A$16,"&lt;="&amp;Stocks!$A$2)-SUMIFS(Movimientos!$E$6:$E$16,Movimientos!$C$6:$C$16,Stocks!$A266,Movimientos!$G$6:$G$16,Stocks!E$3,Movimientos!$A$6:$A$16,"&lt;="&amp;Stocks!$A$2)</f>
        <v>0</v>
      </c>
      <c r="F266" s="4">
        <f>SUMIFS(Movimientos!$E$6:$E$16,Movimientos!$C$6:$C$16,Stocks!$A266,Movimientos!$F$6:$F$16,Stocks!F$3,Movimientos!$A$6:$A$16,"&lt;="&amp;Stocks!$A$2)-SUMIFS(Movimientos!$E$6:$E$16,Movimientos!$C$6:$C$16,Stocks!$A266,Movimientos!$G$6:$G$16,Stocks!F$3,Movimientos!$A$6:$A$16,"&lt;="&amp;Stocks!$A$2)</f>
        <v>0</v>
      </c>
      <c r="G266" s="4">
        <f>SUMIFS(Movimientos!$E$6:$E$16,Movimientos!$C$6:$C$16,Stocks!$A266,Movimientos!$F$6:$F$16,Stocks!G$3,Movimientos!$A$6:$A$16,"&lt;="&amp;Stocks!$A$2)-SUMIFS(Movimientos!$E$6:$E$16,Movimientos!$C$6:$C$16,Stocks!$A266,Movimientos!$G$6:$G$16,Stocks!G$3,Movimientos!$A$6:$A$16,"&lt;="&amp;Stocks!$A$2)</f>
        <v>0</v>
      </c>
      <c r="H266" s="4">
        <f>SUMIFS(Movimientos!$E$6:$E$16,Movimientos!$C$6:$C$16,Stocks!$A266,Movimientos!$F$6:$F$16,Stocks!H$3,Movimientos!$A$6:$A$16,"&lt;="&amp;Stocks!$A$2)-SUMIFS(Movimientos!$E$6:$E$16,Movimientos!$C$6:$C$16,Stocks!$A266,Movimientos!$G$6:$G$16,Stocks!H$3,Movimientos!$A$6:$A$16,"&lt;="&amp;Stocks!$A$2)</f>
        <v>0</v>
      </c>
      <c r="I266" s="4">
        <f>SUMIFS(Movimientos!$E$6:$E$16,Movimientos!$C$6:$C$16,Stocks!$A266,Movimientos!$F$6:$F$16,Stocks!I$3,Movimientos!$A$6:$A$16,"&lt;="&amp;Stocks!$A$2)-SUMIFS(Movimientos!$E$6:$E$16,Movimientos!$C$6:$C$16,Stocks!$A266,Movimientos!$G$6:$G$16,Stocks!I$3,Movimientos!$A$6:$A$16,"&lt;="&amp;Stocks!$A$2)</f>
        <v>0</v>
      </c>
      <c r="J266" s="4">
        <f>SUMIFS(Movimientos!$E$6:$E$16,Movimientos!$C$6:$C$16,Stocks!$A266,Movimientos!$F$6:$F$16,Stocks!J$3,Movimientos!$A$6:$A$16,"&lt;="&amp;Stocks!$A$2)-SUMIFS(Movimientos!$E$6:$E$16,Movimientos!$C$6:$C$16,Stocks!$A266,Movimientos!$G$6:$G$16,Stocks!J$3,Movimientos!$A$6:$A$16,"&lt;="&amp;Stocks!$A$2)</f>
        <v>0</v>
      </c>
      <c r="K266" s="4">
        <f>SUMIFS(Movimientos!$E$6:$E$16,Movimientos!$C$6:$C$16,Stocks!$A266,Movimientos!$F$6:$F$16,Stocks!K$3,Movimientos!$A$6:$A$16,"&lt;="&amp;Stocks!$A$2)-SUMIFS(Movimientos!$E$6:$E$16,Movimientos!$C$6:$C$16,Stocks!$A266,Movimientos!$G$6:$G$16,Stocks!K$3,Movimientos!$A$6:$A$16,"&lt;="&amp;Stocks!$A$2)</f>
        <v>0</v>
      </c>
      <c r="L266" s="4">
        <f>SUMIFS(Movimientos!$E$6:$E$16,Movimientos!$C$6:$C$16,Stocks!$A266,Movimientos!$F$6:$F$16,Stocks!L$3,Movimientos!$A$6:$A$16,"&lt;="&amp;Stocks!$A$2)-SUMIFS(Movimientos!$E$6:$E$16,Movimientos!$C$6:$C$16,Stocks!$A266,Movimientos!$G$6:$G$16,Stocks!L$3,Movimientos!$A$6:$A$16,"&lt;="&amp;Stocks!$A$2)</f>
        <v>0</v>
      </c>
    </row>
    <row r="267" spans="1:12" x14ac:dyDescent="0.25">
      <c r="A267" t="str">
        <f>Codificación!A266</f>
        <v/>
      </c>
      <c r="B267" s="1">
        <f>Codificación!B266</f>
        <v>0</v>
      </c>
      <c r="E267" s="4">
        <f>SUMIFS(Movimientos!$E$6:$E$16,Movimientos!$C$6:$C$16,Stocks!$A267,Movimientos!$F$6:$F$16,Stocks!E$3,Movimientos!$A$6:$A$16,"&lt;="&amp;Stocks!$A$2)-SUMIFS(Movimientos!$E$6:$E$16,Movimientos!$C$6:$C$16,Stocks!$A267,Movimientos!$G$6:$G$16,Stocks!E$3,Movimientos!$A$6:$A$16,"&lt;="&amp;Stocks!$A$2)</f>
        <v>0</v>
      </c>
      <c r="F267" s="4">
        <f>SUMIFS(Movimientos!$E$6:$E$16,Movimientos!$C$6:$C$16,Stocks!$A267,Movimientos!$F$6:$F$16,Stocks!F$3,Movimientos!$A$6:$A$16,"&lt;="&amp;Stocks!$A$2)-SUMIFS(Movimientos!$E$6:$E$16,Movimientos!$C$6:$C$16,Stocks!$A267,Movimientos!$G$6:$G$16,Stocks!F$3,Movimientos!$A$6:$A$16,"&lt;="&amp;Stocks!$A$2)</f>
        <v>0</v>
      </c>
      <c r="G267" s="4">
        <f>SUMIFS(Movimientos!$E$6:$E$16,Movimientos!$C$6:$C$16,Stocks!$A267,Movimientos!$F$6:$F$16,Stocks!G$3,Movimientos!$A$6:$A$16,"&lt;="&amp;Stocks!$A$2)-SUMIFS(Movimientos!$E$6:$E$16,Movimientos!$C$6:$C$16,Stocks!$A267,Movimientos!$G$6:$G$16,Stocks!G$3,Movimientos!$A$6:$A$16,"&lt;="&amp;Stocks!$A$2)</f>
        <v>0</v>
      </c>
      <c r="H267" s="4">
        <f>SUMIFS(Movimientos!$E$6:$E$16,Movimientos!$C$6:$C$16,Stocks!$A267,Movimientos!$F$6:$F$16,Stocks!H$3,Movimientos!$A$6:$A$16,"&lt;="&amp;Stocks!$A$2)-SUMIFS(Movimientos!$E$6:$E$16,Movimientos!$C$6:$C$16,Stocks!$A267,Movimientos!$G$6:$G$16,Stocks!H$3,Movimientos!$A$6:$A$16,"&lt;="&amp;Stocks!$A$2)</f>
        <v>0</v>
      </c>
      <c r="I267" s="4">
        <f>SUMIFS(Movimientos!$E$6:$E$16,Movimientos!$C$6:$C$16,Stocks!$A267,Movimientos!$F$6:$F$16,Stocks!I$3,Movimientos!$A$6:$A$16,"&lt;="&amp;Stocks!$A$2)-SUMIFS(Movimientos!$E$6:$E$16,Movimientos!$C$6:$C$16,Stocks!$A267,Movimientos!$G$6:$G$16,Stocks!I$3,Movimientos!$A$6:$A$16,"&lt;="&amp;Stocks!$A$2)</f>
        <v>0</v>
      </c>
      <c r="J267" s="4">
        <f>SUMIFS(Movimientos!$E$6:$E$16,Movimientos!$C$6:$C$16,Stocks!$A267,Movimientos!$F$6:$F$16,Stocks!J$3,Movimientos!$A$6:$A$16,"&lt;="&amp;Stocks!$A$2)-SUMIFS(Movimientos!$E$6:$E$16,Movimientos!$C$6:$C$16,Stocks!$A267,Movimientos!$G$6:$G$16,Stocks!J$3,Movimientos!$A$6:$A$16,"&lt;="&amp;Stocks!$A$2)</f>
        <v>0</v>
      </c>
      <c r="K267" s="4">
        <f>SUMIFS(Movimientos!$E$6:$E$16,Movimientos!$C$6:$C$16,Stocks!$A267,Movimientos!$F$6:$F$16,Stocks!K$3,Movimientos!$A$6:$A$16,"&lt;="&amp;Stocks!$A$2)-SUMIFS(Movimientos!$E$6:$E$16,Movimientos!$C$6:$C$16,Stocks!$A267,Movimientos!$G$6:$G$16,Stocks!K$3,Movimientos!$A$6:$A$16,"&lt;="&amp;Stocks!$A$2)</f>
        <v>0</v>
      </c>
      <c r="L267" s="4">
        <f>SUMIFS(Movimientos!$E$6:$E$16,Movimientos!$C$6:$C$16,Stocks!$A267,Movimientos!$F$6:$F$16,Stocks!L$3,Movimientos!$A$6:$A$16,"&lt;="&amp;Stocks!$A$2)-SUMIFS(Movimientos!$E$6:$E$16,Movimientos!$C$6:$C$16,Stocks!$A267,Movimientos!$G$6:$G$16,Stocks!L$3,Movimientos!$A$6:$A$16,"&lt;="&amp;Stocks!$A$2)</f>
        <v>0</v>
      </c>
    </row>
    <row r="268" spans="1:12" x14ac:dyDescent="0.25">
      <c r="A268" t="str">
        <f>Codificación!A267</f>
        <v/>
      </c>
      <c r="B268" s="1">
        <f>Codificación!B267</f>
        <v>0</v>
      </c>
      <c r="E268" s="4">
        <f>SUMIFS(Movimientos!$E$6:$E$16,Movimientos!$C$6:$C$16,Stocks!$A268,Movimientos!$F$6:$F$16,Stocks!E$3,Movimientos!$A$6:$A$16,"&lt;="&amp;Stocks!$A$2)-SUMIFS(Movimientos!$E$6:$E$16,Movimientos!$C$6:$C$16,Stocks!$A268,Movimientos!$G$6:$G$16,Stocks!E$3,Movimientos!$A$6:$A$16,"&lt;="&amp;Stocks!$A$2)</f>
        <v>0</v>
      </c>
      <c r="F268" s="4">
        <f>SUMIFS(Movimientos!$E$6:$E$16,Movimientos!$C$6:$C$16,Stocks!$A268,Movimientos!$F$6:$F$16,Stocks!F$3,Movimientos!$A$6:$A$16,"&lt;="&amp;Stocks!$A$2)-SUMIFS(Movimientos!$E$6:$E$16,Movimientos!$C$6:$C$16,Stocks!$A268,Movimientos!$G$6:$G$16,Stocks!F$3,Movimientos!$A$6:$A$16,"&lt;="&amp;Stocks!$A$2)</f>
        <v>0</v>
      </c>
      <c r="G268" s="4">
        <f>SUMIFS(Movimientos!$E$6:$E$16,Movimientos!$C$6:$C$16,Stocks!$A268,Movimientos!$F$6:$F$16,Stocks!G$3,Movimientos!$A$6:$A$16,"&lt;="&amp;Stocks!$A$2)-SUMIFS(Movimientos!$E$6:$E$16,Movimientos!$C$6:$C$16,Stocks!$A268,Movimientos!$G$6:$G$16,Stocks!G$3,Movimientos!$A$6:$A$16,"&lt;="&amp;Stocks!$A$2)</f>
        <v>0</v>
      </c>
      <c r="H268" s="4">
        <f>SUMIFS(Movimientos!$E$6:$E$16,Movimientos!$C$6:$C$16,Stocks!$A268,Movimientos!$F$6:$F$16,Stocks!H$3,Movimientos!$A$6:$A$16,"&lt;="&amp;Stocks!$A$2)-SUMIFS(Movimientos!$E$6:$E$16,Movimientos!$C$6:$C$16,Stocks!$A268,Movimientos!$G$6:$G$16,Stocks!H$3,Movimientos!$A$6:$A$16,"&lt;="&amp;Stocks!$A$2)</f>
        <v>0</v>
      </c>
      <c r="I268" s="4">
        <f>SUMIFS(Movimientos!$E$6:$E$16,Movimientos!$C$6:$C$16,Stocks!$A268,Movimientos!$F$6:$F$16,Stocks!I$3,Movimientos!$A$6:$A$16,"&lt;="&amp;Stocks!$A$2)-SUMIFS(Movimientos!$E$6:$E$16,Movimientos!$C$6:$C$16,Stocks!$A268,Movimientos!$G$6:$G$16,Stocks!I$3,Movimientos!$A$6:$A$16,"&lt;="&amp;Stocks!$A$2)</f>
        <v>0</v>
      </c>
      <c r="J268" s="4">
        <f>SUMIFS(Movimientos!$E$6:$E$16,Movimientos!$C$6:$C$16,Stocks!$A268,Movimientos!$F$6:$F$16,Stocks!J$3,Movimientos!$A$6:$A$16,"&lt;="&amp;Stocks!$A$2)-SUMIFS(Movimientos!$E$6:$E$16,Movimientos!$C$6:$C$16,Stocks!$A268,Movimientos!$G$6:$G$16,Stocks!J$3,Movimientos!$A$6:$A$16,"&lt;="&amp;Stocks!$A$2)</f>
        <v>0</v>
      </c>
      <c r="K268" s="4">
        <f>SUMIFS(Movimientos!$E$6:$E$16,Movimientos!$C$6:$C$16,Stocks!$A268,Movimientos!$F$6:$F$16,Stocks!K$3,Movimientos!$A$6:$A$16,"&lt;="&amp;Stocks!$A$2)-SUMIFS(Movimientos!$E$6:$E$16,Movimientos!$C$6:$C$16,Stocks!$A268,Movimientos!$G$6:$G$16,Stocks!K$3,Movimientos!$A$6:$A$16,"&lt;="&amp;Stocks!$A$2)</f>
        <v>0</v>
      </c>
      <c r="L268" s="4">
        <f>SUMIFS(Movimientos!$E$6:$E$16,Movimientos!$C$6:$C$16,Stocks!$A268,Movimientos!$F$6:$F$16,Stocks!L$3,Movimientos!$A$6:$A$16,"&lt;="&amp;Stocks!$A$2)-SUMIFS(Movimientos!$E$6:$E$16,Movimientos!$C$6:$C$16,Stocks!$A268,Movimientos!$G$6:$G$16,Stocks!L$3,Movimientos!$A$6:$A$16,"&lt;="&amp;Stocks!$A$2)</f>
        <v>0</v>
      </c>
    </row>
    <row r="269" spans="1:12" x14ac:dyDescent="0.25">
      <c r="A269" t="str">
        <f>Codificación!A268</f>
        <v/>
      </c>
      <c r="B269" s="1">
        <f>Codificación!B268</f>
        <v>0</v>
      </c>
      <c r="E269" s="4">
        <f>SUMIFS(Movimientos!$E$6:$E$16,Movimientos!$C$6:$C$16,Stocks!$A269,Movimientos!$F$6:$F$16,Stocks!E$3,Movimientos!$A$6:$A$16,"&lt;="&amp;Stocks!$A$2)-SUMIFS(Movimientos!$E$6:$E$16,Movimientos!$C$6:$C$16,Stocks!$A269,Movimientos!$G$6:$G$16,Stocks!E$3,Movimientos!$A$6:$A$16,"&lt;="&amp;Stocks!$A$2)</f>
        <v>0</v>
      </c>
      <c r="F269" s="4">
        <f>SUMIFS(Movimientos!$E$6:$E$16,Movimientos!$C$6:$C$16,Stocks!$A269,Movimientos!$F$6:$F$16,Stocks!F$3,Movimientos!$A$6:$A$16,"&lt;="&amp;Stocks!$A$2)-SUMIFS(Movimientos!$E$6:$E$16,Movimientos!$C$6:$C$16,Stocks!$A269,Movimientos!$G$6:$G$16,Stocks!F$3,Movimientos!$A$6:$A$16,"&lt;="&amp;Stocks!$A$2)</f>
        <v>0</v>
      </c>
      <c r="G269" s="4">
        <f>SUMIFS(Movimientos!$E$6:$E$16,Movimientos!$C$6:$C$16,Stocks!$A269,Movimientos!$F$6:$F$16,Stocks!G$3,Movimientos!$A$6:$A$16,"&lt;="&amp;Stocks!$A$2)-SUMIFS(Movimientos!$E$6:$E$16,Movimientos!$C$6:$C$16,Stocks!$A269,Movimientos!$G$6:$G$16,Stocks!G$3,Movimientos!$A$6:$A$16,"&lt;="&amp;Stocks!$A$2)</f>
        <v>0</v>
      </c>
      <c r="H269" s="4">
        <f>SUMIFS(Movimientos!$E$6:$E$16,Movimientos!$C$6:$C$16,Stocks!$A269,Movimientos!$F$6:$F$16,Stocks!H$3,Movimientos!$A$6:$A$16,"&lt;="&amp;Stocks!$A$2)-SUMIFS(Movimientos!$E$6:$E$16,Movimientos!$C$6:$C$16,Stocks!$A269,Movimientos!$G$6:$G$16,Stocks!H$3,Movimientos!$A$6:$A$16,"&lt;="&amp;Stocks!$A$2)</f>
        <v>0</v>
      </c>
      <c r="I269" s="4">
        <f>SUMIFS(Movimientos!$E$6:$E$16,Movimientos!$C$6:$C$16,Stocks!$A269,Movimientos!$F$6:$F$16,Stocks!I$3,Movimientos!$A$6:$A$16,"&lt;="&amp;Stocks!$A$2)-SUMIFS(Movimientos!$E$6:$E$16,Movimientos!$C$6:$C$16,Stocks!$A269,Movimientos!$G$6:$G$16,Stocks!I$3,Movimientos!$A$6:$A$16,"&lt;="&amp;Stocks!$A$2)</f>
        <v>0</v>
      </c>
      <c r="J269" s="4">
        <f>SUMIFS(Movimientos!$E$6:$E$16,Movimientos!$C$6:$C$16,Stocks!$A269,Movimientos!$F$6:$F$16,Stocks!J$3,Movimientos!$A$6:$A$16,"&lt;="&amp;Stocks!$A$2)-SUMIFS(Movimientos!$E$6:$E$16,Movimientos!$C$6:$C$16,Stocks!$A269,Movimientos!$G$6:$G$16,Stocks!J$3,Movimientos!$A$6:$A$16,"&lt;="&amp;Stocks!$A$2)</f>
        <v>0</v>
      </c>
      <c r="K269" s="4">
        <f>SUMIFS(Movimientos!$E$6:$E$16,Movimientos!$C$6:$C$16,Stocks!$A269,Movimientos!$F$6:$F$16,Stocks!K$3,Movimientos!$A$6:$A$16,"&lt;="&amp;Stocks!$A$2)-SUMIFS(Movimientos!$E$6:$E$16,Movimientos!$C$6:$C$16,Stocks!$A269,Movimientos!$G$6:$G$16,Stocks!K$3,Movimientos!$A$6:$A$16,"&lt;="&amp;Stocks!$A$2)</f>
        <v>0</v>
      </c>
      <c r="L269" s="4">
        <f>SUMIFS(Movimientos!$E$6:$E$16,Movimientos!$C$6:$C$16,Stocks!$A269,Movimientos!$F$6:$F$16,Stocks!L$3,Movimientos!$A$6:$A$16,"&lt;="&amp;Stocks!$A$2)-SUMIFS(Movimientos!$E$6:$E$16,Movimientos!$C$6:$C$16,Stocks!$A269,Movimientos!$G$6:$G$16,Stocks!L$3,Movimientos!$A$6:$A$16,"&lt;="&amp;Stocks!$A$2)</f>
        <v>0</v>
      </c>
    </row>
    <row r="270" spans="1:12" x14ac:dyDescent="0.25">
      <c r="A270" t="str">
        <f>Codificación!A269</f>
        <v/>
      </c>
      <c r="B270" s="1">
        <f>Codificación!B269</f>
        <v>0</v>
      </c>
      <c r="E270" s="4">
        <f>SUMIFS(Movimientos!$E$6:$E$16,Movimientos!$C$6:$C$16,Stocks!$A270,Movimientos!$F$6:$F$16,Stocks!E$3,Movimientos!$A$6:$A$16,"&lt;="&amp;Stocks!$A$2)-SUMIFS(Movimientos!$E$6:$E$16,Movimientos!$C$6:$C$16,Stocks!$A270,Movimientos!$G$6:$G$16,Stocks!E$3,Movimientos!$A$6:$A$16,"&lt;="&amp;Stocks!$A$2)</f>
        <v>0</v>
      </c>
      <c r="F270" s="4">
        <f>SUMIFS(Movimientos!$E$6:$E$16,Movimientos!$C$6:$C$16,Stocks!$A270,Movimientos!$F$6:$F$16,Stocks!F$3,Movimientos!$A$6:$A$16,"&lt;="&amp;Stocks!$A$2)-SUMIFS(Movimientos!$E$6:$E$16,Movimientos!$C$6:$C$16,Stocks!$A270,Movimientos!$G$6:$G$16,Stocks!F$3,Movimientos!$A$6:$A$16,"&lt;="&amp;Stocks!$A$2)</f>
        <v>0</v>
      </c>
      <c r="G270" s="4">
        <f>SUMIFS(Movimientos!$E$6:$E$16,Movimientos!$C$6:$C$16,Stocks!$A270,Movimientos!$F$6:$F$16,Stocks!G$3,Movimientos!$A$6:$A$16,"&lt;="&amp;Stocks!$A$2)-SUMIFS(Movimientos!$E$6:$E$16,Movimientos!$C$6:$C$16,Stocks!$A270,Movimientos!$G$6:$G$16,Stocks!G$3,Movimientos!$A$6:$A$16,"&lt;="&amp;Stocks!$A$2)</f>
        <v>0</v>
      </c>
      <c r="H270" s="4">
        <f>SUMIFS(Movimientos!$E$6:$E$16,Movimientos!$C$6:$C$16,Stocks!$A270,Movimientos!$F$6:$F$16,Stocks!H$3,Movimientos!$A$6:$A$16,"&lt;="&amp;Stocks!$A$2)-SUMIFS(Movimientos!$E$6:$E$16,Movimientos!$C$6:$C$16,Stocks!$A270,Movimientos!$G$6:$G$16,Stocks!H$3,Movimientos!$A$6:$A$16,"&lt;="&amp;Stocks!$A$2)</f>
        <v>0</v>
      </c>
      <c r="I270" s="4">
        <f>SUMIFS(Movimientos!$E$6:$E$16,Movimientos!$C$6:$C$16,Stocks!$A270,Movimientos!$F$6:$F$16,Stocks!I$3,Movimientos!$A$6:$A$16,"&lt;="&amp;Stocks!$A$2)-SUMIFS(Movimientos!$E$6:$E$16,Movimientos!$C$6:$C$16,Stocks!$A270,Movimientos!$G$6:$G$16,Stocks!I$3,Movimientos!$A$6:$A$16,"&lt;="&amp;Stocks!$A$2)</f>
        <v>0</v>
      </c>
      <c r="J270" s="4">
        <f>SUMIFS(Movimientos!$E$6:$E$16,Movimientos!$C$6:$C$16,Stocks!$A270,Movimientos!$F$6:$F$16,Stocks!J$3,Movimientos!$A$6:$A$16,"&lt;="&amp;Stocks!$A$2)-SUMIFS(Movimientos!$E$6:$E$16,Movimientos!$C$6:$C$16,Stocks!$A270,Movimientos!$G$6:$G$16,Stocks!J$3,Movimientos!$A$6:$A$16,"&lt;="&amp;Stocks!$A$2)</f>
        <v>0</v>
      </c>
      <c r="K270" s="4">
        <f>SUMIFS(Movimientos!$E$6:$E$16,Movimientos!$C$6:$C$16,Stocks!$A270,Movimientos!$F$6:$F$16,Stocks!K$3,Movimientos!$A$6:$A$16,"&lt;="&amp;Stocks!$A$2)-SUMIFS(Movimientos!$E$6:$E$16,Movimientos!$C$6:$C$16,Stocks!$A270,Movimientos!$G$6:$G$16,Stocks!K$3,Movimientos!$A$6:$A$16,"&lt;="&amp;Stocks!$A$2)</f>
        <v>0</v>
      </c>
      <c r="L270" s="4">
        <f>SUMIFS(Movimientos!$E$6:$E$16,Movimientos!$C$6:$C$16,Stocks!$A270,Movimientos!$F$6:$F$16,Stocks!L$3,Movimientos!$A$6:$A$16,"&lt;="&amp;Stocks!$A$2)-SUMIFS(Movimientos!$E$6:$E$16,Movimientos!$C$6:$C$16,Stocks!$A270,Movimientos!$G$6:$G$16,Stocks!L$3,Movimientos!$A$6:$A$16,"&lt;="&amp;Stocks!$A$2)</f>
        <v>0</v>
      </c>
    </row>
    <row r="271" spans="1:12" x14ac:dyDescent="0.25">
      <c r="A271" t="str">
        <f>Codificación!A270</f>
        <v/>
      </c>
      <c r="B271" s="1">
        <f>Codificación!B270</f>
        <v>0</v>
      </c>
      <c r="E271" s="4">
        <f>SUMIFS(Movimientos!$E$6:$E$16,Movimientos!$C$6:$C$16,Stocks!$A271,Movimientos!$F$6:$F$16,Stocks!E$3,Movimientos!$A$6:$A$16,"&lt;="&amp;Stocks!$A$2)-SUMIFS(Movimientos!$E$6:$E$16,Movimientos!$C$6:$C$16,Stocks!$A271,Movimientos!$G$6:$G$16,Stocks!E$3,Movimientos!$A$6:$A$16,"&lt;="&amp;Stocks!$A$2)</f>
        <v>0</v>
      </c>
      <c r="F271" s="4">
        <f>SUMIFS(Movimientos!$E$6:$E$16,Movimientos!$C$6:$C$16,Stocks!$A271,Movimientos!$F$6:$F$16,Stocks!F$3,Movimientos!$A$6:$A$16,"&lt;="&amp;Stocks!$A$2)-SUMIFS(Movimientos!$E$6:$E$16,Movimientos!$C$6:$C$16,Stocks!$A271,Movimientos!$G$6:$G$16,Stocks!F$3,Movimientos!$A$6:$A$16,"&lt;="&amp;Stocks!$A$2)</f>
        <v>0</v>
      </c>
      <c r="G271" s="4">
        <f>SUMIFS(Movimientos!$E$6:$E$16,Movimientos!$C$6:$C$16,Stocks!$A271,Movimientos!$F$6:$F$16,Stocks!G$3,Movimientos!$A$6:$A$16,"&lt;="&amp;Stocks!$A$2)-SUMIFS(Movimientos!$E$6:$E$16,Movimientos!$C$6:$C$16,Stocks!$A271,Movimientos!$G$6:$G$16,Stocks!G$3,Movimientos!$A$6:$A$16,"&lt;="&amp;Stocks!$A$2)</f>
        <v>0</v>
      </c>
      <c r="H271" s="4">
        <f>SUMIFS(Movimientos!$E$6:$E$16,Movimientos!$C$6:$C$16,Stocks!$A271,Movimientos!$F$6:$F$16,Stocks!H$3,Movimientos!$A$6:$A$16,"&lt;="&amp;Stocks!$A$2)-SUMIFS(Movimientos!$E$6:$E$16,Movimientos!$C$6:$C$16,Stocks!$A271,Movimientos!$G$6:$G$16,Stocks!H$3,Movimientos!$A$6:$A$16,"&lt;="&amp;Stocks!$A$2)</f>
        <v>0</v>
      </c>
      <c r="I271" s="4">
        <f>SUMIFS(Movimientos!$E$6:$E$16,Movimientos!$C$6:$C$16,Stocks!$A271,Movimientos!$F$6:$F$16,Stocks!I$3,Movimientos!$A$6:$A$16,"&lt;="&amp;Stocks!$A$2)-SUMIFS(Movimientos!$E$6:$E$16,Movimientos!$C$6:$C$16,Stocks!$A271,Movimientos!$G$6:$G$16,Stocks!I$3,Movimientos!$A$6:$A$16,"&lt;="&amp;Stocks!$A$2)</f>
        <v>0</v>
      </c>
      <c r="J271" s="4">
        <f>SUMIFS(Movimientos!$E$6:$E$16,Movimientos!$C$6:$C$16,Stocks!$A271,Movimientos!$F$6:$F$16,Stocks!J$3,Movimientos!$A$6:$A$16,"&lt;="&amp;Stocks!$A$2)-SUMIFS(Movimientos!$E$6:$E$16,Movimientos!$C$6:$C$16,Stocks!$A271,Movimientos!$G$6:$G$16,Stocks!J$3,Movimientos!$A$6:$A$16,"&lt;="&amp;Stocks!$A$2)</f>
        <v>0</v>
      </c>
      <c r="K271" s="4">
        <f>SUMIFS(Movimientos!$E$6:$E$16,Movimientos!$C$6:$C$16,Stocks!$A271,Movimientos!$F$6:$F$16,Stocks!K$3,Movimientos!$A$6:$A$16,"&lt;="&amp;Stocks!$A$2)-SUMIFS(Movimientos!$E$6:$E$16,Movimientos!$C$6:$C$16,Stocks!$A271,Movimientos!$G$6:$G$16,Stocks!K$3,Movimientos!$A$6:$A$16,"&lt;="&amp;Stocks!$A$2)</f>
        <v>0</v>
      </c>
      <c r="L271" s="4">
        <f>SUMIFS(Movimientos!$E$6:$E$16,Movimientos!$C$6:$C$16,Stocks!$A271,Movimientos!$F$6:$F$16,Stocks!L$3,Movimientos!$A$6:$A$16,"&lt;="&amp;Stocks!$A$2)-SUMIFS(Movimientos!$E$6:$E$16,Movimientos!$C$6:$C$16,Stocks!$A271,Movimientos!$G$6:$G$16,Stocks!L$3,Movimientos!$A$6:$A$16,"&lt;="&amp;Stocks!$A$2)</f>
        <v>0</v>
      </c>
    </row>
    <row r="272" spans="1:12" x14ac:dyDescent="0.25">
      <c r="A272" t="str">
        <f>Codificación!A271</f>
        <v/>
      </c>
      <c r="B272" s="1">
        <f>Codificación!B271</f>
        <v>0</v>
      </c>
      <c r="E272" s="4">
        <f>SUMIFS(Movimientos!$E$6:$E$16,Movimientos!$C$6:$C$16,Stocks!$A272,Movimientos!$F$6:$F$16,Stocks!E$3,Movimientos!$A$6:$A$16,"&lt;="&amp;Stocks!$A$2)-SUMIFS(Movimientos!$E$6:$E$16,Movimientos!$C$6:$C$16,Stocks!$A272,Movimientos!$G$6:$G$16,Stocks!E$3,Movimientos!$A$6:$A$16,"&lt;="&amp;Stocks!$A$2)</f>
        <v>0</v>
      </c>
      <c r="F272" s="4">
        <f>SUMIFS(Movimientos!$E$6:$E$16,Movimientos!$C$6:$C$16,Stocks!$A272,Movimientos!$F$6:$F$16,Stocks!F$3,Movimientos!$A$6:$A$16,"&lt;="&amp;Stocks!$A$2)-SUMIFS(Movimientos!$E$6:$E$16,Movimientos!$C$6:$C$16,Stocks!$A272,Movimientos!$G$6:$G$16,Stocks!F$3,Movimientos!$A$6:$A$16,"&lt;="&amp;Stocks!$A$2)</f>
        <v>0</v>
      </c>
      <c r="G272" s="4">
        <f>SUMIFS(Movimientos!$E$6:$E$16,Movimientos!$C$6:$C$16,Stocks!$A272,Movimientos!$F$6:$F$16,Stocks!G$3,Movimientos!$A$6:$A$16,"&lt;="&amp;Stocks!$A$2)-SUMIFS(Movimientos!$E$6:$E$16,Movimientos!$C$6:$C$16,Stocks!$A272,Movimientos!$G$6:$G$16,Stocks!G$3,Movimientos!$A$6:$A$16,"&lt;="&amp;Stocks!$A$2)</f>
        <v>0</v>
      </c>
      <c r="H272" s="4">
        <f>SUMIFS(Movimientos!$E$6:$E$16,Movimientos!$C$6:$C$16,Stocks!$A272,Movimientos!$F$6:$F$16,Stocks!H$3,Movimientos!$A$6:$A$16,"&lt;="&amp;Stocks!$A$2)-SUMIFS(Movimientos!$E$6:$E$16,Movimientos!$C$6:$C$16,Stocks!$A272,Movimientos!$G$6:$G$16,Stocks!H$3,Movimientos!$A$6:$A$16,"&lt;="&amp;Stocks!$A$2)</f>
        <v>0</v>
      </c>
      <c r="I272" s="4">
        <f>SUMIFS(Movimientos!$E$6:$E$16,Movimientos!$C$6:$C$16,Stocks!$A272,Movimientos!$F$6:$F$16,Stocks!I$3,Movimientos!$A$6:$A$16,"&lt;="&amp;Stocks!$A$2)-SUMIFS(Movimientos!$E$6:$E$16,Movimientos!$C$6:$C$16,Stocks!$A272,Movimientos!$G$6:$G$16,Stocks!I$3,Movimientos!$A$6:$A$16,"&lt;="&amp;Stocks!$A$2)</f>
        <v>0</v>
      </c>
      <c r="J272" s="4">
        <f>SUMIFS(Movimientos!$E$6:$E$16,Movimientos!$C$6:$C$16,Stocks!$A272,Movimientos!$F$6:$F$16,Stocks!J$3,Movimientos!$A$6:$A$16,"&lt;="&amp;Stocks!$A$2)-SUMIFS(Movimientos!$E$6:$E$16,Movimientos!$C$6:$C$16,Stocks!$A272,Movimientos!$G$6:$G$16,Stocks!J$3,Movimientos!$A$6:$A$16,"&lt;="&amp;Stocks!$A$2)</f>
        <v>0</v>
      </c>
      <c r="K272" s="4">
        <f>SUMIFS(Movimientos!$E$6:$E$16,Movimientos!$C$6:$C$16,Stocks!$A272,Movimientos!$F$6:$F$16,Stocks!K$3,Movimientos!$A$6:$A$16,"&lt;="&amp;Stocks!$A$2)-SUMIFS(Movimientos!$E$6:$E$16,Movimientos!$C$6:$C$16,Stocks!$A272,Movimientos!$G$6:$G$16,Stocks!K$3,Movimientos!$A$6:$A$16,"&lt;="&amp;Stocks!$A$2)</f>
        <v>0</v>
      </c>
      <c r="L272" s="4">
        <f>SUMIFS(Movimientos!$E$6:$E$16,Movimientos!$C$6:$C$16,Stocks!$A272,Movimientos!$F$6:$F$16,Stocks!L$3,Movimientos!$A$6:$A$16,"&lt;="&amp;Stocks!$A$2)-SUMIFS(Movimientos!$E$6:$E$16,Movimientos!$C$6:$C$16,Stocks!$A272,Movimientos!$G$6:$G$16,Stocks!L$3,Movimientos!$A$6:$A$16,"&lt;="&amp;Stocks!$A$2)</f>
        <v>0</v>
      </c>
    </row>
    <row r="273" spans="1:12" x14ac:dyDescent="0.25">
      <c r="A273" t="str">
        <f>Codificación!A272</f>
        <v/>
      </c>
      <c r="B273" s="1">
        <f>Codificación!B272</f>
        <v>0</v>
      </c>
      <c r="E273" s="4">
        <f>SUMIFS(Movimientos!$E$6:$E$16,Movimientos!$C$6:$C$16,Stocks!$A273,Movimientos!$F$6:$F$16,Stocks!E$3,Movimientos!$A$6:$A$16,"&lt;="&amp;Stocks!$A$2)-SUMIFS(Movimientos!$E$6:$E$16,Movimientos!$C$6:$C$16,Stocks!$A273,Movimientos!$G$6:$G$16,Stocks!E$3,Movimientos!$A$6:$A$16,"&lt;="&amp;Stocks!$A$2)</f>
        <v>0</v>
      </c>
      <c r="F273" s="4">
        <f>SUMIFS(Movimientos!$E$6:$E$16,Movimientos!$C$6:$C$16,Stocks!$A273,Movimientos!$F$6:$F$16,Stocks!F$3,Movimientos!$A$6:$A$16,"&lt;="&amp;Stocks!$A$2)-SUMIFS(Movimientos!$E$6:$E$16,Movimientos!$C$6:$C$16,Stocks!$A273,Movimientos!$G$6:$G$16,Stocks!F$3,Movimientos!$A$6:$A$16,"&lt;="&amp;Stocks!$A$2)</f>
        <v>0</v>
      </c>
      <c r="G273" s="4">
        <f>SUMIFS(Movimientos!$E$6:$E$16,Movimientos!$C$6:$C$16,Stocks!$A273,Movimientos!$F$6:$F$16,Stocks!G$3,Movimientos!$A$6:$A$16,"&lt;="&amp;Stocks!$A$2)-SUMIFS(Movimientos!$E$6:$E$16,Movimientos!$C$6:$C$16,Stocks!$A273,Movimientos!$G$6:$G$16,Stocks!G$3,Movimientos!$A$6:$A$16,"&lt;="&amp;Stocks!$A$2)</f>
        <v>0</v>
      </c>
      <c r="H273" s="4">
        <f>SUMIFS(Movimientos!$E$6:$E$16,Movimientos!$C$6:$C$16,Stocks!$A273,Movimientos!$F$6:$F$16,Stocks!H$3,Movimientos!$A$6:$A$16,"&lt;="&amp;Stocks!$A$2)-SUMIFS(Movimientos!$E$6:$E$16,Movimientos!$C$6:$C$16,Stocks!$A273,Movimientos!$G$6:$G$16,Stocks!H$3,Movimientos!$A$6:$A$16,"&lt;="&amp;Stocks!$A$2)</f>
        <v>0</v>
      </c>
      <c r="I273" s="4">
        <f>SUMIFS(Movimientos!$E$6:$E$16,Movimientos!$C$6:$C$16,Stocks!$A273,Movimientos!$F$6:$F$16,Stocks!I$3,Movimientos!$A$6:$A$16,"&lt;="&amp;Stocks!$A$2)-SUMIFS(Movimientos!$E$6:$E$16,Movimientos!$C$6:$C$16,Stocks!$A273,Movimientos!$G$6:$G$16,Stocks!I$3,Movimientos!$A$6:$A$16,"&lt;="&amp;Stocks!$A$2)</f>
        <v>0</v>
      </c>
      <c r="J273" s="4">
        <f>SUMIFS(Movimientos!$E$6:$E$16,Movimientos!$C$6:$C$16,Stocks!$A273,Movimientos!$F$6:$F$16,Stocks!J$3,Movimientos!$A$6:$A$16,"&lt;="&amp;Stocks!$A$2)-SUMIFS(Movimientos!$E$6:$E$16,Movimientos!$C$6:$C$16,Stocks!$A273,Movimientos!$G$6:$G$16,Stocks!J$3,Movimientos!$A$6:$A$16,"&lt;="&amp;Stocks!$A$2)</f>
        <v>0</v>
      </c>
      <c r="K273" s="4">
        <f>SUMIFS(Movimientos!$E$6:$E$16,Movimientos!$C$6:$C$16,Stocks!$A273,Movimientos!$F$6:$F$16,Stocks!K$3,Movimientos!$A$6:$A$16,"&lt;="&amp;Stocks!$A$2)-SUMIFS(Movimientos!$E$6:$E$16,Movimientos!$C$6:$C$16,Stocks!$A273,Movimientos!$G$6:$G$16,Stocks!K$3,Movimientos!$A$6:$A$16,"&lt;="&amp;Stocks!$A$2)</f>
        <v>0</v>
      </c>
      <c r="L273" s="4">
        <f>SUMIFS(Movimientos!$E$6:$E$16,Movimientos!$C$6:$C$16,Stocks!$A273,Movimientos!$F$6:$F$16,Stocks!L$3,Movimientos!$A$6:$A$16,"&lt;="&amp;Stocks!$A$2)-SUMIFS(Movimientos!$E$6:$E$16,Movimientos!$C$6:$C$16,Stocks!$A273,Movimientos!$G$6:$G$16,Stocks!L$3,Movimientos!$A$6:$A$16,"&lt;="&amp;Stocks!$A$2)</f>
        <v>0</v>
      </c>
    </row>
    <row r="274" spans="1:12" x14ac:dyDescent="0.25">
      <c r="A274" t="str">
        <f>Codificación!A273</f>
        <v/>
      </c>
      <c r="B274" s="1">
        <f>Codificación!B273</f>
        <v>0</v>
      </c>
      <c r="E274" s="4">
        <f>SUMIFS(Movimientos!$E$6:$E$16,Movimientos!$C$6:$C$16,Stocks!$A274,Movimientos!$F$6:$F$16,Stocks!E$3,Movimientos!$A$6:$A$16,"&lt;="&amp;Stocks!$A$2)-SUMIFS(Movimientos!$E$6:$E$16,Movimientos!$C$6:$C$16,Stocks!$A274,Movimientos!$G$6:$G$16,Stocks!E$3,Movimientos!$A$6:$A$16,"&lt;="&amp;Stocks!$A$2)</f>
        <v>0</v>
      </c>
      <c r="F274" s="4">
        <f>SUMIFS(Movimientos!$E$6:$E$16,Movimientos!$C$6:$C$16,Stocks!$A274,Movimientos!$F$6:$F$16,Stocks!F$3,Movimientos!$A$6:$A$16,"&lt;="&amp;Stocks!$A$2)-SUMIFS(Movimientos!$E$6:$E$16,Movimientos!$C$6:$C$16,Stocks!$A274,Movimientos!$G$6:$G$16,Stocks!F$3,Movimientos!$A$6:$A$16,"&lt;="&amp;Stocks!$A$2)</f>
        <v>0</v>
      </c>
      <c r="G274" s="4">
        <f>SUMIFS(Movimientos!$E$6:$E$16,Movimientos!$C$6:$C$16,Stocks!$A274,Movimientos!$F$6:$F$16,Stocks!G$3,Movimientos!$A$6:$A$16,"&lt;="&amp;Stocks!$A$2)-SUMIFS(Movimientos!$E$6:$E$16,Movimientos!$C$6:$C$16,Stocks!$A274,Movimientos!$G$6:$G$16,Stocks!G$3,Movimientos!$A$6:$A$16,"&lt;="&amp;Stocks!$A$2)</f>
        <v>0</v>
      </c>
      <c r="H274" s="4">
        <f>SUMIFS(Movimientos!$E$6:$E$16,Movimientos!$C$6:$C$16,Stocks!$A274,Movimientos!$F$6:$F$16,Stocks!H$3,Movimientos!$A$6:$A$16,"&lt;="&amp;Stocks!$A$2)-SUMIFS(Movimientos!$E$6:$E$16,Movimientos!$C$6:$C$16,Stocks!$A274,Movimientos!$G$6:$G$16,Stocks!H$3,Movimientos!$A$6:$A$16,"&lt;="&amp;Stocks!$A$2)</f>
        <v>0</v>
      </c>
      <c r="I274" s="4">
        <f>SUMIFS(Movimientos!$E$6:$E$16,Movimientos!$C$6:$C$16,Stocks!$A274,Movimientos!$F$6:$F$16,Stocks!I$3,Movimientos!$A$6:$A$16,"&lt;="&amp;Stocks!$A$2)-SUMIFS(Movimientos!$E$6:$E$16,Movimientos!$C$6:$C$16,Stocks!$A274,Movimientos!$G$6:$G$16,Stocks!I$3,Movimientos!$A$6:$A$16,"&lt;="&amp;Stocks!$A$2)</f>
        <v>0</v>
      </c>
      <c r="J274" s="4">
        <f>SUMIFS(Movimientos!$E$6:$E$16,Movimientos!$C$6:$C$16,Stocks!$A274,Movimientos!$F$6:$F$16,Stocks!J$3,Movimientos!$A$6:$A$16,"&lt;="&amp;Stocks!$A$2)-SUMIFS(Movimientos!$E$6:$E$16,Movimientos!$C$6:$C$16,Stocks!$A274,Movimientos!$G$6:$G$16,Stocks!J$3,Movimientos!$A$6:$A$16,"&lt;="&amp;Stocks!$A$2)</f>
        <v>0</v>
      </c>
      <c r="K274" s="4">
        <f>SUMIFS(Movimientos!$E$6:$E$16,Movimientos!$C$6:$C$16,Stocks!$A274,Movimientos!$F$6:$F$16,Stocks!K$3,Movimientos!$A$6:$A$16,"&lt;="&amp;Stocks!$A$2)-SUMIFS(Movimientos!$E$6:$E$16,Movimientos!$C$6:$C$16,Stocks!$A274,Movimientos!$G$6:$G$16,Stocks!K$3,Movimientos!$A$6:$A$16,"&lt;="&amp;Stocks!$A$2)</f>
        <v>0</v>
      </c>
      <c r="L274" s="4">
        <f>SUMIFS(Movimientos!$E$6:$E$16,Movimientos!$C$6:$C$16,Stocks!$A274,Movimientos!$F$6:$F$16,Stocks!L$3,Movimientos!$A$6:$A$16,"&lt;="&amp;Stocks!$A$2)-SUMIFS(Movimientos!$E$6:$E$16,Movimientos!$C$6:$C$16,Stocks!$A274,Movimientos!$G$6:$G$16,Stocks!L$3,Movimientos!$A$6:$A$16,"&lt;="&amp;Stocks!$A$2)</f>
        <v>0</v>
      </c>
    </row>
    <row r="275" spans="1:12" x14ac:dyDescent="0.25">
      <c r="A275" t="str">
        <f>Codificación!A274</f>
        <v/>
      </c>
      <c r="B275" s="1">
        <f>Codificación!B274</f>
        <v>0</v>
      </c>
      <c r="E275" s="4">
        <f>SUMIFS(Movimientos!$E$6:$E$16,Movimientos!$C$6:$C$16,Stocks!$A275,Movimientos!$F$6:$F$16,Stocks!E$3,Movimientos!$A$6:$A$16,"&lt;="&amp;Stocks!$A$2)-SUMIFS(Movimientos!$E$6:$E$16,Movimientos!$C$6:$C$16,Stocks!$A275,Movimientos!$G$6:$G$16,Stocks!E$3,Movimientos!$A$6:$A$16,"&lt;="&amp;Stocks!$A$2)</f>
        <v>0</v>
      </c>
      <c r="F275" s="4">
        <f>SUMIFS(Movimientos!$E$6:$E$16,Movimientos!$C$6:$C$16,Stocks!$A275,Movimientos!$F$6:$F$16,Stocks!F$3,Movimientos!$A$6:$A$16,"&lt;="&amp;Stocks!$A$2)-SUMIFS(Movimientos!$E$6:$E$16,Movimientos!$C$6:$C$16,Stocks!$A275,Movimientos!$G$6:$G$16,Stocks!F$3,Movimientos!$A$6:$A$16,"&lt;="&amp;Stocks!$A$2)</f>
        <v>0</v>
      </c>
      <c r="G275" s="4">
        <f>SUMIFS(Movimientos!$E$6:$E$16,Movimientos!$C$6:$C$16,Stocks!$A275,Movimientos!$F$6:$F$16,Stocks!G$3,Movimientos!$A$6:$A$16,"&lt;="&amp;Stocks!$A$2)-SUMIFS(Movimientos!$E$6:$E$16,Movimientos!$C$6:$C$16,Stocks!$A275,Movimientos!$G$6:$G$16,Stocks!G$3,Movimientos!$A$6:$A$16,"&lt;="&amp;Stocks!$A$2)</f>
        <v>0</v>
      </c>
      <c r="H275" s="4">
        <f>SUMIFS(Movimientos!$E$6:$E$16,Movimientos!$C$6:$C$16,Stocks!$A275,Movimientos!$F$6:$F$16,Stocks!H$3,Movimientos!$A$6:$A$16,"&lt;="&amp;Stocks!$A$2)-SUMIFS(Movimientos!$E$6:$E$16,Movimientos!$C$6:$C$16,Stocks!$A275,Movimientos!$G$6:$G$16,Stocks!H$3,Movimientos!$A$6:$A$16,"&lt;="&amp;Stocks!$A$2)</f>
        <v>0</v>
      </c>
      <c r="I275" s="4">
        <f>SUMIFS(Movimientos!$E$6:$E$16,Movimientos!$C$6:$C$16,Stocks!$A275,Movimientos!$F$6:$F$16,Stocks!I$3,Movimientos!$A$6:$A$16,"&lt;="&amp;Stocks!$A$2)-SUMIFS(Movimientos!$E$6:$E$16,Movimientos!$C$6:$C$16,Stocks!$A275,Movimientos!$G$6:$G$16,Stocks!I$3,Movimientos!$A$6:$A$16,"&lt;="&amp;Stocks!$A$2)</f>
        <v>0</v>
      </c>
      <c r="J275" s="4">
        <f>SUMIFS(Movimientos!$E$6:$E$16,Movimientos!$C$6:$C$16,Stocks!$A275,Movimientos!$F$6:$F$16,Stocks!J$3,Movimientos!$A$6:$A$16,"&lt;="&amp;Stocks!$A$2)-SUMIFS(Movimientos!$E$6:$E$16,Movimientos!$C$6:$C$16,Stocks!$A275,Movimientos!$G$6:$G$16,Stocks!J$3,Movimientos!$A$6:$A$16,"&lt;="&amp;Stocks!$A$2)</f>
        <v>0</v>
      </c>
      <c r="K275" s="4">
        <f>SUMIFS(Movimientos!$E$6:$E$16,Movimientos!$C$6:$C$16,Stocks!$A275,Movimientos!$F$6:$F$16,Stocks!K$3,Movimientos!$A$6:$A$16,"&lt;="&amp;Stocks!$A$2)-SUMIFS(Movimientos!$E$6:$E$16,Movimientos!$C$6:$C$16,Stocks!$A275,Movimientos!$G$6:$G$16,Stocks!K$3,Movimientos!$A$6:$A$16,"&lt;="&amp;Stocks!$A$2)</f>
        <v>0</v>
      </c>
      <c r="L275" s="4">
        <f>SUMIFS(Movimientos!$E$6:$E$16,Movimientos!$C$6:$C$16,Stocks!$A275,Movimientos!$F$6:$F$16,Stocks!L$3,Movimientos!$A$6:$A$16,"&lt;="&amp;Stocks!$A$2)-SUMIFS(Movimientos!$E$6:$E$16,Movimientos!$C$6:$C$16,Stocks!$A275,Movimientos!$G$6:$G$16,Stocks!L$3,Movimientos!$A$6:$A$16,"&lt;="&amp;Stocks!$A$2)</f>
        <v>0</v>
      </c>
    </row>
    <row r="276" spans="1:12" x14ac:dyDescent="0.25">
      <c r="A276" t="str">
        <f>Codificación!A275</f>
        <v/>
      </c>
      <c r="B276" s="1">
        <f>Codificación!B275</f>
        <v>0</v>
      </c>
      <c r="E276" s="4">
        <f>SUMIFS(Movimientos!$E$6:$E$16,Movimientos!$C$6:$C$16,Stocks!$A276,Movimientos!$F$6:$F$16,Stocks!E$3,Movimientos!$A$6:$A$16,"&lt;="&amp;Stocks!$A$2)-SUMIFS(Movimientos!$E$6:$E$16,Movimientos!$C$6:$C$16,Stocks!$A276,Movimientos!$G$6:$G$16,Stocks!E$3,Movimientos!$A$6:$A$16,"&lt;="&amp;Stocks!$A$2)</f>
        <v>0</v>
      </c>
      <c r="F276" s="4">
        <f>SUMIFS(Movimientos!$E$6:$E$16,Movimientos!$C$6:$C$16,Stocks!$A276,Movimientos!$F$6:$F$16,Stocks!F$3,Movimientos!$A$6:$A$16,"&lt;="&amp;Stocks!$A$2)-SUMIFS(Movimientos!$E$6:$E$16,Movimientos!$C$6:$C$16,Stocks!$A276,Movimientos!$G$6:$G$16,Stocks!F$3,Movimientos!$A$6:$A$16,"&lt;="&amp;Stocks!$A$2)</f>
        <v>0</v>
      </c>
      <c r="G276" s="4">
        <f>SUMIFS(Movimientos!$E$6:$E$16,Movimientos!$C$6:$C$16,Stocks!$A276,Movimientos!$F$6:$F$16,Stocks!G$3,Movimientos!$A$6:$A$16,"&lt;="&amp;Stocks!$A$2)-SUMIFS(Movimientos!$E$6:$E$16,Movimientos!$C$6:$C$16,Stocks!$A276,Movimientos!$G$6:$G$16,Stocks!G$3,Movimientos!$A$6:$A$16,"&lt;="&amp;Stocks!$A$2)</f>
        <v>0</v>
      </c>
      <c r="H276" s="4">
        <f>SUMIFS(Movimientos!$E$6:$E$16,Movimientos!$C$6:$C$16,Stocks!$A276,Movimientos!$F$6:$F$16,Stocks!H$3,Movimientos!$A$6:$A$16,"&lt;="&amp;Stocks!$A$2)-SUMIFS(Movimientos!$E$6:$E$16,Movimientos!$C$6:$C$16,Stocks!$A276,Movimientos!$G$6:$G$16,Stocks!H$3,Movimientos!$A$6:$A$16,"&lt;="&amp;Stocks!$A$2)</f>
        <v>0</v>
      </c>
      <c r="I276" s="4">
        <f>SUMIFS(Movimientos!$E$6:$E$16,Movimientos!$C$6:$C$16,Stocks!$A276,Movimientos!$F$6:$F$16,Stocks!I$3,Movimientos!$A$6:$A$16,"&lt;="&amp;Stocks!$A$2)-SUMIFS(Movimientos!$E$6:$E$16,Movimientos!$C$6:$C$16,Stocks!$A276,Movimientos!$G$6:$G$16,Stocks!I$3,Movimientos!$A$6:$A$16,"&lt;="&amp;Stocks!$A$2)</f>
        <v>0</v>
      </c>
      <c r="J276" s="4">
        <f>SUMIFS(Movimientos!$E$6:$E$16,Movimientos!$C$6:$C$16,Stocks!$A276,Movimientos!$F$6:$F$16,Stocks!J$3,Movimientos!$A$6:$A$16,"&lt;="&amp;Stocks!$A$2)-SUMIFS(Movimientos!$E$6:$E$16,Movimientos!$C$6:$C$16,Stocks!$A276,Movimientos!$G$6:$G$16,Stocks!J$3,Movimientos!$A$6:$A$16,"&lt;="&amp;Stocks!$A$2)</f>
        <v>0</v>
      </c>
      <c r="K276" s="4">
        <f>SUMIFS(Movimientos!$E$6:$E$16,Movimientos!$C$6:$C$16,Stocks!$A276,Movimientos!$F$6:$F$16,Stocks!K$3,Movimientos!$A$6:$A$16,"&lt;="&amp;Stocks!$A$2)-SUMIFS(Movimientos!$E$6:$E$16,Movimientos!$C$6:$C$16,Stocks!$A276,Movimientos!$G$6:$G$16,Stocks!K$3,Movimientos!$A$6:$A$16,"&lt;="&amp;Stocks!$A$2)</f>
        <v>0</v>
      </c>
      <c r="L276" s="4">
        <f>SUMIFS(Movimientos!$E$6:$E$16,Movimientos!$C$6:$C$16,Stocks!$A276,Movimientos!$F$6:$F$16,Stocks!L$3,Movimientos!$A$6:$A$16,"&lt;="&amp;Stocks!$A$2)-SUMIFS(Movimientos!$E$6:$E$16,Movimientos!$C$6:$C$16,Stocks!$A276,Movimientos!$G$6:$G$16,Stocks!L$3,Movimientos!$A$6:$A$16,"&lt;="&amp;Stocks!$A$2)</f>
        <v>0</v>
      </c>
    </row>
    <row r="277" spans="1:12" x14ac:dyDescent="0.25">
      <c r="A277" t="str">
        <f>Codificación!A276</f>
        <v/>
      </c>
      <c r="B277" s="1">
        <f>Codificación!B276</f>
        <v>0</v>
      </c>
      <c r="E277" s="4">
        <f>SUMIFS(Movimientos!$E$6:$E$16,Movimientos!$C$6:$C$16,Stocks!$A277,Movimientos!$F$6:$F$16,Stocks!E$3,Movimientos!$A$6:$A$16,"&lt;="&amp;Stocks!$A$2)-SUMIFS(Movimientos!$E$6:$E$16,Movimientos!$C$6:$C$16,Stocks!$A277,Movimientos!$G$6:$G$16,Stocks!E$3,Movimientos!$A$6:$A$16,"&lt;="&amp;Stocks!$A$2)</f>
        <v>0</v>
      </c>
      <c r="F277" s="4">
        <f>SUMIFS(Movimientos!$E$6:$E$16,Movimientos!$C$6:$C$16,Stocks!$A277,Movimientos!$F$6:$F$16,Stocks!F$3,Movimientos!$A$6:$A$16,"&lt;="&amp;Stocks!$A$2)-SUMIFS(Movimientos!$E$6:$E$16,Movimientos!$C$6:$C$16,Stocks!$A277,Movimientos!$G$6:$G$16,Stocks!F$3,Movimientos!$A$6:$A$16,"&lt;="&amp;Stocks!$A$2)</f>
        <v>0</v>
      </c>
      <c r="G277" s="4">
        <f>SUMIFS(Movimientos!$E$6:$E$16,Movimientos!$C$6:$C$16,Stocks!$A277,Movimientos!$F$6:$F$16,Stocks!G$3,Movimientos!$A$6:$A$16,"&lt;="&amp;Stocks!$A$2)-SUMIFS(Movimientos!$E$6:$E$16,Movimientos!$C$6:$C$16,Stocks!$A277,Movimientos!$G$6:$G$16,Stocks!G$3,Movimientos!$A$6:$A$16,"&lt;="&amp;Stocks!$A$2)</f>
        <v>0</v>
      </c>
      <c r="H277" s="4">
        <f>SUMIFS(Movimientos!$E$6:$E$16,Movimientos!$C$6:$C$16,Stocks!$A277,Movimientos!$F$6:$F$16,Stocks!H$3,Movimientos!$A$6:$A$16,"&lt;="&amp;Stocks!$A$2)-SUMIFS(Movimientos!$E$6:$E$16,Movimientos!$C$6:$C$16,Stocks!$A277,Movimientos!$G$6:$G$16,Stocks!H$3,Movimientos!$A$6:$A$16,"&lt;="&amp;Stocks!$A$2)</f>
        <v>0</v>
      </c>
      <c r="I277" s="4">
        <f>SUMIFS(Movimientos!$E$6:$E$16,Movimientos!$C$6:$C$16,Stocks!$A277,Movimientos!$F$6:$F$16,Stocks!I$3,Movimientos!$A$6:$A$16,"&lt;="&amp;Stocks!$A$2)-SUMIFS(Movimientos!$E$6:$E$16,Movimientos!$C$6:$C$16,Stocks!$A277,Movimientos!$G$6:$G$16,Stocks!I$3,Movimientos!$A$6:$A$16,"&lt;="&amp;Stocks!$A$2)</f>
        <v>0</v>
      </c>
      <c r="J277" s="4">
        <f>SUMIFS(Movimientos!$E$6:$E$16,Movimientos!$C$6:$C$16,Stocks!$A277,Movimientos!$F$6:$F$16,Stocks!J$3,Movimientos!$A$6:$A$16,"&lt;="&amp;Stocks!$A$2)-SUMIFS(Movimientos!$E$6:$E$16,Movimientos!$C$6:$C$16,Stocks!$A277,Movimientos!$G$6:$G$16,Stocks!J$3,Movimientos!$A$6:$A$16,"&lt;="&amp;Stocks!$A$2)</f>
        <v>0</v>
      </c>
      <c r="K277" s="4">
        <f>SUMIFS(Movimientos!$E$6:$E$16,Movimientos!$C$6:$C$16,Stocks!$A277,Movimientos!$F$6:$F$16,Stocks!K$3,Movimientos!$A$6:$A$16,"&lt;="&amp;Stocks!$A$2)-SUMIFS(Movimientos!$E$6:$E$16,Movimientos!$C$6:$C$16,Stocks!$A277,Movimientos!$G$6:$G$16,Stocks!K$3,Movimientos!$A$6:$A$16,"&lt;="&amp;Stocks!$A$2)</f>
        <v>0</v>
      </c>
      <c r="L277" s="4">
        <f>SUMIFS(Movimientos!$E$6:$E$16,Movimientos!$C$6:$C$16,Stocks!$A277,Movimientos!$F$6:$F$16,Stocks!L$3,Movimientos!$A$6:$A$16,"&lt;="&amp;Stocks!$A$2)-SUMIFS(Movimientos!$E$6:$E$16,Movimientos!$C$6:$C$16,Stocks!$A277,Movimientos!$G$6:$G$16,Stocks!L$3,Movimientos!$A$6:$A$16,"&lt;="&amp;Stocks!$A$2)</f>
        <v>0</v>
      </c>
    </row>
    <row r="278" spans="1:12" x14ac:dyDescent="0.25">
      <c r="A278" t="str">
        <f>Codificación!A277</f>
        <v/>
      </c>
      <c r="B278" s="1">
        <f>Codificación!B277</f>
        <v>0</v>
      </c>
      <c r="E278" s="4">
        <f>SUMIFS(Movimientos!$E$6:$E$16,Movimientos!$C$6:$C$16,Stocks!$A278,Movimientos!$F$6:$F$16,Stocks!E$3,Movimientos!$A$6:$A$16,"&lt;="&amp;Stocks!$A$2)-SUMIFS(Movimientos!$E$6:$E$16,Movimientos!$C$6:$C$16,Stocks!$A278,Movimientos!$G$6:$G$16,Stocks!E$3,Movimientos!$A$6:$A$16,"&lt;="&amp;Stocks!$A$2)</f>
        <v>0</v>
      </c>
      <c r="F278" s="4">
        <f>SUMIFS(Movimientos!$E$6:$E$16,Movimientos!$C$6:$C$16,Stocks!$A278,Movimientos!$F$6:$F$16,Stocks!F$3,Movimientos!$A$6:$A$16,"&lt;="&amp;Stocks!$A$2)-SUMIFS(Movimientos!$E$6:$E$16,Movimientos!$C$6:$C$16,Stocks!$A278,Movimientos!$G$6:$G$16,Stocks!F$3,Movimientos!$A$6:$A$16,"&lt;="&amp;Stocks!$A$2)</f>
        <v>0</v>
      </c>
      <c r="G278" s="4">
        <f>SUMIFS(Movimientos!$E$6:$E$16,Movimientos!$C$6:$C$16,Stocks!$A278,Movimientos!$F$6:$F$16,Stocks!G$3,Movimientos!$A$6:$A$16,"&lt;="&amp;Stocks!$A$2)-SUMIFS(Movimientos!$E$6:$E$16,Movimientos!$C$6:$C$16,Stocks!$A278,Movimientos!$G$6:$G$16,Stocks!G$3,Movimientos!$A$6:$A$16,"&lt;="&amp;Stocks!$A$2)</f>
        <v>0</v>
      </c>
      <c r="H278" s="4">
        <f>SUMIFS(Movimientos!$E$6:$E$16,Movimientos!$C$6:$C$16,Stocks!$A278,Movimientos!$F$6:$F$16,Stocks!H$3,Movimientos!$A$6:$A$16,"&lt;="&amp;Stocks!$A$2)-SUMIFS(Movimientos!$E$6:$E$16,Movimientos!$C$6:$C$16,Stocks!$A278,Movimientos!$G$6:$G$16,Stocks!H$3,Movimientos!$A$6:$A$16,"&lt;="&amp;Stocks!$A$2)</f>
        <v>0</v>
      </c>
      <c r="I278" s="4">
        <f>SUMIFS(Movimientos!$E$6:$E$16,Movimientos!$C$6:$C$16,Stocks!$A278,Movimientos!$F$6:$F$16,Stocks!I$3,Movimientos!$A$6:$A$16,"&lt;="&amp;Stocks!$A$2)-SUMIFS(Movimientos!$E$6:$E$16,Movimientos!$C$6:$C$16,Stocks!$A278,Movimientos!$G$6:$G$16,Stocks!I$3,Movimientos!$A$6:$A$16,"&lt;="&amp;Stocks!$A$2)</f>
        <v>0</v>
      </c>
      <c r="J278" s="4">
        <f>SUMIFS(Movimientos!$E$6:$E$16,Movimientos!$C$6:$C$16,Stocks!$A278,Movimientos!$F$6:$F$16,Stocks!J$3,Movimientos!$A$6:$A$16,"&lt;="&amp;Stocks!$A$2)-SUMIFS(Movimientos!$E$6:$E$16,Movimientos!$C$6:$C$16,Stocks!$A278,Movimientos!$G$6:$G$16,Stocks!J$3,Movimientos!$A$6:$A$16,"&lt;="&amp;Stocks!$A$2)</f>
        <v>0</v>
      </c>
      <c r="K278" s="4">
        <f>SUMIFS(Movimientos!$E$6:$E$16,Movimientos!$C$6:$C$16,Stocks!$A278,Movimientos!$F$6:$F$16,Stocks!K$3,Movimientos!$A$6:$A$16,"&lt;="&amp;Stocks!$A$2)-SUMIFS(Movimientos!$E$6:$E$16,Movimientos!$C$6:$C$16,Stocks!$A278,Movimientos!$G$6:$G$16,Stocks!K$3,Movimientos!$A$6:$A$16,"&lt;="&amp;Stocks!$A$2)</f>
        <v>0</v>
      </c>
      <c r="L278" s="4">
        <f>SUMIFS(Movimientos!$E$6:$E$16,Movimientos!$C$6:$C$16,Stocks!$A278,Movimientos!$F$6:$F$16,Stocks!L$3,Movimientos!$A$6:$A$16,"&lt;="&amp;Stocks!$A$2)-SUMIFS(Movimientos!$E$6:$E$16,Movimientos!$C$6:$C$16,Stocks!$A278,Movimientos!$G$6:$G$16,Stocks!L$3,Movimientos!$A$6:$A$16,"&lt;="&amp;Stocks!$A$2)</f>
        <v>0</v>
      </c>
    </row>
    <row r="279" spans="1:12" x14ac:dyDescent="0.25">
      <c r="A279" t="str">
        <f>Codificación!A278</f>
        <v/>
      </c>
      <c r="B279" s="1">
        <f>Codificación!B278</f>
        <v>0</v>
      </c>
      <c r="E279" s="4">
        <f>SUMIFS(Movimientos!$E$6:$E$16,Movimientos!$C$6:$C$16,Stocks!$A279,Movimientos!$F$6:$F$16,Stocks!E$3,Movimientos!$A$6:$A$16,"&lt;="&amp;Stocks!$A$2)-SUMIFS(Movimientos!$E$6:$E$16,Movimientos!$C$6:$C$16,Stocks!$A279,Movimientos!$G$6:$G$16,Stocks!E$3,Movimientos!$A$6:$A$16,"&lt;="&amp;Stocks!$A$2)</f>
        <v>0</v>
      </c>
      <c r="F279" s="4">
        <f>SUMIFS(Movimientos!$E$6:$E$16,Movimientos!$C$6:$C$16,Stocks!$A279,Movimientos!$F$6:$F$16,Stocks!F$3,Movimientos!$A$6:$A$16,"&lt;="&amp;Stocks!$A$2)-SUMIFS(Movimientos!$E$6:$E$16,Movimientos!$C$6:$C$16,Stocks!$A279,Movimientos!$G$6:$G$16,Stocks!F$3,Movimientos!$A$6:$A$16,"&lt;="&amp;Stocks!$A$2)</f>
        <v>0</v>
      </c>
      <c r="G279" s="4">
        <f>SUMIFS(Movimientos!$E$6:$E$16,Movimientos!$C$6:$C$16,Stocks!$A279,Movimientos!$F$6:$F$16,Stocks!G$3,Movimientos!$A$6:$A$16,"&lt;="&amp;Stocks!$A$2)-SUMIFS(Movimientos!$E$6:$E$16,Movimientos!$C$6:$C$16,Stocks!$A279,Movimientos!$G$6:$G$16,Stocks!G$3,Movimientos!$A$6:$A$16,"&lt;="&amp;Stocks!$A$2)</f>
        <v>0</v>
      </c>
      <c r="H279" s="4">
        <f>SUMIFS(Movimientos!$E$6:$E$16,Movimientos!$C$6:$C$16,Stocks!$A279,Movimientos!$F$6:$F$16,Stocks!H$3,Movimientos!$A$6:$A$16,"&lt;="&amp;Stocks!$A$2)-SUMIFS(Movimientos!$E$6:$E$16,Movimientos!$C$6:$C$16,Stocks!$A279,Movimientos!$G$6:$G$16,Stocks!H$3,Movimientos!$A$6:$A$16,"&lt;="&amp;Stocks!$A$2)</f>
        <v>0</v>
      </c>
      <c r="I279" s="4">
        <f>SUMIFS(Movimientos!$E$6:$E$16,Movimientos!$C$6:$C$16,Stocks!$A279,Movimientos!$F$6:$F$16,Stocks!I$3,Movimientos!$A$6:$A$16,"&lt;="&amp;Stocks!$A$2)-SUMIFS(Movimientos!$E$6:$E$16,Movimientos!$C$6:$C$16,Stocks!$A279,Movimientos!$G$6:$G$16,Stocks!I$3,Movimientos!$A$6:$A$16,"&lt;="&amp;Stocks!$A$2)</f>
        <v>0</v>
      </c>
      <c r="J279" s="4">
        <f>SUMIFS(Movimientos!$E$6:$E$16,Movimientos!$C$6:$C$16,Stocks!$A279,Movimientos!$F$6:$F$16,Stocks!J$3,Movimientos!$A$6:$A$16,"&lt;="&amp;Stocks!$A$2)-SUMIFS(Movimientos!$E$6:$E$16,Movimientos!$C$6:$C$16,Stocks!$A279,Movimientos!$G$6:$G$16,Stocks!J$3,Movimientos!$A$6:$A$16,"&lt;="&amp;Stocks!$A$2)</f>
        <v>0</v>
      </c>
      <c r="K279" s="4">
        <f>SUMIFS(Movimientos!$E$6:$E$16,Movimientos!$C$6:$C$16,Stocks!$A279,Movimientos!$F$6:$F$16,Stocks!K$3,Movimientos!$A$6:$A$16,"&lt;="&amp;Stocks!$A$2)-SUMIFS(Movimientos!$E$6:$E$16,Movimientos!$C$6:$C$16,Stocks!$A279,Movimientos!$G$6:$G$16,Stocks!K$3,Movimientos!$A$6:$A$16,"&lt;="&amp;Stocks!$A$2)</f>
        <v>0</v>
      </c>
      <c r="L279" s="4">
        <f>SUMIFS(Movimientos!$E$6:$E$16,Movimientos!$C$6:$C$16,Stocks!$A279,Movimientos!$F$6:$F$16,Stocks!L$3,Movimientos!$A$6:$A$16,"&lt;="&amp;Stocks!$A$2)-SUMIFS(Movimientos!$E$6:$E$16,Movimientos!$C$6:$C$16,Stocks!$A279,Movimientos!$G$6:$G$16,Stocks!L$3,Movimientos!$A$6:$A$16,"&lt;="&amp;Stocks!$A$2)</f>
        <v>0</v>
      </c>
    </row>
    <row r="280" spans="1:12" x14ac:dyDescent="0.25">
      <c r="A280" t="str">
        <f>Codificación!A279</f>
        <v/>
      </c>
      <c r="B280" s="1">
        <f>Codificación!B279</f>
        <v>0</v>
      </c>
      <c r="E280" s="4">
        <f>SUMIFS(Movimientos!$E$6:$E$16,Movimientos!$C$6:$C$16,Stocks!$A280,Movimientos!$F$6:$F$16,Stocks!E$3,Movimientos!$A$6:$A$16,"&lt;="&amp;Stocks!$A$2)-SUMIFS(Movimientos!$E$6:$E$16,Movimientos!$C$6:$C$16,Stocks!$A280,Movimientos!$G$6:$G$16,Stocks!E$3,Movimientos!$A$6:$A$16,"&lt;="&amp;Stocks!$A$2)</f>
        <v>0</v>
      </c>
      <c r="F280" s="4">
        <f>SUMIFS(Movimientos!$E$6:$E$16,Movimientos!$C$6:$C$16,Stocks!$A280,Movimientos!$F$6:$F$16,Stocks!F$3,Movimientos!$A$6:$A$16,"&lt;="&amp;Stocks!$A$2)-SUMIFS(Movimientos!$E$6:$E$16,Movimientos!$C$6:$C$16,Stocks!$A280,Movimientos!$G$6:$G$16,Stocks!F$3,Movimientos!$A$6:$A$16,"&lt;="&amp;Stocks!$A$2)</f>
        <v>0</v>
      </c>
      <c r="G280" s="4">
        <f>SUMIFS(Movimientos!$E$6:$E$16,Movimientos!$C$6:$C$16,Stocks!$A280,Movimientos!$F$6:$F$16,Stocks!G$3,Movimientos!$A$6:$A$16,"&lt;="&amp;Stocks!$A$2)-SUMIFS(Movimientos!$E$6:$E$16,Movimientos!$C$6:$C$16,Stocks!$A280,Movimientos!$G$6:$G$16,Stocks!G$3,Movimientos!$A$6:$A$16,"&lt;="&amp;Stocks!$A$2)</f>
        <v>0</v>
      </c>
      <c r="H280" s="4">
        <f>SUMIFS(Movimientos!$E$6:$E$16,Movimientos!$C$6:$C$16,Stocks!$A280,Movimientos!$F$6:$F$16,Stocks!H$3,Movimientos!$A$6:$A$16,"&lt;="&amp;Stocks!$A$2)-SUMIFS(Movimientos!$E$6:$E$16,Movimientos!$C$6:$C$16,Stocks!$A280,Movimientos!$G$6:$G$16,Stocks!H$3,Movimientos!$A$6:$A$16,"&lt;="&amp;Stocks!$A$2)</f>
        <v>0</v>
      </c>
      <c r="I280" s="4">
        <f>SUMIFS(Movimientos!$E$6:$E$16,Movimientos!$C$6:$C$16,Stocks!$A280,Movimientos!$F$6:$F$16,Stocks!I$3,Movimientos!$A$6:$A$16,"&lt;="&amp;Stocks!$A$2)-SUMIFS(Movimientos!$E$6:$E$16,Movimientos!$C$6:$C$16,Stocks!$A280,Movimientos!$G$6:$G$16,Stocks!I$3,Movimientos!$A$6:$A$16,"&lt;="&amp;Stocks!$A$2)</f>
        <v>0</v>
      </c>
      <c r="J280" s="4">
        <f>SUMIFS(Movimientos!$E$6:$E$16,Movimientos!$C$6:$C$16,Stocks!$A280,Movimientos!$F$6:$F$16,Stocks!J$3,Movimientos!$A$6:$A$16,"&lt;="&amp;Stocks!$A$2)-SUMIFS(Movimientos!$E$6:$E$16,Movimientos!$C$6:$C$16,Stocks!$A280,Movimientos!$G$6:$G$16,Stocks!J$3,Movimientos!$A$6:$A$16,"&lt;="&amp;Stocks!$A$2)</f>
        <v>0</v>
      </c>
      <c r="K280" s="4">
        <f>SUMIFS(Movimientos!$E$6:$E$16,Movimientos!$C$6:$C$16,Stocks!$A280,Movimientos!$F$6:$F$16,Stocks!K$3,Movimientos!$A$6:$A$16,"&lt;="&amp;Stocks!$A$2)-SUMIFS(Movimientos!$E$6:$E$16,Movimientos!$C$6:$C$16,Stocks!$A280,Movimientos!$G$6:$G$16,Stocks!K$3,Movimientos!$A$6:$A$16,"&lt;="&amp;Stocks!$A$2)</f>
        <v>0</v>
      </c>
      <c r="L280" s="4">
        <f>SUMIFS(Movimientos!$E$6:$E$16,Movimientos!$C$6:$C$16,Stocks!$A280,Movimientos!$F$6:$F$16,Stocks!L$3,Movimientos!$A$6:$A$16,"&lt;="&amp;Stocks!$A$2)-SUMIFS(Movimientos!$E$6:$E$16,Movimientos!$C$6:$C$16,Stocks!$A280,Movimientos!$G$6:$G$16,Stocks!L$3,Movimientos!$A$6:$A$16,"&lt;="&amp;Stocks!$A$2)</f>
        <v>0</v>
      </c>
    </row>
    <row r="281" spans="1:12" x14ac:dyDescent="0.25">
      <c r="A281" t="str">
        <f>Codificación!A280</f>
        <v/>
      </c>
      <c r="B281" s="1">
        <f>Codificación!B280</f>
        <v>0</v>
      </c>
      <c r="E281" s="4">
        <f>SUMIFS(Movimientos!$E$6:$E$16,Movimientos!$C$6:$C$16,Stocks!$A281,Movimientos!$F$6:$F$16,Stocks!E$3,Movimientos!$A$6:$A$16,"&lt;="&amp;Stocks!$A$2)-SUMIFS(Movimientos!$E$6:$E$16,Movimientos!$C$6:$C$16,Stocks!$A281,Movimientos!$G$6:$G$16,Stocks!E$3,Movimientos!$A$6:$A$16,"&lt;="&amp;Stocks!$A$2)</f>
        <v>0</v>
      </c>
      <c r="F281" s="4">
        <f>SUMIFS(Movimientos!$E$6:$E$16,Movimientos!$C$6:$C$16,Stocks!$A281,Movimientos!$F$6:$F$16,Stocks!F$3,Movimientos!$A$6:$A$16,"&lt;="&amp;Stocks!$A$2)-SUMIFS(Movimientos!$E$6:$E$16,Movimientos!$C$6:$C$16,Stocks!$A281,Movimientos!$G$6:$G$16,Stocks!F$3,Movimientos!$A$6:$A$16,"&lt;="&amp;Stocks!$A$2)</f>
        <v>0</v>
      </c>
      <c r="G281" s="4">
        <f>SUMIFS(Movimientos!$E$6:$E$16,Movimientos!$C$6:$C$16,Stocks!$A281,Movimientos!$F$6:$F$16,Stocks!G$3,Movimientos!$A$6:$A$16,"&lt;="&amp;Stocks!$A$2)-SUMIFS(Movimientos!$E$6:$E$16,Movimientos!$C$6:$C$16,Stocks!$A281,Movimientos!$G$6:$G$16,Stocks!G$3,Movimientos!$A$6:$A$16,"&lt;="&amp;Stocks!$A$2)</f>
        <v>0</v>
      </c>
      <c r="H281" s="4">
        <f>SUMIFS(Movimientos!$E$6:$E$16,Movimientos!$C$6:$C$16,Stocks!$A281,Movimientos!$F$6:$F$16,Stocks!H$3,Movimientos!$A$6:$A$16,"&lt;="&amp;Stocks!$A$2)-SUMIFS(Movimientos!$E$6:$E$16,Movimientos!$C$6:$C$16,Stocks!$A281,Movimientos!$G$6:$G$16,Stocks!H$3,Movimientos!$A$6:$A$16,"&lt;="&amp;Stocks!$A$2)</f>
        <v>0</v>
      </c>
      <c r="I281" s="4">
        <f>SUMIFS(Movimientos!$E$6:$E$16,Movimientos!$C$6:$C$16,Stocks!$A281,Movimientos!$F$6:$F$16,Stocks!I$3,Movimientos!$A$6:$A$16,"&lt;="&amp;Stocks!$A$2)-SUMIFS(Movimientos!$E$6:$E$16,Movimientos!$C$6:$C$16,Stocks!$A281,Movimientos!$G$6:$G$16,Stocks!I$3,Movimientos!$A$6:$A$16,"&lt;="&amp;Stocks!$A$2)</f>
        <v>0</v>
      </c>
      <c r="J281" s="4">
        <f>SUMIFS(Movimientos!$E$6:$E$16,Movimientos!$C$6:$C$16,Stocks!$A281,Movimientos!$F$6:$F$16,Stocks!J$3,Movimientos!$A$6:$A$16,"&lt;="&amp;Stocks!$A$2)-SUMIFS(Movimientos!$E$6:$E$16,Movimientos!$C$6:$C$16,Stocks!$A281,Movimientos!$G$6:$G$16,Stocks!J$3,Movimientos!$A$6:$A$16,"&lt;="&amp;Stocks!$A$2)</f>
        <v>0</v>
      </c>
      <c r="K281" s="4">
        <f>SUMIFS(Movimientos!$E$6:$E$16,Movimientos!$C$6:$C$16,Stocks!$A281,Movimientos!$F$6:$F$16,Stocks!K$3,Movimientos!$A$6:$A$16,"&lt;="&amp;Stocks!$A$2)-SUMIFS(Movimientos!$E$6:$E$16,Movimientos!$C$6:$C$16,Stocks!$A281,Movimientos!$G$6:$G$16,Stocks!K$3,Movimientos!$A$6:$A$16,"&lt;="&amp;Stocks!$A$2)</f>
        <v>0</v>
      </c>
      <c r="L281" s="4">
        <f>SUMIFS(Movimientos!$E$6:$E$16,Movimientos!$C$6:$C$16,Stocks!$A281,Movimientos!$F$6:$F$16,Stocks!L$3,Movimientos!$A$6:$A$16,"&lt;="&amp;Stocks!$A$2)-SUMIFS(Movimientos!$E$6:$E$16,Movimientos!$C$6:$C$16,Stocks!$A281,Movimientos!$G$6:$G$16,Stocks!L$3,Movimientos!$A$6:$A$16,"&lt;="&amp;Stocks!$A$2)</f>
        <v>0</v>
      </c>
    </row>
    <row r="282" spans="1:12" x14ac:dyDescent="0.25">
      <c r="A282" t="str">
        <f>Codificación!A281</f>
        <v/>
      </c>
      <c r="B282" s="1">
        <f>Codificación!B281</f>
        <v>0</v>
      </c>
      <c r="E282" s="4">
        <f>SUMIFS(Movimientos!$E$6:$E$16,Movimientos!$C$6:$C$16,Stocks!$A282,Movimientos!$F$6:$F$16,Stocks!E$3,Movimientos!$A$6:$A$16,"&lt;="&amp;Stocks!$A$2)-SUMIFS(Movimientos!$E$6:$E$16,Movimientos!$C$6:$C$16,Stocks!$A282,Movimientos!$G$6:$G$16,Stocks!E$3,Movimientos!$A$6:$A$16,"&lt;="&amp;Stocks!$A$2)</f>
        <v>0</v>
      </c>
      <c r="F282" s="4">
        <f>SUMIFS(Movimientos!$E$6:$E$16,Movimientos!$C$6:$C$16,Stocks!$A282,Movimientos!$F$6:$F$16,Stocks!F$3,Movimientos!$A$6:$A$16,"&lt;="&amp;Stocks!$A$2)-SUMIFS(Movimientos!$E$6:$E$16,Movimientos!$C$6:$C$16,Stocks!$A282,Movimientos!$G$6:$G$16,Stocks!F$3,Movimientos!$A$6:$A$16,"&lt;="&amp;Stocks!$A$2)</f>
        <v>0</v>
      </c>
      <c r="G282" s="4">
        <f>SUMIFS(Movimientos!$E$6:$E$16,Movimientos!$C$6:$C$16,Stocks!$A282,Movimientos!$F$6:$F$16,Stocks!G$3,Movimientos!$A$6:$A$16,"&lt;="&amp;Stocks!$A$2)-SUMIFS(Movimientos!$E$6:$E$16,Movimientos!$C$6:$C$16,Stocks!$A282,Movimientos!$G$6:$G$16,Stocks!G$3,Movimientos!$A$6:$A$16,"&lt;="&amp;Stocks!$A$2)</f>
        <v>0</v>
      </c>
      <c r="H282" s="4">
        <f>SUMIFS(Movimientos!$E$6:$E$16,Movimientos!$C$6:$C$16,Stocks!$A282,Movimientos!$F$6:$F$16,Stocks!H$3,Movimientos!$A$6:$A$16,"&lt;="&amp;Stocks!$A$2)-SUMIFS(Movimientos!$E$6:$E$16,Movimientos!$C$6:$C$16,Stocks!$A282,Movimientos!$G$6:$G$16,Stocks!H$3,Movimientos!$A$6:$A$16,"&lt;="&amp;Stocks!$A$2)</f>
        <v>0</v>
      </c>
      <c r="I282" s="4">
        <f>SUMIFS(Movimientos!$E$6:$E$16,Movimientos!$C$6:$C$16,Stocks!$A282,Movimientos!$F$6:$F$16,Stocks!I$3,Movimientos!$A$6:$A$16,"&lt;="&amp;Stocks!$A$2)-SUMIFS(Movimientos!$E$6:$E$16,Movimientos!$C$6:$C$16,Stocks!$A282,Movimientos!$G$6:$G$16,Stocks!I$3,Movimientos!$A$6:$A$16,"&lt;="&amp;Stocks!$A$2)</f>
        <v>0</v>
      </c>
      <c r="J282" s="4">
        <f>SUMIFS(Movimientos!$E$6:$E$16,Movimientos!$C$6:$C$16,Stocks!$A282,Movimientos!$F$6:$F$16,Stocks!J$3,Movimientos!$A$6:$A$16,"&lt;="&amp;Stocks!$A$2)-SUMIFS(Movimientos!$E$6:$E$16,Movimientos!$C$6:$C$16,Stocks!$A282,Movimientos!$G$6:$G$16,Stocks!J$3,Movimientos!$A$6:$A$16,"&lt;="&amp;Stocks!$A$2)</f>
        <v>0</v>
      </c>
      <c r="K282" s="4">
        <f>SUMIFS(Movimientos!$E$6:$E$16,Movimientos!$C$6:$C$16,Stocks!$A282,Movimientos!$F$6:$F$16,Stocks!K$3,Movimientos!$A$6:$A$16,"&lt;="&amp;Stocks!$A$2)-SUMIFS(Movimientos!$E$6:$E$16,Movimientos!$C$6:$C$16,Stocks!$A282,Movimientos!$G$6:$G$16,Stocks!K$3,Movimientos!$A$6:$A$16,"&lt;="&amp;Stocks!$A$2)</f>
        <v>0</v>
      </c>
      <c r="L282" s="4">
        <f>SUMIFS(Movimientos!$E$6:$E$16,Movimientos!$C$6:$C$16,Stocks!$A282,Movimientos!$F$6:$F$16,Stocks!L$3,Movimientos!$A$6:$A$16,"&lt;="&amp;Stocks!$A$2)-SUMIFS(Movimientos!$E$6:$E$16,Movimientos!$C$6:$C$16,Stocks!$A282,Movimientos!$G$6:$G$16,Stocks!L$3,Movimientos!$A$6:$A$16,"&lt;="&amp;Stocks!$A$2)</f>
        <v>0</v>
      </c>
    </row>
    <row r="283" spans="1:12" x14ac:dyDescent="0.25">
      <c r="A283" t="str">
        <f>Codificación!A282</f>
        <v/>
      </c>
      <c r="B283" s="1">
        <f>Codificación!B282</f>
        <v>0</v>
      </c>
      <c r="E283" s="4">
        <f>SUMIFS(Movimientos!$E$6:$E$16,Movimientos!$C$6:$C$16,Stocks!$A283,Movimientos!$F$6:$F$16,Stocks!E$3,Movimientos!$A$6:$A$16,"&lt;="&amp;Stocks!$A$2)-SUMIFS(Movimientos!$E$6:$E$16,Movimientos!$C$6:$C$16,Stocks!$A283,Movimientos!$G$6:$G$16,Stocks!E$3,Movimientos!$A$6:$A$16,"&lt;="&amp;Stocks!$A$2)</f>
        <v>0</v>
      </c>
      <c r="F283" s="4">
        <f>SUMIFS(Movimientos!$E$6:$E$16,Movimientos!$C$6:$C$16,Stocks!$A283,Movimientos!$F$6:$F$16,Stocks!F$3,Movimientos!$A$6:$A$16,"&lt;="&amp;Stocks!$A$2)-SUMIFS(Movimientos!$E$6:$E$16,Movimientos!$C$6:$C$16,Stocks!$A283,Movimientos!$G$6:$G$16,Stocks!F$3,Movimientos!$A$6:$A$16,"&lt;="&amp;Stocks!$A$2)</f>
        <v>0</v>
      </c>
      <c r="G283" s="4">
        <f>SUMIFS(Movimientos!$E$6:$E$16,Movimientos!$C$6:$C$16,Stocks!$A283,Movimientos!$F$6:$F$16,Stocks!G$3,Movimientos!$A$6:$A$16,"&lt;="&amp;Stocks!$A$2)-SUMIFS(Movimientos!$E$6:$E$16,Movimientos!$C$6:$C$16,Stocks!$A283,Movimientos!$G$6:$G$16,Stocks!G$3,Movimientos!$A$6:$A$16,"&lt;="&amp;Stocks!$A$2)</f>
        <v>0</v>
      </c>
      <c r="H283" s="4">
        <f>SUMIFS(Movimientos!$E$6:$E$16,Movimientos!$C$6:$C$16,Stocks!$A283,Movimientos!$F$6:$F$16,Stocks!H$3,Movimientos!$A$6:$A$16,"&lt;="&amp;Stocks!$A$2)-SUMIFS(Movimientos!$E$6:$E$16,Movimientos!$C$6:$C$16,Stocks!$A283,Movimientos!$G$6:$G$16,Stocks!H$3,Movimientos!$A$6:$A$16,"&lt;="&amp;Stocks!$A$2)</f>
        <v>0</v>
      </c>
      <c r="I283" s="4">
        <f>SUMIFS(Movimientos!$E$6:$E$16,Movimientos!$C$6:$C$16,Stocks!$A283,Movimientos!$F$6:$F$16,Stocks!I$3,Movimientos!$A$6:$A$16,"&lt;="&amp;Stocks!$A$2)-SUMIFS(Movimientos!$E$6:$E$16,Movimientos!$C$6:$C$16,Stocks!$A283,Movimientos!$G$6:$G$16,Stocks!I$3,Movimientos!$A$6:$A$16,"&lt;="&amp;Stocks!$A$2)</f>
        <v>0</v>
      </c>
      <c r="J283" s="4">
        <f>SUMIFS(Movimientos!$E$6:$E$16,Movimientos!$C$6:$C$16,Stocks!$A283,Movimientos!$F$6:$F$16,Stocks!J$3,Movimientos!$A$6:$A$16,"&lt;="&amp;Stocks!$A$2)-SUMIFS(Movimientos!$E$6:$E$16,Movimientos!$C$6:$C$16,Stocks!$A283,Movimientos!$G$6:$G$16,Stocks!J$3,Movimientos!$A$6:$A$16,"&lt;="&amp;Stocks!$A$2)</f>
        <v>0</v>
      </c>
      <c r="K283" s="4">
        <f>SUMIFS(Movimientos!$E$6:$E$16,Movimientos!$C$6:$C$16,Stocks!$A283,Movimientos!$F$6:$F$16,Stocks!K$3,Movimientos!$A$6:$A$16,"&lt;="&amp;Stocks!$A$2)-SUMIFS(Movimientos!$E$6:$E$16,Movimientos!$C$6:$C$16,Stocks!$A283,Movimientos!$G$6:$G$16,Stocks!K$3,Movimientos!$A$6:$A$16,"&lt;="&amp;Stocks!$A$2)</f>
        <v>0</v>
      </c>
      <c r="L283" s="4">
        <f>SUMIFS(Movimientos!$E$6:$E$16,Movimientos!$C$6:$C$16,Stocks!$A283,Movimientos!$F$6:$F$16,Stocks!L$3,Movimientos!$A$6:$A$16,"&lt;="&amp;Stocks!$A$2)-SUMIFS(Movimientos!$E$6:$E$16,Movimientos!$C$6:$C$16,Stocks!$A283,Movimientos!$G$6:$G$16,Stocks!L$3,Movimientos!$A$6:$A$16,"&lt;="&amp;Stocks!$A$2)</f>
        <v>0</v>
      </c>
    </row>
    <row r="284" spans="1:12" x14ac:dyDescent="0.25">
      <c r="A284" t="str">
        <f>Codificación!A283</f>
        <v/>
      </c>
      <c r="B284" s="1">
        <f>Codificación!B283</f>
        <v>0</v>
      </c>
      <c r="E284" s="4">
        <f>SUMIFS(Movimientos!$E$6:$E$16,Movimientos!$C$6:$C$16,Stocks!$A284,Movimientos!$F$6:$F$16,Stocks!E$3,Movimientos!$A$6:$A$16,"&lt;="&amp;Stocks!$A$2)-SUMIFS(Movimientos!$E$6:$E$16,Movimientos!$C$6:$C$16,Stocks!$A284,Movimientos!$G$6:$G$16,Stocks!E$3,Movimientos!$A$6:$A$16,"&lt;="&amp;Stocks!$A$2)</f>
        <v>0</v>
      </c>
      <c r="F284" s="4">
        <f>SUMIFS(Movimientos!$E$6:$E$16,Movimientos!$C$6:$C$16,Stocks!$A284,Movimientos!$F$6:$F$16,Stocks!F$3,Movimientos!$A$6:$A$16,"&lt;="&amp;Stocks!$A$2)-SUMIFS(Movimientos!$E$6:$E$16,Movimientos!$C$6:$C$16,Stocks!$A284,Movimientos!$G$6:$G$16,Stocks!F$3,Movimientos!$A$6:$A$16,"&lt;="&amp;Stocks!$A$2)</f>
        <v>0</v>
      </c>
      <c r="G284" s="4">
        <f>SUMIFS(Movimientos!$E$6:$E$16,Movimientos!$C$6:$C$16,Stocks!$A284,Movimientos!$F$6:$F$16,Stocks!G$3,Movimientos!$A$6:$A$16,"&lt;="&amp;Stocks!$A$2)-SUMIFS(Movimientos!$E$6:$E$16,Movimientos!$C$6:$C$16,Stocks!$A284,Movimientos!$G$6:$G$16,Stocks!G$3,Movimientos!$A$6:$A$16,"&lt;="&amp;Stocks!$A$2)</f>
        <v>0</v>
      </c>
      <c r="H284" s="4">
        <f>SUMIFS(Movimientos!$E$6:$E$16,Movimientos!$C$6:$C$16,Stocks!$A284,Movimientos!$F$6:$F$16,Stocks!H$3,Movimientos!$A$6:$A$16,"&lt;="&amp;Stocks!$A$2)-SUMIFS(Movimientos!$E$6:$E$16,Movimientos!$C$6:$C$16,Stocks!$A284,Movimientos!$G$6:$G$16,Stocks!H$3,Movimientos!$A$6:$A$16,"&lt;="&amp;Stocks!$A$2)</f>
        <v>0</v>
      </c>
      <c r="I284" s="4">
        <f>SUMIFS(Movimientos!$E$6:$E$16,Movimientos!$C$6:$C$16,Stocks!$A284,Movimientos!$F$6:$F$16,Stocks!I$3,Movimientos!$A$6:$A$16,"&lt;="&amp;Stocks!$A$2)-SUMIFS(Movimientos!$E$6:$E$16,Movimientos!$C$6:$C$16,Stocks!$A284,Movimientos!$G$6:$G$16,Stocks!I$3,Movimientos!$A$6:$A$16,"&lt;="&amp;Stocks!$A$2)</f>
        <v>0</v>
      </c>
      <c r="J284" s="4">
        <f>SUMIFS(Movimientos!$E$6:$E$16,Movimientos!$C$6:$C$16,Stocks!$A284,Movimientos!$F$6:$F$16,Stocks!J$3,Movimientos!$A$6:$A$16,"&lt;="&amp;Stocks!$A$2)-SUMIFS(Movimientos!$E$6:$E$16,Movimientos!$C$6:$C$16,Stocks!$A284,Movimientos!$G$6:$G$16,Stocks!J$3,Movimientos!$A$6:$A$16,"&lt;="&amp;Stocks!$A$2)</f>
        <v>0</v>
      </c>
      <c r="K284" s="4">
        <f>SUMIFS(Movimientos!$E$6:$E$16,Movimientos!$C$6:$C$16,Stocks!$A284,Movimientos!$F$6:$F$16,Stocks!K$3,Movimientos!$A$6:$A$16,"&lt;="&amp;Stocks!$A$2)-SUMIFS(Movimientos!$E$6:$E$16,Movimientos!$C$6:$C$16,Stocks!$A284,Movimientos!$G$6:$G$16,Stocks!K$3,Movimientos!$A$6:$A$16,"&lt;="&amp;Stocks!$A$2)</f>
        <v>0</v>
      </c>
      <c r="L284" s="4">
        <f>SUMIFS(Movimientos!$E$6:$E$16,Movimientos!$C$6:$C$16,Stocks!$A284,Movimientos!$F$6:$F$16,Stocks!L$3,Movimientos!$A$6:$A$16,"&lt;="&amp;Stocks!$A$2)-SUMIFS(Movimientos!$E$6:$E$16,Movimientos!$C$6:$C$16,Stocks!$A284,Movimientos!$G$6:$G$16,Stocks!L$3,Movimientos!$A$6:$A$16,"&lt;="&amp;Stocks!$A$2)</f>
        <v>0</v>
      </c>
    </row>
    <row r="285" spans="1:12" x14ac:dyDescent="0.25">
      <c r="A285" t="str">
        <f>Codificación!A284</f>
        <v/>
      </c>
      <c r="B285" s="1">
        <f>Codificación!B284</f>
        <v>0</v>
      </c>
      <c r="E285" s="4">
        <f>SUMIFS(Movimientos!$E$6:$E$16,Movimientos!$C$6:$C$16,Stocks!$A285,Movimientos!$F$6:$F$16,Stocks!E$3,Movimientos!$A$6:$A$16,"&lt;="&amp;Stocks!$A$2)-SUMIFS(Movimientos!$E$6:$E$16,Movimientos!$C$6:$C$16,Stocks!$A285,Movimientos!$G$6:$G$16,Stocks!E$3,Movimientos!$A$6:$A$16,"&lt;="&amp;Stocks!$A$2)</f>
        <v>0</v>
      </c>
      <c r="F285" s="4">
        <f>SUMIFS(Movimientos!$E$6:$E$16,Movimientos!$C$6:$C$16,Stocks!$A285,Movimientos!$F$6:$F$16,Stocks!F$3,Movimientos!$A$6:$A$16,"&lt;="&amp;Stocks!$A$2)-SUMIFS(Movimientos!$E$6:$E$16,Movimientos!$C$6:$C$16,Stocks!$A285,Movimientos!$G$6:$G$16,Stocks!F$3,Movimientos!$A$6:$A$16,"&lt;="&amp;Stocks!$A$2)</f>
        <v>0</v>
      </c>
      <c r="G285" s="4">
        <f>SUMIFS(Movimientos!$E$6:$E$16,Movimientos!$C$6:$C$16,Stocks!$A285,Movimientos!$F$6:$F$16,Stocks!G$3,Movimientos!$A$6:$A$16,"&lt;="&amp;Stocks!$A$2)-SUMIFS(Movimientos!$E$6:$E$16,Movimientos!$C$6:$C$16,Stocks!$A285,Movimientos!$G$6:$G$16,Stocks!G$3,Movimientos!$A$6:$A$16,"&lt;="&amp;Stocks!$A$2)</f>
        <v>0</v>
      </c>
      <c r="H285" s="4">
        <f>SUMIFS(Movimientos!$E$6:$E$16,Movimientos!$C$6:$C$16,Stocks!$A285,Movimientos!$F$6:$F$16,Stocks!H$3,Movimientos!$A$6:$A$16,"&lt;="&amp;Stocks!$A$2)-SUMIFS(Movimientos!$E$6:$E$16,Movimientos!$C$6:$C$16,Stocks!$A285,Movimientos!$G$6:$G$16,Stocks!H$3,Movimientos!$A$6:$A$16,"&lt;="&amp;Stocks!$A$2)</f>
        <v>0</v>
      </c>
      <c r="I285" s="4">
        <f>SUMIFS(Movimientos!$E$6:$E$16,Movimientos!$C$6:$C$16,Stocks!$A285,Movimientos!$F$6:$F$16,Stocks!I$3,Movimientos!$A$6:$A$16,"&lt;="&amp;Stocks!$A$2)-SUMIFS(Movimientos!$E$6:$E$16,Movimientos!$C$6:$C$16,Stocks!$A285,Movimientos!$G$6:$G$16,Stocks!I$3,Movimientos!$A$6:$A$16,"&lt;="&amp;Stocks!$A$2)</f>
        <v>0</v>
      </c>
      <c r="J285" s="4">
        <f>SUMIFS(Movimientos!$E$6:$E$16,Movimientos!$C$6:$C$16,Stocks!$A285,Movimientos!$F$6:$F$16,Stocks!J$3,Movimientos!$A$6:$A$16,"&lt;="&amp;Stocks!$A$2)-SUMIFS(Movimientos!$E$6:$E$16,Movimientos!$C$6:$C$16,Stocks!$A285,Movimientos!$G$6:$G$16,Stocks!J$3,Movimientos!$A$6:$A$16,"&lt;="&amp;Stocks!$A$2)</f>
        <v>0</v>
      </c>
      <c r="K285" s="4">
        <f>SUMIFS(Movimientos!$E$6:$E$16,Movimientos!$C$6:$C$16,Stocks!$A285,Movimientos!$F$6:$F$16,Stocks!K$3,Movimientos!$A$6:$A$16,"&lt;="&amp;Stocks!$A$2)-SUMIFS(Movimientos!$E$6:$E$16,Movimientos!$C$6:$C$16,Stocks!$A285,Movimientos!$G$6:$G$16,Stocks!K$3,Movimientos!$A$6:$A$16,"&lt;="&amp;Stocks!$A$2)</f>
        <v>0</v>
      </c>
      <c r="L285" s="4">
        <f>SUMIFS(Movimientos!$E$6:$E$16,Movimientos!$C$6:$C$16,Stocks!$A285,Movimientos!$F$6:$F$16,Stocks!L$3,Movimientos!$A$6:$A$16,"&lt;="&amp;Stocks!$A$2)-SUMIFS(Movimientos!$E$6:$E$16,Movimientos!$C$6:$C$16,Stocks!$A285,Movimientos!$G$6:$G$16,Stocks!L$3,Movimientos!$A$6:$A$16,"&lt;="&amp;Stocks!$A$2)</f>
        <v>0</v>
      </c>
    </row>
    <row r="286" spans="1:12" x14ac:dyDescent="0.25">
      <c r="A286" t="str">
        <f>Codificación!A285</f>
        <v/>
      </c>
      <c r="B286" s="1">
        <f>Codificación!B285</f>
        <v>0</v>
      </c>
      <c r="E286" s="4">
        <f>SUMIFS(Movimientos!$E$6:$E$16,Movimientos!$C$6:$C$16,Stocks!$A286,Movimientos!$F$6:$F$16,Stocks!E$3,Movimientos!$A$6:$A$16,"&lt;="&amp;Stocks!$A$2)-SUMIFS(Movimientos!$E$6:$E$16,Movimientos!$C$6:$C$16,Stocks!$A286,Movimientos!$G$6:$G$16,Stocks!E$3,Movimientos!$A$6:$A$16,"&lt;="&amp;Stocks!$A$2)</f>
        <v>0</v>
      </c>
      <c r="F286" s="4">
        <f>SUMIFS(Movimientos!$E$6:$E$16,Movimientos!$C$6:$C$16,Stocks!$A286,Movimientos!$F$6:$F$16,Stocks!F$3,Movimientos!$A$6:$A$16,"&lt;="&amp;Stocks!$A$2)-SUMIFS(Movimientos!$E$6:$E$16,Movimientos!$C$6:$C$16,Stocks!$A286,Movimientos!$G$6:$G$16,Stocks!F$3,Movimientos!$A$6:$A$16,"&lt;="&amp;Stocks!$A$2)</f>
        <v>0</v>
      </c>
      <c r="G286" s="4">
        <f>SUMIFS(Movimientos!$E$6:$E$16,Movimientos!$C$6:$C$16,Stocks!$A286,Movimientos!$F$6:$F$16,Stocks!G$3,Movimientos!$A$6:$A$16,"&lt;="&amp;Stocks!$A$2)-SUMIFS(Movimientos!$E$6:$E$16,Movimientos!$C$6:$C$16,Stocks!$A286,Movimientos!$G$6:$G$16,Stocks!G$3,Movimientos!$A$6:$A$16,"&lt;="&amp;Stocks!$A$2)</f>
        <v>0</v>
      </c>
      <c r="H286" s="4">
        <f>SUMIFS(Movimientos!$E$6:$E$16,Movimientos!$C$6:$C$16,Stocks!$A286,Movimientos!$F$6:$F$16,Stocks!H$3,Movimientos!$A$6:$A$16,"&lt;="&amp;Stocks!$A$2)-SUMIFS(Movimientos!$E$6:$E$16,Movimientos!$C$6:$C$16,Stocks!$A286,Movimientos!$G$6:$G$16,Stocks!H$3,Movimientos!$A$6:$A$16,"&lt;="&amp;Stocks!$A$2)</f>
        <v>0</v>
      </c>
      <c r="I286" s="4">
        <f>SUMIFS(Movimientos!$E$6:$E$16,Movimientos!$C$6:$C$16,Stocks!$A286,Movimientos!$F$6:$F$16,Stocks!I$3,Movimientos!$A$6:$A$16,"&lt;="&amp;Stocks!$A$2)-SUMIFS(Movimientos!$E$6:$E$16,Movimientos!$C$6:$C$16,Stocks!$A286,Movimientos!$G$6:$G$16,Stocks!I$3,Movimientos!$A$6:$A$16,"&lt;="&amp;Stocks!$A$2)</f>
        <v>0</v>
      </c>
      <c r="J286" s="4">
        <f>SUMIFS(Movimientos!$E$6:$E$16,Movimientos!$C$6:$C$16,Stocks!$A286,Movimientos!$F$6:$F$16,Stocks!J$3,Movimientos!$A$6:$A$16,"&lt;="&amp;Stocks!$A$2)-SUMIFS(Movimientos!$E$6:$E$16,Movimientos!$C$6:$C$16,Stocks!$A286,Movimientos!$G$6:$G$16,Stocks!J$3,Movimientos!$A$6:$A$16,"&lt;="&amp;Stocks!$A$2)</f>
        <v>0</v>
      </c>
      <c r="K286" s="4">
        <f>SUMIFS(Movimientos!$E$6:$E$16,Movimientos!$C$6:$C$16,Stocks!$A286,Movimientos!$F$6:$F$16,Stocks!K$3,Movimientos!$A$6:$A$16,"&lt;="&amp;Stocks!$A$2)-SUMIFS(Movimientos!$E$6:$E$16,Movimientos!$C$6:$C$16,Stocks!$A286,Movimientos!$G$6:$G$16,Stocks!K$3,Movimientos!$A$6:$A$16,"&lt;="&amp;Stocks!$A$2)</f>
        <v>0</v>
      </c>
      <c r="L286" s="4">
        <f>SUMIFS(Movimientos!$E$6:$E$16,Movimientos!$C$6:$C$16,Stocks!$A286,Movimientos!$F$6:$F$16,Stocks!L$3,Movimientos!$A$6:$A$16,"&lt;="&amp;Stocks!$A$2)-SUMIFS(Movimientos!$E$6:$E$16,Movimientos!$C$6:$C$16,Stocks!$A286,Movimientos!$G$6:$G$16,Stocks!L$3,Movimientos!$A$6:$A$16,"&lt;="&amp;Stocks!$A$2)</f>
        <v>0</v>
      </c>
    </row>
    <row r="287" spans="1:12" x14ac:dyDescent="0.25">
      <c r="A287" t="str">
        <f>Codificación!A286</f>
        <v/>
      </c>
      <c r="B287" s="1">
        <f>Codificación!B286</f>
        <v>0</v>
      </c>
      <c r="E287" s="4">
        <f>SUMIFS(Movimientos!$E$6:$E$16,Movimientos!$C$6:$C$16,Stocks!$A287,Movimientos!$F$6:$F$16,Stocks!E$3,Movimientos!$A$6:$A$16,"&lt;="&amp;Stocks!$A$2)-SUMIFS(Movimientos!$E$6:$E$16,Movimientos!$C$6:$C$16,Stocks!$A287,Movimientos!$G$6:$G$16,Stocks!E$3,Movimientos!$A$6:$A$16,"&lt;="&amp;Stocks!$A$2)</f>
        <v>0</v>
      </c>
      <c r="F287" s="4">
        <f>SUMIFS(Movimientos!$E$6:$E$16,Movimientos!$C$6:$C$16,Stocks!$A287,Movimientos!$F$6:$F$16,Stocks!F$3,Movimientos!$A$6:$A$16,"&lt;="&amp;Stocks!$A$2)-SUMIFS(Movimientos!$E$6:$E$16,Movimientos!$C$6:$C$16,Stocks!$A287,Movimientos!$G$6:$G$16,Stocks!F$3,Movimientos!$A$6:$A$16,"&lt;="&amp;Stocks!$A$2)</f>
        <v>0</v>
      </c>
      <c r="G287" s="4">
        <f>SUMIFS(Movimientos!$E$6:$E$16,Movimientos!$C$6:$C$16,Stocks!$A287,Movimientos!$F$6:$F$16,Stocks!G$3,Movimientos!$A$6:$A$16,"&lt;="&amp;Stocks!$A$2)-SUMIFS(Movimientos!$E$6:$E$16,Movimientos!$C$6:$C$16,Stocks!$A287,Movimientos!$G$6:$G$16,Stocks!G$3,Movimientos!$A$6:$A$16,"&lt;="&amp;Stocks!$A$2)</f>
        <v>0</v>
      </c>
      <c r="H287" s="4">
        <f>SUMIFS(Movimientos!$E$6:$E$16,Movimientos!$C$6:$C$16,Stocks!$A287,Movimientos!$F$6:$F$16,Stocks!H$3,Movimientos!$A$6:$A$16,"&lt;="&amp;Stocks!$A$2)-SUMIFS(Movimientos!$E$6:$E$16,Movimientos!$C$6:$C$16,Stocks!$A287,Movimientos!$G$6:$G$16,Stocks!H$3,Movimientos!$A$6:$A$16,"&lt;="&amp;Stocks!$A$2)</f>
        <v>0</v>
      </c>
      <c r="I287" s="4">
        <f>SUMIFS(Movimientos!$E$6:$E$16,Movimientos!$C$6:$C$16,Stocks!$A287,Movimientos!$F$6:$F$16,Stocks!I$3,Movimientos!$A$6:$A$16,"&lt;="&amp;Stocks!$A$2)-SUMIFS(Movimientos!$E$6:$E$16,Movimientos!$C$6:$C$16,Stocks!$A287,Movimientos!$G$6:$G$16,Stocks!I$3,Movimientos!$A$6:$A$16,"&lt;="&amp;Stocks!$A$2)</f>
        <v>0</v>
      </c>
      <c r="J287" s="4">
        <f>SUMIFS(Movimientos!$E$6:$E$16,Movimientos!$C$6:$C$16,Stocks!$A287,Movimientos!$F$6:$F$16,Stocks!J$3,Movimientos!$A$6:$A$16,"&lt;="&amp;Stocks!$A$2)-SUMIFS(Movimientos!$E$6:$E$16,Movimientos!$C$6:$C$16,Stocks!$A287,Movimientos!$G$6:$G$16,Stocks!J$3,Movimientos!$A$6:$A$16,"&lt;="&amp;Stocks!$A$2)</f>
        <v>0</v>
      </c>
      <c r="K287" s="4">
        <f>SUMIFS(Movimientos!$E$6:$E$16,Movimientos!$C$6:$C$16,Stocks!$A287,Movimientos!$F$6:$F$16,Stocks!K$3,Movimientos!$A$6:$A$16,"&lt;="&amp;Stocks!$A$2)-SUMIFS(Movimientos!$E$6:$E$16,Movimientos!$C$6:$C$16,Stocks!$A287,Movimientos!$G$6:$G$16,Stocks!K$3,Movimientos!$A$6:$A$16,"&lt;="&amp;Stocks!$A$2)</f>
        <v>0</v>
      </c>
      <c r="L287" s="4">
        <f>SUMIFS(Movimientos!$E$6:$E$16,Movimientos!$C$6:$C$16,Stocks!$A287,Movimientos!$F$6:$F$16,Stocks!L$3,Movimientos!$A$6:$A$16,"&lt;="&amp;Stocks!$A$2)-SUMIFS(Movimientos!$E$6:$E$16,Movimientos!$C$6:$C$16,Stocks!$A287,Movimientos!$G$6:$G$16,Stocks!L$3,Movimientos!$A$6:$A$16,"&lt;="&amp;Stocks!$A$2)</f>
        <v>0</v>
      </c>
    </row>
    <row r="288" spans="1:12" x14ac:dyDescent="0.25">
      <c r="A288" t="str">
        <f>Codificación!A287</f>
        <v/>
      </c>
      <c r="B288" s="1">
        <f>Codificación!B287</f>
        <v>0</v>
      </c>
      <c r="E288" s="4">
        <f>SUMIFS(Movimientos!$E$6:$E$16,Movimientos!$C$6:$C$16,Stocks!$A288,Movimientos!$F$6:$F$16,Stocks!E$3,Movimientos!$A$6:$A$16,"&lt;="&amp;Stocks!$A$2)-SUMIFS(Movimientos!$E$6:$E$16,Movimientos!$C$6:$C$16,Stocks!$A288,Movimientos!$G$6:$G$16,Stocks!E$3,Movimientos!$A$6:$A$16,"&lt;="&amp;Stocks!$A$2)</f>
        <v>0</v>
      </c>
      <c r="F288" s="4">
        <f>SUMIFS(Movimientos!$E$6:$E$16,Movimientos!$C$6:$C$16,Stocks!$A288,Movimientos!$F$6:$F$16,Stocks!F$3,Movimientos!$A$6:$A$16,"&lt;="&amp;Stocks!$A$2)-SUMIFS(Movimientos!$E$6:$E$16,Movimientos!$C$6:$C$16,Stocks!$A288,Movimientos!$G$6:$G$16,Stocks!F$3,Movimientos!$A$6:$A$16,"&lt;="&amp;Stocks!$A$2)</f>
        <v>0</v>
      </c>
      <c r="G288" s="4">
        <f>SUMIFS(Movimientos!$E$6:$E$16,Movimientos!$C$6:$C$16,Stocks!$A288,Movimientos!$F$6:$F$16,Stocks!G$3,Movimientos!$A$6:$A$16,"&lt;="&amp;Stocks!$A$2)-SUMIFS(Movimientos!$E$6:$E$16,Movimientos!$C$6:$C$16,Stocks!$A288,Movimientos!$G$6:$G$16,Stocks!G$3,Movimientos!$A$6:$A$16,"&lt;="&amp;Stocks!$A$2)</f>
        <v>0</v>
      </c>
      <c r="H288" s="4">
        <f>SUMIFS(Movimientos!$E$6:$E$16,Movimientos!$C$6:$C$16,Stocks!$A288,Movimientos!$F$6:$F$16,Stocks!H$3,Movimientos!$A$6:$A$16,"&lt;="&amp;Stocks!$A$2)-SUMIFS(Movimientos!$E$6:$E$16,Movimientos!$C$6:$C$16,Stocks!$A288,Movimientos!$G$6:$G$16,Stocks!H$3,Movimientos!$A$6:$A$16,"&lt;="&amp;Stocks!$A$2)</f>
        <v>0</v>
      </c>
      <c r="I288" s="4">
        <f>SUMIFS(Movimientos!$E$6:$E$16,Movimientos!$C$6:$C$16,Stocks!$A288,Movimientos!$F$6:$F$16,Stocks!I$3,Movimientos!$A$6:$A$16,"&lt;="&amp;Stocks!$A$2)-SUMIFS(Movimientos!$E$6:$E$16,Movimientos!$C$6:$C$16,Stocks!$A288,Movimientos!$G$6:$G$16,Stocks!I$3,Movimientos!$A$6:$A$16,"&lt;="&amp;Stocks!$A$2)</f>
        <v>0</v>
      </c>
      <c r="J288" s="4">
        <f>SUMIFS(Movimientos!$E$6:$E$16,Movimientos!$C$6:$C$16,Stocks!$A288,Movimientos!$F$6:$F$16,Stocks!J$3,Movimientos!$A$6:$A$16,"&lt;="&amp;Stocks!$A$2)-SUMIFS(Movimientos!$E$6:$E$16,Movimientos!$C$6:$C$16,Stocks!$A288,Movimientos!$G$6:$G$16,Stocks!J$3,Movimientos!$A$6:$A$16,"&lt;="&amp;Stocks!$A$2)</f>
        <v>0</v>
      </c>
      <c r="K288" s="4">
        <f>SUMIFS(Movimientos!$E$6:$E$16,Movimientos!$C$6:$C$16,Stocks!$A288,Movimientos!$F$6:$F$16,Stocks!K$3,Movimientos!$A$6:$A$16,"&lt;="&amp;Stocks!$A$2)-SUMIFS(Movimientos!$E$6:$E$16,Movimientos!$C$6:$C$16,Stocks!$A288,Movimientos!$G$6:$G$16,Stocks!K$3,Movimientos!$A$6:$A$16,"&lt;="&amp;Stocks!$A$2)</f>
        <v>0</v>
      </c>
      <c r="L288" s="4">
        <f>SUMIFS(Movimientos!$E$6:$E$16,Movimientos!$C$6:$C$16,Stocks!$A288,Movimientos!$F$6:$F$16,Stocks!L$3,Movimientos!$A$6:$A$16,"&lt;="&amp;Stocks!$A$2)-SUMIFS(Movimientos!$E$6:$E$16,Movimientos!$C$6:$C$16,Stocks!$A288,Movimientos!$G$6:$G$16,Stocks!L$3,Movimientos!$A$6:$A$16,"&lt;="&amp;Stocks!$A$2)</f>
        <v>0</v>
      </c>
    </row>
    <row r="289" spans="1:12" x14ac:dyDescent="0.25">
      <c r="A289" t="str">
        <f>Codificación!A288</f>
        <v/>
      </c>
      <c r="B289" s="1">
        <f>Codificación!B288</f>
        <v>0</v>
      </c>
      <c r="E289" s="4">
        <f>SUMIFS(Movimientos!$E$6:$E$16,Movimientos!$C$6:$C$16,Stocks!$A289,Movimientos!$F$6:$F$16,Stocks!E$3,Movimientos!$A$6:$A$16,"&lt;="&amp;Stocks!$A$2)-SUMIFS(Movimientos!$E$6:$E$16,Movimientos!$C$6:$C$16,Stocks!$A289,Movimientos!$G$6:$G$16,Stocks!E$3,Movimientos!$A$6:$A$16,"&lt;="&amp;Stocks!$A$2)</f>
        <v>0</v>
      </c>
      <c r="F289" s="4">
        <f>SUMIFS(Movimientos!$E$6:$E$16,Movimientos!$C$6:$C$16,Stocks!$A289,Movimientos!$F$6:$F$16,Stocks!F$3,Movimientos!$A$6:$A$16,"&lt;="&amp;Stocks!$A$2)-SUMIFS(Movimientos!$E$6:$E$16,Movimientos!$C$6:$C$16,Stocks!$A289,Movimientos!$G$6:$G$16,Stocks!F$3,Movimientos!$A$6:$A$16,"&lt;="&amp;Stocks!$A$2)</f>
        <v>0</v>
      </c>
      <c r="G289" s="4">
        <f>SUMIFS(Movimientos!$E$6:$E$16,Movimientos!$C$6:$C$16,Stocks!$A289,Movimientos!$F$6:$F$16,Stocks!G$3,Movimientos!$A$6:$A$16,"&lt;="&amp;Stocks!$A$2)-SUMIFS(Movimientos!$E$6:$E$16,Movimientos!$C$6:$C$16,Stocks!$A289,Movimientos!$G$6:$G$16,Stocks!G$3,Movimientos!$A$6:$A$16,"&lt;="&amp;Stocks!$A$2)</f>
        <v>0</v>
      </c>
      <c r="H289" s="4">
        <f>SUMIFS(Movimientos!$E$6:$E$16,Movimientos!$C$6:$C$16,Stocks!$A289,Movimientos!$F$6:$F$16,Stocks!H$3,Movimientos!$A$6:$A$16,"&lt;="&amp;Stocks!$A$2)-SUMIFS(Movimientos!$E$6:$E$16,Movimientos!$C$6:$C$16,Stocks!$A289,Movimientos!$G$6:$G$16,Stocks!H$3,Movimientos!$A$6:$A$16,"&lt;="&amp;Stocks!$A$2)</f>
        <v>0</v>
      </c>
      <c r="I289" s="4">
        <f>SUMIFS(Movimientos!$E$6:$E$16,Movimientos!$C$6:$C$16,Stocks!$A289,Movimientos!$F$6:$F$16,Stocks!I$3,Movimientos!$A$6:$A$16,"&lt;="&amp;Stocks!$A$2)-SUMIFS(Movimientos!$E$6:$E$16,Movimientos!$C$6:$C$16,Stocks!$A289,Movimientos!$G$6:$G$16,Stocks!I$3,Movimientos!$A$6:$A$16,"&lt;="&amp;Stocks!$A$2)</f>
        <v>0</v>
      </c>
      <c r="J289" s="4">
        <f>SUMIFS(Movimientos!$E$6:$E$16,Movimientos!$C$6:$C$16,Stocks!$A289,Movimientos!$F$6:$F$16,Stocks!J$3,Movimientos!$A$6:$A$16,"&lt;="&amp;Stocks!$A$2)-SUMIFS(Movimientos!$E$6:$E$16,Movimientos!$C$6:$C$16,Stocks!$A289,Movimientos!$G$6:$G$16,Stocks!J$3,Movimientos!$A$6:$A$16,"&lt;="&amp;Stocks!$A$2)</f>
        <v>0</v>
      </c>
      <c r="K289" s="4">
        <f>SUMIFS(Movimientos!$E$6:$E$16,Movimientos!$C$6:$C$16,Stocks!$A289,Movimientos!$F$6:$F$16,Stocks!K$3,Movimientos!$A$6:$A$16,"&lt;="&amp;Stocks!$A$2)-SUMIFS(Movimientos!$E$6:$E$16,Movimientos!$C$6:$C$16,Stocks!$A289,Movimientos!$G$6:$G$16,Stocks!K$3,Movimientos!$A$6:$A$16,"&lt;="&amp;Stocks!$A$2)</f>
        <v>0</v>
      </c>
      <c r="L289" s="4">
        <f>SUMIFS(Movimientos!$E$6:$E$16,Movimientos!$C$6:$C$16,Stocks!$A289,Movimientos!$F$6:$F$16,Stocks!L$3,Movimientos!$A$6:$A$16,"&lt;="&amp;Stocks!$A$2)-SUMIFS(Movimientos!$E$6:$E$16,Movimientos!$C$6:$C$16,Stocks!$A289,Movimientos!$G$6:$G$16,Stocks!L$3,Movimientos!$A$6:$A$16,"&lt;="&amp;Stocks!$A$2)</f>
        <v>0</v>
      </c>
    </row>
    <row r="290" spans="1:12" x14ac:dyDescent="0.25">
      <c r="A290" t="str">
        <f>Codificación!A289</f>
        <v/>
      </c>
      <c r="B290" s="1">
        <f>Codificación!B289</f>
        <v>0</v>
      </c>
      <c r="E290" s="4">
        <f>SUMIFS(Movimientos!$E$6:$E$16,Movimientos!$C$6:$C$16,Stocks!$A290,Movimientos!$F$6:$F$16,Stocks!E$3,Movimientos!$A$6:$A$16,"&lt;="&amp;Stocks!$A$2)-SUMIFS(Movimientos!$E$6:$E$16,Movimientos!$C$6:$C$16,Stocks!$A290,Movimientos!$G$6:$G$16,Stocks!E$3,Movimientos!$A$6:$A$16,"&lt;="&amp;Stocks!$A$2)</f>
        <v>0</v>
      </c>
      <c r="F290" s="4">
        <f>SUMIFS(Movimientos!$E$6:$E$16,Movimientos!$C$6:$C$16,Stocks!$A290,Movimientos!$F$6:$F$16,Stocks!F$3,Movimientos!$A$6:$A$16,"&lt;="&amp;Stocks!$A$2)-SUMIFS(Movimientos!$E$6:$E$16,Movimientos!$C$6:$C$16,Stocks!$A290,Movimientos!$G$6:$G$16,Stocks!F$3,Movimientos!$A$6:$A$16,"&lt;="&amp;Stocks!$A$2)</f>
        <v>0</v>
      </c>
      <c r="G290" s="4">
        <f>SUMIFS(Movimientos!$E$6:$E$16,Movimientos!$C$6:$C$16,Stocks!$A290,Movimientos!$F$6:$F$16,Stocks!G$3,Movimientos!$A$6:$A$16,"&lt;="&amp;Stocks!$A$2)-SUMIFS(Movimientos!$E$6:$E$16,Movimientos!$C$6:$C$16,Stocks!$A290,Movimientos!$G$6:$G$16,Stocks!G$3,Movimientos!$A$6:$A$16,"&lt;="&amp;Stocks!$A$2)</f>
        <v>0</v>
      </c>
      <c r="H290" s="4">
        <f>SUMIFS(Movimientos!$E$6:$E$16,Movimientos!$C$6:$C$16,Stocks!$A290,Movimientos!$F$6:$F$16,Stocks!H$3,Movimientos!$A$6:$A$16,"&lt;="&amp;Stocks!$A$2)-SUMIFS(Movimientos!$E$6:$E$16,Movimientos!$C$6:$C$16,Stocks!$A290,Movimientos!$G$6:$G$16,Stocks!H$3,Movimientos!$A$6:$A$16,"&lt;="&amp;Stocks!$A$2)</f>
        <v>0</v>
      </c>
      <c r="I290" s="4">
        <f>SUMIFS(Movimientos!$E$6:$E$16,Movimientos!$C$6:$C$16,Stocks!$A290,Movimientos!$F$6:$F$16,Stocks!I$3,Movimientos!$A$6:$A$16,"&lt;="&amp;Stocks!$A$2)-SUMIFS(Movimientos!$E$6:$E$16,Movimientos!$C$6:$C$16,Stocks!$A290,Movimientos!$G$6:$G$16,Stocks!I$3,Movimientos!$A$6:$A$16,"&lt;="&amp;Stocks!$A$2)</f>
        <v>0</v>
      </c>
      <c r="J290" s="4">
        <f>SUMIFS(Movimientos!$E$6:$E$16,Movimientos!$C$6:$C$16,Stocks!$A290,Movimientos!$F$6:$F$16,Stocks!J$3,Movimientos!$A$6:$A$16,"&lt;="&amp;Stocks!$A$2)-SUMIFS(Movimientos!$E$6:$E$16,Movimientos!$C$6:$C$16,Stocks!$A290,Movimientos!$G$6:$G$16,Stocks!J$3,Movimientos!$A$6:$A$16,"&lt;="&amp;Stocks!$A$2)</f>
        <v>0</v>
      </c>
      <c r="K290" s="4">
        <f>SUMIFS(Movimientos!$E$6:$E$16,Movimientos!$C$6:$C$16,Stocks!$A290,Movimientos!$F$6:$F$16,Stocks!K$3,Movimientos!$A$6:$A$16,"&lt;="&amp;Stocks!$A$2)-SUMIFS(Movimientos!$E$6:$E$16,Movimientos!$C$6:$C$16,Stocks!$A290,Movimientos!$G$6:$G$16,Stocks!K$3,Movimientos!$A$6:$A$16,"&lt;="&amp;Stocks!$A$2)</f>
        <v>0</v>
      </c>
      <c r="L290" s="4">
        <f>SUMIFS(Movimientos!$E$6:$E$16,Movimientos!$C$6:$C$16,Stocks!$A290,Movimientos!$F$6:$F$16,Stocks!L$3,Movimientos!$A$6:$A$16,"&lt;="&amp;Stocks!$A$2)-SUMIFS(Movimientos!$E$6:$E$16,Movimientos!$C$6:$C$16,Stocks!$A290,Movimientos!$G$6:$G$16,Stocks!L$3,Movimientos!$A$6:$A$16,"&lt;="&amp;Stocks!$A$2)</f>
        <v>0</v>
      </c>
    </row>
    <row r="291" spans="1:12" x14ac:dyDescent="0.25">
      <c r="A291" t="str">
        <f>Codificación!A290</f>
        <v/>
      </c>
      <c r="B291" s="1">
        <f>Codificación!B290</f>
        <v>0</v>
      </c>
      <c r="E291" s="4">
        <f>SUMIFS(Movimientos!$E$6:$E$16,Movimientos!$C$6:$C$16,Stocks!$A291,Movimientos!$F$6:$F$16,Stocks!E$3,Movimientos!$A$6:$A$16,"&lt;="&amp;Stocks!$A$2)-SUMIFS(Movimientos!$E$6:$E$16,Movimientos!$C$6:$C$16,Stocks!$A291,Movimientos!$G$6:$G$16,Stocks!E$3,Movimientos!$A$6:$A$16,"&lt;="&amp;Stocks!$A$2)</f>
        <v>0</v>
      </c>
      <c r="F291" s="4">
        <f>SUMIFS(Movimientos!$E$6:$E$16,Movimientos!$C$6:$C$16,Stocks!$A291,Movimientos!$F$6:$F$16,Stocks!F$3,Movimientos!$A$6:$A$16,"&lt;="&amp;Stocks!$A$2)-SUMIFS(Movimientos!$E$6:$E$16,Movimientos!$C$6:$C$16,Stocks!$A291,Movimientos!$G$6:$G$16,Stocks!F$3,Movimientos!$A$6:$A$16,"&lt;="&amp;Stocks!$A$2)</f>
        <v>0</v>
      </c>
      <c r="G291" s="4">
        <f>SUMIFS(Movimientos!$E$6:$E$16,Movimientos!$C$6:$C$16,Stocks!$A291,Movimientos!$F$6:$F$16,Stocks!G$3,Movimientos!$A$6:$A$16,"&lt;="&amp;Stocks!$A$2)-SUMIFS(Movimientos!$E$6:$E$16,Movimientos!$C$6:$C$16,Stocks!$A291,Movimientos!$G$6:$G$16,Stocks!G$3,Movimientos!$A$6:$A$16,"&lt;="&amp;Stocks!$A$2)</f>
        <v>0</v>
      </c>
      <c r="H291" s="4">
        <f>SUMIFS(Movimientos!$E$6:$E$16,Movimientos!$C$6:$C$16,Stocks!$A291,Movimientos!$F$6:$F$16,Stocks!H$3,Movimientos!$A$6:$A$16,"&lt;="&amp;Stocks!$A$2)-SUMIFS(Movimientos!$E$6:$E$16,Movimientos!$C$6:$C$16,Stocks!$A291,Movimientos!$G$6:$G$16,Stocks!H$3,Movimientos!$A$6:$A$16,"&lt;="&amp;Stocks!$A$2)</f>
        <v>0</v>
      </c>
      <c r="I291" s="4">
        <f>SUMIFS(Movimientos!$E$6:$E$16,Movimientos!$C$6:$C$16,Stocks!$A291,Movimientos!$F$6:$F$16,Stocks!I$3,Movimientos!$A$6:$A$16,"&lt;="&amp;Stocks!$A$2)-SUMIFS(Movimientos!$E$6:$E$16,Movimientos!$C$6:$C$16,Stocks!$A291,Movimientos!$G$6:$G$16,Stocks!I$3,Movimientos!$A$6:$A$16,"&lt;="&amp;Stocks!$A$2)</f>
        <v>0</v>
      </c>
      <c r="J291" s="4">
        <f>SUMIFS(Movimientos!$E$6:$E$16,Movimientos!$C$6:$C$16,Stocks!$A291,Movimientos!$F$6:$F$16,Stocks!J$3,Movimientos!$A$6:$A$16,"&lt;="&amp;Stocks!$A$2)-SUMIFS(Movimientos!$E$6:$E$16,Movimientos!$C$6:$C$16,Stocks!$A291,Movimientos!$G$6:$G$16,Stocks!J$3,Movimientos!$A$6:$A$16,"&lt;="&amp;Stocks!$A$2)</f>
        <v>0</v>
      </c>
      <c r="K291" s="4">
        <f>SUMIFS(Movimientos!$E$6:$E$16,Movimientos!$C$6:$C$16,Stocks!$A291,Movimientos!$F$6:$F$16,Stocks!K$3,Movimientos!$A$6:$A$16,"&lt;="&amp;Stocks!$A$2)-SUMIFS(Movimientos!$E$6:$E$16,Movimientos!$C$6:$C$16,Stocks!$A291,Movimientos!$G$6:$G$16,Stocks!K$3,Movimientos!$A$6:$A$16,"&lt;="&amp;Stocks!$A$2)</f>
        <v>0</v>
      </c>
      <c r="L291" s="4">
        <f>SUMIFS(Movimientos!$E$6:$E$16,Movimientos!$C$6:$C$16,Stocks!$A291,Movimientos!$F$6:$F$16,Stocks!L$3,Movimientos!$A$6:$A$16,"&lt;="&amp;Stocks!$A$2)-SUMIFS(Movimientos!$E$6:$E$16,Movimientos!$C$6:$C$16,Stocks!$A291,Movimientos!$G$6:$G$16,Stocks!L$3,Movimientos!$A$6:$A$16,"&lt;="&amp;Stocks!$A$2)</f>
        <v>0</v>
      </c>
    </row>
    <row r="292" spans="1:12" x14ac:dyDescent="0.25">
      <c r="A292" t="str">
        <f>Codificación!A291</f>
        <v/>
      </c>
      <c r="B292" s="1">
        <f>Codificación!B291</f>
        <v>0</v>
      </c>
      <c r="E292" s="4">
        <f>SUMIFS(Movimientos!$E$6:$E$16,Movimientos!$C$6:$C$16,Stocks!$A292,Movimientos!$F$6:$F$16,Stocks!E$3,Movimientos!$A$6:$A$16,"&lt;="&amp;Stocks!$A$2)-SUMIFS(Movimientos!$E$6:$E$16,Movimientos!$C$6:$C$16,Stocks!$A292,Movimientos!$G$6:$G$16,Stocks!E$3,Movimientos!$A$6:$A$16,"&lt;="&amp;Stocks!$A$2)</f>
        <v>0</v>
      </c>
      <c r="F292" s="4">
        <f>SUMIFS(Movimientos!$E$6:$E$16,Movimientos!$C$6:$C$16,Stocks!$A292,Movimientos!$F$6:$F$16,Stocks!F$3,Movimientos!$A$6:$A$16,"&lt;="&amp;Stocks!$A$2)-SUMIFS(Movimientos!$E$6:$E$16,Movimientos!$C$6:$C$16,Stocks!$A292,Movimientos!$G$6:$G$16,Stocks!F$3,Movimientos!$A$6:$A$16,"&lt;="&amp;Stocks!$A$2)</f>
        <v>0</v>
      </c>
      <c r="G292" s="4">
        <f>SUMIFS(Movimientos!$E$6:$E$16,Movimientos!$C$6:$C$16,Stocks!$A292,Movimientos!$F$6:$F$16,Stocks!G$3,Movimientos!$A$6:$A$16,"&lt;="&amp;Stocks!$A$2)-SUMIFS(Movimientos!$E$6:$E$16,Movimientos!$C$6:$C$16,Stocks!$A292,Movimientos!$G$6:$G$16,Stocks!G$3,Movimientos!$A$6:$A$16,"&lt;="&amp;Stocks!$A$2)</f>
        <v>0</v>
      </c>
      <c r="H292" s="4">
        <f>SUMIFS(Movimientos!$E$6:$E$16,Movimientos!$C$6:$C$16,Stocks!$A292,Movimientos!$F$6:$F$16,Stocks!H$3,Movimientos!$A$6:$A$16,"&lt;="&amp;Stocks!$A$2)-SUMIFS(Movimientos!$E$6:$E$16,Movimientos!$C$6:$C$16,Stocks!$A292,Movimientos!$G$6:$G$16,Stocks!H$3,Movimientos!$A$6:$A$16,"&lt;="&amp;Stocks!$A$2)</f>
        <v>0</v>
      </c>
      <c r="I292" s="4">
        <f>SUMIFS(Movimientos!$E$6:$E$16,Movimientos!$C$6:$C$16,Stocks!$A292,Movimientos!$F$6:$F$16,Stocks!I$3,Movimientos!$A$6:$A$16,"&lt;="&amp;Stocks!$A$2)-SUMIFS(Movimientos!$E$6:$E$16,Movimientos!$C$6:$C$16,Stocks!$A292,Movimientos!$G$6:$G$16,Stocks!I$3,Movimientos!$A$6:$A$16,"&lt;="&amp;Stocks!$A$2)</f>
        <v>0</v>
      </c>
      <c r="J292" s="4">
        <f>SUMIFS(Movimientos!$E$6:$E$16,Movimientos!$C$6:$C$16,Stocks!$A292,Movimientos!$F$6:$F$16,Stocks!J$3,Movimientos!$A$6:$A$16,"&lt;="&amp;Stocks!$A$2)-SUMIFS(Movimientos!$E$6:$E$16,Movimientos!$C$6:$C$16,Stocks!$A292,Movimientos!$G$6:$G$16,Stocks!J$3,Movimientos!$A$6:$A$16,"&lt;="&amp;Stocks!$A$2)</f>
        <v>0</v>
      </c>
      <c r="K292" s="4">
        <f>SUMIFS(Movimientos!$E$6:$E$16,Movimientos!$C$6:$C$16,Stocks!$A292,Movimientos!$F$6:$F$16,Stocks!K$3,Movimientos!$A$6:$A$16,"&lt;="&amp;Stocks!$A$2)-SUMIFS(Movimientos!$E$6:$E$16,Movimientos!$C$6:$C$16,Stocks!$A292,Movimientos!$G$6:$G$16,Stocks!K$3,Movimientos!$A$6:$A$16,"&lt;="&amp;Stocks!$A$2)</f>
        <v>0</v>
      </c>
      <c r="L292" s="4">
        <f>SUMIFS(Movimientos!$E$6:$E$16,Movimientos!$C$6:$C$16,Stocks!$A292,Movimientos!$F$6:$F$16,Stocks!L$3,Movimientos!$A$6:$A$16,"&lt;="&amp;Stocks!$A$2)-SUMIFS(Movimientos!$E$6:$E$16,Movimientos!$C$6:$C$16,Stocks!$A292,Movimientos!$G$6:$G$16,Stocks!L$3,Movimientos!$A$6:$A$16,"&lt;="&amp;Stocks!$A$2)</f>
        <v>0</v>
      </c>
    </row>
    <row r="293" spans="1:12" x14ac:dyDescent="0.25">
      <c r="A293" t="str">
        <f>Codificación!A292</f>
        <v/>
      </c>
      <c r="B293" s="1">
        <f>Codificación!B292</f>
        <v>0</v>
      </c>
      <c r="E293" s="4">
        <f>SUMIFS(Movimientos!$E$6:$E$16,Movimientos!$C$6:$C$16,Stocks!$A293,Movimientos!$F$6:$F$16,Stocks!E$3,Movimientos!$A$6:$A$16,"&lt;="&amp;Stocks!$A$2)-SUMIFS(Movimientos!$E$6:$E$16,Movimientos!$C$6:$C$16,Stocks!$A293,Movimientos!$G$6:$G$16,Stocks!E$3,Movimientos!$A$6:$A$16,"&lt;="&amp;Stocks!$A$2)</f>
        <v>0</v>
      </c>
      <c r="F293" s="4">
        <f>SUMIFS(Movimientos!$E$6:$E$16,Movimientos!$C$6:$C$16,Stocks!$A293,Movimientos!$F$6:$F$16,Stocks!F$3,Movimientos!$A$6:$A$16,"&lt;="&amp;Stocks!$A$2)-SUMIFS(Movimientos!$E$6:$E$16,Movimientos!$C$6:$C$16,Stocks!$A293,Movimientos!$G$6:$G$16,Stocks!F$3,Movimientos!$A$6:$A$16,"&lt;="&amp;Stocks!$A$2)</f>
        <v>0</v>
      </c>
      <c r="G293" s="4">
        <f>SUMIFS(Movimientos!$E$6:$E$16,Movimientos!$C$6:$C$16,Stocks!$A293,Movimientos!$F$6:$F$16,Stocks!G$3,Movimientos!$A$6:$A$16,"&lt;="&amp;Stocks!$A$2)-SUMIFS(Movimientos!$E$6:$E$16,Movimientos!$C$6:$C$16,Stocks!$A293,Movimientos!$G$6:$G$16,Stocks!G$3,Movimientos!$A$6:$A$16,"&lt;="&amp;Stocks!$A$2)</f>
        <v>0</v>
      </c>
      <c r="H293" s="4">
        <f>SUMIFS(Movimientos!$E$6:$E$16,Movimientos!$C$6:$C$16,Stocks!$A293,Movimientos!$F$6:$F$16,Stocks!H$3,Movimientos!$A$6:$A$16,"&lt;="&amp;Stocks!$A$2)-SUMIFS(Movimientos!$E$6:$E$16,Movimientos!$C$6:$C$16,Stocks!$A293,Movimientos!$G$6:$G$16,Stocks!H$3,Movimientos!$A$6:$A$16,"&lt;="&amp;Stocks!$A$2)</f>
        <v>0</v>
      </c>
      <c r="I293" s="4">
        <f>SUMIFS(Movimientos!$E$6:$E$16,Movimientos!$C$6:$C$16,Stocks!$A293,Movimientos!$F$6:$F$16,Stocks!I$3,Movimientos!$A$6:$A$16,"&lt;="&amp;Stocks!$A$2)-SUMIFS(Movimientos!$E$6:$E$16,Movimientos!$C$6:$C$16,Stocks!$A293,Movimientos!$G$6:$G$16,Stocks!I$3,Movimientos!$A$6:$A$16,"&lt;="&amp;Stocks!$A$2)</f>
        <v>0</v>
      </c>
      <c r="J293" s="4">
        <f>SUMIFS(Movimientos!$E$6:$E$16,Movimientos!$C$6:$C$16,Stocks!$A293,Movimientos!$F$6:$F$16,Stocks!J$3,Movimientos!$A$6:$A$16,"&lt;="&amp;Stocks!$A$2)-SUMIFS(Movimientos!$E$6:$E$16,Movimientos!$C$6:$C$16,Stocks!$A293,Movimientos!$G$6:$G$16,Stocks!J$3,Movimientos!$A$6:$A$16,"&lt;="&amp;Stocks!$A$2)</f>
        <v>0</v>
      </c>
      <c r="K293" s="4">
        <f>SUMIFS(Movimientos!$E$6:$E$16,Movimientos!$C$6:$C$16,Stocks!$A293,Movimientos!$F$6:$F$16,Stocks!K$3,Movimientos!$A$6:$A$16,"&lt;="&amp;Stocks!$A$2)-SUMIFS(Movimientos!$E$6:$E$16,Movimientos!$C$6:$C$16,Stocks!$A293,Movimientos!$G$6:$G$16,Stocks!K$3,Movimientos!$A$6:$A$16,"&lt;="&amp;Stocks!$A$2)</f>
        <v>0</v>
      </c>
      <c r="L293" s="4">
        <f>SUMIFS(Movimientos!$E$6:$E$16,Movimientos!$C$6:$C$16,Stocks!$A293,Movimientos!$F$6:$F$16,Stocks!L$3,Movimientos!$A$6:$A$16,"&lt;="&amp;Stocks!$A$2)-SUMIFS(Movimientos!$E$6:$E$16,Movimientos!$C$6:$C$16,Stocks!$A293,Movimientos!$G$6:$G$16,Stocks!L$3,Movimientos!$A$6:$A$16,"&lt;="&amp;Stocks!$A$2)</f>
        <v>0</v>
      </c>
    </row>
    <row r="294" spans="1:12" x14ac:dyDescent="0.25">
      <c r="A294" t="str">
        <f>Codificación!A293</f>
        <v/>
      </c>
      <c r="B294" s="1">
        <f>Codificación!B293</f>
        <v>0</v>
      </c>
      <c r="E294" s="4">
        <f>SUMIFS(Movimientos!$E$6:$E$16,Movimientos!$C$6:$C$16,Stocks!$A294,Movimientos!$F$6:$F$16,Stocks!E$3,Movimientos!$A$6:$A$16,"&lt;="&amp;Stocks!$A$2)-SUMIFS(Movimientos!$E$6:$E$16,Movimientos!$C$6:$C$16,Stocks!$A294,Movimientos!$G$6:$G$16,Stocks!E$3,Movimientos!$A$6:$A$16,"&lt;="&amp;Stocks!$A$2)</f>
        <v>0</v>
      </c>
      <c r="F294" s="4">
        <f>SUMIFS(Movimientos!$E$6:$E$16,Movimientos!$C$6:$C$16,Stocks!$A294,Movimientos!$F$6:$F$16,Stocks!F$3,Movimientos!$A$6:$A$16,"&lt;="&amp;Stocks!$A$2)-SUMIFS(Movimientos!$E$6:$E$16,Movimientos!$C$6:$C$16,Stocks!$A294,Movimientos!$G$6:$G$16,Stocks!F$3,Movimientos!$A$6:$A$16,"&lt;="&amp;Stocks!$A$2)</f>
        <v>0</v>
      </c>
      <c r="G294" s="4">
        <f>SUMIFS(Movimientos!$E$6:$E$16,Movimientos!$C$6:$C$16,Stocks!$A294,Movimientos!$F$6:$F$16,Stocks!G$3,Movimientos!$A$6:$A$16,"&lt;="&amp;Stocks!$A$2)-SUMIFS(Movimientos!$E$6:$E$16,Movimientos!$C$6:$C$16,Stocks!$A294,Movimientos!$G$6:$G$16,Stocks!G$3,Movimientos!$A$6:$A$16,"&lt;="&amp;Stocks!$A$2)</f>
        <v>0</v>
      </c>
      <c r="H294" s="4">
        <f>SUMIFS(Movimientos!$E$6:$E$16,Movimientos!$C$6:$C$16,Stocks!$A294,Movimientos!$F$6:$F$16,Stocks!H$3,Movimientos!$A$6:$A$16,"&lt;="&amp;Stocks!$A$2)-SUMIFS(Movimientos!$E$6:$E$16,Movimientos!$C$6:$C$16,Stocks!$A294,Movimientos!$G$6:$G$16,Stocks!H$3,Movimientos!$A$6:$A$16,"&lt;="&amp;Stocks!$A$2)</f>
        <v>0</v>
      </c>
      <c r="I294" s="4">
        <f>SUMIFS(Movimientos!$E$6:$E$16,Movimientos!$C$6:$C$16,Stocks!$A294,Movimientos!$F$6:$F$16,Stocks!I$3,Movimientos!$A$6:$A$16,"&lt;="&amp;Stocks!$A$2)-SUMIFS(Movimientos!$E$6:$E$16,Movimientos!$C$6:$C$16,Stocks!$A294,Movimientos!$G$6:$G$16,Stocks!I$3,Movimientos!$A$6:$A$16,"&lt;="&amp;Stocks!$A$2)</f>
        <v>0</v>
      </c>
      <c r="J294" s="4">
        <f>SUMIFS(Movimientos!$E$6:$E$16,Movimientos!$C$6:$C$16,Stocks!$A294,Movimientos!$F$6:$F$16,Stocks!J$3,Movimientos!$A$6:$A$16,"&lt;="&amp;Stocks!$A$2)-SUMIFS(Movimientos!$E$6:$E$16,Movimientos!$C$6:$C$16,Stocks!$A294,Movimientos!$G$6:$G$16,Stocks!J$3,Movimientos!$A$6:$A$16,"&lt;="&amp;Stocks!$A$2)</f>
        <v>0</v>
      </c>
      <c r="K294" s="4">
        <f>SUMIFS(Movimientos!$E$6:$E$16,Movimientos!$C$6:$C$16,Stocks!$A294,Movimientos!$F$6:$F$16,Stocks!K$3,Movimientos!$A$6:$A$16,"&lt;="&amp;Stocks!$A$2)-SUMIFS(Movimientos!$E$6:$E$16,Movimientos!$C$6:$C$16,Stocks!$A294,Movimientos!$G$6:$G$16,Stocks!K$3,Movimientos!$A$6:$A$16,"&lt;="&amp;Stocks!$A$2)</f>
        <v>0</v>
      </c>
      <c r="L294" s="4">
        <f>SUMIFS(Movimientos!$E$6:$E$16,Movimientos!$C$6:$C$16,Stocks!$A294,Movimientos!$F$6:$F$16,Stocks!L$3,Movimientos!$A$6:$A$16,"&lt;="&amp;Stocks!$A$2)-SUMIFS(Movimientos!$E$6:$E$16,Movimientos!$C$6:$C$16,Stocks!$A294,Movimientos!$G$6:$G$16,Stocks!L$3,Movimientos!$A$6:$A$16,"&lt;="&amp;Stocks!$A$2)</f>
        <v>0</v>
      </c>
    </row>
    <row r="295" spans="1:12" x14ac:dyDescent="0.25">
      <c r="A295" t="str">
        <f>Codificación!A294</f>
        <v/>
      </c>
      <c r="B295" s="1">
        <f>Codificación!B294</f>
        <v>0</v>
      </c>
      <c r="E295" s="4">
        <f>SUMIFS(Movimientos!$E$6:$E$16,Movimientos!$C$6:$C$16,Stocks!$A295,Movimientos!$F$6:$F$16,Stocks!E$3,Movimientos!$A$6:$A$16,"&lt;="&amp;Stocks!$A$2)-SUMIFS(Movimientos!$E$6:$E$16,Movimientos!$C$6:$C$16,Stocks!$A295,Movimientos!$G$6:$G$16,Stocks!E$3,Movimientos!$A$6:$A$16,"&lt;="&amp;Stocks!$A$2)</f>
        <v>0</v>
      </c>
      <c r="F295" s="4">
        <f>SUMIFS(Movimientos!$E$6:$E$16,Movimientos!$C$6:$C$16,Stocks!$A295,Movimientos!$F$6:$F$16,Stocks!F$3,Movimientos!$A$6:$A$16,"&lt;="&amp;Stocks!$A$2)-SUMIFS(Movimientos!$E$6:$E$16,Movimientos!$C$6:$C$16,Stocks!$A295,Movimientos!$G$6:$G$16,Stocks!F$3,Movimientos!$A$6:$A$16,"&lt;="&amp;Stocks!$A$2)</f>
        <v>0</v>
      </c>
      <c r="G295" s="4">
        <f>SUMIFS(Movimientos!$E$6:$E$16,Movimientos!$C$6:$C$16,Stocks!$A295,Movimientos!$F$6:$F$16,Stocks!G$3,Movimientos!$A$6:$A$16,"&lt;="&amp;Stocks!$A$2)-SUMIFS(Movimientos!$E$6:$E$16,Movimientos!$C$6:$C$16,Stocks!$A295,Movimientos!$G$6:$G$16,Stocks!G$3,Movimientos!$A$6:$A$16,"&lt;="&amp;Stocks!$A$2)</f>
        <v>0</v>
      </c>
      <c r="H295" s="4">
        <f>SUMIFS(Movimientos!$E$6:$E$16,Movimientos!$C$6:$C$16,Stocks!$A295,Movimientos!$F$6:$F$16,Stocks!H$3,Movimientos!$A$6:$A$16,"&lt;="&amp;Stocks!$A$2)-SUMIFS(Movimientos!$E$6:$E$16,Movimientos!$C$6:$C$16,Stocks!$A295,Movimientos!$G$6:$G$16,Stocks!H$3,Movimientos!$A$6:$A$16,"&lt;="&amp;Stocks!$A$2)</f>
        <v>0</v>
      </c>
      <c r="I295" s="4">
        <f>SUMIFS(Movimientos!$E$6:$E$16,Movimientos!$C$6:$C$16,Stocks!$A295,Movimientos!$F$6:$F$16,Stocks!I$3,Movimientos!$A$6:$A$16,"&lt;="&amp;Stocks!$A$2)-SUMIFS(Movimientos!$E$6:$E$16,Movimientos!$C$6:$C$16,Stocks!$A295,Movimientos!$G$6:$G$16,Stocks!I$3,Movimientos!$A$6:$A$16,"&lt;="&amp;Stocks!$A$2)</f>
        <v>0</v>
      </c>
      <c r="J295" s="4">
        <f>SUMIFS(Movimientos!$E$6:$E$16,Movimientos!$C$6:$C$16,Stocks!$A295,Movimientos!$F$6:$F$16,Stocks!J$3,Movimientos!$A$6:$A$16,"&lt;="&amp;Stocks!$A$2)-SUMIFS(Movimientos!$E$6:$E$16,Movimientos!$C$6:$C$16,Stocks!$A295,Movimientos!$G$6:$G$16,Stocks!J$3,Movimientos!$A$6:$A$16,"&lt;="&amp;Stocks!$A$2)</f>
        <v>0</v>
      </c>
      <c r="K295" s="4">
        <f>SUMIFS(Movimientos!$E$6:$E$16,Movimientos!$C$6:$C$16,Stocks!$A295,Movimientos!$F$6:$F$16,Stocks!K$3,Movimientos!$A$6:$A$16,"&lt;="&amp;Stocks!$A$2)-SUMIFS(Movimientos!$E$6:$E$16,Movimientos!$C$6:$C$16,Stocks!$A295,Movimientos!$G$6:$G$16,Stocks!K$3,Movimientos!$A$6:$A$16,"&lt;="&amp;Stocks!$A$2)</f>
        <v>0</v>
      </c>
      <c r="L295" s="4">
        <f>SUMIFS(Movimientos!$E$6:$E$16,Movimientos!$C$6:$C$16,Stocks!$A295,Movimientos!$F$6:$F$16,Stocks!L$3,Movimientos!$A$6:$A$16,"&lt;="&amp;Stocks!$A$2)-SUMIFS(Movimientos!$E$6:$E$16,Movimientos!$C$6:$C$16,Stocks!$A295,Movimientos!$G$6:$G$16,Stocks!L$3,Movimientos!$A$6:$A$16,"&lt;="&amp;Stocks!$A$2)</f>
        <v>0</v>
      </c>
    </row>
    <row r="296" spans="1:12" x14ac:dyDescent="0.25">
      <c r="A296" t="str">
        <f>Codificación!A295</f>
        <v/>
      </c>
      <c r="B296" s="1">
        <f>Codificación!B295</f>
        <v>0</v>
      </c>
      <c r="E296" s="4">
        <f>SUMIFS(Movimientos!$E$6:$E$16,Movimientos!$C$6:$C$16,Stocks!$A296,Movimientos!$F$6:$F$16,Stocks!E$3,Movimientos!$A$6:$A$16,"&lt;="&amp;Stocks!$A$2)-SUMIFS(Movimientos!$E$6:$E$16,Movimientos!$C$6:$C$16,Stocks!$A296,Movimientos!$G$6:$G$16,Stocks!E$3,Movimientos!$A$6:$A$16,"&lt;="&amp;Stocks!$A$2)</f>
        <v>0</v>
      </c>
      <c r="F296" s="4">
        <f>SUMIFS(Movimientos!$E$6:$E$16,Movimientos!$C$6:$C$16,Stocks!$A296,Movimientos!$F$6:$F$16,Stocks!F$3,Movimientos!$A$6:$A$16,"&lt;="&amp;Stocks!$A$2)-SUMIFS(Movimientos!$E$6:$E$16,Movimientos!$C$6:$C$16,Stocks!$A296,Movimientos!$G$6:$G$16,Stocks!F$3,Movimientos!$A$6:$A$16,"&lt;="&amp;Stocks!$A$2)</f>
        <v>0</v>
      </c>
      <c r="G296" s="4">
        <f>SUMIFS(Movimientos!$E$6:$E$16,Movimientos!$C$6:$C$16,Stocks!$A296,Movimientos!$F$6:$F$16,Stocks!G$3,Movimientos!$A$6:$A$16,"&lt;="&amp;Stocks!$A$2)-SUMIFS(Movimientos!$E$6:$E$16,Movimientos!$C$6:$C$16,Stocks!$A296,Movimientos!$G$6:$G$16,Stocks!G$3,Movimientos!$A$6:$A$16,"&lt;="&amp;Stocks!$A$2)</f>
        <v>0</v>
      </c>
      <c r="H296" s="4">
        <f>SUMIFS(Movimientos!$E$6:$E$16,Movimientos!$C$6:$C$16,Stocks!$A296,Movimientos!$F$6:$F$16,Stocks!H$3,Movimientos!$A$6:$A$16,"&lt;="&amp;Stocks!$A$2)-SUMIFS(Movimientos!$E$6:$E$16,Movimientos!$C$6:$C$16,Stocks!$A296,Movimientos!$G$6:$G$16,Stocks!H$3,Movimientos!$A$6:$A$16,"&lt;="&amp;Stocks!$A$2)</f>
        <v>0</v>
      </c>
      <c r="I296" s="4">
        <f>SUMIFS(Movimientos!$E$6:$E$16,Movimientos!$C$6:$C$16,Stocks!$A296,Movimientos!$F$6:$F$16,Stocks!I$3,Movimientos!$A$6:$A$16,"&lt;="&amp;Stocks!$A$2)-SUMIFS(Movimientos!$E$6:$E$16,Movimientos!$C$6:$C$16,Stocks!$A296,Movimientos!$G$6:$G$16,Stocks!I$3,Movimientos!$A$6:$A$16,"&lt;="&amp;Stocks!$A$2)</f>
        <v>0</v>
      </c>
      <c r="J296" s="4">
        <f>SUMIFS(Movimientos!$E$6:$E$16,Movimientos!$C$6:$C$16,Stocks!$A296,Movimientos!$F$6:$F$16,Stocks!J$3,Movimientos!$A$6:$A$16,"&lt;="&amp;Stocks!$A$2)-SUMIFS(Movimientos!$E$6:$E$16,Movimientos!$C$6:$C$16,Stocks!$A296,Movimientos!$G$6:$G$16,Stocks!J$3,Movimientos!$A$6:$A$16,"&lt;="&amp;Stocks!$A$2)</f>
        <v>0</v>
      </c>
      <c r="K296" s="4">
        <f>SUMIFS(Movimientos!$E$6:$E$16,Movimientos!$C$6:$C$16,Stocks!$A296,Movimientos!$F$6:$F$16,Stocks!K$3,Movimientos!$A$6:$A$16,"&lt;="&amp;Stocks!$A$2)-SUMIFS(Movimientos!$E$6:$E$16,Movimientos!$C$6:$C$16,Stocks!$A296,Movimientos!$G$6:$G$16,Stocks!K$3,Movimientos!$A$6:$A$16,"&lt;="&amp;Stocks!$A$2)</f>
        <v>0</v>
      </c>
      <c r="L296" s="4">
        <f>SUMIFS(Movimientos!$E$6:$E$16,Movimientos!$C$6:$C$16,Stocks!$A296,Movimientos!$F$6:$F$16,Stocks!L$3,Movimientos!$A$6:$A$16,"&lt;="&amp;Stocks!$A$2)-SUMIFS(Movimientos!$E$6:$E$16,Movimientos!$C$6:$C$16,Stocks!$A296,Movimientos!$G$6:$G$16,Stocks!L$3,Movimientos!$A$6:$A$16,"&lt;="&amp;Stocks!$A$2)</f>
        <v>0</v>
      </c>
    </row>
    <row r="297" spans="1:12" x14ac:dyDescent="0.25">
      <c r="A297" t="str">
        <f>Codificación!A296</f>
        <v/>
      </c>
      <c r="B297" s="1">
        <f>Codificación!B296</f>
        <v>0</v>
      </c>
      <c r="E297" s="4">
        <f>SUMIFS(Movimientos!$E$6:$E$16,Movimientos!$C$6:$C$16,Stocks!$A297,Movimientos!$F$6:$F$16,Stocks!E$3,Movimientos!$A$6:$A$16,"&lt;="&amp;Stocks!$A$2)-SUMIFS(Movimientos!$E$6:$E$16,Movimientos!$C$6:$C$16,Stocks!$A297,Movimientos!$G$6:$G$16,Stocks!E$3,Movimientos!$A$6:$A$16,"&lt;="&amp;Stocks!$A$2)</f>
        <v>0</v>
      </c>
      <c r="F297" s="4">
        <f>SUMIFS(Movimientos!$E$6:$E$16,Movimientos!$C$6:$C$16,Stocks!$A297,Movimientos!$F$6:$F$16,Stocks!F$3,Movimientos!$A$6:$A$16,"&lt;="&amp;Stocks!$A$2)-SUMIFS(Movimientos!$E$6:$E$16,Movimientos!$C$6:$C$16,Stocks!$A297,Movimientos!$G$6:$G$16,Stocks!F$3,Movimientos!$A$6:$A$16,"&lt;="&amp;Stocks!$A$2)</f>
        <v>0</v>
      </c>
      <c r="G297" s="4">
        <f>SUMIFS(Movimientos!$E$6:$E$16,Movimientos!$C$6:$C$16,Stocks!$A297,Movimientos!$F$6:$F$16,Stocks!G$3,Movimientos!$A$6:$A$16,"&lt;="&amp;Stocks!$A$2)-SUMIFS(Movimientos!$E$6:$E$16,Movimientos!$C$6:$C$16,Stocks!$A297,Movimientos!$G$6:$G$16,Stocks!G$3,Movimientos!$A$6:$A$16,"&lt;="&amp;Stocks!$A$2)</f>
        <v>0</v>
      </c>
      <c r="H297" s="4">
        <f>SUMIFS(Movimientos!$E$6:$E$16,Movimientos!$C$6:$C$16,Stocks!$A297,Movimientos!$F$6:$F$16,Stocks!H$3,Movimientos!$A$6:$A$16,"&lt;="&amp;Stocks!$A$2)-SUMIFS(Movimientos!$E$6:$E$16,Movimientos!$C$6:$C$16,Stocks!$A297,Movimientos!$G$6:$G$16,Stocks!H$3,Movimientos!$A$6:$A$16,"&lt;="&amp;Stocks!$A$2)</f>
        <v>0</v>
      </c>
      <c r="I297" s="4">
        <f>SUMIFS(Movimientos!$E$6:$E$16,Movimientos!$C$6:$C$16,Stocks!$A297,Movimientos!$F$6:$F$16,Stocks!I$3,Movimientos!$A$6:$A$16,"&lt;="&amp;Stocks!$A$2)-SUMIFS(Movimientos!$E$6:$E$16,Movimientos!$C$6:$C$16,Stocks!$A297,Movimientos!$G$6:$G$16,Stocks!I$3,Movimientos!$A$6:$A$16,"&lt;="&amp;Stocks!$A$2)</f>
        <v>0</v>
      </c>
      <c r="J297" s="4">
        <f>SUMIFS(Movimientos!$E$6:$E$16,Movimientos!$C$6:$C$16,Stocks!$A297,Movimientos!$F$6:$F$16,Stocks!J$3,Movimientos!$A$6:$A$16,"&lt;="&amp;Stocks!$A$2)-SUMIFS(Movimientos!$E$6:$E$16,Movimientos!$C$6:$C$16,Stocks!$A297,Movimientos!$G$6:$G$16,Stocks!J$3,Movimientos!$A$6:$A$16,"&lt;="&amp;Stocks!$A$2)</f>
        <v>0</v>
      </c>
      <c r="K297" s="4">
        <f>SUMIFS(Movimientos!$E$6:$E$16,Movimientos!$C$6:$C$16,Stocks!$A297,Movimientos!$F$6:$F$16,Stocks!K$3,Movimientos!$A$6:$A$16,"&lt;="&amp;Stocks!$A$2)-SUMIFS(Movimientos!$E$6:$E$16,Movimientos!$C$6:$C$16,Stocks!$A297,Movimientos!$G$6:$G$16,Stocks!K$3,Movimientos!$A$6:$A$16,"&lt;="&amp;Stocks!$A$2)</f>
        <v>0</v>
      </c>
      <c r="L297" s="4">
        <f>SUMIFS(Movimientos!$E$6:$E$16,Movimientos!$C$6:$C$16,Stocks!$A297,Movimientos!$F$6:$F$16,Stocks!L$3,Movimientos!$A$6:$A$16,"&lt;="&amp;Stocks!$A$2)-SUMIFS(Movimientos!$E$6:$E$16,Movimientos!$C$6:$C$16,Stocks!$A297,Movimientos!$G$6:$G$16,Stocks!L$3,Movimientos!$A$6:$A$16,"&lt;="&amp;Stocks!$A$2)</f>
        <v>0</v>
      </c>
    </row>
    <row r="298" spans="1:12" x14ac:dyDescent="0.25">
      <c r="A298" t="str">
        <f>Codificación!A297</f>
        <v/>
      </c>
      <c r="B298" s="1">
        <f>Codificación!B297</f>
        <v>0</v>
      </c>
      <c r="E298" s="4">
        <f>SUMIFS(Movimientos!$E$6:$E$16,Movimientos!$C$6:$C$16,Stocks!$A298,Movimientos!$F$6:$F$16,Stocks!E$3,Movimientos!$A$6:$A$16,"&lt;="&amp;Stocks!$A$2)-SUMIFS(Movimientos!$E$6:$E$16,Movimientos!$C$6:$C$16,Stocks!$A298,Movimientos!$G$6:$G$16,Stocks!E$3,Movimientos!$A$6:$A$16,"&lt;="&amp;Stocks!$A$2)</f>
        <v>0</v>
      </c>
      <c r="F298" s="4">
        <f>SUMIFS(Movimientos!$E$6:$E$16,Movimientos!$C$6:$C$16,Stocks!$A298,Movimientos!$F$6:$F$16,Stocks!F$3,Movimientos!$A$6:$A$16,"&lt;="&amp;Stocks!$A$2)-SUMIFS(Movimientos!$E$6:$E$16,Movimientos!$C$6:$C$16,Stocks!$A298,Movimientos!$G$6:$G$16,Stocks!F$3,Movimientos!$A$6:$A$16,"&lt;="&amp;Stocks!$A$2)</f>
        <v>0</v>
      </c>
      <c r="G298" s="4">
        <f>SUMIFS(Movimientos!$E$6:$E$16,Movimientos!$C$6:$C$16,Stocks!$A298,Movimientos!$F$6:$F$16,Stocks!G$3,Movimientos!$A$6:$A$16,"&lt;="&amp;Stocks!$A$2)-SUMIFS(Movimientos!$E$6:$E$16,Movimientos!$C$6:$C$16,Stocks!$A298,Movimientos!$G$6:$G$16,Stocks!G$3,Movimientos!$A$6:$A$16,"&lt;="&amp;Stocks!$A$2)</f>
        <v>0</v>
      </c>
      <c r="H298" s="4">
        <f>SUMIFS(Movimientos!$E$6:$E$16,Movimientos!$C$6:$C$16,Stocks!$A298,Movimientos!$F$6:$F$16,Stocks!H$3,Movimientos!$A$6:$A$16,"&lt;="&amp;Stocks!$A$2)-SUMIFS(Movimientos!$E$6:$E$16,Movimientos!$C$6:$C$16,Stocks!$A298,Movimientos!$G$6:$G$16,Stocks!H$3,Movimientos!$A$6:$A$16,"&lt;="&amp;Stocks!$A$2)</f>
        <v>0</v>
      </c>
      <c r="I298" s="4">
        <f>SUMIFS(Movimientos!$E$6:$E$16,Movimientos!$C$6:$C$16,Stocks!$A298,Movimientos!$F$6:$F$16,Stocks!I$3,Movimientos!$A$6:$A$16,"&lt;="&amp;Stocks!$A$2)-SUMIFS(Movimientos!$E$6:$E$16,Movimientos!$C$6:$C$16,Stocks!$A298,Movimientos!$G$6:$G$16,Stocks!I$3,Movimientos!$A$6:$A$16,"&lt;="&amp;Stocks!$A$2)</f>
        <v>0</v>
      </c>
      <c r="J298" s="4">
        <f>SUMIFS(Movimientos!$E$6:$E$16,Movimientos!$C$6:$C$16,Stocks!$A298,Movimientos!$F$6:$F$16,Stocks!J$3,Movimientos!$A$6:$A$16,"&lt;="&amp;Stocks!$A$2)-SUMIFS(Movimientos!$E$6:$E$16,Movimientos!$C$6:$C$16,Stocks!$A298,Movimientos!$G$6:$G$16,Stocks!J$3,Movimientos!$A$6:$A$16,"&lt;="&amp;Stocks!$A$2)</f>
        <v>0</v>
      </c>
      <c r="K298" s="4">
        <f>SUMIFS(Movimientos!$E$6:$E$16,Movimientos!$C$6:$C$16,Stocks!$A298,Movimientos!$F$6:$F$16,Stocks!K$3,Movimientos!$A$6:$A$16,"&lt;="&amp;Stocks!$A$2)-SUMIFS(Movimientos!$E$6:$E$16,Movimientos!$C$6:$C$16,Stocks!$A298,Movimientos!$G$6:$G$16,Stocks!K$3,Movimientos!$A$6:$A$16,"&lt;="&amp;Stocks!$A$2)</f>
        <v>0</v>
      </c>
      <c r="L298" s="4">
        <f>SUMIFS(Movimientos!$E$6:$E$16,Movimientos!$C$6:$C$16,Stocks!$A298,Movimientos!$F$6:$F$16,Stocks!L$3,Movimientos!$A$6:$A$16,"&lt;="&amp;Stocks!$A$2)-SUMIFS(Movimientos!$E$6:$E$16,Movimientos!$C$6:$C$16,Stocks!$A298,Movimientos!$G$6:$G$16,Stocks!L$3,Movimientos!$A$6:$A$16,"&lt;="&amp;Stocks!$A$2)</f>
        <v>0</v>
      </c>
    </row>
    <row r="299" spans="1:12" x14ac:dyDescent="0.25">
      <c r="A299" t="str">
        <f>Codificación!A298</f>
        <v/>
      </c>
      <c r="B299" s="1">
        <f>Codificación!B298</f>
        <v>0</v>
      </c>
      <c r="E299" s="4">
        <f>SUMIFS(Movimientos!$E$6:$E$16,Movimientos!$C$6:$C$16,Stocks!$A299,Movimientos!$F$6:$F$16,Stocks!E$3,Movimientos!$A$6:$A$16,"&lt;="&amp;Stocks!$A$2)-SUMIFS(Movimientos!$E$6:$E$16,Movimientos!$C$6:$C$16,Stocks!$A299,Movimientos!$G$6:$G$16,Stocks!E$3,Movimientos!$A$6:$A$16,"&lt;="&amp;Stocks!$A$2)</f>
        <v>0</v>
      </c>
      <c r="F299" s="4">
        <f>SUMIFS(Movimientos!$E$6:$E$16,Movimientos!$C$6:$C$16,Stocks!$A299,Movimientos!$F$6:$F$16,Stocks!F$3,Movimientos!$A$6:$A$16,"&lt;="&amp;Stocks!$A$2)-SUMIFS(Movimientos!$E$6:$E$16,Movimientos!$C$6:$C$16,Stocks!$A299,Movimientos!$G$6:$G$16,Stocks!F$3,Movimientos!$A$6:$A$16,"&lt;="&amp;Stocks!$A$2)</f>
        <v>0</v>
      </c>
      <c r="G299" s="4">
        <f>SUMIFS(Movimientos!$E$6:$E$16,Movimientos!$C$6:$C$16,Stocks!$A299,Movimientos!$F$6:$F$16,Stocks!G$3,Movimientos!$A$6:$A$16,"&lt;="&amp;Stocks!$A$2)-SUMIFS(Movimientos!$E$6:$E$16,Movimientos!$C$6:$C$16,Stocks!$A299,Movimientos!$G$6:$G$16,Stocks!G$3,Movimientos!$A$6:$A$16,"&lt;="&amp;Stocks!$A$2)</f>
        <v>0</v>
      </c>
      <c r="H299" s="4">
        <f>SUMIFS(Movimientos!$E$6:$E$16,Movimientos!$C$6:$C$16,Stocks!$A299,Movimientos!$F$6:$F$16,Stocks!H$3,Movimientos!$A$6:$A$16,"&lt;="&amp;Stocks!$A$2)-SUMIFS(Movimientos!$E$6:$E$16,Movimientos!$C$6:$C$16,Stocks!$A299,Movimientos!$G$6:$G$16,Stocks!H$3,Movimientos!$A$6:$A$16,"&lt;="&amp;Stocks!$A$2)</f>
        <v>0</v>
      </c>
      <c r="I299" s="4">
        <f>SUMIFS(Movimientos!$E$6:$E$16,Movimientos!$C$6:$C$16,Stocks!$A299,Movimientos!$F$6:$F$16,Stocks!I$3,Movimientos!$A$6:$A$16,"&lt;="&amp;Stocks!$A$2)-SUMIFS(Movimientos!$E$6:$E$16,Movimientos!$C$6:$C$16,Stocks!$A299,Movimientos!$G$6:$G$16,Stocks!I$3,Movimientos!$A$6:$A$16,"&lt;="&amp;Stocks!$A$2)</f>
        <v>0</v>
      </c>
      <c r="J299" s="4">
        <f>SUMIFS(Movimientos!$E$6:$E$16,Movimientos!$C$6:$C$16,Stocks!$A299,Movimientos!$F$6:$F$16,Stocks!J$3,Movimientos!$A$6:$A$16,"&lt;="&amp;Stocks!$A$2)-SUMIFS(Movimientos!$E$6:$E$16,Movimientos!$C$6:$C$16,Stocks!$A299,Movimientos!$G$6:$G$16,Stocks!J$3,Movimientos!$A$6:$A$16,"&lt;="&amp;Stocks!$A$2)</f>
        <v>0</v>
      </c>
      <c r="K299" s="4">
        <f>SUMIFS(Movimientos!$E$6:$E$16,Movimientos!$C$6:$C$16,Stocks!$A299,Movimientos!$F$6:$F$16,Stocks!K$3,Movimientos!$A$6:$A$16,"&lt;="&amp;Stocks!$A$2)-SUMIFS(Movimientos!$E$6:$E$16,Movimientos!$C$6:$C$16,Stocks!$A299,Movimientos!$G$6:$G$16,Stocks!K$3,Movimientos!$A$6:$A$16,"&lt;="&amp;Stocks!$A$2)</f>
        <v>0</v>
      </c>
      <c r="L299" s="4">
        <f>SUMIFS(Movimientos!$E$6:$E$16,Movimientos!$C$6:$C$16,Stocks!$A299,Movimientos!$F$6:$F$16,Stocks!L$3,Movimientos!$A$6:$A$16,"&lt;="&amp;Stocks!$A$2)-SUMIFS(Movimientos!$E$6:$E$16,Movimientos!$C$6:$C$16,Stocks!$A299,Movimientos!$G$6:$G$16,Stocks!L$3,Movimientos!$A$6:$A$16,"&lt;="&amp;Stocks!$A$2)</f>
        <v>0</v>
      </c>
    </row>
    <row r="300" spans="1:12" x14ac:dyDescent="0.25">
      <c r="A300" t="str">
        <f>Codificación!A299</f>
        <v/>
      </c>
      <c r="B300" s="1">
        <f>Codificación!B299</f>
        <v>0</v>
      </c>
      <c r="E300" s="4">
        <f>SUMIFS(Movimientos!$E$6:$E$16,Movimientos!$C$6:$C$16,Stocks!$A300,Movimientos!$F$6:$F$16,Stocks!E$3,Movimientos!$A$6:$A$16,"&lt;="&amp;Stocks!$A$2)-SUMIFS(Movimientos!$E$6:$E$16,Movimientos!$C$6:$C$16,Stocks!$A300,Movimientos!$G$6:$G$16,Stocks!E$3,Movimientos!$A$6:$A$16,"&lt;="&amp;Stocks!$A$2)</f>
        <v>0</v>
      </c>
      <c r="F300" s="4">
        <f>SUMIFS(Movimientos!$E$6:$E$16,Movimientos!$C$6:$C$16,Stocks!$A300,Movimientos!$F$6:$F$16,Stocks!F$3,Movimientos!$A$6:$A$16,"&lt;="&amp;Stocks!$A$2)-SUMIFS(Movimientos!$E$6:$E$16,Movimientos!$C$6:$C$16,Stocks!$A300,Movimientos!$G$6:$G$16,Stocks!F$3,Movimientos!$A$6:$A$16,"&lt;="&amp;Stocks!$A$2)</f>
        <v>0</v>
      </c>
      <c r="G300" s="4">
        <f>SUMIFS(Movimientos!$E$6:$E$16,Movimientos!$C$6:$C$16,Stocks!$A300,Movimientos!$F$6:$F$16,Stocks!G$3,Movimientos!$A$6:$A$16,"&lt;="&amp;Stocks!$A$2)-SUMIFS(Movimientos!$E$6:$E$16,Movimientos!$C$6:$C$16,Stocks!$A300,Movimientos!$G$6:$G$16,Stocks!G$3,Movimientos!$A$6:$A$16,"&lt;="&amp;Stocks!$A$2)</f>
        <v>0</v>
      </c>
      <c r="H300" s="4">
        <f>SUMIFS(Movimientos!$E$6:$E$16,Movimientos!$C$6:$C$16,Stocks!$A300,Movimientos!$F$6:$F$16,Stocks!H$3,Movimientos!$A$6:$A$16,"&lt;="&amp;Stocks!$A$2)-SUMIFS(Movimientos!$E$6:$E$16,Movimientos!$C$6:$C$16,Stocks!$A300,Movimientos!$G$6:$G$16,Stocks!H$3,Movimientos!$A$6:$A$16,"&lt;="&amp;Stocks!$A$2)</f>
        <v>0</v>
      </c>
      <c r="I300" s="4">
        <f>SUMIFS(Movimientos!$E$6:$E$16,Movimientos!$C$6:$C$16,Stocks!$A300,Movimientos!$F$6:$F$16,Stocks!I$3,Movimientos!$A$6:$A$16,"&lt;="&amp;Stocks!$A$2)-SUMIFS(Movimientos!$E$6:$E$16,Movimientos!$C$6:$C$16,Stocks!$A300,Movimientos!$G$6:$G$16,Stocks!I$3,Movimientos!$A$6:$A$16,"&lt;="&amp;Stocks!$A$2)</f>
        <v>0</v>
      </c>
      <c r="J300" s="4">
        <f>SUMIFS(Movimientos!$E$6:$E$16,Movimientos!$C$6:$C$16,Stocks!$A300,Movimientos!$F$6:$F$16,Stocks!J$3,Movimientos!$A$6:$A$16,"&lt;="&amp;Stocks!$A$2)-SUMIFS(Movimientos!$E$6:$E$16,Movimientos!$C$6:$C$16,Stocks!$A300,Movimientos!$G$6:$G$16,Stocks!J$3,Movimientos!$A$6:$A$16,"&lt;="&amp;Stocks!$A$2)</f>
        <v>0</v>
      </c>
      <c r="K300" s="4">
        <f>SUMIFS(Movimientos!$E$6:$E$16,Movimientos!$C$6:$C$16,Stocks!$A300,Movimientos!$F$6:$F$16,Stocks!K$3,Movimientos!$A$6:$A$16,"&lt;="&amp;Stocks!$A$2)-SUMIFS(Movimientos!$E$6:$E$16,Movimientos!$C$6:$C$16,Stocks!$A300,Movimientos!$G$6:$G$16,Stocks!K$3,Movimientos!$A$6:$A$16,"&lt;="&amp;Stocks!$A$2)</f>
        <v>0</v>
      </c>
      <c r="L300" s="4">
        <f>SUMIFS(Movimientos!$E$6:$E$16,Movimientos!$C$6:$C$16,Stocks!$A300,Movimientos!$F$6:$F$16,Stocks!L$3,Movimientos!$A$6:$A$16,"&lt;="&amp;Stocks!$A$2)-SUMIFS(Movimientos!$E$6:$E$16,Movimientos!$C$6:$C$16,Stocks!$A300,Movimientos!$G$6:$G$16,Stocks!L$3,Movimientos!$A$6:$A$16,"&lt;="&amp;Stocks!$A$2)</f>
        <v>0</v>
      </c>
    </row>
    <row r="301" spans="1:12" x14ac:dyDescent="0.25">
      <c r="A301" t="str">
        <f>Codificación!A300</f>
        <v/>
      </c>
      <c r="B301" s="1">
        <f>Codificación!B300</f>
        <v>0</v>
      </c>
      <c r="E301" s="4">
        <f>SUMIFS(Movimientos!$E$6:$E$16,Movimientos!$C$6:$C$16,Stocks!$A301,Movimientos!$F$6:$F$16,Stocks!E$3,Movimientos!$A$6:$A$16,"&lt;="&amp;Stocks!$A$2)-SUMIFS(Movimientos!$E$6:$E$16,Movimientos!$C$6:$C$16,Stocks!$A301,Movimientos!$G$6:$G$16,Stocks!E$3,Movimientos!$A$6:$A$16,"&lt;="&amp;Stocks!$A$2)</f>
        <v>0</v>
      </c>
      <c r="F301" s="4">
        <f>SUMIFS(Movimientos!$E$6:$E$16,Movimientos!$C$6:$C$16,Stocks!$A301,Movimientos!$F$6:$F$16,Stocks!F$3,Movimientos!$A$6:$A$16,"&lt;="&amp;Stocks!$A$2)-SUMIFS(Movimientos!$E$6:$E$16,Movimientos!$C$6:$C$16,Stocks!$A301,Movimientos!$G$6:$G$16,Stocks!F$3,Movimientos!$A$6:$A$16,"&lt;="&amp;Stocks!$A$2)</f>
        <v>0</v>
      </c>
      <c r="G301" s="4">
        <f>SUMIFS(Movimientos!$E$6:$E$16,Movimientos!$C$6:$C$16,Stocks!$A301,Movimientos!$F$6:$F$16,Stocks!G$3,Movimientos!$A$6:$A$16,"&lt;="&amp;Stocks!$A$2)-SUMIFS(Movimientos!$E$6:$E$16,Movimientos!$C$6:$C$16,Stocks!$A301,Movimientos!$G$6:$G$16,Stocks!G$3,Movimientos!$A$6:$A$16,"&lt;="&amp;Stocks!$A$2)</f>
        <v>0</v>
      </c>
      <c r="H301" s="4">
        <f>SUMIFS(Movimientos!$E$6:$E$16,Movimientos!$C$6:$C$16,Stocks!$A301,Movimientos!$F$6:$F$16,Stocks!H$3,Movimientos!$A$6:$A$16,"&lt;="&amp;Stocks!$A$2)-SUMIFS(Movimientos!$E$6:$E$16,Movimientos!$C$6:$C$16,Stocks!$A301,Movimientos!$G$6:$G$16,Stocks!H$3,Movimientos!$A$6:$A$16,"&lt;="&amp;Stocks!$A$2)</f>
        <v>0</v>
      </c>
      <c r="I301" s="4">
        <f>SUMIFS(Movimientos!$E$6:$E$16,Movimientos!$C$6:$C$16,Stocks!$A301,Movimientos!$F$6:$F$16,Stocks!I$3,Movimientos!$A$6:$A$16,"&lt;="&amp;Stocks!$A$2)-SUMIFS(Movimientos!$E$6:$E$16,Movimientos!$C$6:$C$16,Stocks!$A301,Movimientos!$G$6:$G$16,Stocks!I$3,Movimientos!$A$6:$A$16,"&lt;="&amp;Stocks!$A$2)</f>
        <v>0</v>
      </c>
      <c r="J301" s="4">
        <f>SUMIFS(Movimientos!$E$6:$E$16,Movimientos!$C$6:$C$16,Stocks!$A301,Movimientos!$F$6:$F$16,Stocks!J$3,Movimientos!$A$6:$A$16,"&lt;="&amp;Stocks!$A$2)-SUMIFS(Movimientos!$E$6:$E$16,Movimientos!$C$6:$C$16,Stocks!$A301,Movimientos!$G$6:$G$16,Stocks!J$3,Movimientos!$A$6:$A$16,"&lt;="&amp;Stocks!$A$2)</f>
        <v>0</v>
      </c>
      <c r="K301" s="4">
        <f>SUMIFS(Movimientos!$E$6:$E$16,Movimientos!$C$6:$C$16,Stocks!$A301,Movimientos!$F$6:$F$16,Stocks!K$3,Movimientos!$A$6:$A$16,"&lt;="&amp;Stocks!$A$2)-SUMIFS(Movimientos!$E$6:$E$16,Movimientos!$C$6:$C$16,Stocks!$A301,Movimientos!$G$6:$G$16,Stocks!K$3,Movimientos!$A$6:$A$16,"&lt;="&amp;Stocks!$A$2)</f>
        <v>0</v>
      </c>
      <c r="L301" s="4">
        <f>SUMIFS(Movimientos!$E$6:$E$16,Movimientos!$C$6:$C$16,Stocks!$A301,Movimientos!$F$6:$F$16,Stocks!L$3,Movimientos!$A$6:$A$16,"&lt;="&amp;Stocks!$A$2)-SUMIFS(Movimientos!$E$6:$E$16,Movimientos!$C$6:$C$16,Stocks!$A301,Movimientos!$G$6:$G$16,Stocks!L$3,Movimientos!$A$6:$A$16,"&lt;="&amp;Stocks!$A$2)</f>
        <v>0</v>
      </c>
    </row>
    <row r="302" spans="1:12" x14ac:dyDescent="0.25">
      <c r="A302" t="str">
        <f>Codificación!A301</f>
        <v/>
      </c>
      <c r="B302" s="1">
        <f>Codificación!B301</f>
        <v>0</v>
      </c>
      <c r="E302" s="4">
        <f>SUMIFS(Movimientos!$E$6:$E$16,Movimientos!$C$6:$C$16,Stocks!$A302,Movimientos!$F$6:$F$16,Stocks!E$3,Movimientos!$A$6:$A$16,"&lt;="&amp;Stocks!$A$2)-SUMIFS(Movimientos!$E$6:$E$16,Movimientos!$C$6:$C$16,Stocks!$A302,Movimientos!$G$6:$G$16,Stocks!E$3,Movimientos!$A$6:$A$16,"&lt;="&amp;Stocks!$A$2)</f>
        <v>0</v>
      </c>
      <c r="F302" s="4">
        <f>SUMIFS(Movimientos!$E$6:$E$16,Movimientos!$C$6:$C$16,Stocks!$A302,Movimientos!$F$6:$F$16,Stocks!F$3,Movimientos!$A$6:$A$16,"&lt;="&amp;Stocks!$A$2)-SUMIFS(Movimientos!$E$6:$E$16,Movimientos!$C$6:$C$16,Stocks!$A302,Movimientos!$G$6:$G$16,Stocks!F$3,Movimientos!$A$6:$A$16,"&lt;="&amp;Stocks!$A$2)</f>
        <v>0</v>
      </c>
      <c r="G302" s="4">
        <f>SUMIFS(Movimientos!$E$6:$E$16,Movimientos!$C$6:$C$16,Stocks!$A302,Movimientos!$F$6:$F$16,Stocks!G$3,Movimientos!$A$6:$A$16,"&lt;="&amp;Stocks!$A$2)-SUMIFS(Movimientos!$E$6:$E$16,Movimientos!$C$6:$C$16,Stocks!$A302,Movimientos!$G$6:$G$16,Stocks!G$3,Movimientos!$A$6:$A$16,"&lt;="&amp;Stocks!$A$2)</f>
        <v>0</v>
      </c>
      <c r="H302" s="4">
        <f>SUMIFS(Movimientos!$E$6:$E$16,Movimientos!$C$6:$C$16,Stocks!$A302,Movimientos!$F$6:$F$16,Stocks!H$3,Movimientos!$A$6:$A$16,"&lt;="&amp;Stocks!$A$2)-SUMIFS(Movimientos!$E$6:$E$16,Movimientos!$C$6:$C$16,Stocks!$A302,Movimientos!$G$6:$G$16,Stocks!H$3,Movimientos!$A$6:$A$16,"&lt;="&amp;Stocks!$A$2)</f>
        <v>0</v>
      </c>
      <c r="I302" s="4">
        <f>SUMIFS(Movimientos!$E$6:$E$16,Movimientos!$C$6:$C$16,Stocks!$A302,Movimientos!$F$6:$F$16,Stocks!I$3,Movimientos!$A$6:$A$16,"&lt;="&amp;Stocks!$A$2)-SUMIFS(Movimientos!$E$6:$E$16,Movimientos!$C$6:$C$16,Stocks!$A302,Movimientos!$G$6:$G$16,Stocks!I$3,Movimientos!$A$6:$A$16,"&lt;="&amp;Stocks!$A$2)</f>
        <v>0</v>
      </c>
      <c r="J302" s="4">
        <f>SUMIFS(Movimientos!$E$6:$E$16,Movimientos!$C$6:$C$16,Stocks!$A302,Movimientos!$F$6:$F$16,Stocks!J$3,Movimientos!$A$6:$A$16,"&lt;="&amp;Stocks!$A$2)-SUMIFS(Movimientos!$E$6:$E$16,Movimientos!$C$6:$C$16,Stocks!$A302,Movimientos!$G$6:$G$16,Stocks!J$3,Movimientos!$A$6:$A$16,"&lt;="&amp;Stocks!$A$2)</f>
        <v>0</v>
      </c>
      <c r="K302" s="4">
        <f>SUMIFS(Movimientos!$E$6:$E$16,Movimientos!$C$6:$C$16,Stocks!$A302,Movimientos!$F$6:$F$16,Stocks!K$3,Movimientos!$A$6:$A$16,"&lt;="&amp;Stocks!$A$2)-SUMIFS(Movimientos!$E$6:$E$16,Movimientos!$C$6:$C$16,Stocks!$A302,Movimientos!$G$6:$G$16,Stocks!K$3,Movimientos!$A$6:$A$16,"&lt;="&amp;Stocks!$A$2)</f>
        <v>0</v>
      </c>
      <c r="L302" s="4">
        <f>SUMIFS(Movimientos!$E$6:$E$16,Movimientos!$C$6:$C$16,Stocks!$A302,Movimientos!$F$6:$F$16,Stocks!L$3,Movimientos!$A$6:$A$16,"&lt;="&amp;Stocks!$A$2)-SUMIFS(Movimientos!$E$6:$E$16,Movimientos!$C$6:$C$16,Stocks!$A302,Movimientos!$G$6:$G$16,Stocks!L$3,Movimientos!$A$6:$A$16,"&lt;="&amp;Stocks!$A$2)</f>
        <v>0</v>
      </c>
    </row>
    <row r="303" spans="1:12" x14ac:dyDescent="0.25">
      <c r="A303" t="str">
        <f>Codificación!A302</f>
        <v/>
      </c>
      <c r="B303" s="1">
        <f>Codificación!B302</f>
        <v>0</v>
      </c>
      <c r="E303" s="4">
        <f>SUMIFS(Movimientos!$E$6:$E$16,Movimientos!$C$6:$C$16,Stocks!$A303,Movimientos!$F$6:$F$16,Stocks!E$3,Movimientos!$A$6:$A$16,"&lt;="&amp;Stocks!$A$2)-SUMIFS(Movimientos!$E$6:$E$16,Movimientos!$C$6:$C$16,Stocks!$A303,Movimientos!$G$6:$G$16,Stocks!E$3,Movimientos!$A$6:$A$16,"&lt;="&amp;Stocks!$A$2)</f>
        <v>0</v>
      </c>
      <c r="F303" s="4">
        <f>SUMIFS(Movimientos!$E$6:$E$16,Movimientos!$C$6:$C$16,Stocks!$A303,Movimientos!$F$6:$F$16,Stocks!F$3,Movimientos!$A$6:$A$16,"&lt;="&amp;Stocks!$A$2)-SUMIFS(Movimientos!$E$6:$E$16,Movimientos!$C$6:$C$16,Stocks!$A303,Movimientos!$G$6:$G$16,Stocks!F$3,Movimientos!$A$6:$A$16,"&lt;="&amp;Stocks!$A$2)</f>
        <v>0</v>
      </c>
      <c r="G303" s="4">
        <f>SUMIFS(Movimientos!$E$6:$E$16,Movimientos!$C$6:$C$16,Stocks!$A303,Movimientos!$F$6:$F$16,Stocks!G$3,Movimientos!$A$6:$A$16,"&lt;="&amp;Stocks!$A$2)-SUMIFS(Movimientos!$E$6:$E$16,Movimientos!$C$6:$C$16,Stocks!$A303,Movimientos!$G$6:$G$16,Stocks!G$3,Movimientos!$A$6:$A$16,"&lt;="&amp;Stocks!$A$2)</f>
        <v>0</v>
      </c>
      <c r="H303" s="4">
        <f>SUMIFS(Movimientos!$E$6:$E$16,Movimientos!$C$6:$C$16,Stocks!$A303,Movimientos!$F$6:$F$16,Stocks!H$3,Movimientos!$A$6:$A$16,"&lt;="&amp;Stocks!$A$2)-SUMIFS(Movimientos!$E$6:$E$16,Movimientos!$C$6:$C$16,Stocks!$A303,Movimientos!$G$6:$G$16,Stocks!H$3,Movimientos!$A$6:$A$16,"&lt;="&amp;Stocks!$A$2)</f>
        <v>0</v>
      </c>
      <c r="I303" s="4">
        <f>SUMIFS(Movimientos!$E$6:$E$16,Movimientos!$C$6:$C$16,Stocks!$A303,Movimientos!$F$6:$F$16,Stocks!I$3,Movimientos!$A$6:$A$16,"&lt;="&amp;Stocks!$A$2)-SUMIFS(Movimientos!$E$6:$E$16,Movimientos!$C$6:$C$16,Stocks!$A303,Movimientos!$G$6:$G$16,Stocks!I$3,Movimientos!$A$6:$A$16,"&lt;="&amp;Stocks!$A$2)</f>
        <v>0</v>
      </c>
      <c r="J303" s="4">
        <f>SUMIFS(Movimientos!$E$6:$E$16,Movimientos!$C$6:$C$16,Stocks!$A303,Movimientos!$F$6:$F$16,Stocks!J$3,Movimientos!$A$6:$A$16,"&lt;="&amp;Stocks!$A$2)-SUMIFS(Movimientos!$E$6:$E$16,Movimientos!$C$6:$C$16,Stocks!$A303,Movimientos!$G$6:$G$16,Stocks!J$3,Movimientos!$A$6:$A$16,"&lt;="&amp;Stocks!$A$2)</f>
        <v>0</v>
      </c>
      <c r="K303" s="4">
        <f>SUMIFS(Movimientos!$E$6:$E$16,Movimientos!$C$6:$C$16,Stocks!$A303,Movimientos!$F$6:$F$16,Stocks!K$3,Movimientos!$A$6:$A$16,"&lt;="&amp;Stocks!$A$2)-SUMIFS(Movimientos!$E$6:$E$16,Movimientos!$C$6:$C$16,Stocks!$A303,Movimientos!$G$6:$G$16,Stocks!K$3,Movimientos!$A$6:$A$16,"&lt;="&amp;Stocks!$A$2)</f>
        <v>0</v>
      </c>
      <c r="L303" s="4">
        <f>SUMIFS(Movimientos!$E$6:$E$16,Movimientos!$C$6:$C$16,Stocks!$A303,Movimientos!$F$6:$F$16,Stocks!L$3,Movimientos!$A$6:$A$16,"&lt;="&amp;Stocks!$A$2)-SUMIFS(Movimientos!$E$6:$E$16,Movimientos!$C$6:$C$16,Stocks!$A303,Movimientos!$G$6:$G$16,Stocks!L$3,Movimientos!$A$6:$A$16,"&lt;="&amp;Stocks!$A$2)</f>
        <v>0</v>
      </c>
    </row>
    <row r="304" spans="1:12" x14ac:dyDescent="0.25">
      <c r="A304" t="str">
        <f>Codificación!A303</f>
        <v/>
      </c>
      <c r="B304" s="1">
        <f>Codificación!B303</f>
        <v>0</v>
      </c>
      <c r="E304" s="4">
        <f>SUMIFS(Movimientos!$E$6:$E$16,Movimientos!$C$6:$C$16,Stocks!$A304,Movimientos!$F$6:$F$16,Stocks!E$3,Movimientos!$A$6:$A$16,"&lt;="&amp;Stocks!$A$2)-SUMIFS(Movimientos!$E$6:$E$16,Movimientos!$C$6:$C$16,Stocks!$A304,Movimientos!$G$6:$G$16,Stocks!E$3,Movimientos!$A$6:$A$16,"&lt;="&amp;Stocks!$A$2)</f>
        <v>0</v>
      </c>
      <c r="F304" s="4">
        <f>SUMIFS(Movimientos!$E$6:$E$16,Movimientos!$C$6:$C$16,Stocks!$A304,Movimientos!$F$6:$F$16,Stocks!F$3,Movimientos!$A$6:$A$16,"&lt;="&amp;Stocks!$A$2)-SUMIFS(Movimientos!$E$6:$E$16,Movimientos!$C$6:$C$16,Stocks!$A304,Movimientos!$G$6:$G$16,Stocks!F$3,Movimientos!$A$6:$A$16,"&lt;="&amp;Stocks!$A$2)</f>
        <v>0</v>
      </c>
      <c r="G304" s="4">
        <f>SUMIFS(Movimientos!$E$6:$E$16,Movimientos!$C$6:$C$16,Stocks!$A304,Movimientos!$F$6:$F$16,Stocks!G$3,Movimientos!$A$6:$A$16,"&lt;="&amp;Stocks!$A$2)-SUMIFS(Movimientos!$E$6:$E$16,Movimientos!$C$6:$C$16,Stocks!$A304,Movimientos!$G$6:$G$16,Stocks!G$3,Movimientos!$A$6:$A$16,"&lt;="&amp;Stocks!$A$2)</f>
        <v>0</v>
      </c>
      <c r="H304" s="4">
        <f>SUMIFS(Movimientos!$E$6:$E$16,Movimientos!$C$6:$C$16,Stocks!$A304,Movimientos!$F$6:$F$16,Stocks!H$3,Movimientos!$A$6:$A$16,"&lt;="&amp;Stocks!$A$2)-SUMIFS(Movimientos!$E$6:$E$16,Movimientos!$C$6:$C$16,Stocks!$A304,Movimientos!$G$6:$G$16,Stocks!H$3,Movimientos!$A$6:$A$16,"&lt;="&amp;Stocks!$A$2)</f>
        <v>0</v>
      </c>
      <c r="I304" s="4">
        <f>SUMIFS(Movimientos!$E$6:$E$16,Movimientos!$C$6:$C$16,Stocks!$A304,Movimientos!$F$6:$F$16,Stocks!I$3,Movimientos!$A$6:$A$16,"&lt;="&amp;Stocks!$A$2)-SUMIFS(Movimientos!$E$6:$E$16,Movimientos!$C$6:$C$16,Stocks!$A304,Movimientos!$G$6:$G$16,Stocks!I$3,Movimientos!$A$6:$A$16,"&lt;="&amp;Stocks!$A$2)</f>
        <v>0</v>
      </c>
      <c r="J304" s="4">
        <f>SUMIFS(Movimientos!$E$6:$E$16,Movimientos!$C$6:$C$16,Stocks!$A304,Movimientos!$F$6:$F$16,Stocks!J$3,Movimientos!$A$6:$A$16,"&lt;="&amp;Stocks!$A$2)-SUMIFS(Movimientos!$E$6:$E$16,Movimientos!$C$6:$C$16,Stocks!$A304,Movimientos!$G$6:$G$16,Stocks!J$3,Movimientos!$A$6:$A$16,"&lt;="&amp;Stocks!$A$2)</f>
        <v>0</v>
      </c>
      <c r="K304" s="4">
        <f>SUMIFS(Movimientos!$E$6:$E$16,Movimientos!$C$6:$C$16,Stocks!$A304,Movimientos!$F$6:$F$16,Stocks!K$3,Movimientos!$A$6:$A$16,"&lt;="&amp;Stocks!$A$2)-SUMIFS(Movimientos!$E$6:$E$16,Movimientos!$C$6:$C$16,Stocks!$A304,Movimientos!$G$6:$G$16,Stocks!K$3,Movimientos!$A$6:$A$16,"&lt;="&amp;Stocks!$A$2)</f>
        <v>0</v>
      </c>
      <c r="L304" s="4">
        <f>SUMIFS(Movimientos!$E$6:$E$16,Movimientos!$C$6:$C$16,Stocks!$A304,Movimientos!$F$6:$F$16,Stocks!L$3,Movimientos!$A$6:$A$16,"&lt;="&amp;Stocks!$A$2)-SUMIFS(Movimientos!$E$6:$E$16,Movimientos!$C$6:$C$16,Stocks!$A304,Movimientos!$G$6:$G$16,Stocks!L$3,Movimientos!$A$6:$A$16,"&lt;="&amp;Stocks!$A$2)</f>
        <v>0</v>
      </c>
    </row>
    <row r="305" spans="1:12" x14ac:dyDescent="0.25">
      <c r="A305" t="str">
        <f>Codificación!A304</f>
        <v/>
      </c>
      <c r="B305" s="1">
        <f>Codificación!B304</f>
        <v>0</v>
      </c>
      <c r="E305" s="4">
        <f>SUMIFS(Movimientos!$E$6:$E$16,Movimientos!$C$6:$C$16,Stocks!$A305,Movimientos!$F$6:$F$16,Stocks!E$3,Movimientos!$A$6:$A$16,"&lt;="&amp;Stocks!$A$2)-SUMIFS(Movimientos!$E$6:$E$16,Movimientos!$C$6:$C$16,Stocks!$A305,Movimientos!$G$6:$G$16,Stocks!E$3,Movimientos!$A$6:$A$16,"&lt;="&amp;Stocks!$A$2)</f>
        <v>0</v>
      </c>
      <c r="F305" s="4">
        <f>SUMIFS(Movimientos!$E$6:$E$16,Movimientos!$C$6:$C$16,Stocks!$A305,Movimientos!$F$6:$F$16,Stocks!F$3,Movimientos!$A$6:$A$16,"&lt;="&amp;Stocks!$A$2)-SUMIFS(Movimientos!$E$6:$E$16,Movimientos!$C$6:$C$16,Stocks!$A305,Movimientos!$G$6:$G$16,Stocks!F$3,Movimientos!$A$6:$A$16,"&lt;="&amp;Stocks!$A$2)</f>
        <v>0</v>
      </c>
      <c r="G305" s="4">
        <f>SUMIFS(Movimientos!$E$6:$E$16,Movimientos!$C$6:$C$16,Stocks!$A305,Movimientos!$F$6:$F$16,Stocks!G$3,Movimientos!$A$6:$A$16,"&lt;="&amp;Stocks!$A$2)-SUMIFS(Movimientos!$E$6:$E$16,Movimientos!$C$6:$C$16,Stocks!$A305,Movimientos!$G$6:$G$16,Stocks!G$3,Movimientos!$A$6:$A$16,"&lt;="&amp;Stocks!$A$2)</f>
        <v>0</v>
      </c>
      <c r="H305" s="4">
        <f>SUMIFS(Movimientos!$E$6:$E$16,Movimientos!$C$6:$C$16,Stocks!$A305,Movimientos!$F$6:$F$16,Stocks!H$3,Movimientos!$A$6:$A$16,"&lt;="&amp;Stocks!$A$2)-SUMIFS(Movimientos!$E$6:$E$16,Movimientos!$C$6:$C$16,Stocks!$A305,Movimientos!$G$6:$G$16,Stocks!H$3,Movimientos!$A$6:$A$16,"&lt;="&amp;Stocks!$A$2)</f>
        <v>0</v>
      </c>
      <c r="I305" s="4">
        <f>SUMIFS(Movimientos!$E$6:$E$16,Movimientos!$C$6:$C$16,Stocks!$A305,Movimientos!$F$6:$F$16,Stocks!I$3,Movimientos!$A$6:$A$16,"&lt;="&amp;Stocks!$A$2)-SUMIFS(Movimientos!$E$6:$E$16,Movimientos!$C$6:$C$16,Stocks!$A305,Movimientos!$G$6:$G$16,Stocks!I$3,Movimientos!$A$6:$A$16,"&lt;="&amp;Stocks!$A$2)</f>
        <v>0</v>
      </c>
      <c r="J305" s="4">
        <f>SUMIFS(Movimientos!$E$6:$E$16,Movimientos!$C$6:$C$16,Stocks!$A305,Movimientos!$F$6:$F$16,Stocks!J$3,Movimientos!$A$6:$A$16,"&lt;="&amp;Stocks!$A$2)-SUMIFS(Movimientos!$E$6:$E$16,Movimientos!$C$6:$C$16,Stocks!$A305,Movimientos!$G$6:$G$16,Stocks!J$3,Movimientos!$A$6:$A$16,"&lt;="&amp;Stocks!$A$2)</f>
        <v>0</v>
      </c>
      <c r="K305" s="4">
        <f>SUMIFS(Movimientos!$E$6:$E$16,Movimientos!$C$6:$C$16,Stocks!$A305,Movimientos!$F$6:$F$16,Stocks!K$3,Movimientos!$A$6:$A$16,"&lt;="&amp;Stocks!$A$2)-SUMIFS(Movimientos!$E$6:$E$16,Movimientos!$C$6:$C$16,Stocks!$A305,Movimientos!$G$6:$G$16,Stocks!K$3,Movimientos!$A$6:$A$16,"&lt;="&amp;Stocks!$A$2)</f>
        <v>0</v>
      </c>
      <c r="L305" s="4">
        <f>SUMIFS(Movimientos!$E$6:$E$16,Movimientos!$C$6:$C$16,Stocks!$A305,Movimientos!$F$6:$F$16,Stocks!L$3,Movimientos!$A$6:$A$16,"&lt;="&amp;Stocks!$A$2)-SUMIFS(Movimientos!$E$6:$E$16,Movimientos!$C$6:$C$16,Stocks!$A305,Movimientos!$G$6:$G$16,Stocks!L$3,Movimientos!$A$6:$A$16,"&lt;="&amp;Stocks!$A$2)</f>
        <v>0</v>
      </c>
    </row>
    <row r="306" spans="1:12" x14ac:dyDescent="0.25">
      <c r="A306" t="str">
        <f>Codificación!A305</f>
        <v/>
      </c>
      <c r="B306" s="1">
        <f>Codificación!B305</f>
        <v>0</v>
      </c>
      <c r="E306" s="4">
        <f>SUMIFS(Movimientos!$E$6:$E$16,Movimientos!$C$6:$C$16,Stocks!$A306,Movimientos!$F$6:$F$16,Stocks!E$3,Movimientos!$A$6:$A$16,"&lt;="&amp;Stocks!$A$2)-SUMIFS(Movimientos!$E$6:$E$16,Movimientos!$C$6:$C$16,Stocks!$A306,Movimientos!$G$6:$G$16,Stocks!E$3,Movimientos!$A$6:$A$16,"&lt;="&amp;Stocks!$A$2)</f>
        <v>0</v>
      </c>
      <c r="F306" s="4">
        <f>SUMIFS(Movimientos!$E$6:$E$16,Movimientos!$C$6:$C$16,Stocks!$A306,Movimientos!$F$6:$F$16,Stocks!F$3,Movimientos!$A$6:$A$16,"&lt;="&amp;Stocks!$A$2)-SUMIFS(Movimientos!$E$6:$E$16,Movimientos!$C$6:$C$16,Stocks!$A306,Movimientos!$G$6:$G$16,Stocks!F$3,Movimientos!$A$6:$A$16,"&lt;="&amp;Stocks!$A$2)</f>
        <v>0</v>
      </c>
      <c r="G306" s="4">
        <f>SUMIFS(Movimientos!$E$6:$E$16,Movimientos!$C$6:$C$16,Stocks!$A306,Movimientos!$F$6:$F$16,Stocks!G$3,Movimientos!$A$6:$A$16,"&lt;="&amp;Stocks!$A$2)-SUMIFS(Movimientos!$E$6:$E$16,Movimientos!$C$6:$C$16,Stocks!$A306,Movimientos!$G$6:$G$16,Stocks!G$3,Movimientos!$A$6:$A$16,"&lt;="&amp;Stocks!$A$2)</f>
        <v>0</v>
      </c>
      <c r="H306" s="4">
        <f>SUMIFS(Movimientos!$E$6:$E$16,Movimientos!$C$6:$C$16,Stocks!$A306,Movimientos!$F$6:$F$16,Stocks!H$3,Movimientos!$A$6:$A$16,"&lt;="&amp;Stocks!$A$2)-SUMIFS(Movimientos!$E$6:$E$16,Movimientos!$C$6:$C$16,Stocks!$A306,Movimientos!$G$6:$G$16,Stocks!H$3,Movimientos!$A$6:$A$16,"&lt;="&amp;Stocks!$A$2)</f>
        <v>0</v>
      </c>
      <c r="I306" s="4">
        <f>SUMIFS(Movimientos!$E$6:$E$16,Movimientos!$C$6:$C$16,Stocks!$A306,Movimientos!$F$6:$F$16,Stocks!I$3,Movimientos!$A$6:$A$16,"&lt;="&amp;Stocks!$A$2)-SUMIFS(Movimientos!$E$6:$E$16,Movimientos!$C$6:$C$16,Stocks!$A306,Movimientos!$G$6:$G$16,Stocks!I$3,Movimientos!$A$6:$A$16,"&lt;="&amp;Stocks!$A$2)</f>
        <v>0</v>
      </c>
      <c r="J306" s="4">
        <f>SUMIFS(Movimientos!$E$6:$E$16,Movimientos!$C$6:$C$16,Stocks!$A306,Movimientos!$F$6:$F$16,Stocks!J$3,Movimientos!$A$6:$A$16,"&lt;="&amp;Stocks!$A$2)-SUMIFS(Movimientos!$E$6:$E$16,Movimientos!$C$6:$C$16,Stocks!$A306,Movimientos!$G$6:$G$16,Stocks!J$3,Movimientos!$A$6:$A$16,"&lt;="&amp;Stocks!$A$2)</f>
        <v>0</v>
      </c>
      <c r="K306" s="4">
        <f>SUMIFS(Movimientos!$E$6:$E$16,Movimientos!$C$6:$C$16,Stocks!$A306,Movimientos!$F$6:$F$16,Stocks!K$3,Movimientos!$A$6:$A$16,"&lt;="&amp;Stocks!$A$2)-SUMIFS(Movimientos!$E$6:$E$16,Movimientos!$C$6:$C$16,Stocks!$A306,Movimientos!$G$6:$G$16,Stocks!K$3,Movimientos!$A$6:$A$16,"&lt;="&amp;Stocks!$A$2)</f>
        <v>0</v>
      </c>
      <c r="L306" s="4">
        <f>SUMIFS(Movimientos!$E$6:$E$16,Movimientos!$C$6:$C$16,Stocks!$A306,Movimientos!$F$6:$F$16,Stocks!L$3,Movimientos!$A$6:$A$16,"&lt;="&amp;Stocks!$A$2)-SUMIFS(Movimientos!$E$6:$E$16,Movimientos!$C$6:$C$16,Stocks!$A306,Movimientos!$G$6:$G$16,Stocks!L$3,Movimientos!$A$6:$A$16,"&lt;="&amp;Stocks!$A$2)</f>
        <v>0</v>
      </c>
    </row>
    <row r="307" spans="1:12" x14ac:dyDescent="0.25">
      <c r="A307" t="str">
        <f>Codificación!A306</f>
        <v/>
      </c>
      <c r="B307" s="1">
        <f>Codificación!B306</f>
        <v>0</v>
      </c>
      <c r="E307" s="4">
        <f>SUMIFS(Movimientos!$E$6:$E$16,Movimientos!$C$6:$C$16,Stocks!$A307,Movimientos!$F$6:$F$16,Stocks!E$3,Movimientos!$A$6:$A$16,"&lt;="&amp;Stocks!$A$2)-SUMIFS(Movimientos!$E$6:$E$16,Movimientos!$C$6:$C$16,Stocks!$A307,Movimientos!$G$6:$G$16,Stocks!E$3,Movimientos!$A$6:$A$16,"&lt;="&amp;Stocks!$A$2)</f>
        <v>0</v>
      </c>
      <c r="F307" s="4">
        <f>SUMIFS(Movimientos!$E$6:$E$16,Movimientos!$C$6:$C$16,Stocks!$A307,Movimientos!$F$6:$F$16,Stocks!F$3,Movimientos!$A$6:$A$16,"&lt;="&amp;Stocks!$A$2)-SUMIFS(Movimientos!$E$6:$E$16,Movimientos!$C$6:$C$16,Stocks!$A307,Movimientos!$G$6:$G$16,Stocks!F$3,Movimientos!$A$6:$A$16,"&lt;="&amp;Stocks!$A$2)</f>
        <v>0</v>
      </c>
      <c r="G307" s="4">
        <f>SUMIFS(Movimientos!$E$6:$E$16,Movimientos!$C$6:$C$16,Stocks!$A307,Movimientos!$F$6:$F$16,Stocks!G$3,Movimientos!$A$6:$A$16,"&lt;="&amp;Stocks!$A$2)-SUMIFS(Movimientos!$E$6:$E$16,Movimientos!$C$6:$C$16,Stocks!$A307,Movimientos!$G$6:$G$16,Stocks!G$3,Movimientos!$A$6:$A$16,"&lt;="&amp;Stocks!$A$2)</f>
        <v>0</v>
      </c>
      <c r="H307" s="4">
        <f>SUMIFS(Movimientos!$E$6:$E$16,Movimientos!$C$6:$C$16,Stocks!$A307,Movimientos!$F$6:$F$16,Stocks!H$3,Movimientos!$A$6:$A$16,"&lt;="&amp;Stocks!$A$2)-SUMIFS(Movimientos!$E$6:$E$16,Movimientos!$C$6:$C$16,Stocks!$A307,Movimientos!$G$6:$G$16,Stocks!H$3,Movimientos!$A$6:$A$16,"&lt;="&amp;Stocks!$A$2)</f>
        <v>0</v>
      </c>
      <c r="I307" s="4">
        <f>SUMIFS(Movimientos!$E$6:$E$16,Movimientos!$C$6:$C$16,Stocks!$A307,Movimientos!$F$6:$F$16,Stocks!I$3,Movimientos!$A$6:$A$16,"&lt;="&amp;Stocks!$A$2)-SUMIFS(Movimientos!$E$6:$E$16,Movimientos!$C$6:$C$16,Stocks!$A307,Movimientos!$G$6:$G$16,Stocks!I$3,Movimientos!$A$6:$A$16,"&lt;="&amp;Stocks!$A$2)</f>
        <v>0</v>
      </c>
      <c r="J307" s="4">
        <f>SUMIFS(Movimientos!$E$6:$E$16,Movimientos!$C$6:$C$16,Stocks!$A307,Movimientos!$F$6:$F$16,Stocks!J$3,Movimientos!$A$6:$A$16,"&lt;="&amp;Stocks!$A$2)-SUMIFS(Movimientos!$E$6:$E$16,Movimientos!$C$6:$C$16,Stocks!$A307,Movimientos!$G$6:$G$16,Stocks!J$3,Movimientos!$A$6:$A$16,"&lt;="&amp;Stocks!$A$2)</f>
        <v>0</v>
      </c>
      <c r="K307" s="4">
        <f>SUMIFS(Movimientos!$E$6:$E$16,Movimientos!$C$6:$C$16,Stocks!$A307,Movimientos!$F$6:$F$16,Stocks!K$3,Movimientos!$A$6:$A$16,"&lt;="&amp;Stocks!$A$2)-SUMIFS(Movimientos!$E$6:$E$16,Movimientos!$C$6:$C$16,Stocks!$A307,Movimientos!$G$6:$G$16,Stocks!K$3,Movimientos!$A$6:$A$16,"&lt;="&amp;Stocks!$A$2)</f>
        <v>0</v>
      </c>
      <c r="L307" s="4">
        <f>SUMIFS(Movimientos!$E$6:$E$16,Movimientos!$C$6:$C$16,Stocks!$A307,Movimientos!$F$6:$F$16,Stocks!L$3,Movimientos!$A$6:$A$16,"&lt;="&amp;Stocks!$A$2)-SUMIFS(Movimientos!$E$6:$E$16,Movimientos!$C$6:$C$16,Stocks!$A307,Movimientos!$G$6:$G$16,Stocks!L$3,Movimientos!$A$6:$A$16,"&lt;="&amp;Stocks!$A$2)</f>
        <v>0</v>
      </c>
    </row>
    <row r="308" spans="1:12" x14ac:dyDescent="0.25">
      <c r="A308" t="str">
        <f>Codificación!A307</f>
        <v/>
      </c>
      <c r="B308" s="1">
        <f>Codificación!B307</f>
        <v>0</v>
      </c>
      <c r="E308" s="4">
        <f>SUMIFS(Movimientos!$E$6:$E$16,Movimientos!$C$6:$C$16,Stocks!$A308,Movimientos!$F$6:$F$16,Stocks!E$3,Movimientos!$A$6:$A$16,"&lt;="&amp;Stocks!$A$2)-SUMIFS(Movimientos!$E$6:$E$16,Movimientos!$C$6:$C$16,Stocks!$A308,Movimientos!$G$6:$G$16,Stocks!E$3,Movimientos!$A$6:$A$16,"&lt;="&amp;Stocks!$A$2)</f>
        <v>0</v>
      </c>
      <c r="F308" s="4">
        <f>SUMIFS(Movimientos!$E$6:$E$16,Movimientos!$C$6:$C$16,Stocks!$A308,Movimientos!$F$6:$F$16,Stocks!F$3,Movimientos!$A$6:$A$16,"&lt;="&amp;Stocks!$A$2)-SUMIFS(Movimientos!$E$6:$E$16,Movimientos!$C$6:$C$16,Stocks!$A308,Movimientos!$G$6:$G$16,Stocks!F$3,Movimientos!$A$6:$A$16,"&lt;="&amp;Stocks!$A$2)</f>
        <v>0</v>
      </c>
      <c r="G308" s="4">
        <f>SUMIFS(Movimientos!$E$6:$E$16,Movimientos!$C$6:$C$16,Stocks!$A308,Movimientos!$F$6:$F$16,Stocks!G$3,Movimientos!$A$6:$A$16,"&lt;="&amp;Stocks!$A$2)-SUMIFS(Movimientos!$E$6:$E$16,Movimientos!$C$6:$C$16,Stocks!$A308,Movimientos!$G$6:$G$16,Stocks!G$3,Movimientos!$A$6:$A$16,"&lt;="&amp;Stocks!$A$2)</f>
        <v>0</v>
      </c>
      <c r="H308" s="4">
        <f>SUMIFS(Movimientos!$E$6:$E$16,Movimientos!$C$6:$C$16,Stocks!$A308,Movimientos!$F$6:$F$16,Stocks!H$3,Movimientos!$A$6:$A$16,"&lt;="&amp;Stocks!$A$2)-SUMIFS(Movimientos!$E$6:$E$16,Movimientos!$C$6:$C$16,Stocks!$A308,Movimientos!$G$6:$G$16,Stocks!H$3,Movimientos!$A$6:$A$16,"&lt;="&amp;Stocks!$A$2)</f>
        <v>0</v>
      </c>
      <c r="I308" s="4">
        <f>SUMIFS(Movimientos!$E$6:$E$16,Movimientos!$C$6:$C$16,Stocks!$A308,Movimientos!$F$6:$F$16,Stocks!I$3,Movimientos!$A$6:$A$16,"&lt;="&amp;Stocks!$A$2)-SUMIFS(Movimientos!$E$6:$E$16,Movimientos!$C$6:$C$16,Stocks!$A308,Movimientos!$G$6:$G$16,Stocks!I$3,Movimientos!$A$6:$A$16,"&lt;="&amp;Stocks!$A$2)</f>
        <v>0</v>
      </c>
      <c r="J308" s="4">
        <f>SUMIFS(Movimientos!$E$6:$E$16,Movimientos!$C$6:$C$16,Stocks!$A308,Movimientos!$F$6:$F$16,Stocks!J$3,Movimientos!$A$6:$A$16,"&lt;="&amp;Stocks!$A$2)-SUMIFS(Movimientos!$E$6:$E$16,Movimientos!$C$6:$C$16,Stocks!$A308,Movimientos!$G$6:$G$16,Stocks!J$3,Movimientos!$A$6:$A$16,"&lt;="&amp;Stocks!$A$2)</f>
        <v>0</v>
      </c>
      <c r="K308" s="4">
        <f>SUMIFS(Movimientos!$E$6:$E$16,Movimientos!$C$6:$C$16,Stocks!$A308,Movimientos!$F$6:$F$16,Stocks!K$3,Movimientos!$A$6:$A$16,"&lt;="&amp;Stocks!$A$2)-SUMIFS(Movimientos!$E$6:$E$16,Movimientos!$C$6:$C$16,Stocks!$A308,Movimientos!$G$6:$G$16,Stocks!K$3,Movimientos!$A$6:$A$16,"&lt;="&amp;Stocks!$A$2)</f>
        <v>0</v>
      </c>
      <c r="L308" s="4">
        <f>SUMIFS(Movimientos!$E$6:$E$16,Movimientos!$C$6:$C$16,Stocks!$A308,Movimientos!$F$6:$F$16,Stocks!L$3,Movimientos!$A$6:$A$16,"&lt;="&amp;Stocks!$A$2)-SUMIFS(Movimientos!$E$6:$E$16,Movimientos!$C$6:$C$16,Stocks!$A308,Movimientos!$G$6:$G$16,Stocks!L$3,Movimientos!$A$6:$A$16,"&lt;="&amp;Stocks!$A$2)</f>
        <v>0</v>
      </c>
    </row>
    <row r="309" spans="1:12" x14ac:dyDescent="0.25">
      <c r="A309" t="str">
        <f>Codificación!A308</f>
        <v/>
      </c>
      <c r="B309" s="1">
        <f>Codificación!B308</f>
        <v>0</v>
      </c>
      <c r="E309" s="4">
        <f>SUMIFS(Movimientos!$E$6:$E$16,Movimientos!$C$6:$C$16,Stocks!$A309,Movimientos!$F$6:$F$16,Stocks!E$3,Movimientos!$A$6:$A$16,"&lt;="&amp;Stocks!$A$2)-SUMIFS(Movimientos!$E$6:$E$16,Movimientos!$C$6:$C$16,Stocks!$A309,Movimientos!$G$6:$G$16,Stocks!E$3,Movimientos!$A$6:$A$16,"&lt;="&amp;Stocks!$A$2)</f>
        <v>0</v>
      </c>
      <c r="F309" s="4">
        <f>SUMIFS(Movimientos!$E$6:$E$16,Movimientos!$C$6:$C$16,Stocks!$A309,Movimientos!$F$6:$F$16,Stocks!F$3,Movimientos!$A$6:$A$16,"&lt;="&amp;Stocks!$A$2)-SUMIFS(Movimientos!$E$6:$E$16,Movimientos!$C$6:$C$16,Stocks!$A309,Movimientos!$G$6:$G$16,Stocks!F$3,Movimientos!$A$6:$A$16,"&lt;="&amp;Stocks!$A$2)</f>
        <v>0</v>
      </c>
      <c r="G309" s="4">
        <f>SUMIFS(Movimientos!$E$6:$E$16,Movimientos!$C$6:$C$16,Stocks!$A309,Movimientos!$F$6:$F$16,Stocks!G$3,Movimientos!$A$6:$A$16,"&lt;="&amp;Stocks!$A$2)-SUMIFS(Movimientos!$E$6:$E$16,Movimientos!$C$6:$C$16,Stocks!$A309,Movimientos!$G$6:$G$16,Stocks!G$3,Movimientos!$A$6:$A$16,"&lt;="&amp;Stocks!$A$2)</f>
        <v>0</v>
      </c>
      <c r="H309" s="4">
        <f>SUMIFS(Movimientos!$E$6:$E$16,Movimientos!$C$6:$C$16,Stocks!$A309,Movimientos!$F$6:$F$16,Stocks!H$3,Movimientos!$A$6:$A$16,"&lt;="&amp;Stocks!$A$2)-SUMIFS(Movimientos!$E$6:$E$16,Movimientos!$C$6:$C$16,Stocks!$A309,Movimientos!$G$6:$G$16,Stocks!H$3,Movimientos!$A$6:$A$16,"&lt;="&amp;Stocks!$A$2)</f>
        <v>0</v>
      </c>
      <c r="I309" s="4">
        <f>SUMIFS(Movimientos!$E$6:$E$16,Movimientos!$C$6:$C$16,Stocks!$A309,Movimientos!$F$6:$F$16,Stocks!I$3,Movimientos!$A$6:$A$16,"&lt;="&amp;Stocks!$A$2)-SUMIFS(Movimientos!$E$6:$E$16,Movimientos!$C$6:$C$16,Stocks!$A309,Movimientos!$G$6:$G$16,Stocks!I$3,Movimientos!$A$6:$A$16,"&lt;="&amp;Stocks!$A$2)</f>
        <v>0</v>
      </c>
      <c r="J309" s="4">
        <f>SUMIFS(Movimientos!$E$6:$E$16,Movimientos!$C$6:$C$16,Stocks!$A309,Movimientos!$F$6:$F$16,Stocks!J$3,Movimientos!$A$6:$A$16,"&lt;="&amp;Stocks!$A$2)-SUMIFS(Movimientos!$E$6:$E$16,Movimientos!$C$6:$C$16,Stocks!$A309,Movimientos!$G$6:$G$16,Stocks!J$3,Movimientos!$A$6:$A$16,"&lt;="&amp;Stocks!$A$2)</f>
        <v>0</v>
      </c>
      <c r="K309" s="4">
        <f>SUMIFS(Movimientos!$E$6:$E$16,Movimientos!$C$6:$C$16,Stocks!$A309,Movimientos!$F$6:$F$16,Stocks!K$3,Movimientos!$A$6:$A$16,"&lt;="&amp;Stocks!$A$2)-SUMIFS(Movimientos!$E$6:$E$16,Movimientos!$C$6:$C$16,Stocks!$A309,Movimientos!$G$6:$G$16,Stocks!K$3,Movimientos!$A$6:$A$16,"&lt;="&amp;Stocks!$A$2)</f>
        <v>0</v>
      </c>
      <c r="L309" s="4">
        <f>SUMIFS(Movimientos!$E$6:$E$16,Movimientos!$C$6:$C$16,Stocks!$A309,Movimientos!$F$6:$F$16,Stocks!L$3,Movimientos!$A$6:$A$16,"&lt;="&amp;Stocks!$A$2)-SUMIFS(Movimientos!$E$6:$E$16,Movimientos!$C$6:$C$16,Stocks!$A309,Movimientos!$G$6:$G$16,Stocks!L$3,Movimientos!$A$6:$A$16,"&lt;="&amp;Stocks!$A$2)</f>
        <v>0</v>
      </c>
    </row>
    <row r="310" spans="1:12" x14ac:dyDescent="0.25">
      <c r="A310" t="str">
        <f>Codificación!A309</f>
        <v/>
      </c>
      <c r="B310" s="1">
        <f>Codificación!B309</f>
        <v>0</v>
      </c>
      <c r="E310" s="4">
        <f>SUMIFS(Movimientos!$E$6:$E$16,Movimientos!$C$6:$C$16,Stocks!$A310,Movimientos!$F$6:$F$16,Stocks!E$3,Movimientos!$A$6:$A$16,"&lt;="&amp;Stocks!$A$2)-SUMIFS(Movimientos!$E$6:$E$16,Movimientos!$C$6:$C$16,Stocks!$A310,Movimientos!$G$6:$G$16,Stocks!E$3,Movimientos!$A$6:$A$16,"&lt;="&amp;Stocks!$A$2)</f>
        <v>0</v>
      </c>
      <c r="F310" s="4">
        <f>SUMIFS(Movimientos!$E$6:$E$16,Movimientos!$C$6:$C$16,Stocks!$A310,Movimientos!$F$6:$F$16,Stocks!F$3,Movimientos!$A$6:$A$16,"&lt;="&amp;Stocks!$A$2)-SUMIFS(Movimientos!$E$6:$E$16,Movimientos!$C$6:$C$16,Stocks!$A310,Movimientos!$G$6:$G$16,Stocks!F$3,Movimientos!$A$6:$A$16,"&lt;="&amp;Stocks!$A$2)</f>
        <v>0</v>
      </c>
      <c r="G310" s="4">
        <f>SUMIFS(Movimientos!$E$6:$E$16,Movimientos!$C$6:$C$16,Stocks!$A310,Movimientos!$F$6:$F$16,Stocks!G$3,Movimientos!$A$6:$A$16,"&lt;="&amp;Stocks!$A$2)-SUMIFS(Movimientos!$E$6:$E$16,Movimientos!$C$6:$C$16,Stocks!$A310,Movimientos!$G$6:$G$16,Stocks!G$3,Movimientos!$A$6:$A$16,"&lt;="&amp;Stocks!$A$2)</f>
        <v>0</v>
      </c>
      <c r="H310" s="4">
        <f>SUMIFS(Movimientos!$E$6:$E$16,Movimientos!$C$6:$C$16,Stocks!$A310,Movimientos!$F$6:$F$16,Stocks!H$3,Movimientos!$A$6:$A$16,"&lt;="&amp;Stocks!$A$2)-SUMIFS(Movimientos!$E$6:$E$16,Movimientos!$C$6:$C$16,Stocks!$A310,Movimientos!$G$6:$G$16,Stocks!H$3,Movimientos!$A$6:$A$16,"&lt;="&amp;Stocks!$A$2)</f>
        <v>0</v>
      </c>
      <c r="I310" s="4">
        <f>SUMIFS(Movimientos!$E$6:$E$16,Movimientos!$C$6:$C$16,Stocks!$A310,Movimientos!$F$6:$F$16,Stocks!I$3,Movimientos!$A$6:$A$16,"&lt;="&amp;Stocks!$A$2)-SUMIFS(Movimientos!$E$6:$E$16,Movimientos!$C$6:$C$16,Stocks!$A310,Movimientos!$G$6:$G$16,Stocks!I$3,Movimientos!$A$6:$A$16,"&lt;="&amp;Stocks!$A$2)</f>
        <v>0</v>
      </c>
      <c r="J310" s="4">
        <f>SUMIFS(Movimientos!$E$6:$E$16,Movimientos!$C$6:$C$16,Stocks!$A310,Movimientos!$F$6:$F$16,Stocks!J$3,Movimientos!$A$6:$A$16,"&lt;="&amp;Stocks!$A$2)-SUMIFS(Movimientos!$E$6:$E$16,Movimientos!$C$6:$C$16,Stocks!$A310,Movimientos!$G$6:$G$16,Stocks!J$3,Movimientos!$A$6:$A$16,"&lt;="&amp;Stocks!$A$2)</f>
        <v>0</v>
      </c>
      <c r="K310" s="4">
        <f>SUMIFS(Movimientos!$E$6:$E$16,Movimientos!$C$6:$C$16,Stocks!$A310,Movimientos!$F$6:$F$16,Stocks!K$3,Movimientos!$A$6:$A$16,"&lt;="&amp;Stocks!$A$2)-SUMIFS(Movimientos!$E$6:$E$16,Movimientos!$C$6:$C$16,Stocks!$A310,Movimientos!$G$6:$G$16,Stocks!K$3,Movimientos!$A$6:$A$16,"&lt;="&amp;Stocks!$A$2)</f>
        <v>0</v>
      </c>
      <c r="L310" s="4">
        <f>SUMIFS(Movimientos!$E$6:$E$16,Movimientos!$C$6:$C$16,Stocks!$A310,Movimientos!$F$6:$F$16,Stocks!L$3,Movimientos!$A$6:$A$16,"&lt;="&amp;Stocks!$A$2)-SUMIFS(Movimientos!$E$6:$E$16,Movimientos!$C$6:$C$16,Stocks!$A310,Movimientos!$G$6:$G$16,Stocks!L$3,Movimientos!$A$6:$A$16,"&lt;="&amp;Stocks!$A$2)</f>
        <v>0</v>
      </c>
    </row>
    <row r="311" spans="1:12" x14ac:dyDescent="0.25">
      <c r="A311" t="str">
        <f>Codificación!A310</f>
        <v/>
      </c>
      <c r="B311" s="1">
        <f>Codificación!B310</f>
        <v>0</v>
      </c>
      <c r="E311" s="4">
        <f>SUMIFS(Movimientos!$E$6:$E$16,Movimientos!$C$6:$C$16,Stocks!$A311,Movimientos!$F$6:$F$16,Stocks!E$3,Movimientos!$A$6:$A$16,"&lt;="&amp;Stocks!$A$2)-SUMIFS(Movimientos!$E$6:$E$16,Movimientos!$C$6:$C$16,Stocks!$A311,Movimientos!$G$6:$G$16,Stocks!E$3,Movimientos!$A$6:$A$16,"&lt;="&amp;Stocks!$A$2)</f>
        <v>0</v>
      </c>
      <c r="F311" s="4">
        <f>SUMIFS(Movimientos!$E$6:$E$16,Movimientos!$C$6:$C$16,Stocks!$A311,Movimientos!$F$6:$F$16,Stocks!F$3,Movimientos!$A$6:$A$16,"&lt;="&amp;Stocks!$A$2)-SUMIFS(Movimientos!$E$6:$E$16,Movimientos!$C$6:$C$16,Stocks!$A311,Movimientos!$G$6:$G$16,Stocks!F$3,Movimientos!$A$6:$A$16,"&lt;="&amp;Stocks!$A$2)</f>
        <v>0</v>
      </c>
      <c r="G311" s="4">
        <f>SUMIFS(Movimientos!$E$6:$E$16,Movimientos!$C$6:$C$16,Stocks!$A311,Movimientos!$F$6:$F$16,Stocks!G$3,Movimientos!$A$6:$A$16,"&lt;="&amp;Stocks!$A$2)-SUMIFS(Movimientos!$E$6:$E$16,Movimientos!$C$6:$C$16,Stocks!$A311,Movimientos!$G$6:$G$16,Stocks!G$3,Movimientos!$A$6:$A$16,"&lt;="&amp;Stocks!$A$2)</f>
        <v>0</v>
      </c>
      <c r="H311" s="4">
        <f>SUMIFS(Movimientos!$E$6:$E$16,Movimientos!$C$6:$C$16,Stocks!$A311,Movimientos!$F$6:$F$16,Stocks!H$3,Movimientos!$A$6:$A$16,"&lt;="&amp;Stocks!$A$2)-SUMIFS(Movimientos!$E$6:$E$16,Movimientos!$C$6:$C$16,Stocks!$A311,Movimientos!$G$6:$G$16,Stocks!H$3,Movimientos!$A$6:$A$16,"&lt;="&amp;Stocks!$A$2)</f>
        <v>0</v>
      </c>
      <c r="I311" s="4">
        <f>SUMIFS(Movimientos!$E$6:$E$16,Movimientos!$C$6:$C$16,Stocks!$A311,Movimientos!$F$6:$F$16,Stocks!I$3,Movimientos!$A$6:$A$16,"&lt;="&amp;Stocks!$A$2)-SUMIFS(Movimientos!$E$6:$E$16,Movimientos!$C$6:$C$16,Stocks!$A311,Movimientos!$G$6:$G$16,Stocks!I$3,Movimientos!$A$6:$A$16,"&lt;="&amp;Stocks!$A$2)</f>
        <v>0</v>
      </c>
      <c r="J311" s="4">
        <f>SUMIFS(Movimientos!$E$6:$E$16,Movimientos!$C$6:$C$16,Stocks!$A311,Movimientos!$F$6:$F$16,Stocks!J$3,Movimientos!$A$6:$A$16,"&lt;="&amp;Stocks!$A$2)-SUMIFS(Movimientos!$E$6:$E$16,Movimientos!$C$6:$C$16,Stocks!$A311,Movimientos!$G$6:$G$16,Stocks!J$3,Movimientos!$A$6:$A$16,"&lt;="&amp;Stocks!$A$2)</f>
        <v>0</v>
      </c>
      <c r="K311" s="4">
        <f>SUMIFS(Movimientos!$E$6:$E$16,Movimientos!$C$6:$C$16,Stocks!$A311,Movimientos!$F$6:$F$16,Stocks!K$3,Movimientos!$A$6:$A$16,"&lt;="&amp;Stocks!$A$2)-SUMIFS(Movimientos!$E$6:$E$16,Movimientos!$C$6:$C$16,Stocks!$A311,Movimientos!$G$6:$G$16,Stocks!K$3,Movimientos!$A$6:$A$16,"&lt;="&amp;Stocks!$A$2)</f>
        <v>0</v>
      </c>
      <c r="L311" s="4">
        <f>SUMIFS(Movimientos!$E$6:$E$16,Movimientos!$C$6:$C$16,Stocks!$A311,Movimientos!$F$6:$F$16,Stocks!L$3,Movimientos!$A$6:$A$16,"&lt;="&amp;Stocks!$A$2)-SUMIFS(Movimientos!$E$6:$E$16,Movimientos!$C$6:$C$16,Stocks!$A311,Movimientos!$G$6:$G$16,Stocks!L$3,Movimientos!$A$6:$A$16,"&lt;="&amp;Stocks!$A$2)</f>
        <v>0</v>
      </c>
    </row>
    <row r="312" spans="1:12" x14ac:dyDescent="0.25">
      <c r="A312" t="str">
        <f>Codificación!A311</f>
        <v/>
      </c>
      <c r="B312" s="1">
        <f>Codificación!B311</f>
        <v>0</v>
      </c>
      <c r="E312" s="4">
        <f>SUMIFS(Movimientos!$E$6:$E$16,Movimientos!$C$6:$C$16,Stocks!$A312,Movimientos!$F$6:$F$16,Stocks!E$3,Movimientos!$A$6:$A$16,"&lt;="&amp;Stocks!$A$2)-SUMIFS(Movimientos!$E$6:$E$16,Movimientos!$C$6:$C$16,Stocks!$A312,Movimientos!$G$6:$G$16,Stocks!E$3,Movimientos!$A$6:$A$16,"&lt;="&amp;Stocks!$A$2)</f>
        <v>0</v>
      </c>
      <c r="F312" s="4">
        <f>SUMIFS(Movimientos!$E$6:$E$16,Movimientos!$C$6:$C$16,Stocks!$A312,Movimientos!$F$6:$F$16,Stocks!F$3,Movimientos!$A$6:$A$16,"&lt;="&amp;Stocks!$A$2)-SUMIFS(Movimientos!$E$6:$E$16,Movimientos!$C$6:$C$16,Stocks!$A312,Movimientos!$G$6:$G$16,Stocks!F$3,Movimientos!$A$6:$A$16,"&lt;="&amp;Stocks!$A$2)</f>
        <v>0</v>
      </c>
      <c r="G312" s="4">
        <f>SUMIFS(Movimientos!$E$6:$E$16,Movimientos!$C$6:$C$16,Stocks!$A312,Movimientos!$F$6:$F$16,Stocks!G$3,Movimientos!$A$6:$A$16,"&lt;="&amp;Stocks!$A$2)-SUMIFS(Movimientos!$E$6:$E$16,Movimientos!$C$6:$C$16,Stocks!$A312,Movimientos!$G$6:$G$16,Stocks!G$3,Movimientos!$A$6:$A$16,"&lt;="&amp;Stocks!$A$2)</f>
        <v>0</v>
      </c>
      <c r="H312" s="4">
        <f>SUMIFS(Movimientos!$E$6:$E$16,Movimientos!$C$6:$C$16,Stocks!$A312,Movimientos!$F$6:$F$16,Stocks!H$3,Movimientos!$A$6:$A$16,"&lt;="&amp;Stocks!$A$2)-SUMIFS(Movimientos!$E$6:$E$16,Movimientos!$C$6:$C$16,Stocks!$A312,Movimientos!$G$6:$G$16,Stocks!H$3,Movimientos!$A$6:$A$16,"&lt;="&amp;Stocks!$A$2)</f>
        <v>0</v>
      </c>
      <c r="I312" s="4">
        <f>SUMIFS(Movimientos!$E$6:$E$16,Movimientos!$C$6:$C$16,Stocks!$A312,Movimientos!$F$6:$F$16,Stocks!I$3,Movimientos!$A$6:$A$16,"&lt;="&amp;Stocks!$A$2)-SUMIFS(Movimientos!$E$6:$E$16,Movimientos!$C$6:$C$16,Stocks!$A312,Movimientos!$G$6:$G$16,Stocks!I$3,Movimientos!$A$6:$A$16,"&lt;="&amp;Stocks!$A$2)</f>
        <v>0</v>
      </c>
      <c r="J312" s="4">
        <f>SUMIFS(Movimientos!$E$6:$E$16,Movimientos!$C$6:$C$16,Stocks!$A312,Movimientos!$F$6:$F$16,Stocks!J$3,Movimientos!$A$6:$A$16,"&lt;="&amp;Stocks!$A$2)-SUMIFS(Movimientos!$E$6:$E$16,Movimientos!$C$6:$C$16,Stocks!$A312,Movimientos!$G$6:$G$16,Stocks!J$3,Movimientos!$A$6:$A$16,"&lt;="&amp;Stocks!$A$2)</f>
        <v>0</v>
      </c>
      <c r="K312" s="4">
        <f>SUMIFS(Movimientos!$E$6:$E$16,Movimientos!$C$6:$C$16,Stocks!$A312,Movimientos!$F$6:$F$16,Stocks!K$3,Movimientos!$A$6:$A$16,"&lt;="&amp;Stocks!$A$2)-SUMIFS(Movimientos!$E$6:$E$16,Movimientos!$C$6:$C$16,Stocks!$A312,Movimientos!$G$6:$G$16,Stocks!K$3,Movimientos!$A$6:$A$16,"&lt;="&amp;Stocks!$A$2)</f>
        <v>0</v>
      </c>
      <c r="L312" s="4">
        <f>SUMIFS(Movimientos!$E$6:$E$16,Movimientos!$C$6:$C$16,Stocks!$A312,Movimientos!$F$6:$F$16,Stocks!L$3,Movimientos!$A$6:$A$16,"&lt;="&amp;Stocks!$A$2)-SUMIFS(Movimientos!$E$6:$E$16,Movimientos!$C$6:$C$16,Stocks!$A312,Movimientos!$G$6:$G$16,Stocks!L$3,Movimientos!$A$6:$A$16,"&lt;="&amp;Stocks!$A$2)</f>
        <v>0</v>
      </c>
    </row>
    <row r="313" spans="1:12" x14ac:dyDescent="0.25">
      <c r="A313" t="str">
        <f>Codificación!A312</f>
        <v/>
      </c>
      <c r="B313" s="1">
        <f>Codificación!B312</f>
        <v>0</v>
      </c>
      <c r="E313" s="4">
        <f>SUMIFS(Movimientos!$E$6:$E$16,Movimientos!$C$6:$C$16,Stocks!$A313,Movimientos!$F$6:$F$16,Stocks!E$3,Movimientos!$A$6:$A$16,"&lt;="&amp;Stocks!$A$2)-SUMIFS(Movimientos!$E$6:$E$16,Movimientos!$C$6:$C$16,Stocks!$A313,Movimientos!$G$6:$G$16,Stocks!E$3,Movimientos!$A$6:$A$16,"&lt;="&amp;Stocks!$A$2)</f>
        <v>0</v>
      </c>
      <c r="F313" s="4">
        <f>SUMIFS(Movimientos!$E$6:$E$16,Movimientos!$C$6:$C$16,Stocks!$A313,Movimientos!$F$6:$F$16,Stocks!F$3,Movimientos!$A$6:$A$16,"&lt;="&amp;Stocks!$A$2)-SUMIFS(Movimientos!$E$6:$E$16,Movimientos!$C$6:$C$16,Stocks!$A313,Movimientos!$G$6:$G$16,Stocks!F$3,Movimientos!$A$6:$A$16,"&lt;="&amp;Stocks!$A$2)</f>
        <v>0</v>
      </c>
      <c r="G313" s="4">
        <f>SUMIFS(Movimientos!$E$6:$E$16,Movimientos!$C$6:$C$16,Stocks!$A313,Movimientos!$F$6:$F$16,Stocks!G$3,Movimientos!$A$6:$A$16,"&lt;="&amp;Stocks!$A$2)-SUMIFS(Movimientos!$E$6:$E$16,Movimientos!$C$6:$C$16,Stocks!$A313,Movimientos!$G$6:$G$16,Stocks!G$3,Movimientos!$A$6:$A$16,"&lt;="&amp;Stocks!$A$2)</f>
        <v>0</v>
      </c>
      <c r="H313" s="4">
        <f>SUMIFS(Movimientos!$E$6:$E$16,Movimientos!$C$6:$C$16,Stocks!$A313,Movimientos!$F$6:$F$16,Stocks!H$3,Movimientos!$A$6:$A$16,"&lt;="&amp;Stocks!$A$2)-SUMIFS(Movimientos!$E$6:$E$16,Movimientos!$C$6:$C$16,Stocks!$A313,Movimientos!$G$6:$G$16,Stocks!H$3,Movimientos!$A$6:$A$16,"&lt;="&amp;Stocks!$A$2)</f>
        <v>0</v>
      </c>
      <c r="I313" s="4">
        <f>SUMIFS(Movimientos!$E$6:$E$16,Movimientos!$C$6:$C$16,Stocks!$A313,Movimientos!$F$6:$F$16,Stocks!I$3,Movimientos!$A$6:$A$16,"&lt;="&amp;Stocks!$A$2)-SUMIFS(Movimientos!$E$6:$E$16,Movimientos!$C$6:$C$16,Stocks!$A313,Movimientos!$G$6:$G$16,Stocks!I$3,Movimientos!$A$6:$A$16,"&lt;="&amp;Stocks!$A$2)</f>
        <v>0</v>
      </c>
      <c r="J313" s="4">
        <f>SUMIFS(Movimientos!$E$6:$E$16,Movimientos!$C$6:$C$16,Stocks!$A313,Movimientos!$F$6:$F$16,Stocks!J$3,Movimientos!$A$6:$A$16,"&lt;="&amp;Stocks!$A$2)-SUMIFS(Movimientos!$E$6:$E$16,Movimientos!$C$6:$C$16,Stocks!$A313,Movimientos!$G$6:$G$16,Stocks!J$3,Movimientos!$A$6:$A$16,"&lt;="&amp;Stocks!$A$2)</f>
        <v>0</v>
      </c>
      <c r="K313" s="4">
        <f>SUMIFS(Movimientos!$E$6:$E$16,Movimientos!$C$6:$C$16,Stocks!$A313,Movimientos!$F$6:$F$16,Stocks!K$3,Movimientos!$A$6:$A$16,"&lt;="&amp;Stocks!$A$2)-SUMIFS(Movimientos!$E$6:$E$16,Movimientos!$C$6:$C$16,Stocks!$A313,Movimientos!$G$6:$G$16,Stocks!K$3,Movimientos!$A$6:$A$16,"&lt;="&amp;Stocks!$A$2)</f>
        <v>0</v>
      </c>
      <c r="L313" s="4">
        <f>SUMIFS(Movimientos!$E$6:$E$16,Movimientos!$C$6:$C$16,Stocks!$A313,Movimientos!$F$6:$F$16,Stocks!L$3,Movimientos!$A$6:$A$16,"&lt;="&amp;Stocks!$A$2)-SUMIFS(Movimientos!$E$6:$E$16,Movimientos!$C$6:$C$16,Stocks!$A313,Movimientos!$G$6:$G$16,Stocks!L$3,Movimientos!$A$6:$A$16,"&lt;="&amp;Stocks!$A$2)</f>
        <v>0</v>
      </c>
    </row>
    <row r="314" spans="1:12" x14ac:dyDescent="0.25">
      <c r="A314" t="str">
        <f>Codificación!A313</f>
        <v/>
      </c>
      <c r="B314" s="1">
        <f>Codificación!B313</f>
        <v>0</v>
      </c>
      <c r="E314" s="4">
        <f>SUMIFS(Movimientos!$E$6:$E$16,Movimientos!$C$6:$C$16,Stocks!$A314,Movimientos!$F$6:$F$16,Stocks!E$3,Movimientos!$A$6:$A$16,"&lt;="&amp;Stocks!$A$2)-SUMIFS(Movimientos!$E$6:$E$16,Movimientos!$C$6:$C$16,Stocks!$A314,Movimientos!$G$6:$G$16,Stocks!E$3,Movimientos!$A$6:$A$16,"&lt;="&amp;Stocks!$A$2)</f>
        <v>0</v>
      </c>
      <c r="F314" s="4">
        <f>SUMIFS(Movimientos!$E$6:$E$16,Movimientos!$C$6:$C$16,Stocks!$A314,Movimientos!$F$6:$F$16,Stocks!F$3,Movimientos!$A$6:$A$16,"&lt;="&amp;Stocks!$A$2)-SUMIFS(Movimientos!$E$6:$E$16,Movimientos!$C$6:$C$16,Stocks!$A314,Movimientos!$G$6:$G$16,Stocks!F$3,Movimientos!$A$6:$A$16,"&lt;="&amp;Stocks!$A$2)</f>
        <v>0</v>
      </c>
      <c r="G314" s="4">
        <f>SUMIFS(Movimientos!$E$6:$E$16,Movimientos!$C$6:$C$16,Stocks!$A314,Movimientos!$F$6:$F$16,Stocks!G$3,Movimientos!$A$6:$A$16,"&lt;="&amp;Stocks!$A$2)-SUMIFS(Movimientos!$E$6:$E$16,Movimientos!$C$6:$C$16,Stocks!$A314,Movimientos!$G$6:$G$16,Stocks!G$3,Movimientos!$A$6:$A$16,"&lt;="&amp;Stocks!$A$2)</f>
        <v>0</v>
      </c>
      <c r="H314" s="4">
        <f>SUMIFS(Movimientos!$E$6:$E$16,Movimientos!$C$6:$C$16,Stocks!$A314,Movimientos!$F$6:$F$16,Stocks!H$3,Movimientos!$A$6:$A$16,"&lt;="&amp;Stocks!$A$2)-SUMIFS(Movimientos!$E$6:$E$16,Movimientos!$C$6:$C$16,Stocks!$A314,Movimientos!$G$6:$G$16,Stocks!H$3,Movimientos!$A$6:$A$16,"&lt;="&amp;Stocks!$A$2)</f>
        <v>0</v>
      </c>
      <c r="I314" s="4">
        <f>SUMIFS(Movimientos!$E$6:$E$16,Movimientos!$C$6:$C$16,Stocks!$A314,Movimientos!$F$6:$F$16,Stocks!I$3,Movimientos!$A$6:$A$16,"&lt;="&amp;Stocks!$A$2)-SUMIFS(Movimientos!$E$6:$E$16,Movimientos!$C$6:$C$16,Stocks!$A314,Movimientos!$G$6:$G$16,Stocks!I$3,Movimientos!$A$6:$A$16,"&lt;="&amp;Stocks!$A$2)</f>
        <v>0</v>
      </c>
      <c r="J314" s="4">
        <f>SUMIFS(Movimientos!$E$6:$E$16,Movimientos!$C$6:$C$16,Stocks!$A314,Movimientos!$F$6:$F$16,Stocks!J$3,Movimientos!$A$6:$A$16,"&lt;="&amp;Stocks!$A$2)-SUMIFS(Movimientos!$E$6:$E$16,Movimientos!$C$6:$C$16,Stocks!$A314,Movimientos!$G$6:$G$16,Stocks!J$3,Movimientos!$A$6:$A$16,"&lt;="&amp;Stocks!$A$2)</f>
        <v>0</v>
      </c>
      <c r="K314" s="4">
        <f>SUMIFS(Movimientos!$E$6:$E$16,Movimientos!$C$6:$C$16,Stocks!$A314,Movimientos!$F$6:$F$16,Stocks!K$3,Movimientos!$A$6:$A$16,"&lt;="&amp;Stocks!$A$2)-SUMIFS(Movimientos!$E$6:$E$16,Movimientos!$C$6:$C$16,Stocks!$A314,Movimientos!$G$6:$G$16,Stocks!K$3,Movimientos!$A$6:$A$16,"&lt;="&amp;Stocks!$A$2)</f>
        <v>0</v>
      </c>
      <c r="L314" s="4">
        <f>SUMIFS(Movimientos!$E$6:$E$16,Movimientos!$C$6:$C$16,Stocks!$A314,Movimientos!$F$6:$F$16,Stocks!L$3,Movimientos!$A$6:$A$16,"&lt;="&amp;Stocks!$A$2)-SUMIFS(Movimientos!$E$6:$E$16,Movimientos!$C$6:$C$16,Stocks!$A314,Movimientos!$G$6:$G$16,Stocks!L$3,Movimientos!$A$6:$A$16,"&lt;="&amp;Stocks!$A$2)</f>
        <v>0</v>
      </c>
    </row>
    <row r="315" spans="1:12" x14ac:dyDescent="0.25">
      <c r="A315" t="str">
        <f>Codificación!A314</f>
        <v/>
      </c>
      <c r="B315" s="1">
        <f>Codificación!B314</f>
        <v>0</v>
      </c>
      <c r="E315" s="4">
        <f>SUMIFS(Movimientos!$E$6:$E$16,Movimientos!$C$6:$C$16,Stocks!$A315,Movimientos!$F$6:$F$16,Stocks!E$3,Movimientos!$A$6:$A$16,"&lt;="&amp;Stocks!$A$2)-SUMIFS(Movimientos!$E$6:$E$16,Movimientos!$C$6:$C$16,Stocks!$A315,Movimientos!$G$6:$G$16,Stocks!E$3,Movimientos!$A$6:$A$16,"&lt;="&amp;Stocks!$A$2)</f>
        <v>0</v>
      </c>
      <c r="F315" s="4">
        <f>SUMIFS(Movimientos!$E$6:$E$16,Movimientos!$C$6:$C$16,Stocks!$A315,Movimientos!$F$6:$F$16,Stocks!F$3,Movimientos!$A$6:$A$16,"&lt;="&amp;Stocks!$A$2)-SUMIFS(Movimientos!$E$6:$E$16,Movimientos!$C$6:$C$16,Stocks!$A315,Movimientos!$G$6:$G$16,Stocks!F$3,Movimientos!$A$6:$A$16,"&lt;="&amp;Stocks!$A$2)</f>
        <v>0</v>
      </c>
      <c r="G315" s="4">
        <f>SUMIFS(Movimientos!$E$6:$E$16,Movimientos!$C$6:$C$16,Stocks!$A315,Movimientos!$F$6:$F$16,Stocks!G$3,Movimientos!$A$6:$A$16,"&lt;="&amp;Stocks!$A$2)-SUMIFS(Movimientos!$E$6:$E$16,Movimientos!$C$6:$C$16,Stocks!$A315,Movimientos!$G$6:$G$16,Stocks!G$3,Movimientos!$A$6:$A$16,"&lt;="&amp;Stocks!$A$2)</f>
        <v>0</v>
      </c>
      <c r="H315" s="4">
        <f>SUMIFS(Movimientos!$E$6:$E$16,Movimientos!$C$6:$C$16,Stocks!$A315,Movimientos!$F$6:$F$16,Stocks!H$3,Movimientos!$A$6:$A$16,"&lt;="&amp;Stocks!$A$2)-SUMIFS(Movimientos!$E$6:$E$16,Movimientos!$C$6:$C$16,Stocks!$A315,Movimientos!$G$6:$G$16,Stocks!H$3,Movimientos!$A$6:$A$16,"&lt;="&amp;Stocks!$A$2)</f>
        <v>0</v>
      </c>
      <c r="I315" s="4">
        <f>SUMIFS(Movimientos!$E$6:$E$16,Movimientos!$C$6:$C$16,Stocks!$A315,Movimientos!$F$6:$F$16,Stocks!I$3,Movimientos!$A$6:$A$16,"&lt;="&amp;Stocks!$A$2)-SUMIFS(Movimientos!$E$6:$E$16,Movimientos!$C$6:$C$16,Stocks!$A315,Movimientos!$G$6:$G$16,Stocks!I$3,Movimientos!$A$6:$A$16,"&lt;="&amp;Stocks!$A$2)</f>
        <v>0</v>
      </c>
      <c r="J315" s="4">
        <f>SUMIFS(Movimientos!$E$6:$E$16,Movimientos!$C$6:$C$16,Stocks!$A315,Movimientos!$F$6:$F$16,Stocks!J$3,Movimientos!$A$6:$A$16,"&lt;="&amp;Stocks!$A$2)-SUMIFS(Movimientos!$E$6:$E$16,Movimientos!$C$6:$C$16,Stocks!$A315,Movimientos!$G$6:$G$16,Stocks!J$3,Movimientos!$A$6:$A$16,"&lt;="&amp;Stocks!$A$2)</f>
        <v>0</v>
      </c>
      <c r="K315" s="4">
        <f>SUMIFS(Movimientos!$E$6:$E$16,Movimientos!$C$6:$C$16,Stocks!$A315,Movimientos!$F$6:$F$16,Stocks!K$3,Movimientos!$A$6:$A$16,"&lt;="&amp;Stocks!$A$2)-SUMIFS(Movimientos!$E$6:$E$16,Movimientos!$C$6:$C$16,Stocks!$A315,Movimientos!$G$6:$G$16,Stocks!K$3,Movimientos!$A$6:$A$16,"&lt;="&amp;Stocks!$A$2)</f>
        <v>0</v>
      </c>
      <c r="L315" s="4">
        <f>SUMIFS(Movimientos!$E$6:$E$16,Movimientos!$C$6:$C$16,Stocks!$A315,Movimientos!$F$6:$F$16,Stocks!L$3,Movimientos!$A$6:$A$16,"&lt;="&amp;Stocks!$A$2)-SUMIFS(Movimientos!$E$6:$E$16,Movimientos!$C$6:$C$16,Stocks!$A315,Movimientos!$G$6:$G$16,Stocks!L$3,Movimientos!$A$6:$A$16,"&lt;="&amp;Stocks!$A$2)</f>
        <v>0</v>
      </c>
    </row>
    <row r="316" spans="1:12" x14ac:dyDescent="0.25">
      <c r="A316" t="str">
        <f>Codificación!A315</f>
        <v/>
      </c>
      <c r="B316" s="1">
        <f>Codificación!B315</f>
        <v>0</v>
      </c>
      <c r="E316" s="4">
        <f>SUMIFS(Movimientos!$E$6:$E$16,Movimientos!$C$6:$C$16,Stocks!$A316,Movimientos!$F$6:$F$16,Stocks!E$3,Movimientos!$A$6:$A$16,"&lt;="&amp;Stocks!$A$2)-SUMIFS(Movimientos!$E$6:$E$16,Movimientos!$C$6:$C$16,Stocks!$A316,Movimientos!$G$6:$G$16,Stocks!E$3,Movimientos!$A$6:$A$16,"&lt;="&amp;Stocks!$A$2)</f>
        <v>0</v>
      </c>
      <c r="F316" s="4">
        <f>SUMIFS(Movimientos!$E$6:$E$16,Movimientos!$C$6:$C$16,Stocks!$A316,Movimientos!$F$6:$F$16,Stocks!F$3,Movimientos!$A$6:$A$16,"&lt;="&amp;Stocks!$A$2)-SUMIFS(Movimientos!$E$6:$E$16,Movimientos!$C$6:$C$16,Stocks!$A316,Movimientos!$G$6:$G$16,Stocks!F$3,Movimientos!$A$6:$A$16,"&lt;="&amp;Stocks!$A$2)</f>
        <v>0</v>
      </c>
      <c r="G316" s="4">
        <f>SUMIFS(Movimientos!$E$6:$E$16,Movimientos!$C$6:$C$16,Stocks!$A316,Movimientos!$F$6:$F$16,Stocks!G$3,Movimientos!$A$6:$A$16,"&lt;="&amp;Stocks!$A$2)-SUMIFS(Movimientos!$E$6:$E$16,Movimientos!$C$6:$C$16,Stocks!$A316,Movimientos!$G$6:$G$16,Stocks!G$3,Movimientos!$A$6:$A$16,"&lt;="&amp;Stocks!$A$2)</f>
        <v>0</v>
      </c>
      <c r="H316" s="4">
        <f>SUMIFS(Movimientos!$E$6:$E$16,Movimientos!$C$6:$C$16,Stocks!$A316,Movimientos!$F$6:$F$16,Stocks!H$3,Movimientos!$A$6:$A$16,"&lt;="&amp;Stocks!$A$2)-SUMIFS(Movimientos!$E$6:$E$16,Movimientos!$C$6:$C$16,Stocks!$A316,Movimientos!$G$6:$G$16,Stocks!H$3,Movimientos!$A$6:$A$16,"&lt;="&amp;Stocks!$A$2)</f>
        <v>0</v>
      </c>
      <c r="I316" s="4">
        <f>SUMIFS(Movimientos!$E$6:$E$16,Movimientos!$C$6:$C$16,Stocks!$A316,Movimientos!$F$6:$F$16,Stocks!I$3,Movimientos!$A$6:$A$16,"&lt;="&amp;Stocks!$A$2)-SUMIFS(Movimientos!$E$6:$E$16,Movimientos!$C$6:$C$16,Stocks!$A316,Movimientos!$G$6:$G$16,Stocks!I$3,Movimientos!$A$6:$A$16,"&lt;="&amp;Stocks!$A$2)</f>
        <v>0</v>
      </c>
      <c r="J316" s="4">
        <f>SUMIFS(Movimientos!$E$6:$E$16,Movimientos!$C$6:$C$16,Stocks!$A316,Movimientos!$F$6:$F$16,Stocks!J$3,Movimientos!$A$6:$A$16,"&lt;="&amp;Stocks!$A$2)-SUMIFS(Movimientos!$E$6:$E$16,Movimientos!$C$6:$C$16,Stocks!$A316,Movimientos!$G$6:$G$16,Stocks!J$3,Movimientos!$A$6:$A$16,"&lt;="&amp;Stocks!$A$2)</f>
        <v>0</v>
      </c>
      <c r="K316" s="4">
        <f>SUMIFS(Movimientos!$E$6:$E$16,Movimientos!$C$6:$C$16,Stocks!$A316,Movimientos!$F$6:$F$16,Stocks!K$3,Movimientos!$A$6:$A$16,"&lt;="&amp;Stocks!$A$2)-SUMIFS(Movimientos!$E$6:$E$16,Movimientos!$C$6:$C$16,Stocks!$A316,Movimientos!$G$6:$G$16,Stocks!K$3,Movimientos!$A$6:$A$16,"&lt;="&amp;Stocks!$A$2)</f>
        <v>0</v>
      </c>
      <c r="L316" s="4">
        <f>SUMIFS(Movimientos!$E$6:$E$16,Movimientos!$C$6:$C$16,Stocks!$A316,Movimientos!$F$6:$F$16,Stocks!L$3,Movimientos!$A$6:$A$16,"&lt;="&amp;Stocks!$A$2)-SUMIFS(Movimientos!$E$6:$E$16,Movimientos!$C$6:$C$16,Stocks!$A316,Movimientos!$G$6:$G$16,Stocks!L$3,Movimientos!$A$6:$A$16,"&lt;="&amp;Stocks!$A$2)</f>
        <v>0</v>
      </c>
    </row>
    <row r="317" spans="1:12" x14ac:dyDescent="0.25">
      <c r="A317" t="str">
        <f>Codificación!A316</f>
        <v/>
      </c>
      <c r="B317" s="1">
        <f>Codificación!B316</f>
        <v>0</v>
      </c>
      <c r="E317" s="4">
        <f>SUMIFS(Movimientos!$E$6:$E$16,Movimientos!$C$6:$C$16,Stocks!$A317,Movimientos!$F$6:$F$16,Stocks!E$3,Movimientos!$A$6:$A$16,"&lt;="&amp;Stocks!$A$2)-SUMIFS(Movimientos!$E$6:$E$16,Movimientos!$C$6:$C$16,Stocks!$A317,Movimientos!$G$6:$G$16,Stocks!E$3,Movimientos!$A$6:$A$16,"&lt;="&amp;Stocks!$A$2)</f>
        <v>0</v>
      </c>
      <c r="F317" s="4">
        <f>SUMIFS(Movimientos!$E$6:$E$16,Movimientos!$C$6:$C$16,Stocks!$A317,Movimientos!$F$6:$F$16,Stocks!F$3,Movimientos!$A$6:$A$16,"&lt;="&amp;Stocks!$A$2)-SUMIFS(Movimientos!$E$6:$E$16,Movimientos!$C$6:$C$16,Stocks!$A317,Movimientos!$G$6:$G$16,Stocks!F$3,Movimientos!$A$6:$A$16,"&lt;="&amp;Stocks!$A$2)</f>
        <v>0</v>
      </c>
      <c r="G317" s="4">
        <f>SUMIFS(Movimientos!$E$6:$E$16,Movimientos!$C$6:$C$16,Stocks!$A317,Movimientos!$F$6:$F$16,Stocks!G$3,Movimientos!$A$6:$A$16,"&lt;="&amp;Stocks!$A$2)-SUMIFS(Movimientos!$E$6:$E$16,Movimientos!$C$6:$C$16,Stocks!$A317,Movimientos!$G$6:$G$16,Stocks!G$3,Movimientos!$A$6:$A$16,"&lt;="&amp;Stocks!$A$2)</f>
        <v>0</v>
      </c>
      <c r="H317" s="4">
        <f>SUMIFS(Movimientos!$E$6:$E$16,Movimientos!$C$6:$C$16,Stocks!$A317,Movimientos!$F$6:$F$16,Stocks!H$3,Movimientos!$A$6:$A$16,"&lt;="&amp;Stocks!$A$2)-SUMIFS(Movimientos!$E$6:$E$16,Movimientos!$C$6:$C$16,Stocks!$A317,Movimientos!$G$6:$G$16,Stocks!H$3,Movimientos!$A$6:$A$16,"&lt;="&amp;Stocks!$A$2)</f>
        <v>0</v>
      </c>
      <c r="I317" s="4">
        <f>SUMIFS(Movimientos!$E$6:$E$16,Movimientos!$C$6:$C$16,Stocks!$A317,Movimientos!$F$6:$F$16,Stocks!I$3,Movimientos!$A$6:$A$16,"&lt;="&amp;Stocks!$A$2)-SUMIFS(Movimientos!$E$6:$E$16,Movimientos!$C$6:$C$16,Stocks!$A317,Movimientos!$G$6:$G$16,Stocks!I$3,Movimientos!$A$6:$A$16,"&lt;="&amp;Stocks!$A$2)</f>
        <v>0</v>
      </c>
      <c r="J317" s="4">
        <f>SUMIFS(Movimientos!$E$6:$E$16,Movimientos!$C$6:$C$16,Stocks!$A317,Movimientos!$F$6:$F$16,Stocks!J$3,Movimientos!$A$6:$A$16,"&lt;="&amp;Stocks!$A$2)-SUMIFS(Movimientos!$E$6:$E$16,Movimientos!$C$6:$C$16,Stocks!$A317,Movimientos!$G$6:$G$16,Stocks!J$3,Movimientos!$A$6:$A$16,"&lt;="&amp;Stocks!$A$2)</f>
        <v>0</v>
      </c>
      <c r="K317" s="4">
        <f>SUMIFS(Movimientos!$E$6:$E$16,Movimientos!$C$6:$C$16,Stocks!$A317,Movimientos!$F$6:$F$16,Stocks!K$3,Movimientos!$A$6:$A$16,"&lt;="&amp;Stocks!$A$2)-SUMIFS(Movimientos!$E$6:$E$16,Movimientos!$C$6:$C$16,Stocks!$A317,Movimientos!$G$6:$G$16,Stocks!K$3,Movimientos!$A$6:$A$16,"&lt;="&amp;Stocks!$A$2)</f>
        <v>0</v>
      </c>
      <c r="L317" s="4">
        <f>SUMIFS(Movimientos!$E$6:$E$16,Movimientos!$C$6:$C$16,Stocks!$A317,Movimientos!$F$6:$F$16,Stocks!L$3,Movimientos!$A$6:$A$16,"&lt;="&amp;Stocks!$A$2)-SUMIFS(Movimientos!$E$6:$E$16,Movimientos!$C$6:$C$16,Stocks!$A317,Movimientos!$G$6:$G$16,Stocks!L$3,Movimientos!$A$6:$A$16,"&lt;="&amp;Stocks!$A$2)</f>
        <v>0</v>
      </c>
    </row>
    <row r="318" spans="1:12" x14ac:dyDescent="0.25">
      <c r="A318" t="str">
        <f>Codificación!A317</f>
        <v/>
      </c>
      <c r="B318" s="1">
        <f>Codificación!B317</f>
        <v>0</v>
      </c>
      <c r="E318" s="4">
        <f>SUMIFS(Movimientos!$E$6:$E$16,Movimientos!$C$6:$C$16,Stocks!$A318,Movimientos!$F$6:$F$16,Stocks!E$3,Movimientos!$A$6:$A$16,"&lt;="&amp;Stocks!$A$2)-SUMIFS(Movimientos!$E$6:$E$16,Movimientos!$C$6:$C$16,Stocks!$A318,Movimientos!$G$6:$G$16,Stocks!E$3,Movimientos!$A$6:$A$16,"&lt;="&amp;Stocks!$A$2)</f>
        <v>0</v>
      </c>
      <c r="F318" s="4">
        <f>SUMIFS(Movimientos!$E$6:$E$16,Movimientos!$C$6:$C$16,Stocks!$A318,Movimientos!$F$6:$F$16,Stocks!F$3,Movimientos!$A$6:$A$16,"&lt;="&amp;Stocks!$A$2)-SUMIFS(Movimientos!$E$6:$E$16,Movimientos!$C$6:$C$16,Stocks!$A318,Movimientos!$G$6:$G$16,Stocks!F$3,Movimientos!$A$6:$A$16,"&lt;="&amp;Stocks!$A$2)</f>
        <v>0</v>
      </c>
      <c r="G318" s="4">
        <f>SUMIFS(Movimientos!$E$6:$E$16,Movimientos!$C$6:$C$16,Stocks!$A318,Movimientos!$F$6:$F$16,Stocks!G$3,Movimientos!$A$6:$A$16,"&lt;="&amp;Stocks!$A$2)-SUMIFS(Movimientos!$E$6:$E$16,Movimientos!$C$6:$C$16,Stocks!$A318,Movimientos!$G$6:$G$16,Stocks!G$3,Movimientos!$A$6:$A$16,"&lt;="&amp;Stocks!$A$2)</f>
        <v>0</v>
      </c>
      <c r="H318" s="4">
        <f>SUMIFS(Movimientos!$E$6:$E$16,Movimientos!$C$6:$C$16,Stocks!$A318,Movimientos!$F$6:$F$16,Stocks!H$3,Movimientos!$A$6:$A$16,"&lt;="&amp;Stocks!$A$2)-SUMIFS(Movimientos!$E$6:$E$16,Movimientos!$C$6:$C$16,Stocks!$A318,Movimientos!$G$6:$G$16,Stocks!H$3,Movimientos!$A$6:$A$16,"&lt;="&amp;Stocks!$A$2)</f>
        <v>0</v>
      </c>
      <c r="I318" s="4">
        <f>SUMIFS(Movimientos!$E$6:$E$16,Movimientos!$C$6:$C$16,Stocks!$A318,Movimientos!$F$6:$F$16,Stocks!I$3,Movimientos!$A$6:$A$16,"&lt;="&amp;Stocks!$A$2)-SUMIFS(Movimientos!$E$6:$E$16,Movimientos!$C$6:$C$16,Stocks!$A318,Movimientos!$G$6:$G$16,Stocks!I$3,Movimientos!$A$6:$A$16,"&lt;="&amp;Stocks!$A$2)</f>
        <v>0</v>
      </c>
      <c r="J318" s="4">
        <f>SUMIFS(Movimientos!$E$6:$E$16,Movimientos!$C$6:$C$16,Stocks!$A318,Movimientos!$F$6:$F$16,Stocks!J$3,Movimientos!$A$6:$A$16,"&lt;="&amp;Stocks!$A$2)-SUMIFS(Movimientos!$E$6:$E$16,Movimientos!$C$6:$C$16,Stocks!$A318,Movimientos!$G$6:$G$16,Stocks!J$3,Movimientos!$A$6:$A$16,"&lt;="&amp;Stocks!$A$2)</f>
        <v>0</v>
      </c>
      <c r="K318" s="4">
        <f>SUMIFS(Movimientos!$E$6:$E$16,Movimientos!$C$6:$C$16,Stocks!$A318,Movimientos!$F$6:$F$16,Stocks!K$3,Movimientos!$A$6:$A$16,"&lt;="&amp;Stocks!$A$2)-SUMIFS(Movimientos!$E$6:$E$16,Movimientos!$C$6:$C$16,Stocks!$A318,Movimientos!$G$6:$G$16,Stocks!K$3,Movimientos!$A$6:$A$16,"&lt;="&amp;Stocks!$A$2)</f>
        <v>0</v>
      </c>
      <c r="L318" s="4">
        <f>SUMIFS(Movimientos!$E$6:$E$16,Movimientos!$C$6:$C$16,Stocks!$A318,Movimientos!$F$6:$F$16,Stocks!L$3,Movimientos!$A$6:$A$16,"&lt;="&amp;Stocks!$A$2)-SUMIFS(Movimientos!$E$6:$E$16,Movimientos!$C$6:$C$16,Stocks!$A318,Movimientos!$G$6:$G$16,Stocks!L$3,Movimientos!$A$6:$A$16,"&lt;="&amp;Stocks!$A$2)</f>
        <v>0</v>
      </c>
    </row>
    <row r="319" spans="1:12" x14ac:dyDescent="0.25">
      <c r="A319" t="str">
        <f>Codificación!A318</f>
        <v/>
      </c>
      <c r="B319" s="1">
        <f>Codificación!B318</f>
        <v>0</v>
      </c>
      <c r="E319" s="4">
        <f>SUMIFS(Movimientos!$E$6:$E$16,Movimientos!$C$6:$C$16,Stocks!$A319,Movimientos!$F$6:$F$16,Stocks!E$3,Movimientos!$A$6:$A$16,"&lt;="&amp;Stocks!$A$2)-SUMIFS(Movimientos!$E$6:$E$16,Movimientos!$C$6:$C$16,Stocks!$A319,Movimientos!$G$6:$G$16,Stocks!E$3,Movimientos!$A$6:$A$16,"&lt;="&amp;Stocks!$A$2)</f>
        <v>0</v>
      </c>
      <c r="F319" s="4">
        <f>SUMIFS(Movimientos!$E$6:$E$16,Movimientos!$C$6:$C$16,Stocks!$A319,Movimientos!$F$6:$F$16,Stocks!F$3,Movimientos!$A$6:$A$16,"&lt;="&amp;Stocks!$A$2)-SUMIFS(Movimientos!$E$6:$E$16,Movimientos!$C$6:$C$16,Stocks!$A319,Movimientos!$G$6:$G$16,Stocks!F$3,Movimientos!$A$6:$A$16,"&lt;="&amp;Stocks!$A$2)</f>
        <v>0</v>
      </c>
      <c r="G319" s="4">
        <f>SUMIFS(Movimientos!$E$6:$E$16,Movimientos!$C$6:$C$16,Stocks!$A319,Movimientos!$F$6:$F$16,Stocks!G$3,Movimientos!$A$6:$A$16,"&lt;="&amp;Stocks!$A$2)-SUMIFS(Movimientos!$E$6:$E$16,Movimientos!$C$6:$C$16,Stocks!$A319,Movimientos!$G$6:$G$16,Stocks!G$3,Movimientos!$A$6:$A$16,"&lt;="&amp;Stocks!$A$2)</f>
        <v>0</v>
      </c>
      <c r="H319" s="4">
        <f>SUMIFS(Movimientos!$E$6:$E$16,Movimientos!$C$6:$C$16,Stocks!$A319,Movimientos!$F$6:$F$16,Stocks!H$3,Movimientos!$A$6:$A$16,"&lt;="&amp;Stocks!$A$2)-SUMIFS(Movimientos!$E$6:$E$16,Movimientos!$C$6:$C$16,Stocks!$A319,Movimientos!$G$6:$G$16,Stocks!H$3,Movimientos!$A$6:$A$16,"&lt;="&amp;Stocks!$A$2)</f>
        <v>0</v>
      </c>
      <c r="I319" s="4">
        <f>SUMIFS(Movimientos!$E$6:$E$16,Movimientos!$C$6:$C$16,Stocks!$A319,Movimientos!$F$6:$F$16,Stocks!I$3,Movimientos!$A$6:$A$16,"&lt;="&amp;Stocks!$A$2)-SUMIFS(Movimientos!$E$6:$E$16,Movimientos!$C$6:$C$16,Stocks!$A319,Movimientos!$G$6:$G$16,Stocks!I$3,Movimientos!$A$6:$A$16,"&lt;="&amp;Stocks!$A$2)</f>
        <v>0</v>
      </c>
      <c r="J319" s="4">
        <f>SUMIFS(Movimientos!$E$6:$E$16,Movimientos!$C$6:$C$16,Stocks!$A319,Movimientos!$F$6:$F$16,Stocks!J$3,Movimientos!$A$6:$A$16,"&lt;="&amp;Stocks!$A$2)-SUMIFS(Movimientos!$E$6:$E$16,Movimientos!$C$6:$C$16,Stocks!$A319,Movimientos!$G$6:$G$16,Stocks!J$3,Movimientos!$A$6:$A$16,"&lt;="&amp;Stocks!$A$2)</f>
        <v>0</v>
      </c>
      <c r="K319" s="4">
        <f>SUMIFS(Movimientos!$E$6:$E$16,Movimientos!$C$6:$C$16,Stocks!$A319,Movimientos!$F$6:$F$16,Stocks!K$3,Movimientos!$A$6:$A$16,"&lt;="&amp;Stocks!$A$2)-SUMIFS(Movimientos!$E$6:$E$16,Movimientos!$C$6:$C$16,Stocks!$A319,Movimientos!$G$6:$G$16,Stocks!K$3,Movimientos!$A$6:$A$16,"&lt;="&amp;Stocks!$A$2)</f>
        <v>0</v>
      </c>
      <c r="L319" s="4">
        <f>SUMIFS(Movimientos!$E$6:$E$16,Movimientos!$C$6:$C$16,Stocks!$A319,Movimientos!$F$6:$F$16,Stocks!L$3,Movimientos!$A$6:$A$16,"&lt;="&amp;Stocks!$A$2)-SUMIFS(Movimientos!$E$6:$E$16,Movimientos!$C$6:$C$16,Stocks!$A319,Movimientos!$G$6:$G$16,Stocks!L$3,Movimientos!$A$6:$A$16,"&lt;="&amp;Stocks!$A$2)</f>
        <v>0</v>
      </c>
    </row>
    <row r="320" spans="1:12" x14ac:dyDescent="0.25">
      <c r="A320" t="str">
        <f>Codificación!A319</f>
        <v/>
      </c>
      <c r="B320" s="1">
        <f>Codificación!B319</f>
        <v>0</v>
      </c>
      <c r="E320" s="4">
        <f>SUMIFS(Movimientos!$E$6:$E$16,Movimientos!$C$6:$C$16,Stocks!$A320,Movimientos!$F$6:$F$16,Stocks!E$3,Movimientos!$A$6:$A$16,"&lt;="&amp;Stocks!$A$2)-SUMIFS(Movimientos!$E$6:$E$16,Movimientos!$C$6:$C$16,Stocks!$A320,Movimientos!$G$6:$G$16,Stocks!E$3,Movimientos!$A$6:$A$16,"&lt;="&amp;Stocks!$A$2)</f>
        <v>0</v>
      </c>
      <c r="F320" s="4">
        <f>SUMIFS(Movimientos!$E$6:$E$16,Movimientos!$C$6:$C$16,Stocks!$A320,Movimientos!$F$6:$F$16,Stocks!F$3,Movimientos!$A$6:$A$16,"&lt;="&amp;Stocks!$A$2)-SUMIFS(Movimientos!$E$6:$E$16,Movimientos!$C$6:$C$16,Stocks!$A320,Movimientos!$G$6:$G$16,Stocks!F$3,Movimientos!$A$6:$A$16,"&lt;="&amp;Stocks!$A$2)</f>
        <v>0</v>
      </c>
      <c r="G320" s="4">
        <f>SUMIFS(Movimientos!$E$6:$E$16,Movimientos!$C$6:$C$16,Stocks!$A320,Movimientos!$F$6:$F$16,Stocks!G$3,Movimientos!$A$6:$A$16,"&lt;="&amp;Stocks!$A$2)-SUMIFS(Movimientos!$E$6:$E$16,Movimientos!$C$6:$C$16,Stocks!$A320,Movimientos!$G$6:$G$16,Stocks!G$3,Movimientos!$A$6:$A$16,"&lt;="&amp;Stocks!$A$2)</f>
        <v>0</v>
      </c>
      <c r="H320" s="4">
        <f>SUMIFS(Movimientos!$E$6:$E$16,Movimientos!$C$6:$C$16,Stocks!$A320,Movimientos!$F$6:$F$16,Stocks!H$3,Movimientos!$A$6:$A$16,"&lt;="&amp;Stocks!$A$2)-SUMIFS(Movimientos!$E$6:$E$16,Movimientos!$C$6:$C$16,Stocks!$A320,Movimientos!$G$6:$G$16,Stocks!H$3,Movimientos!$A$6:$A$16,"&lt;="&amp;Stocks!$A$2)</f>
        <v>0</v>
      </c>
      <c r="I320" s="4">
        <f>SUMIFS(Movimientos!$E$6:$E$16,Movimientos!$C$6:$C$16,Stocks!$A320,Movimientos!$F$6:$F$16,Stocks!I$3,Movimientos!$A$6:$A$16,"&lt;="&amp;Stocks!$A$2)-SUMIFS(Movimientos!$E$6:$E$16,Movimientos!$C$6:$C$16,Stocks!$A320,Movimientos!$G$6:$G$16,Stocks!I$3,Movimientos!$A$6:$A$16,"&lt;="&amp;Stocks!$A$2)</f>
        <v>0</v>
      </c>
      <c r="J320" s="4">
        <f>SUMIFS(Movimientos!$E$6:$E$16,Movimientos!$C$6:$C$16,Stocks!$A320,Movimientos!$F$6:$F$16,Stocks!J$3,Movimientos!$A$6:$A$16,"&lt;="&amp;Stocks!$A$2)-SUMIFS(Movimientos!$E$6:$E$16,Movimientos!$C$6:$C$16,Stocks!$A320,Movimientos!$G$6:$G$16,Stocks!J$3,Movimientos!$A$6:$A$16,"&lt;="&amp;Stocks!$A$2)</f>
        <v>0</v>
      </c>
      <c r="K320" s="4">
        <f>SUMIFS(Movimientos!$E$6:$E$16,Movimientos!$C$6:$C$16,Stocks!$A320,Movimientos!$F$6:$F$16,Stocks!K$3,Movimientos!$A$6:$A$16,"&lt;="&amp;Stocks!$A$2)-SUMIFS(Movimientos!$E$6:$E$16,Movimientos!$C$6:$C$16,Stocks!$A320,Movimientos!$G$6:$G$16,Stocks!K$3,Movimientos!$A$6:$A$16,"&lt;="&amp;Stocks!$A$2)</f>
        <v>0</v>
      </c>
      <c r="L320" s="4">
        <f>SUMIFS(Movimientos!$E$6:$E$16,Movimientos!$C$6:$C$16,Stocks!$A320,Movimientos!$F$6:$F$16,Stocks!L$3,Movimientos!$A$6:$A$16,"&lt;="&amp;Stocks!$A$2)-SUMIFS(Movimientos!$E$6:$E$16,Movimientos!$C$6:$C$16,Stocks!$A320,Movimientos!$G$6:$G$16,Stocks!L$3,Movimientos!$A$6:$A$16,"&lt;="&amp;Stocks!$A$2)</f>
        <v>0</v>
      </c>
    </row>
    <row r="321" spans="1:12" x14ac:dyDescent="0.25">
      <c r="A321" t="str">
        <f>Codificación!A320</f>
        <v/>
      </c>
      <c r="B321" s="1">
        <f>Codificación!B320</f>
        <v>0</v>
      </c>
      <c r="E321" s="4">
        <f>SUMIFS(Movimientos!$E$6:$E$16,Movimientos!$C$6:$C$16,Stocks!$A321,Movimientos!$F$6:$F$16,Stocks!E$3,Movimientos!$A$6:$A$16,"&lt;="&amp;Stocks!$A$2)-SUMIFS(Movimientos!$E$6:$E$16,Movimientos!$C$6:$C$16,Stocks!$A321,Movimientos!$G$6:$G$16,Stocks!E$3,Movimientos!$A$6:$A$16,"&lt;="&amp;Stocks!$A$2)</f>
        <v>0</v>
      </c>
      <c r="F321" s="4">
        <f>SUMIFS(Movimientos!$E$6:$E$16,Movimientos!$C$6:$C$16,Stocks!$A321,Movimientos!$F$6:$F$16,Stocks!F$3,Movimientos!$A$6:$A$16,"&lt;="&amp;Stocks!$A$2)-SUMIFS(Movimientos!$E$6:$E$16,Movimientos!$C$6:$C$16,Stocks!$A321,Movimientos!$G$6:$G$16,Stocks!F$3,Movimientos!$A$6:$A$16,"&lt;="&amp;Stocks!$A$2)</f>
        <v>0</v>
      </c>
      <c r="G321" s="4">
        <f>SUMIFS(Movimientos!$E$6:$E$16,Movimientos!$C$6:$C$16,Stocks!$A321,Movimientos!$F$6:$F$16,Stocks!G$3,Movimientos!$A$6:$A$16,"&lt;="&amp;Stocks!$A$2)-SUMIFS(Movimientos!$E$6:$E$16,Movimientos!$C$6:$C$16,Stocks!$A321,Movimientos!$G$6:$G$16,Stocks!G$3,Movimientos!$A$6:$A$16,"&lt;="&amp;Stocks!$A$2)</f>
        <v>0</v>
      </c>
      <c r="H321" s="4">
        <f>SUMIFS(Movimientos!$E$6:$E$16,Movimientos!$C$6:$C$16,Stocks!$A321,Movimientos!$F$6:$F$16,Stocks!H$3,Movimientos!$A$6:$A$16,"&lt;="&amp;Stocks!$A$2)-SUMIFS(Movimientos!$E$6:$E$16,Movimientos!$C$6:$C$16,Stocks!$A321,Movimientos!$G$6:$G$16,Stocks!H$3,Movimientos!$A$6:$A$16,"&lt;="&amp;Stocks!$A$2)</f>
        <v>0</v>
      </c>
      <c r="I321" s="4">
        <f>SUMIFS(Movimientos!$E$6:$E$16,Movimientos!$C$6:$C$16,Stocks!$A321,Movimientos!$F$6:$F$16,Stocks!I$3,Movimientos!$A$6:$A$16,"&lt;="&amp;Stocks!$A$2)-SUMIFS(Movimientos!$E$6:$E$16,Movimientos!$C$6:$C$16,Stocks!$A321,Movimientos!$G$6:$G$16,Stocks!I$3,Movimientos!$A$6:$A$16,"&lt;="&amp;Stocks!$A$2)</f>
        <v>0</v>
      </c>
      <c r="J321" s="4">
        <f>SUMIFS(Movimientos!$E$6:$E$16,Movimientos!$C$6:$C$16,Stocks!$A321,Movimientos!$F$6:$F$16,Stocks!J$3,Movimientos!$A$6:$A$16,"&lt;="&amp;Stocks!$A$2)-SUMIFS(Movimientos!$E$6:$E$16,Movimientos!$C$6:$C$16,Stocks!$A321,Movimientos!$G$6:$G$16,Stocks!J$3,Movimientos!$A$6:$A$16,"&lt;="&amp;Stocks!$A$2)</f>
        <v>0</v>
      </c>
      <c r="K321" s="4">
        <f>SUMIFS(Movimientos!$E$6:$E$16,Movimientos!$C$6:$C$16,Stocks!$A321,Movimientos!$F$6:$F$16,Stocks!K$3,Movimientos!$A$6:$A$16,"&lt;="&amp;Stocks!$A$2)-SUMIFS(Movimientos!$E$6:$E$16,Movimientos!$C$6:$C$16,Stocks!$A321,Movimientos!$G$6:$G$16,Stocks!K$3,Movimientos!$A$6:$A$16,"&lt;="&amp;Stocks!$A$2)</f>
        <v>0</v>
      </c>
      <c r="L321" s="4">
        <f>SUMIFS(Movimientos!$E$6:$E$16,Movimientos!$C$6:$C$16,Stocks!$A321,Movimientos!$F$6:$F$16,Stocks!L$3,Movimientos!$A$6:$A$16,"&lt;="&amp;Stocks!$A$2)-SUMIFS(Movimientos!$E$6:$E$16,Movimientos!$C$6:$C$16,Stocks!$A321,Movimientos!$G$6:$G$16,Stocks!L$3,Movimientos!$A$6:$A$16,"&lt;="&amp;Stocks!$A$2)</f>
        <v>0</v>
      </c>
    </row>
    <row r="322" spans="1:12" x14ac:dyDescent="0.25">
      <c r="A322" t="str">
        <f>Codificación!A321</f>
        <v/>
      </c>
      <c r="B322" s="1">
        <f>Codificación!B321</f>
        <v>0</v>
      </c>
      <c r="E322" s="4">
        <f>SUMIFS(Movimientos!$E$6:$E$16,Movimientos!$C$6:$C$16,Stocks!$A322,Movimientos!$F$6:$F$16,Stocks!E$3,Movimientos!$A$6:$A$16,"&lt;="&amp;Stocks!$A$2)-SUMIFS(Movimientos!$E$6:$E$16,Movimientos!$C$6:$C$16,Stocks!$A322,Movimientos!$G$6:$G$16,Stocks!E$3,Movimientos!$A$6:$A$16,"&lt;="&amp;Stocks!$A$2)</f>
        <v>0</v>
      </c>
      <c r="F322" s="4">
        <f>SUMIFS(Movimientos!$E$6:$E$16,Movimientos!$C$6:$C$16,Stocks!$A322,Movimientos!$F$6:$F$16,Stocks!F$3,Movimientos!$A$6:$A$16,"&lt;="&amp;Stocks!$A$2)-SUMIFS(Movimientos!$E$6:$E$16,Movimientos!$C$6:$C$16,Stocks!$A322,Movimientos!$G$6:$G$16,Stocks!F$3,Movimientos!$A$6:$A$16,"&lt;="&amp;Stocks!$A$2)</f>
        <v>0</v>
      </c>
      <c r="G322" s="4">
        <f>SUMIFS(Movimientos!$E$6:$E$16,Movimientos!$C$6:$C$16,Stocks!$A322,Movimientos!$F$6:$F$16,Stocks!G$3,Movimientos!$A$6:$A$16,"&lt;="&amp;Stocks!$A$2)-SUMIFS(Movimientos!$E$6:$E$16,Movimientos!$C$6:$C$16,Stocks!$A322,Movimientos!$G$6:$G$16,Stocks!G$3,Movimientos!$A$6:$A$16,"&lt;="&amp;Stocks!$A$2)</f>
        <v>0</v>
      </c>
      <c r="H322" s="4">
        <f>SUMIFS(Movimientos!$E$6:$E$16,Movimientos!$C$6:$C$16,Stocks!$A322,Movimientos!$F$6:$F$16,Stocks!H$3,Movimientos!$A$6:$A$16,"&lt;="&amp;Stocks!$A$2)-SUMIFS(Movimientos!$E$6:$E$16,Movimientos!$C$6:$C$16,Stocks!$A322,Movimientos!$G$6:$G$16,Stocks!H$3,Movimientos!$A$6:$A$16,"&lt;="&amp;Stocks!$A$2)</f>
        <v>0</v>
      </c>
      <c r="I322" s="4">
        <f>SUMIFS(Movimientos!$E$6:$E$16,Movimientos!$C$6:$C$16,Stocks!$A322,Movimientos!$F$6:$F$16,Stocks!I$3,Movimientos!$A$6:$A$16,"&lt;="&amp;Stocks!$A$2)-SUMIFS(Movimientos!$E$6:$E$16,Movimientos!$C$6:$C$16,Stocks!$A322,Movimientos!$G$6:$G$16,Stocks!I$3,Movimientos!$A$6:$A$16,"&lt;="&amp;Stocks!$A$2)</f>
        <v>0</v>
      </c>
      <c r="J322" s="4">
        <f>SUMIFS(Movimientos!$E$6:$E$16,Movimientos!$C$6:$C$16,Stocks!$A322,Movimientos!$F$6:$F$16,Stocks!J$3,Movimientos!$A$6:$A$16,"&lt;="&amp;Stocks!$A$2)-SUMIFS(Movimientos!$E$6:$E$16,Movimientos!$C$6:$C$16,Stocks!$A322,Movimientos!$G$6:$G$16,Stocks!J$3,Movimientos!$A$6:$A$16,"&lt;="&amp;Stocks!$A$2)</f>
        <v>0</v>
      </c>
      <c r="K322" s="4">
        <f>SUMIFS(Movimientos!$E$6:$E$16,Movimientos!$C$6:$C$16,Stocks!$A322,Movimientos!$F$6:$F$16,Stocks!K$3,Movimientos!$A$6:$A$16,"&lt;="&amp;Stocks!$A$2)-SUMIFS(Movimientos!$E$6:$E$16,Movimientos!$C$6:$C$16,Stocks!$A322,Movimientos!$G$6:$G$16,Stocks!K$3,Movimientos!$A$6:$A$16,"&lt;="&amp;Stocks!$A$2)</f>
        <v>0</v>
      </c>
      <c r="L322" s="4">
        <f>SUMIFS(Movimientos!$E$6:$E$16,Movimientos!$C$6:$C$16,Stocks!$A322,Movimientos!$F$6:$F$16,Stocks!L$3,Movimientos!$A$6:$A$16,"&lt;="&amp;Stocks!$A$2)-SUMIFS(Movimientos!$E$6:$E$16,Movimientos!$C$6:$C$16,Stocks!$A322,Movimientos!$G$6:$G$16,Stocks!L$3,Movimientos!$A$6:$A$16,"&lt;="&amp;Stocks!$A$2)</f>
        <v>0</v>
      </c>
    </row>
    <row r="323" spans="1:12" x14ac:dyDescent="0.25">
      <c r="A323" t="str">
        <f>Codificación!A322</f>
        <v/>
      </c>
      <c r="B323" s="1">
        <f>Codificación!B322</f>
        <v>0</v>
      </c>
      <c r="E323" s="4">
        <f>SUMIFS(Movimientos!$E$6:$E$16,Movimientos!$C$6:$C$16,Stocks!$A323,Movimientos!$F$6:$F$16,Stocks!E$3,Movimientos!$A$6:$A$16,"&lt;="&amp;Stocks!$A$2)-SUMIFS(Movimientos!$E$6:$E$16,Movimientos!$C$6:$C$16,Stocks!$A323,Movimientos!$G$6:$G$16,Stocks!E$3,Movimientos!$A$6:$A$16,"&lt;="&amp;Stocks!$A$2)</f>
        <v>0</v>
      </c>
      <c r="F323" s="4">
        <f>SUMIFS(Movimientos!$E$6:$E$16,Movimientos!$C$6:$C$16,Stocks!$A323,Movimientos!$F$6:$F$16,Stocks!F$3,Movimientos!$A$6:$A$16,"&lt;="&amp;Stocks!$A$2)-SUMIFS(Movimientos!$E$6:$E$16,Movimientos!$C$6:$C$16,Stocks!$A323,Movimientos!$G$6:$G$16,Stocks!F$3,Movimientos!$A$6:$A$16,"&lt;="&amp;Stocks!$A$2)</f>
        <v>0</v>
      </c>
      <c r="G323" s="4">
        <f>SUMIFS(Movimientos!$E$6:$E$16,Movimientos!$C$6:$C$16,Stocks!$A323,Movimientos!$F$6:$F$16,Stocks!G$3,Movimientos!$A$6:$A$16,"&lt;="&amp;Stocks!$A$2)-SUMIFS(Movimientos!$E$6:$E$16,Movimientos!$C$6:$C$16,Stocks!$A323,Movimientos!$G$6:$G$16,Stocks!G$3,Movimientos!$A$6:$A$16,"&lt;="&amp;Stocks!$A$2)</f>
        <v>0</v>
      </c>
      <c r="H323" s="4">
        <f>SUMIFS(Movimientos!$E$6:$E$16,Movimientos!$C$6:$C$16,Stocks!$A323,Movimientos!$F$6:$F$16,Stocks!H$3,Movimientos!$A$6:$A$16,"&lt;="&amp;Stocks!$A$2)-SUMIFS(Movimientos!$E$6:$E$16,Movimientos!$C$6:$C$16,Stocks!$A323,Movimientos!$G$6:$G$16,Stocks!H$3,Movimientos!$A$6:$A$16,"&lt;="&amp;Stocks!$A$2)</f>
        <v>0</v>
      </c>
      <c r="I323" s="4">
        <f>SUMIFS(Movimientos!$E$6:$E$16,Movimientos!$C$6:$C$16,Stocks!$A323,Movimientos!$F$6:$F$16,Stocks!I$3,Movimientos!$A$6:$A$16,"&lt;="&amp;Stocks!$A$2)-SUMIFS(Movimientos!$E$6:$E$16,Movimientos!$C$6:$C$16,Stocks!$A323,Movimientos!$G$6:$G$16,Stocks!I$3,Movimientos!$A$6:$A$16,"&lt;="&amp;Stocks!$A$2)</f>
        <v>0</v>
      </c>
      <c r="J323" s="4">
        <f>SUMIFS(Movimientos!$E$6:$E$16,Movimientos!$C$6:$C$16,Stocks!$A323,Movimientos!$F$6:$F$16,Stocks!J$3,Movimientos!$A$6:$A$16,"&lt;="&amp;Stocks!$A$2)-SUMIFS(Movimientos!$E$6:$E$16,Movimientos!$C$6:$C$16,Stocks!$A323,Movimientos!$G$6:$G$16,Stocks!J$3,Movimientos!$A$6:$A$16,"&lt;="&amp;Stocks!$A$2)</f>
        <v>0</v>
      </c>
      <c r="K323" s="4">
        <f>SUMIFS(Movimientos!$E$6:$E$16,Movimientos!$C$6:$C$16,Stocks!$A323,Movimientos!$F$6:$F$16,Stocks!K$3,Movimientos!$A$6:$A$16,"&lt;="&amp;Stocks!$A$2)-SUMIFS(Movimientos!$E$6:$E$16,Movimientos!$C$6:$C$16,Stocks!$A323,Movimientos!$G$6:$G$16,Stocks!K$3,Movimientos!$A$6:$A$16,"&lt;="&amp;Stocks!$A$2)</f>
        <v>0</v>
      </c>
      <c r="L323" s="4">
        <f>SUMIFS(Movimientos!$E$6:$E$16,Movimientos!$C$6:$C$16,Stocks!$A323,Movimientos!$F$6:$F$16,Stocks!L$3,Movimientos!$A$6:$A$16,"&lt;="&amp;Stocks!$A$2)-SUMIFS(Movimientos!$E$6:$E$16,Movimientos!$C$6:$C$16,Stocks!$A323,Movimientos!$G$6:$G$16,Stocks!L$3,Movimientos!$A$6:$A$16,"&lt;="&amp;Stocks!$A$2)</f>
        <v>0</v>
      </c>
    </row>
    <row r="324" spans="1:12" x14ac:dyDescent="0.25">
      <c r="A324" t="str">
        <f>Codificación!A323</f>
        <v/>
      </c>
      <c r="B324" s="1">
        <f>Codificación!B323</f>
        <v>0</v>
      </c>
      <c r="E324" s="4">
        <f>SUMIFS(Movimientos!$E$6:$E$16,Movimientos!$C$6:$C$16,Stocks!$A324,Movimientos!$F$6:$F$16,Stocks!E$3,Movimientos!$A$6:$A$16,"&lt;="&amp;Stocks!$A$2)-SUMIFS(Movimientos!$E$6:$E$16,Movimientos!$C$6:$C$16,Stocks!$A324,Movimientos!$G$6:$G$16,Stocks!E$3,Movimientos!$A$6:$A$16,"&lt;="&amp;Stocks!$A$2)</f>
        <v>0</v>
      </c>
      <c r="F324" s="4">
        <f>SUMIFS(Movimientos!$E$6:$E$16,Movimientos!$C$6:$C$16,Stocks!$A324,Movimientos!$F$6:$F$16,Stocks!F$3,Movimientos!$A$6:$A$16,"&lt;="&amp;Stocks!$A$2)-SUMIFS(Movimientos!$E$6:$E$16,Movimientos!$C$6:$C$16,Stocks!$A324,Movimientos!$G$6:$G$16,Stocks!F$3,Movimientos!$A$6:$A$16,"&lt;="&amp;Stocks!$A$2)</f>
        <v>0</v>
      </c>
      <c r="G324" s="4">
        <f>SUMIFS(Movimientos!$E$6:$E$16,Movimientos!$C$6:$C$16,Stocks!$A324,Movimientos!$F$6:$F$16,Stocks!G$3,Movimientos!$A$6:$A$16,"&lt;="&amp;Stocks!$A$2)-SUMIFS(Movimientos!$E$6:$E$16,Movimientos!$C$6:$C$16,Stocks!$A324,Movimientos!$G$6:$G$16,Stocks!G$3,Movimientos!$A$6:$A$16,"&lt;="&amp;Stocks!$A$2)</f>
        <v>0</v>
      </c>
      <c r="H324" s="4">
        <f>SUMIFS(Movimientos!$E$6:$E$16,Movimientos!$C$6:$C$16,Stocks!$A324,Movimientos!$F$6:$F$16,Stocks!H$3,Movimientos!$A$6:$A$16,"&lt;="&amp;Stocks!$A$2)-SUMIFS(Movimientos!$E$6:$E$16,Movimientos!$C$6:$C$16,Stocks!$A324,Movimientos!$G$6:$G$16,Stocks!H$3,Movimientos!$A$6:$A$16,"&lt;="&amp;Stocks!$A$2)</f>
        <v>0</v>
      </c>
      <c r="I324" s="4">
        <f>SUMIFS(Movimientos!$E$6:$E$16,Movimientos!$C$6:$C$16,Stocks!$A324,Movimientos!$F$6:$F$16,Stocks!I$3,Movimientos!$A$6:$A$16,"&lt;="&amp;Stocks!$A$2)-SUMIFS(Movimientos!$E$6:$E$16,Movimientos!$C$6:$C$16,Stocks!$A324,Movimientos!$G$6:$G$16,Stocks!I$3,Movimientos!$A$6:$A$16,"&lt;="&amp;Stocks!$A$2)</f>
        <v>0</v>
      </c>
      <c r="J324" s="4">
        <f>SUMIFS(Movimientos!$E$6:$E$16,Movimientos!$C$6:$C$16,Stocks!$A324,Movimientos!$F$6:$F$16,Stocks!J$3,Movimientos!$A$6:$A$16,"&lt;="&amp;Stocks!$A$2)-SUMIFS(Movimientos!$E$6:$E$16,Movimientos!$C$6:$C$16,Stocks!$A324,Movimientos!$G$6:$G$16,Stocks!J$3,Movimientos!$A$6:$A$16,"&lt;="&amp;Stocks!$A$2)</f>
        <v>0</v>
      </c>
      <c r="K324" s="4">
        <f>SUMIFS(Movimientos!$E$6:$E$16,Movimientos!$C$6:$C$16,Stocks!$A324,Movimientos!$F$6:$F$16,Stocks!K$3,Movimientos!$A$6:$A$16,"&lt;="&amp;Stocks!$A$2)-SUMIFS(Movimientos!$E$6:$E$16,Movimientos!$C$6:$C$16,Stocks!$A324,Movimientos!$G$6:$G$16,Stocks!K$3,Movimientos!$A$6:$A$16,"&lt;="&amp;Stocks!$A$2)</f>
        <v>0</v>
      </c>
      <c r="L324" s="4">
        <f>SUMIFS(Movimientos!$E$6:$E$16,Movimientos!$C$6:$C$16,Stocks!$A324,Movimientos!$F$6:$F$16,Stocks!L$3,Movimientos!$A$6:$A$16,"&lt;="&amp;Stocks!$A$2)-SUMIFS(Movimientos!$E$6:$E$16,Movimientos!$C$6:$C$16,Stocks!$A324,Movimientos!$G$6:$G$16,Stocks!L$3,Movimientos!$A$6:$A$16,"&lt;="&amp;Stocks!$A$2)</f>
        <v>0</v>
      </c>
    </row>
    <row r="325" spans="1:12" x14ac:dyDescent="0.25">
      <c r="A325" t="str">
        <f>Codificación!A324</f>
        <v/>
      </c>
      <c r="B325" s="1">
        <f>Codificación!B324</f>
        <v>0</v>
      </c>
      <c r="E325" s="4">
        <f>SUMIFS(Movimientos!$E$6:$E$16,Movimientos!$C$6:$C$16,Stocks!$A325,Movimientos!$F$6:$F$16,Stocks!E$3,Movimientos!$A$6:$A$16,"&lt;="&amp;Stocks!$A$2)-SUMIFS(Movimientos!$E$6:$E$16,Movimientos!$C$6:$C$16,Stocks!$A325,Movimientos!$G$6:$G$16,Stocks!E$3,Movimientos!$A$6:$A$16,"&lt;="&amp;Stocks!$A$2)</f>
        <v>0</v>
      </c>
      <c r="F325" s="4">
        <f>SUMIFS(Movimientos!$E$6:$E$16,Movimientos!$C$6:$C$16,Stocks!$A325,Movimientos!$F$6:$F$16,Stocks!F$3,Movimientos!$A$6:$A$16,"&lt;="&amp;Stocks!$A$2)-SUMIFS(Movimientos!$E$6:$E$16,Movimientos!$C$6:$C$16,Stocks!$A325,Movimientos!$G$6:$G$16,Stocks!F$3,Movimientos!$A$6:$A$16,"&lt;="&amp;Stocks!$A$2)</f>
        <v>0</v>
      </c>
      <c r="G325" s="4">
        <f>SUMIFS(Movimientos!$E$6:$E$16,Movimientos!$C$6:$C$16,Stocks!$A325,Movimientos!$F$6:$F$16,Stocks!G$3,Movimientos!$A$6:$A$16,"&lt;="&amp;Stocks!$A$2)-SUMIFS(Movimientos!$E$6:$E$16,Movimientos!$C$6:$C$16,Stocks!$A325,Movimientos!$G$6:$G$16,Stocks!G$3,Movimientos!$A$6:$A$16,"&lt;="&amp;Stocks!$A$2)</f>
        <v>0</v>
      </c>
      <c r="H325" s="4">
        <f>SUMIFS(Movimientos!$E$6:$E$16,Movimientos!$C$6:$C$16,Stocks!$A325,Movimientos!$F$6:$F$16,Stocks!H$3,Movimientos!$A$6:$A$16,"&lt;="&amp;Stocks!$A$2)-SUMIFS(Movimientos!$E$6:$E$16,Movimientos!$C$6:$C$16,Stocks!$A325,Movimientos!$G$6:$G$16,Stocks!H$3,Movimientos!$A$6:$A$16,"&lt;="&amp;Stocks!$A$2)</f>
        <v>0</v>
      </c>
      <c r="I325" s="4">
        <f>SUMIFS(Movimientos!$E$6:$E$16,Movimientos!$C$6:$C$16,Stocks!$A325,Movimientos!$F$6:$F$16,Stocks!I$3,Movimientos!$A$6:$A$16,"&lt;="&amp;Stocks!$A$2)-SUMIFS(Movimientos!$E$6:$E$16,Movimientos!$C$6:$C$16,Stocks!$A325,Movimientos!$G$6:$G$16,Stocks!I$3,Movimientos!$A$6:$A$16,"&lt;="&amp;Stocks!$A$2)</f>
        <v>0</v>
      </c>
      <c r="J325" s="4">
        <f>SUMIFS(Movimientos!$E$6:$E$16,Movimientos!$C$6:$C$16,Stocks!$A325,Movimientos!$F$6:$F$16,Stocks!J$3,Movimientos!$A$6:$A$16,"&lt;="&amp;Stocks!$A$2)-SUMIFS(Movimientos!$E$6:$E$16,Movimientos!$C$6:$C$16,Stocks!$A325,Movimientos!$G$6:$G$16,Stocks!J$3,Movimientos!$A$6:$A$16,"&lt;="&amp;Stocks!$A$2)</f>
        <v>0</v>
      </c>
      <c r="K325" s="4">
        <f>SUMIFS(Movimientos!$E$6:$E$16,Movimientos!$C$6:$C$16,Stocks!$A325,Movimientos!$F$6:$F$16,Stocks!K$3,Movimientos!$A$6:$A$16,"&lt;="&amp;Stocks!$A$2)-SUMIFS(Movimientos!$E$6:$E$16,Movimientos!$C$6:$C$16,Stocks!$A325,Movimientos!$G$6:$G$16,Stocks!K$3,Movimientos!$A$6:$A$16,"&lt;="&amp;Stocks!$A$2)</f>
        <v>0</v>
      </c>
      <c r="L325" s="4">
        <f>SUMIFS(Movimientos!$E$6:$E$16,Movimientos!$C$6:$C$16,Stocks!$A325,Movimientos!$F$6:$F$16,Stocks!L$3,Movimientos!$A$6:$A$16,"&lt;="&amp;Stocks!$A$2)-SUMIFS(Movimientos!$E$6:$E$16,Movimientos!$C$6:$C$16,Stocks!$A325,Movimientos!$G$6:$G$16,Stocks!L$3,Movimientos!$A$6:$A$16,"&lt;="&amp;Stocks!$A$2)</f>
        <v>0</v>
      </c>
    </row>
    <row r="326" spans="1:12" x14ac:dyDescent="0.25">
      <c r="A326" t="str">
        <f>Codificación!A325</f>
        <v/>
      </c>
      <c r="B326" s="1">
        <f>Codificación!B325</f>
        <v>0</v>
      </c>
      <c r="E326" s="4">
        <f>SUMIFS(Movimientos!$E$6:$E$16,Movimientos!$C$6:$C$16,Stocks!$A326,Movimientos!$F$6:$F$16,Stocks!E$3,Movimientos!$A$6:$A$16,"&lt;="&amp;Stocks!$A$2)-SUMIFS(Movimientos!$E$6:$E$16,Movimientos!$C$6:$C$16,Stocks!$A326,Movimientos!$G$6:$G$16,Stocks!E$3,Movimientos!$A$6:$A$16,"&lt;="&amp;Stocks!$A$2)</f>
        <v>0</v>
      </c>
      <c r="F326" s="4">
        <f>SUMIFS(Movimientos!$E$6:$E$16,Movimientos!$C$6:$C$16,Stocks!$A326,Movimientos!$F$6:$F$16,Stocks!F$3,Movimientos!$A$6:$A$16,"&lt;="&amp;Stocks!$A$2)-SUMIFS(Movimientos!$E$6:$E$16,Movimientos!$C$6:$C$16,Stocks!$A326,Movimientos!$G$6:$G$16,Stocks!F$3,Movimientos!$A$6:$A$16,"&lt;="&amp;Stocks!$A$2)</f>
        <v>0</v>
      </c>
      <c r="G326" s="4">
        <f>SUMIFS(Movimientos!$E$6:$E$16,Movimientos!$C$6:$C$16,Stocks!$A326,Movimientos!$F$6:$F$16,Stocks!G$3,Movimientos!$A$6:$A$16,"&lt;="&amp;Stocks!$A$2)-SUMIFS(Movimientos!$E$6:$E$16,Movimientos!$C$6:$C$16,Stocks!$A326,Movimientos!$G$6:$G$16,Stocks!G$3,Movimientos!$A$6:$A$16,"&lt;="&amp;Stocks!$A$2)</f>
        <v>0</v>
      </c>
      <c r="H326" s="4">
        <f>SUMIFS(Movimientos!$E$6:$E$16,Movimientos!$C$6:$C$16,Stocks!$A326,Movimientos!$F$6:$F$16,Stocks!H$3,Movimientos!$A$6:$A$16,"&lt;="&amp;Stocks!$A$2)-SUMIFS(Movimientos!$E$6:$E$16,Movimientos!$C$6:$C$16,Stocks!$A326,Movimientos!$G$6:$G$16,Stocks!H$3,Movimientos!$A$6:$A$16,"&lt;="&amp;Stocks!$A$2)</f>
        <v>0</v>
      </c>
      <c r="I326" s="4">
        <f>SUMIFS(Movimientos!$E$6:$E$16,Movimientos!$C$6:$C$16,Stocks!$A326,Movimientos!$F$6:$F$16,Stocks!I$3,Movimientos!$A$6:$A$16,"&lt;="&amp;Stocks!$A$2)-SUMIFS(Movimientos!$E$6:$E$16,Movimientos!$C$6:$C$16,Stocks!$A326,Movimientos!$G$6:$G$16,Stocks!I$3,Movimientos!$A$6:$A$16,"&lt;="&amp;Stocks!$A$2)</f>
        <v>0</v>
      </c>
      <c r="J326" s="4">
        <f>SUMIFS(Movimientos!$E$6:$E$16,Movimientos!$C$6:$C$16,Stocks!$A326,Movimientos!$F$6:$F$16,Stocks!J$3,Movimientos!$A$6:$A$16,"&lt;="&amp;Stocks!$A$2)-SUMIFS(Movimientos!$E$6:$E$16,Movimientos!$C$6:$C$16,Stocks!$A326,Movimientos!$G$6:$G$16,Stocks!J$3,Movimientos!$A$6:$A$16,"&lt;="&amp;Stocks!$A$2)</f>
        <v>0</v>
      </c>
      <c r="K326" s="4">
        <f>SUMIFS(Movimientos!$E$6:$E$16,Movimientos!$C$6:$C$16,Stocks!$A326,Movimientos!$F$6:$F$16,Stocks!K$3,Movimientos!$A$6:$A$16,"&lt;="&amp;Stocks!$A$2)-SUMIFS(Movimientos!$E$6:$E$16,Movimientos!$C$6:$C$16,Stocks!$A326,Movimientos!$G$6:$G$16,Stocks!K$3,Movimientos!$A$6:$A$16,"&lt;="&amp;Stocks!$A$2)</f>
        <v>0</v>
      </c>
      <c r="L326" s="4">
        <f>SUMIFS(Movimientos!$E$6:$E$16,Movimientos!$C$6:$C$16,Stocks!$A326,Movimientos!$F$6:$F$16,Stocks!L$3,Movimientos!$A$6:$A$16,"&lt;="&amp;Stocks!$A$2)-SUMIFS(Movimientos!$E$6:$E$16,Movimientos!$C$6:$C$16,Stocks!$A326,Movimientos!$G$6:$G$16,Stocks!L$3,Movimientos!$A$6:$A$16,"&lt;="&amp;Stocks!$A$2)</f>
        <v>0</v>
      </c>
    </row>
    <row r="327" spans="1:12" x14ac:dyDescent="0.25">
      <c r="A327" t="str">
        <f>Codificación!A326</f>
        <v/>
      </c>
      <c r="B327" s="1">
        <f>Codificación!B326</f>
        <v>0</v>
      </c>
      <c r="E327" s="4">
        <f>SUMIFS(Movimientos!$E$6:$E$16,Movimientos!$C$6:$C$16,Stocks!$A327,Movimientos!$F$6:$F$16,Stocks!E$3,Movimientos!$A$6:$A$16,"&lt;="&amp;Stocks!$A$2)-SUMIFS(Movimientos!$E$6:$E$16,Movimientos!$C$6:$C$16,Stocks!$A327,Movimientos!$G$6:$G$16,Stocks!E$3,Movimientos!$A$6:$A$16,"&lt;="&amp;Stocks!$A$2)</f>
        <v>0</v>
      </c>
      <c r="F327" s="4">
        <f>SUMIFS(Movimientos!$E$6:$E$16,Movimientos!$C$6:$C$16,Stocks!$A327,Movimientos!$F$6:$F$16,Stocks!F$3,Movimientos!$A$6:$A$16,"&lt;="&amp;Stocks!$A$2)-SUMIFS(Movimientos!$E$6:$E$16,Movimientos!$C$6:$C$16,Stocks!$A327,Movimientos!$G$6:$G$16,Stocks!F$3,Movimientos!$A$6:$A$16,"&lt;="&amp;Stocks!$A$2)</f>
        <v>0</v>
      </c>
      <c r="G327" s="4">
        <f>SUMIFS(Movimientos!$E$6:$E$16,Movimientos!$C$6:$C$16,Stocks!$A327,Movimientos!$F$6:$F$16,Stocks!G$3,Movimientos!$A$6:$A$16,"&lt;="&amp;Stocks!$A$2)-SUMIFS(Movimientos!$E$6:$E$16,Movimientos!$C$6:$C$16,Stocks!$A327,Movimientos!$G$6:$G$16,Stocks!G$3,Movimientos!$A$6:$A$16,"&lt;="&amp;Stocks!$A$2)</f>
        <v>0</v>
      </c>
      <c r="H327" s="4">
        <f>SUMIFS(Movimientos!$E$6:$E$16,Movimientos!$C$6:$C$16,Stocks!$A327,Movimientos!$F$6:$F$16,Stocks!H$3,Movimientos!$A$6:$A$16,"&lt;="&amp;Stocks!$A$2)-SUMIFS(Movimientos!$E$6:$E$16,Movimientos!$C$6:$C$16,Stocks!$A327,Movimientos!$G$6:$G$16,Stocks!H$3,Movimientos!$A$6:$A$16,"&lt;="&amp;Stocks!$A$2)</f>
        <v>0</v>
      </c>
      <c r="I327" s="4">
        <f>SUMIFS(Movimientos!$E$6:$E$16,Movimientos!$C$6:$C$16,Stocks!$A327,Movimientos!$F$6:$F$16,Stocks!I$3,Movimientos!$A$6:$A$16,"&lt;="&amp;Stocks!$A$2)-SUMIFS(Movimientos!$E$6:$E$16,Movimientos!$C$6:$C$16,Stocks!$A327,Movimientos!$G$6:$G$16,Stocks!I$3,Movimientos!$A$6:$A$16,"&lt;="&amp;Stocks!$A$2)</f>
        <v>0</v>
      </c>
      <c r="J327" s="4">
        <f>SUMIFS(Movimientos!$E$6:$E$16,Movimientos!$C$6:$C$16,Stocks!$A327,Movimientos!$F$6:$F$16,Stocks!J$3,Movimientos!$A$6:$A$16,"&lt;="&amp;Stocks!$A$2)-SUMIFS(Movimientos!$E$6:$E$16,Movimientos!$C$6:$C$16,Stocks!$A327,Movimientos!$G$6:$G$16,Stocks!J$3,Movimientos!$A$6:$A$16,"&lt;="&amp;Stocks!$A$2)</f>
        <v>0</v>
      </c>
      <c r="K327" s="4">
        <f>SUMIFS(Movimientos!$E$6:$E$16,Movimientos!$C$6:$C$16,Stocks!$A327,Movimientos!$F$6:$F$16,Stocks!K$3,Movimientos!$A$6:$A$16,"&lt;="&amp;Stocks!$A$2)-SUMIFS(Movimientos!$E$6:$E$16,Movimientos!$C$6:$C$16,Stocks!$A327,Movimientos!$G$6:$G$16,Stocks!K$3,Movimientos!$A$6:$A$16,"&lt;="&amp;Stocks!$A$2)</f>
        <v>0</v>
      </c>
      <c r="L327" s="4">
        <f>SUMIFS(Movimientos!$E$6:$E$16,Movimientos!$C$6:$C$16,Stocks!$A327,Movimientos!$F$6:$F$16,Stocks!L$3,Movimientos!$A$6:$A$16,"&lt;="&amp;Stocks!$A$2)-SUMIFS(Movimientos!$E$6:$E$16,Movimientos!$C$6:$C$16,Stocks!$A327,Movimientos!$G$6:$G$16,Stocks!L$3,Movimientos!$A$6:$A$16,"&lt;="&amp;Stocks!$A$2)</f>
        <v>0</v>
      </c>
    </row>
    <row r="328" spans="1:12" x14ac:dyDescent="0.25">
      <c r="A328" t="str">
        <f>Codificación!A327</f>
        <v/>
      </c>
      <c r="B328" s="1">
        <f>Codificación!B327</f>
        <v>0</v>
      </c>
      <c r="E328" s="4">
        <f>SUMIFS(Movimientos!$E$6:$E$16,Movimientos!$C$6:$C$16,Stocks!$A328,Movimientos!$F$6:$F$16,Stocks!E$3,Movimientos!$A$6:$A$16,"&lt;="&amp;Stocks!$A$2)-SUMIFS(Movimientos!$E$6:$E$16,Movimientos!$C$6:$C$16,Stocks!$A328,Movimientos!$G$6:$G$16,Stocks!E$3,Movimientos!$A$6:$A$16,"&lt;="&amp;Stocks!$A$2)</f>
        <v>0</v>
      </c>
      <c r="F328" s="4">
        <f>SUMIFS(Movimientos!$E$6:$E$16,Movimientos!$C$6:$C$16,Stocks!$A328,Movimientos!$F$6:$F$16,Stocks!F$3,Movimientos!$A$6:$A$16,"&lt;="&amp;Stocks!$A$2)-SUMIFS(Movimientos!$E$6:$E$16,Movimientos!$C$6:$C$16,Stocks!$A328,Movimientos!$G$6:$G$16,Stocks!F$3,Movimientos!$A$6:$A$16,"&lt;="&amp;Stocks!$A$2)</f>
        <v>0</v>
      </c>
      <c r="G328" s="4">
        <f>SUMIFS(Movimientos!$E$6:$E$16,Movimientos!$C$6:$C$16,Stocks!$A328,Movimientos!$F$6:$F$16,Stocks!G$3,Movimientos!$A$6:$A$16,"&lt;="&amp;Stocks!$A$2)-SUMIFS(Movimientos!$E$6:$E$16,Movimientos!$C$6:$C$16,Stocks!$A328,Movimientos!$G$6:$G$16,Stocks!G$3,Movimientos!$A$6:$A$16,"&lt;="&amp;Stocks!$A$2)</f>
        <v>0</v>
      </c>
      <c r="H328" s="4">
        <f>SUMIFS(Movimientos!$E$6:$E$16,Movimientos!$C$6:$C$16,Stocks!$A328,Movimientos!$F$6:$F$16,Stocks!H$3,Movimientos!$A$6:$A$16,"&lt;="&amp;Stocks!$A$2)-SUMIFS(Movimientos!$E$6:$E$16,Movimientos!$C$6:$C$16,Stocks!$A328,Movimientos!$G$6:$G$16,Stocks!H$3,Movimientos!$A$6:$A$16,"&lt;="&amp;Stocks!$A$2)</f>
        <v>0</v>
      </c>
      <c r="I328" s="4">
        <f>SUMIFS(Movimientos!$E$6:$E$16,Movimientos!$C$6:$C$16,Stocks!$A328,Movimientos!$F$6:$F$16,Stocks!I$3,Movimientos!$A$6:$A$16,"&lt;="&amp;Stocks!$A$2)-SUMIFS(Movimientos!$E$6:$E$16,Movimientos!$C$6:$C$16,Stocks!$A328,Movimientos!$G$6:$G$16,Stocks!I$3,Movimientos!$A$6:$A$16,"&lt;="&amp;Stocks!$A$2)</f>
        <v>0</v>
      </c>
      <c r="J328" s="4">
        <f>SUMIFS(Movimientos!$E$6:$E$16,Movimientos!$C$6:$C$16,Stocks!$A328,Movimientos!$F$6:$F$16,Stocks!J$3,Movimientos!$A$6:$A$16,"&lt;="&amp;Stocks!$A$2)-SUMIFS(Movimientos!$E$6:$E$16,Movimientos!$C$6:$C$16,Stocks!$A328,Movimientos!$G$6:$G$16,Stocks!J$3,Movimientos!$A$6:$A$16,"&lt;="&amp;Stocks!$A$2)</f>
        <v>0</v>
      </c>
      <c r="K328" s="4">
        <f>SUMIFS(Movimientos!$E$6:$E$16,Movimientos!$C$6:$C$16,Stocks!$A328,Movimientos!$F$6:$F$16,Stocks!K$3,Movimientos!$A$6:$A$16,"&lt;="&amp;Stocks!$A$2)-SUMIFS(Movimientos!$E$6:$E$16,Movimientos!$C$6:$C$16,Stocks!$A328,Movimientos!$G$6:$G$16,Stocks!K$3,Movimientos!$A$6:$A$16,"&lt;="&amp;Stocks!$A$2)</f>
        <v>0</v>
      </c>
      <c r="L328" s="4">
        <f>SUMIFS(Movimientos!$E$6:$E$16,Movimientos!$C$6:$C$16,Stocks!$A328,Movimientos!$F$6:$F$16,Stocks!L$3,Movimientos!$A$6:$A$16,"&lt;="&amp;Stocks!$A$2)-SUMIFS(Movimientos!$E$6:$E$16,Movimientos!$C$6:$C$16,Stocks!$A328,Movimientos!$G$6:$G$16,Stocks!L$3,Movimientos!$A$6:$A$16,"&lt;="&amp;Stocks!$A$2)</f>
        <v>0</v>
      </c>
    </row>
    <row r="329" spans="1:12" x14ac:dyDescent="0.25">
      <c r="A329" t="str">
        <f>Codificación!A328</f>
        <v/>
      </c>
      <c r="B329" s="1">
        <f>Codificación!B328</f>
        <v>0</v>
      </c>
      <c r="E329" s="4">
        <f>SUMIFS(Movimientos!$E$6:$E$16,Movimientos!$C$6:$C$16,Stocks!$A329,Movimientos!$F$6:$F$16,Stocks!E$3,Movimientos!$A$6:$A$16,"&lt;="&amp;Stocks!$A$2)-SUMIFS(Movimientos!$E$6:$E$16,Movimientos!$C$6:$C$16,Stocks!$A329,Movimientos!$G$6:$G$16,Stocks!E$3,Movimientos!$A$6:$A$16,"&lt;="&amp;Stocks!$A$2)</f>
        <v>0</v>
      </c>
      <c r="F329" s="4">
        <f>SUMIFS(Movimientos!$E$6:$E$16,Movimientos!$C$6:$C$16,Stocks!$A329,Movimientos!$F$6:$F$16,Stocks!F$3,Movimientos!$A$6:$A$16,"&lt;="&amp;Stocks!$A$2)-SUMIFS(Movimientos!$E$6:$E$16,Movimientos!$C$6:$C$16,Stocks!$A329,Movimientos!$G$6:$G$16,Stocks!F$3,Movimientos!$A$6:$A$16,"&lt;="&amp;Stocks!$A$2)</f>
        <v>0</v>
      </c>
      <c r="G329" s="4">
        <f>SUMIFS(Movimientos!$E$6:$E$16,Movimientos!$C$6:$C$16,Stocks!$A329,Movimientos!$F$6:$F$16,Stocks!G$3,Movimientos!$A$6:$A$16,"&lt;="&amp;Stocks!$A$2)-SUMIFS(Movimientos!$E$6:$E$16,Movimientos!$C$6:$C$16,Stocks!$A329,Movimientos!$G$6:$G$16,Stocks!G$3,Movimientos!$A$6:$A$16,"&lt;="&amp;Stocks!$A$2)</f>
        <v>0</v>
      </c>
      <c r="H329" s="4">
        <f>SUMIFS(Movimientos!$E$6:$E$16,Movimientos!$C$6:$C$16,Stocks!$A329,Movimientos!$F$6:$F$16,Stocks!H$3,Movimientos!$A$6:$A$16,"&lt;="&amp;Stocks!$A$2)-SUMIFS(Movimientos!$E$6:$E$16,Movimientos!$C$6:$C$16,Stocks!$A329,Movimientos!$G$6:$G$16,Stocks!H$3,Movimientos!$A$6:$A$16,"&lt;="&amp;Stocks!$A$2)</f>
        <v>0</v>
      </c>
      <c r="I329" s="4">
        <f>SUMIFS(Movimientos!$E$6:$E$16,Movimientos!$C$6:$C$16,Stocks!$A329,Movimientos!$F$6:$F$16,Stocks!I$3,Movimientos!$A$6:$A$16,"&lt;="&amp;Stocks!$A$2)-SUMIFS(Movimientos!$E$6:$E$16,Movimientos!$C$6:$C$16,Stocks!$A329,Movimientos!$G$6:$G$16,Stocks!I$3,Movimientos!$A$6:$A$16,"&lt;="&amp;Stocks!$A$2)</f>
        <v>0</v>
      </c>
      <c r="J329" s="4">
        <f>SUMIFS(Movimientos!$E$6:$E$16,Movimientos!$C$6:$C$16,Stocks!$A329,Movimientos!$F$6:$F$16,Stocks!J$3,Movimientos!$A$6:$A$16,"&lt;="&amp;Stocks!$A$2)-SUMIFS(Movimientos!$E$6:$E$16,Movimientos!$C$6:$C$16,Stocks!$A329,Movimientos!$G$6:$G$16,Stocks!J$3,Movimientos!$A$6:$A$16,"&lt;="&amp;Stocks!$A$2)</f>
        <v>0</v>
      </c>
      <c r="K329" s="4">
        <f>SUMIFS(Movimientos!$E$6:$E$16,Movimientos!$C$6:$C$16,Stocks!$A329,Movimientos!$F$6:$F$16,Stocks!K$3,Movimientos!$A$6:$A$16,"&lt;="&amp;Stocks!$A$2)-SUMIFS(Movimientos!$E$6:$E$16,Movimientos!$C$6:$C$16,Stocks!$A329,Movimientos!$G$6:$G$16,Stocks!K$3,Movimientos!$A$6:$A$16,"&lt;="&amp;Stocks!$A$2)</f>
        <v>0</v>
      </c>
      <c r="L329" s="4">
        <f>SUMIFS(Movimientos!$E$6:$E$16,Movimientos!$C$6:$C$16,Stocks!$A329,Movimientos!$F$6:$F$16,Stocks!L$3,Movimientos!$A$6:$A$16,"&lt;="&amp;Stocks!$A$2)-SUMIFS(Movimientos!$E$6:$E$16,Movimientos!$C$6:$C$16,Stocks!$A329,Movimientos!$G$6:$G$16,Stocks!L$3,Movimientos!$A$6:$A$16,"&lt;="&amp;Stocks!$A$2)</f>
        <v>0</v>
      </c>
    </row>
    <row r="330" spans="1:12" x14ac:dyDescent="0.25">
      <c r="A330" t="str">
        <f>Codificación!A329</f>
        <v/>
      </c>
      <c r="B330" s="1">
        <f>Codificación!B329</f>
        <v>0</v>
      </c>
      <c r="E330" s="4">
        <f>SUMIFS(Movimientos!$E$6:$E$16,Movimientos!$C$6:$C$16,Stocks!$A330,Movimientos!$F$6:$F$16,Stocks!E$3,Movimientos!$A$6:$A$16,"&lt;="&amp;Stocks!$A$2)-SUMIFS(Movimientos!$E$6:$E$16,Movimientos!$C$6:$C$16,Stocks!$A330,Movimientos!$G$6:$G$16,Stocks!E$3,Movimientos!$A$6:$A$16,"&lt;="&amp;Stocks!$A$2)</f>
        <v>0</v>
      </c>
      <c r="F330" s="4">
        <f>SUMIFS(Movimientos!$E$6:$E$16,Movimientos!$C$6:$C$16,Stocks!$A330,Movimientos!$F$6:$F$16,Stocks!F$3,Movimientos!$A$6:$A$16,"&lt;="&amp;Stocks!$A$2)-SUMIFS(Movimientos!$E$6:$E$16,Movimientos!$C$6:$C$16,Stocks!$A330,Movimientos!$G$6:$G$16,Stocks!F$3,Movimientos!$A$6:$A$16,"&lt;="&amp;Stocks!$A$2)</f>
        <v>0</v>
      </c>
      <c r="G330" s="4">
        <f>SUMIFS(Movimientos!$E$6:$E$16,Movimientos!$C$6:$C$16,Stocks!$A330,Movimientos!$F$6:$F$16,Stocks!G$3,Movimientos!$A$6:$A$16,"&lt;="&amp;Stocks!$A$2)-SUMIFS(Movimientos!$E$6:$E$16,Movimientos!$C$6:$C$16,Stocks!$A330,Movimientos!$G$6:$G$16,Stocks!G$3,Movimientos!$A$6:$A$16,"&lt;="&amp;Stocks!$A$2)</f>
        <v>0</v>
      </c>
      <c r="H330" s="4">
        <f>SUMIFS(Movimientos!$E$6:$E$16,Movimientos!$C$6:$C$16,Stocks!$A330,Movimientos!$F$6:$F$16,Stocks!H$3,Movimientos!$A$6:$A$16,"&lt;="&amp;Stocks!$A$2)-SUMIFS(Movimientos!$E$6:$E$16,Movimientos!$C$6:$C$16,Stocks!$A330,Movimientos!$G$6:$G$16,Stocks!H$3,Movimientos!$A$6:$A$16,"&lt;="&amp;Stocks!$A$2)</f>
        <v>0</v>
      </c>
      <c r="I330" s="4">
        <f>SUMIFS(Movimientos!$E$6:$E$16,Movimientos!$C$6:$C$16,Stocks!$A330,Movimientos!$F$6:$F$16,Stocks!I$3,Movimientos!$A$6:$A$16,"&lt;="&amp;Stocks!$A$2)-SUMIFS(Movimientos!$E$6:$E$16,Movimientos!$C$6:$C$16,Stocks!$A330,Movimientos!$G$6:$G$16,Stocks!I$3,Movimientos!$A$6:$A$16,"&lt;="&amp;Stocks!$A$2)</f>
        <v>0</v>
      </c>
      <c r="J330" s="4">
        <f>SUMIFS(Movimientos!$E$6:$E$16,Movimientos!$C$6:$C$16,Stocks!$A330,Movimientos!$F$6:$F$16,Stocks!J$3,Movimientos!$A$6:$A$16,"&lt;="&amp;Stocks!$A$2)-SUMIFS(Movimientos!$E$6:$E$16,Movimientos!$C$6:$C$16,Stocks!$A330,Movimientos!$G$6:$G$16,Stocks!J$3,Movimientos!$A$6:$A$16,"&lt;="&amp;Stocks!$A$2)</f>
        <v>0</v>
      </c>
      <c r="K330" s="4">
        <f>SUMIFS(Movimientos!$E$6:$E$16,Movimientos!$C$6:$C$16,Stocks!$A330,Movimientos!$F$6:$F$16,Stocks!K$3,Movimientos!$A$6:$A$16,"&lt;="&amp;Stocks!$A$2)-SUMIFS(Movimientos!$E$6:$E$16,Movimientos!$C$6:$C$16,Stocks!$A330,Movimientos!$G$6:$G$16,Stocks!K$3,Movimientos!$A$6:$A$16,"&lt;="&amp;Stocks!$A$2)</f>
        <v>0</v>
      </c>
      <c r="L330" s="4">
        <f>SUMIFS(Movimientos!$E$6:$E$16,Movimientos!$C$6:$C$16,Stocks!$A330,Movimientos!$F$6:$F$16,Stocks!L$3,Movimientos!$A$6:$A$16,"&lt;="&amp;Stocks!$A$2)-SUMIFS(Movimientos!$E$6:$E$16,Movimientos!$C$6:$C$16,Stocks!$A330,Movimientos!$G$6:$G$16,Stocks!L$3,Movimientos!$A$6:$A$16,"&lt;="&amp;Stocks!$A$2)</f>
        <v>0</v>
      </c>
    </row>
    <row r="331" spans="1:12" x14ac:dyDescent="0.25">
      <c r="A331" t="str">
        <f>Codificación!A330</f>
        <v/>
      </c>
      <c r="B331" s="1">
        <f>Codificación!B330</f>
        <v>0</v>
      </c>
      <c r="E331" s="4">
        <f>SUMIFS(Movimientos!$E$6:$E$16,Movimientos!$C$6:$C$16,Stocks!$A331,Movimientos!$F$6:$F$16,Stocks!E$3,Movimientos!$A$6:$A$16,"&lt;="&amp;Stocks!$A$2)-SUMIFS(Movimientos!$E$6:$E$16,Movimientos!$C$6:$C$16,Stocks!$A331,Movimientos!$G$6:$G$16,Stocks!E$3,Movimientos!$A$6:$A$16,"&lt;="&amp;Stocks!$A$2)</f>
        <v>0</v>
      </c>
      <c r="F331" s="4">
        <f>SUMIFS(Movimientos!$E$6:$E$16,Movimientos!$C$6:$C$16,Stocks!$A331,Movimientos!$F$6:$F$16,Stocks!F$3,Movimientos!$A$6:$A$16,"&lt;="&amp;Stocks!$A$2)-SUMIFS(Movimientos!$E$6:$E$16,Movimientos!$C$6:$C$16,Stocks!$A331,Movimientos!$G$6:$G$16,Stocks!F$3,Movimientos!$A$6:$A$16,"&lt;="&amp;Stocks!$A$2)</f>
        <v>0</v>
      </c>
      <c r="G331" s="4">
        <f>SUMIFS(Movimientos!$E$6:$E$16,Movimientos!$C$6:$C$16,Stocks!$A331,Movimientos!$F$6:$F$16,Stocks!G$3,Movimientos!$A$6:$A$16,"&lt;="&amp;Stocks!$A$2)-SUMIFS(Movimientos!$E$6:$E$16,Movimientos!$C$6:$C$16,Stocks!$A331,Movimientos!$G$6:$G$16,Stocks!G$3,Movimientos!$A$6:$A$16,"&lt;="&amp;Stocks!$A$2)</f>
        <v>0</v>
      </c>
      <c r="H331" s="4">
        <f>SUMIFS(Movimientos!$E$6:$E$16,Movimientos!$C$6:$C$16,Stocks!$A331,Movimientos!$F$6:$F$16,Stocks!H$3,Movimientos!$A$6:$A$16,"&lt;="&amp;Stocks!$A$2)-SUMIFS(Movimientos!$E$6:$E$16,Movimientos!$C$6:$C$16,Stocks!$A331,Movimientos!$G$6:$G$16,Stocks!H$3,Movimientos!$A$6:$A$16,"&lt;="&amp;Stocks!$A$2)</f>
        <v>0</v>
      </c>
      <c r="I331" s="4">
        <f>SUMIFS(Movimientos!$E$6:$E$16,Movimientos!$C$6:$C$16,Stocks!$A331,Movimientos!$F$6:$F$16,Stocks!I$3,Movimientos!$A$6:$A$16,"&lt;="&amp;Stocks!$A$2)-SUMIFS(Movimientos!$E$6:$E$16,Movimientos!$C$6:$C$16,Stocks!$A331,Movimientos!$G$6:$G$16,Stocks!I$3,Movimientos!$A$6:$A$16,"&lt;="&amp;Stocks!$A$2)</f>
        <v>0</v>
      </c>
      <c r="J331" s="4">
        <f>SUMIFS(Movimientos!$E$6:$E$16,Movimientos!$C$6:$C$16,Stocks!$A331,Movimientos!$F$6:$F$16,Stocks!J$3,Movimientos!$A$6:$A$16,"&lt;="&amp;Stocks!$A$2)-SUMIFS(Movimientos!$E$6:$E$16,Movimientos!$C$6:$C$16,Stocks!$A331,Movimientos!$G$6:$G$16,Stocks!J$3,Movimientos!$A$6:$A$16,"&lt;="&amp;Stocks!$A$2)</f>
        <v>0</v>
      </c>
      <c r="K331" s="4">
        <f>SUMIFS(Movimientos!$E$6:$E$16,Movimientos!$C$6:$C$16,Stocks!$A331,Movimientos!$F$6:$F$16,Stocks!K$3,Movimientos!$A$6:$A$16,"&lt;="&amp;Stocks!$A$2)-SUMIFS(Movimientos!$E$6:$E$16,Movimientos!$C$6:$C$16,Stocks!$A331,Movimientos!$G$6:$G$16,Stocks!K$3,Movimientos!$A$6:$A$16,"&lt;="&amp;Stocks!$A$2)</f>
        <v>0</v>
      </c>
      <c r="L331" s="4">
        <f>SUMIFS(Movimientos!$E$6:$E$16,Movimientos!$C$6:$C$16,Stocks!$A331,Movimientos!$F$6:$F$16,Stocks!L$3,Movimientos!$A$6:$A$16,"&lt;="&amp;Stocks!$A$2)-SUMIFS(Movimientos!$E$6:$E$16,Movimientos!$C$6:$C$16,Stocks!$A331,Movimientos!$G$6:$G$16,Stocks!L$3,Movimientos!$A$6:$A$16,"&lt;="&amp;Stocks!$A$2)</f>
        <v>0</v>
      </c>
    </row>
    <row r="332" spans="1:12" x14ac:dyDescent="0.25">
      <c r="A332" t="str">
        <f>Codificación!A331</f>
        <v/>
      </c>
      <c r="B332" s="1">
        <f>Codificación!B331</f>
        <v>0</v>
      </c>
      <c r="E332" s="4">
        <f>SUMIFS(Movimientos!$E$6:$E$16,Movimientos!$C$6:$C$16,Stocks!$A332,Movimientos!$F$6:$F$16,Stocks!E$3,Movimientos!$A$6:$A$16,"&lt;="&amp;Stocks!$A$2)-SUMIFS(Movimientos!$E$6:$E$16,Movimientos!$C$6:$C$16,Stocks!$A332,Movimientos!$G$6:$G$16,Stocks!E$3,Movimientos!$A$6:$A$16,"&lt;="&amp;Stocks!$A$2)</f>
        <v>0</v>
      </c>
      <c r="F332" s="4">
        <f>SUMIFS(Movimientos!$E$6:$E$16,Movimientos!$C$6:$C$16,Stocks!$A332,Movimientos!$F$6:$F$16,Stocks!F$3,Movimientos!$A$6:$A$16,"&lt;="&amp;Stocks!$A$2)-SUMIFS(Movimientos!$E$6:$E$16,Movimientos!$C$6:$C$16,Stocks!$A332,Movimientos!$G$6:$G$16,Stocks!F$3,Movimientos!$A$6:$A$16,"&lt;="&amp;Stocks!$A$2)</f>
        <v>0</v>
      </c>
      <c r="G332" s="4">
        <f>SUMIFS(Movimientos!$E$6:$E$16,Movimientos!$C$6:$C$16,Stocks!$A332,Movimientos!$F$6:$F$16,Stocks!G$3,Movimientos!$A$6:$A$16,"&lt;="&amp;Stocks!$A$2)-SUMIFS(Movimientos!$E$6:$E$16,Movimientos!$C$6:$C$16,Stocks!$A332,Movimientos!$G$6:$G$16,Stocks!G$3,Movimientos!$A$6:$A$16,"&lt;="&amp;Stocks!$A$2)</f>
        <v>0</v>
      </c>
      <c r="H332" s="4">
        <f>SUMIFS(Movimientos!$E$6:$E$16,Movimientos!$C$6:$C$16,Stocks!$A332,Movimientos!$F$6:$F$16,Stocks!H$3,Movimientos!$A$6:$A$16,"&lt;="&amp;Stocks!$A$2)-SUMIFS(Movimientos!$E$6:$E$16,Movimientos!$C$6:$C$16,Stocks!$A332,Movimientos!$G$6:$G$16,Stocks!H$3,Movimientos!$A$6:$A$16,"&lt;="&amp;Stocks!$A$2)</f>
        <v>0</v>
      </c>
      <c r="I332" s="4">
        <f>SUMIFS(Movimientos!$E$6:$E$16,Movimientos!$C$6:$C$16,Stocks!$A332,Movimientos!$F$6:$F$16,Stocks!I$3,Movimientos!$A$6:$A$16,"&lt;="&amp;Stocks!$A$2)-SUMIFS(Movimientos!$E$6:$E$16,Movimientos!$C$6:$C$16,Stocks!$A332,Movimientos!$G$6:$G$16,Stocks!I$3,Movimientos!$A$6:$A$16,"&lt;="&amp;Stocks!$A$2)</f>
        <v>0</v>
      </c>
      <c r="J332" s="4">
        <f>SUMIFS(Movimientos!$E$6:$E$16,Movimientos!$C$6:$C$16,Stocks!$A332,Movimientos!$F$6:$F$16,Stocks!J$3,Movimientos!$A$6:$A$16,"&lt;="&amp;Stocks!$A$2)-SUMIFS(Movimientos!$E$6:$E$16,Movimientos!$C$6:$C$16,Stocks!$A332,Movimientos!$G$6:$G$16,Stocks!J$3,Movimientos!$A$6:$A$16,"&lt;="&amp;Stocks!$A$2)</f>
        <v>0</v>
      </c>
      <c r="K332" s="4">
        <f>SUMIFS(Movimientos!$E$6:$E$16,Movimientos!$C$6:$C$16,Stocks!$A332,Movimientos!$F$6:$F$16,Stocks!K$3,Movimientos!$A$6:$A$16,"&lt;="&amp;Stocks!$A$2)-SUMIFS(Movimientos!$E$6:$E$16,Movimientos!$C$6:$C$16,Stocks!$A332,Movimientos!$G$6:$G$16,Stocks!K$3,Movimientos!$A$6:$A$16,"&lt;="&amp;Stocks!$A$2)</f>
        <v>0</v>
      </c>
      <c r="L332" s="4">
        <f>SUMIFS(Movimientos!$E$6:$E$16,Movimientos!$C$6:$C$16,Stocks!$A332,Movimientos!$F$6:$F$16,Stocks!L$3,Movimientos!$A$6:$A$16,"&lt;="&amp;Stocks!$A$2)-SUMIFS(Movimientos!$E$6:$E$16,Movimientos!$C$6:$C$16,Stocks!$A332,Movimientos!$G$6:$G$16,Stocks!L$3,Movimientos!$A$6:$A$16,"&lt;="&amp;Stocks!$A$2)</f>
        <v>0</v>
      </c>
    </row>
    <row r="333" spans="1:12" x14ac:dyDescent="0.25">
      <c r="A333" t="str">
        <f>Codificación!A332</f>
        <v/>
      </c>
      <c r="B333" s="1">
        <f>Codificación!B332</f>
        <v>0</v>
      </c>
      <c r="E333" s="4">
        <f>SUMIFS(Movimientos!$E$6:$E$16,Movimientos!$C$6:$C$16,Stocks!$A333,Movimientos!$F$6:$F$16,Stocks!E$3,Movimientos!$A$6:$A$16,"&lt;="&amp;Stocks!$A$2)-SUMIFS(Movimientos!$E$6:$E$16,Movimientos!$C$6:$C$16,Stocks!$A333,Movimientos!$G$6:$G$16,Stocks!E$3,Movimientos!$A$6:$A$16,"&lt;="&amp;Stocks!$A$2)</f>
        <v>0</v>
      </c>
      <c r="F333" s="4">
        <f>SUMIFS(Movimientos!$E$6:$E$16,Movimientos!$C$6:$C$16,Stocks!$A333,Movimientos!$F$6:$F$16,Stocks!F$3,Movimientos!$A$6:$A$16,"&lt;="&amp;Stocks!$A$2)-SUMIFS(Movimientos!$E$6:$E$16,Movimientos!$C$6:$C$16,Stocks!$A333,Movimientos!$G$6:$G$16,Stocks!F$3,Movimientos!$A$6:$A$16,"&lt;="&amp;Stocks!$A$2)</f>
        <v>0</v>
      </c>
      <c r="G333" s="4">
        <f>SUMIFS(Movimientos!$E$6:$E$16,Movimientos!$C$6:$C$16,Stocks!$A333,Movimientos!$F$6:$F$16,Stocks!G$3,Movimientos!$A$6:$A$16,"&lt;="&amp;Stocks!$A$2)-SUMIFS(Movimientos!$E$6:$E$16,Movimientos!$C$6:$C$16,Stocks!$A333,Movimientos!$G$6:$G$16,Stocks!G$3,Movimientos!$A$6:$A$16,"&lt;="&amp;Stocks!$A$2)</f>
        <v>0</v>
      </c>
      <c r="H333" s="4">
        <f>SUMIFS(Movimientos!$E$6:$E$16,Movimientos!$C$6:$C$16,Stocks!$A333,Movimientos!$F$6:$F$16,Stocks!H$3,Movimientos!$A$6:$A$16,"&lt;="&amp;Stocks!$A$2)-SUMIFS(Movimientos!$E$6:$E$16,Movimientos!$C$6:$C$16,Stocks!$A333,Movimientos!$G$6:$G$16,Stocks!H$3,Movimientos!$A$6:$A$16,"&lt;="&amp;Stocks!$A$2)</f>
        <v>0</v>
      </c>
      <c r="I333" s="4">
        <f>SUMIFS(Movimientos!$E$6:$E$16,Movimientos!$C$6:$C$16,Stocks!$A333,Movimientos!$F$6:$F$16,Stocks!I$3,Movimientos!$A$6:$A$16,"&lt;="&amp;Stocks!$A$2)-SUMIFS(Movimientos!$E$6:$E$16,Movimientos!$C$6:$C$16,Stocks!$A333,Movimientos!$G$6:$G$16,Stocks!I$3,Movimientos!$A$6:$A$16,"&lt;="&amp;Stocks!$A$2)</f>
        <v>0</v>
      </c>
      <c r="J333" s="4">
        <f>SUMIFS(Movimientos!$E$6:$E$16,Movimientos!$C$6:$C$16,Stocks!$A333,Movimientos!$F$6:$F$16,Stocks!J$3,Movimientos!$A$6:$A$16,"&lt;="&amp;Stocks!$A$2)-SUMIFS(Movimientos!$E$6:$E$16,Movimientos!$C$6:$C$16,Stocks!$A333,Movimientos!$G$6:$G$16,Stocks!J$3,Movimientos!$A$6:$A$16,"&lt;="&amp;Stocks!$A$2)</f>
        <v>0</v>
      </c>
      <c r="K333" s="4">
        <f>SUMIFS(Movimientos!$E$6:$E$16,Movimientos!$C$6:$C$16,Stocks!$A333,Movimientos!$F$6:$F$16,Stocks!K$3,Movimientos!$A$6:$A$16,"&lt;="&amp;Stocks!$A$2)-SUMIFS(Movimientos!$E$6:$E$16,Movimientos!$C$6:$C$16,Stocks!$A333,Movimientos!$G$6:$G$16,Stocks!K$3,Movimientos!$A$6:$A$16,"&lt;="&amp;Stocks!$A$2)</f>
        <v>0</v>
      </c>
      <c r="L333" s="4">
        <f>SUMIFS(Movimientos!$E$6:$E$16,Movimientos!$C$6:$C$16,Stocks!$A333,Movimientos!$F$6:$F$16,Stocks!L$3,Movimientos!$A$6:$A$16,"&lt;="&amp;Stocks!$A$2)-SUMIFS(Movimientos!$E$6:$E$16,Movimientos!$C$6:$C$16,Stocks!$A333,Movimientos!$G$6:$G$16,Stocks!L$3,Movimientos!$A$6:$A$16,"&lt;="&amp;Stocks!$A$2)</f>
        <v>0</v>
      </c>
    </row>
    <row r="334" spans="1:12" x14ac:dyDescent="0.25">
      <c r="A334" t="str">
        <f>Codificación!A333</f>
        <v/>
      </c>
      <c r="B334" s="1">
        <f>Codificación!B333</f>
        <v>0</v>
      </c>
      <c r="E334" s="4">
        <f>SUMIFS(Movimientos!$E$6:$E$16,Movimientos!$C$6:$C$16,Stocks!$A334,Movimientos!$F$6:$F$16,Stocks!E$3,Movimientos!$A$6:$A$16,"&lt;="&amp;Stocks!$A$2)-SUMIFS(Movimientos!$E$6:$E$16,Movimientos!$C$6:$C$16,Stocks!$A334,Movimientos!$G$6:$G$16,Stocks!E$3,Movimientos!$A$6:$A$16,"&lt;="&amp;Stocks!$A$2)</f>
        <v>0</v>
      </c>
      <c r="F334" s="4">
        <f>SUMIFS(Movimientos!$E$6:$E$16,Movimientos!$C$6:$C$16,Stocks!$A334,Movimientos!$F$6:$F$16,Stocks!F$3,Movimientos!$A$6:$A$16,"&lt;="&amp;Stocks!$A$2)-SUMIFS(Movimientos!$E$6:$E$16,Movimientos!$C$6:$C$16,Stocks!$A334,Movimientos!$G$6:$G$16,Stocks!F$3,Movimientos!$A$6:$A$16,"&lt;="&amp;Stocks!$A$2)</f>
        <v>0</v>
      </c>
      <c r="G334" s="4">
        <f>SUMIFS(Movimientos!$E$6:$E$16,Movimientos!$C$6:$C$16,Stocks!$A334,Movimientos!$F$6:$F$16,Stocks!G$3,Movimientos!$A$6:$A$16,"&lt;="&amp;Stocks!$A$2)-SUMIFS(Movimientos!$E$6:$E$16,Movimientos!$C$6:$C$16,Stocks!$A334,Movimientos!$G$6:$G$16,Stocks!G$3,Movimientos!$A$6:$A$16,"&lt;="&amp;Stocks!$A$2)</f>
        <v>0</v>
      </c>
      <c r="H334" s="4">
        <f>SUMIFS(Movimientos!$E$6:$E$16,Movimientos!$C$6:$C$16,Stocks!$A334,Movimientos!$F$6:$F$16,Stocks!H$3,Movimientos!$A$6:$A$16,"&lt;="&amp;Stocks!$A$2)-SUMIFS(Movimientos!$E$6:$E$16,Movimientos!$C$6:$C$16,Stocks!$A334,Movimientos!$G$6:$G$16,Stocks!H$3,Movimientos!$A$6:$A$16,"&lt;="&amp;Stocks!$A$2)</f>
        <v>0</v>
      </c>
      <c r="I334" s="4">
        <f>SUMIFS(Movimientos!$E$6:$E$16,Movimientos!$C$6:$C$16,Stocks!$A334,Movimientos!$F$6:$F$16,Stocks!I$3,Movimientos!$A$6:$A$16,"&lt;="&amp;Stocks!$A$2)-SUMIFS(Movimientos!$E$6:$E$16,Movimientos!$C$6:$C$16,Stocks!$A334,Movimientos!$G$6:$G$16,Stocks!I$3,Movimientos!$A$6:$A$16,"&lt;="&amp;Stocks!$A$2)</f>
        <v>0</v>
      </c>
      <c r="J334" s="4">
        <f>SUMIFS(Movimientos!$E$6:$E$16,Movimientos!$C$6:$C$16,Stocks!$A334,Movimientos!$F$6:$F$16,Stocks!J$3,Movimientos!$A$6:$A$16,"&lt;="&amp;Stocks!$A$2)-SUMIFS(Movimientos!$E$6:$E$16,Movimientos!$C$6:$C$16,Stocks!$A334,Movimientos!$G$6:$G$16,Stocks!J$3,Movimientos!$A$6:$A$16,"&lt;="&amp;Stocks!$A$2)</f>
        <v>0</v>
      </c>
      <c r="K334" s="4">
        <f>SUMIFS(Movimientos!$E$6:$E$16,Movimientos!$C$6:$C$16,Stocks!$A334,Movimientos!$F$6:$F$16,Stocks!K$3,Movimientos!$A$6:$A$16,"&lt;="&amp;Stocks!$A$2)-SUMIFS(Movimientos!$E$6:$E$16,Movimientos!$C$6:$C$16,Stocks!$A334,Movimientos!$G$6:$G$16,Stocks!K$3,Movimientos!$A$6:$A$16,"&lt;="&amp;Stocks!$A$2)</f>
        <v>0</v>
      </c>
      <c r="L334" s="4">
        <f>SUMIFS(Movimientos!$E$6:$E$16,Movimientos!$C$6:$C$16,Stocks!$A334,Movimientos!$F$6:$F$16,Stocks!L$3,Movimientos!$A$6:$A$16,"&lt;="&amp;Stocks!$A$2)-SUMIFS(Movimientos!$E$6:$E$16,Movimientos!$C$6:$C$16,Stocks!$A334,Movimientos!$G$6:$G$16,Stocks!L$3,Movimientos!$A$6:$A$16,"&lt;="&amp;Stocks!$A$2)</f>
        <v>0</v>
      </c>
    </row>
    <row r="335" spans="1:12" x14ac:dyDescent="0.25">
      <c r="A335" t="str">
        <f>Codificación!A334</f>
        <v/>
      </c>
      <c r="B335" s="1">
        <f>Codificación!B334</f>
        <v>0</v>
      </c>
      <c r="E335" s="4">
        <f>SUMIFS(Movimientos!$E$6:$E$16,Movimientos!$C$6:$C$16,Stocks!$A335,Movimientos!$F$6:$F$16,Stocks!E$3,Movimientos!$A$6:$A$16,"&lt;="&amp;Stocks!$A$2)-SUMIFS(Movimientos!$E$6:$E$16,Movimientos!$C$6:$C$16,Stocks!$A335,Movimientos!$G$6:$G$16,Stocks!E$3,Movimientos!$A$6:$A$16,"&lt;="&amp;Stocks!$A$2)</f>
        <v>0</v>
      </c>
      <c r="F335" s="4">
        <f>SUMIFS(Movimientos!$E$6:$E$16,Movimientos!$C$6:$C$16,Stocks!$A335,Movimientos!$F$6:$F$16,Stocks!F$3,Movimientos!$A$6:$A$16,"&lt;="&amp;Stocks!$A$2)-SUMIFS(Movimientos!$E$6:$E$16,Movimientos!$C$6:$C$16,Stocks!$A335,Movimientos!$G$6:$G$16,Stocks!F$3,Movimientos!$A$6:$A$16,"&lt;="&amp;Stocks!$A$2)</f>
        <v>0</v>
      </c>
      <c r="G335" s="4">
        <f>SUMIFS(Movimientos!$E$6:$E$16,Movimientos!$C$6:$C$16,Stocks!$A335,Movimientos!$F$6:$F$16,Stocks!G$3,Movimientos!$A$6:$A$16,"&lt;="&amp;Stocks!$A$2)-SUMIFS(Movimientos!$E$6:$E$16,Movimientos!$C$6:$C$16,Stocks!$A335,Movimientos!$G$6:$G$16,Stocks!G$3,Movimientos!$A$6:$A$16,"&lt;="&amp;Stocks!$A$2)</f>
        <v>0</v>
      </c>
      <c r="H335" s="4">
        <f>SUMIFS(Movimientos!$E$6:$E$16,Movimientos!$C$6:$C$16,Stocks!$A335,Movimientos!$F$6:$F$16,Stocks!H$3,Movimientos!$A$6:$A$16,"&lt;="&amp;Stocks!$A$2)-SUMIFS(Movimientos!$E$6:$E$16,Movimientos!$C$6:$C$16,Stocks!$A335,Movimientos!$G$6:$G$16,Stocks!H$3,Movimientos!$A$6:$A$16,"&lt;="&amp;Stocks!$A$2)</f>
        <v>0</v>
      </c>
      <c r="I335" s="4">
        <f>SUMIFS(Movimientos!$E$6:$E$16,Movimientos!$C$6:$C$16,Stocks!$A335,Movimientos!$F$6:$F$16,Stocks!I$3,Movimientos!$A$6:$A$16,"&lt;="&amp;Stocks!$A$2)-SUMIFS(Movimientos!$E$6:$E$16,Movimientos!$C$6:$C$16,Stocks!$A335,Movimientos!$G$6:$G$16,Stocks!I$3,Movimientos!$A$6:$A$16,"&lt;="&amp;Stocks!$A$2)</f>
        <v>0</v>
      </c>
      <c r="J335" s="4">
        <f>SUMIFS(Movimientos!$E$6:$E$16,Movimientos!$C$6:$C$16,Stocks!$A335,Movimientos!$F$6:$F$16,Stocks!J$3,Movimientos!$A$6:$A$16,"&lt;="&amp;Stocks!$A$2)-SUMIFS(Movimientos!$E$6:$E$16,Movimientos!$C$6:$C$16,Stocks!$A335,Movimientos!$G$6:$G$16,Stocks!J$3,Movimientos!$A$6:$A$16,"&lt;="&amp;Stocks!$A$2)</f>
        <v>0</v>
      </c>
      <c r="K335" s="4">
        <f>SUMIFS(Movimientos!$E$6:$E$16,Movimientos!$C$6:$C$16,Stocks!$A335,Movimientos!$F$6:$F$16,Stocks!K$3,Movimientos!$A$6:$A$16,"&lt;="&amp;Stocks!$A$2)-SUMIFS(Movimientos!$E$6:$E$16,Movimientos!$C$6:$C$16,Stocks!$A335,Movimientos!$G$6:$G$16,Stocks!K$3,Movimientos!$A$6:$A$16,"&lt;="&amp;Stocks!$A$2)</f>
        <v>0</v>
      </c>
      <c r="L335" s="4">
        <f>SUMIFS(Movimientos!$E$6:$E$16,Movimientos!$C$6:$C$16,Stocks!$A335,Movimientos!$F$6:$F$16,Stocks!L$3,Movimientos!$A$6:$A$16,"&lt;="&amp;Stocks!$A$2)-SUMIFS(Movimientos!$E$6:$E$16,Movimientos!$C$6:$C$16,Stocks!$A335,Movimientos!$G$6:$G$16,Stocks!L$3,Movimientos!$A$6:$A$16,"&lt;="&amp;Stocks!$A$2)</f>
        <v>0</v>
      </c>
    </row>
    <row r="336" spans="1:12" x14ac:dyDescent="0.25">
      <c r="A336" t="str">
        <f>Codificación!A335</f>
        <v/>
      </c>
      <c r="B336" s="1">
        <f>Codificación!B335</f>
        <v>0</v>
      </c>
      <c r="E336" s="4">
        <f>SUMIFS(Movimientos!$E$6:$E$16,Movimientos!$C$6:$C$16,Stocks!$A336,Movimientos!$F$6:$F$16,Stocks!E$3,Movimientos!$A$6:$A$16,"&lt;="&amp;Stocks!$A$2)-SUMIFS(Movimientos!$E$6:$E$16,Movimientos!$C$6:$C$16,Stocks!$A336,Movimientos!$G$6:$G$16,Stocks!E$3,Movimientos!$A$6:$A$16,"&lt;="&amp;Stocks!$A$2)</f>
        <v>0</v>
      </c>
      <c r="F336" s="4">
        <f>SUMIFS(Movimientos!$E$6:$E$16,Movimientos!$C$6:$C$16,Stocks!$A336,Movimientos!$F$6:$F$16,Stocks!F$3,Movimientos!$A$6:$A$16,"&lt;="&amp;Stocks!$A$2)-SUMIFS(Movimientos!$E$6:$E$16,Movimientos!$C$6:$C$16,Stocks!$A336,Movimientos!$G$6:$G$16,Stocks!F$3,Movimientos!$A$6:$A$16,"&lt;="&amp;Stocks!$A$2)</f>
        <v>0</v>
      </c>
      <c r="G336" s="4">
        <f>SUMIFS(Movimientos!$E$6:$E$16,Movimientos!$C$6:$C$16,Stocks!$A336,Movimientos!$F$6:$F$16,Stocks!G$3,Movimientos!$A$6:$A$16,"&lt;="&amp;Stocks!$A$2)-SUMIFS(Movimientos!$E$6:$E$16,Movimientos!$C$6:$C$16,Stocks!$A336,Movimientos!$G$6:$G$16,Stocks!G$3,Movimientos!$A$6:$A$16,"&lt;="&amp;Stocks!$A$2)</f>
        <v>0</v>
      </c>
      <c r="H336" s="4">
        <f>SUMIFS(Movimientos!$E$6:$E$16,Movimientos!$C$6:$C$16,Stocks!$A336,Movimientos!$F$6:$F$16,Stocks!H$3,Movimientos!$A$6:$A$16,"&lt;="&amp;Stocks!$A$2)-SUMIFS(Movimientos!$E$6:$E$16,Movimientos!$C$6:$C$16,Stocks!$A336,Movimientos!$G$6:$G$16,Stocks!H$3,Movimientos!$A$6:$A$16,"&lt;="&amp;Stocks!$A$2)</f>
        <v>0</v>
      </c>
      <c r="I336" s="4">
        <f>SUMIFS(Movimientos!$E$6:$E$16,Movimientos!$C$6:$C$16,Stocks!$A336,Movimientos!$F$6:$F$16,Stocks!I$3,Movimientos!$A$6:$A$16,"&lt;="&amp;Stocks!$A$2)-SUMIFS(Movimientos!$E$6:$E$16,Movimientos!$C$6:$C$16,Stocks!$A336,Movimientos!$G$6:$G$16,Stocks!I$3,Movimientos!$A$6:$A$16,"&lt;="&amp;Stocks!$A$2)</f>
        <v>0</v>
      </c>
      <c r="J336" s="4">
        <f>SUMIFS(Movimientos!$E$6:$E$16,Movimientos!$C$6:$C$16,Stocks!$A336,Movimientos!$F$6:$F$16,Stocks!J$3,Movimientos!$A$6:$A$16,"&lt;="&amp;Stocks!$A$2)-SUMIFS(Movimientos!$E$6:$E$16,Movimientos!$C$6:$C$16,Stocks!$A336,Movimientos!$G$6:$G$16,Stocks!J$3,Movimientos!$A$6:$A$16,"&lt;="&amp;Stocks!$A$2)</f>
        <v>0</v>
      </c>
      <c r="K336" s="4">
        <f>SUMIFS(Movimientos!$E$6:$E$16,Movimientos!$C$6:$C$16,Stocks!$A336,Movimientos!$F$6:$F$16,Stocks!K$3,Movimientos!$A$6:$A$16,"&lt;="&amp;Stocks!$A$2)-SUMIFS(Movimientos!$E$6:$E$16,Movimientos!$C$6:$C$16,Stocks!$A336,Movimientos!$G$6:$G$16,Stocks!K$3,Movimientos!$A$6:$A$16,"&lt;="&amp;Stocks!$A$2)</f>
        <v>0</v>
      </c>
      <c r="L336" s="4">
        <f>SUMIFS(Movimientos!$E$6:$E$16,Movimientos!$C$6:$C$16,Stocks!$A336,Movimientos!$F$6:$F$16,Stocks!L$3,Movimientos!$A$6:$A$16,"&lt;="&amp;Stocks!$A$2)-SUMIFS(Movimientos!$E$6:$E$16,Movimientos!$C$6:$C$16,Stocks!$A336,Movimientos!$G$6:$G$16,Stocks!L$3,Movimientos!$A$6:$A$16,"&lt;="&amp;Stocks!$A$2)</f>
        <v>0</v>
      </c>
    </row>
    <row r="337" spans="1:12" x14ac:dyDescent="0.25">
      <c r="A337" t="str">
        <f>Codificación!A336</f>
        <v/>
      </c>
      <c r="B337" s="1">
        <f>Codificación!B336</f>
        <v>0</v>
      </c>
      <c r="E337" s="4">
        <f>SUMIFS(Movimientos!$E$6:$E$16,Movimientos!$C$6:$C$16,Stocks!$A337,Movimientos!$F$6:$F$16,Stocks!E$3,Movimientos!$A$6:$A$16,"&lt;="&amp;Stocks!$A$2)-SUMIFS(Movimientos!$E$6:$E$16,Movimientos!$C$6:$C$16,Stocks!$A337,Movimientos!$G$6:$G$16,Stocks!E$3,Movimientos!$A$6:$A$16,"&lt;="&amp;Stocks!$A$2)</f>
        <v>0</v>
      </c>
      <c r="F337" s="4">
        <f>SUMIFS(Movimientos!$E$6:$E$16,Movimientos!$C$6:$C$16,Stocks!$A337,Movimientos!$F$6:$F$16,Stocks!F$3,Movimientos!$A$6:$A$16,"&lt;="&amp;Stocks!$A$2)-SUMIFS(Movimientos!$E$6:$E$16,Movimientos!$C$6:$C$16,Stocks!$A337,Movimientos!$G$6:$G$16,Stocks!F$3,Movimientos!$A$6:$A$16,"&lt;="&amp;Stocks!$A$2)</f>
        <v>0</v>
      </c>
      <c r="G337" s="4">
        <f>SUMIFS(Movimientos!$E$6:$E$16,Movimientos!$C$6:$C$16,Stocks!$A337,Movimientos!$F$6:$F$16,Stocks!G$3,Movimientos!$A$6:$A$16,"&lt;="&amp;Stocks!$A$2)-SUMIFS(Movimientos!$E$6:$E$16,Movimientos!$C$6:$C$16,Stocks!$A337,Movimientos!$G$6:$G$16,Stocks!G$3,Movimientos!$A$6:$A$16,"&lt;="&amp;Stocks!$A$2)</f>
        <v>0</v>
      </c>
      <c r="H337" s="4">
        <f>SUMIFS(Movimientos!$E$6:$E$16,Movimientos!$C$6:$C$16,Stocks!$A337,Movimientos!$F$6:$F$16,Stocks!H$3,Movimientos!$A$6:$A$16,"&lt;="&amp;Stocks!$A$2)-SUMIFS(Movimientos!$E$6:$E$16,Movimientos!$C$6:$C$16,Stocks!$A337,Movimientos!$G$6:$G$16,Stocks!H$3,Movimientos!$A$6:$A$16,"&lt;="&amp;Stocks!$A$2)</f>
        <v>0</v>
      </c>
      <c r="I337" s="4">
        <f>SUMIFS(Movimientos!$E$6:$E$16,Movimientos!$C$6:$C$16,Stocks!$A337,Movimientos!$F$6:$F$16,Stocks!I$3,Movimientos!$A$6:$A$16,"&lt;="&amp;Stocks!$A$2)-SUMIFS(Movimientos!$E$6:$E$16,Movimientos!$C$6:$C$16,Stocks!$A337,Movimientos!$G$6:$G$16,Stocks!I$3,Movimientos!$A$6:$A$16,"&lt;="&amp;Stocks!$A$2)</f>
        <v>0</v>
      </c>
      <c r="J337" s="4">
        <f>SUMIFS(Movimientos!$E$6:$E$16,Movimientos!$C$6:$C$16,Stocks!$A337,Movimientos!$F$6:$F$16,Stocks!J$3,Movimientos!$A$6:$A$16,"&lt;="&amp;Stocks!$A$2)-SUMIFS(Movimientos!$E$6:$E$16,Movimientos!$C$6:$C$16,Stocks!$A337,Movimientos!$G$6:$G$16,Stocks!J$3,Movimientos!$A$6:$A$16,"&lt;="&amp;Stocks!$A$2)</f>
        <v>0</v>
      </c>
      <c r="K337" s="4">
        <f>SUMIFS(Movimientos!$E$6:$E$16,Movimientos!$C$6:$C$16,Stocks!$A337,Movimientos!$F$6:$F$16,Stocks!K$3,Movimientos!$A$6:$A$16,"&lt;="&amp;Stocks!$A$2)-SUMIFS(Movimientos!$E$6:$E$16,Movimientos!$C$6:$C$16,Stocks!$A337,Movimientos!$G$6:$G$16,Stocks!K$3,Movimientos!$A$6:$A$16,"&lt;="&amp;Stocks!$A$2)</f>
        <v>0</v>
      </c>
      <c r="L337" s="4">
        <f>SUMIFS(Movimientos!$E$6:$E$16,Movimientos!$C$6:$C$16,Stocks!$A337,Movimientos!$F$6:$F$16,Stocks!L$3,Movimientos!$A$6:$A$16,"&lt;="&amp;Stocks!$A$2)-SUMIFS(Movimientos!$E$6:$E$16,Movimientos!$C$6:$C$16,Stocks!$A337,Movimientos!$G$6:$G$16,Stocks!L$3,Movimientos!$A$6:$A$16,"&lt;="&amp;Stocks!$A$2)</f>
        <v>0</v>
      </c>
    </row>
    <row r="338" spans="1:12" x14ac:dyDescent="0.25">
      <c r="A338" t="str">
        <f>Codificación!A337</f>
        <v/>
      </c>
      <c r="B338" s="1">
        <f>Codificación!B337</f>
        <v>0</v>
      </c>
      <c r="E338" s="4">
        <f>SUMIFS(Movimientos!$E$6:$E$16,Movimientos!$C$6:$C$16,Stocks!$A338,Movimientos!$F$6:$F$16,Stocks!E$3,Movimientos!$A$6:$A$16,"&lt;="&amp;Stocks!$A$2)-SUMIFS(Movimientos!$E$6:$E$16,Movimientos!$C$6:$C$16,Stocks!$A338,Movimientos!$G$6:$G$16,Stocks!E$3,Movimientos!$A$6:$A$16,"&lt;="&amp;Stocks!$A$2)</f>
        <v>0</v>
      </c>
      <c r="F338" s="4">
        <f>SUMIFS(Movimientos!$E$6:$E$16,Movimientos!$C$6:$C$16,Stocks!$A338,Movimientos!$F$6:$F$16,Stocks!F$3,Movimientos!$A$6:$A$16,"&lt;="&amp;Stocks!$A$2)-SUMIFS(Movimientos!$E$6:$E$16,Movimientos!$C$6:$C$16,Stocks!$A338,Movimientos!$G$6:$G$16,Stocks!F$3,Movimientos!$A$6:$A$16,"&lt;="&amp;Stocks!$A$2)</f>
        <v>0</v>
      </c>
      <c r="G338" s="4">
        <f>SUMIFS(Movimientos!$E$6:$E$16,Movimientos!$C$6:$C$16,Stocks!$A338,Movimientos!$F$6:$F$16,Stocks!G$3,Movimientos!$A$6:$A$16,"&lt;="&amp;Stocks!$A$2)-SUMIFS(Movimientos!$E$6:$E$16,Movimientos!$C$6:$C$16,Stocks!$A338,Movimientos!$G$6:$G$16,Stocks!G$3,Movimientos!$A$6:$A$16,"&lt;="&amp;Stocks!$A$2)</f>
        <v>0</v>
      </c>
      <c r="H338" s="4">
        <f>SUMIFS(Movimientos!$E$6:$E$16,Movimientos!$C$6:$C$16,Stocks!$A338,Movimientos!$F$6:$F$16,Stocks!H$3,Movimientos!$A$6:$A$16,"&lt;="&amp;Stocks!$A$2)-SUMIFS(Movimientos!$E$6:$E$16,Movimientos!$C$6:$C$16,Stocks!$A338,Movimientos!$G$6:$G$16,Stocks!H$3,Movimientos!$A$6:$A$16,"&lt;="&amp;Stocks!$A$2)</f>
        <v>0</v>
      </c>
      <c r="I338" s="4">
        <f>SUMIFS(Movimientos!$E$6:$E$16,Movimientos!$C$6:$C$16,Stocks!$A338,Movimientos!$F$6:$F$16,Stocks!I$3,Movimientos!$A$6:$A$16,"&lt;="&amp;Stocks!$A$2)-SUMIFS(Movimientos!$E$6:$E$16,Movimientos!$C$6:$C$16,Stocks!$A338,Movimientos!$G$6:$G$16,Stocks!I$3,Movimientos!$A$6:$A$16,"&lt;="&amp;Stocks!$A$2)</f>
        <v>0</v>
      </c>
      <c r="J338" s="4">
        <f>SUMIFS(Movimientos!$E$6:$E$16,Movimientos!$C$6:$C$16,Stocks!$A338,Movimientos!$F$6:$F$16,Stocks!J$3,Movimientos!$A$6:$A$16,"&lt;="&amp;Stocks!$A$2)-SUMIFS(Movimientos!$E$6:$E$16,Movimientos!$C$6:$C$16,Stocks!$A338,Movimientos!$G$6:$G$16,Stocks!J$3,Movimientos!$A$6:$A$16,"&lt;="&amp;Stocks!$A$2)</f>
        <v>0</v>
      </c>
      <c r="K338" s="4">
        <f>SUMIFS(Movimientos!$E$6:$E$16,Movimientos!$C$6:$C$16,Stocks!$A338,Movimientos!$F$6:$F$16,Stocks!K$3,Movimientos!$A$6:$A$16,"&lt;="&amp;Stocks!$A$2)-SUMIFS(Movimientos!$E$6:$E$16,Movimientos!$C$6:$C$16,Stocks!$A338,Movimientos!$G$6:$G$16,Stocks!K$3,Movimientos!$A$6:$A$16,"&lt;="&amp;Stocks!$A$2)</f>
        <v>0</v>
      </c>
      <c r="L338" s="4">
        <f>SUMIFS(Movimientos!$E$6:$E$16,Movimientos!$C$6:$C$16,Stocks!$A338,Movimientos!$F$6:$F$16,Stocks!L$3,Movimientos!$A$6:$A$16,"&lt;="&amp;Stocks!$A$2)-SUMIFS(Movimientos!$E$6:$E$16,Movimientos!$C$6:$C$16,Stocks!$A338,Movimientos!$G$6:$G$16,Stocks!L$3,Movimientos!$A$6:$A$16,"&lt;="&amp;Stocks!$A$2)</f>
        <v>0</v>
      </c>
    </row>
    <row r="339" spans="1:12" x14ac:dyDescent="0.25">
      <c r="A339" t="str">
        <f>Codificación!A338</f>
        <v/>
      </c>
      <c r="B339" s="1">
        <f>Codificación!B338</f>
        <v>0</v>
      </c>
      <c r="E339" s="4">
        <f>SUMIFS(Movimientos!$E$6:$E$16,Movimientos!$C$6:$C$16,Stocks!$A339,Movimientos!$F$6:$F$16,Stocks!E$3,Movimientos!$A$6:$A$16,"&lt;="&amp;Stocks!$A$2)-SUMIFS(Movimientos!$E$6:$E$16,Movimientos!$C$6:$C$16,Stocks!$A339,Movimientos!$G$6:$G$16,Stocks!E$3,Movimientos!$A$6:$A$16,"&lt;="&amp;Stocks!$A$2)</f>
        <v>0</v>
      </c>
      <c r="F339" s="4">
        <f>SUMIFS(Movimientos!$E$6:$E$16,Movimientos!$C$6:$C$16,Stocks!$A339,Movimientos!$F$6:$F$16,Stocks!F$3,Movimientos!$A$6:$A$16,"&lt;="&amp;Stocks!$A$2)-SUMIFS(Movimientos!$E$6:$E$16,Movimientos!$C$6:$C$16,Stocks!$A339,Movimientos!$G$6:$G$16,Stocks!F$3,Movimientos!$A$6:$A$16,"&lt;="&amp;Stocks!$A$2)</f>
        <v>0</v>
      </c>
      <c r="G339" s="4">
        <f>SUMIFS(Movimientos!$E$6:$E$16,Movimientos!$C$6:$C$16,Stocks!$A339,Movimientos!$F$6:$F$16,Stocks!G$3,Movimientos!$A$6:$A$16,"&lt;="&amp;Stocks!$A$2)-SUMIFS(Movimientos!$E$6:$E$16,Movimientos!$C$6:$C$16,Stocks!$A339,Movimientos!$G$6:$G$16,Stocks!G$3,Movimientos!$A$6:$A$16,"&lt;="&amp;Stocks!$A$2)</f>
        <v>0</v>
      </c>
      <c r="H339" s="4">
        <f>SUMIFS(Movimientos!$E$6:$E$16,Movimientos!$C$6:$C$16,Stocks!$A339,Movimientos!$F$6:$F$16,Stocks!H$3,Movimientos!$A$6:$A$16,"&lt;="&amp;Stocks!$A$2)-SUMIFS(Movimientos!$E$6:$E$16,Movimientos!$C$6:$C$16,Stocks!$A339,Movimientos!$G$6:$G$16,Stocks!H$3,Movimientos!$A$6:$A$16,"&lt;="&amp;Stocks!$A$2)</f>
        <v>0</v>
      </c>
      <c r="I339" s="4">
        <f>SUMIFS(Movimientos!$E$6:$E$16,Movimientos!$C$6:$C$16,Stocks!$A339,Movimientos!$F$6:$F$16,Stocks!I$3,Movimientos!$A$6:$A$16,"&lt;="&amp;Stocks!$A$2)-SUMIFS(Movimientos!$E$6:$E$16,Movimientos!$C$6:$C$16,Stocks!$A339,Movimientos!$G$6:$G$16,Stocks!I$3,Movimientos!$A$6:$A$16,"&lt;="&amp;Stocks!$A$2)</f>
        <v>0</v>
      </c>
      <c r="J339" s="4">
        <f>SUMIFS(Movimientos!$E$6:$E$16,Movimientos!$C$6:$C$16,Stocks!$A339,Movimientos!$F$6:$F$16,Stocks!J$3,Movimientos!$A$6:$A$16,"&lt;="&amp;Stocks!$A$2)-SUMIFS(Movimientos!$E$6:$E$16,Movimientos!$C$6:$C$16,Stocks!$A339,Movimientos!$G$6:$G$16,Stocks!J$3,Movimientos!$A$6:$A$16,"&lt;="&amp;Stocks!$A$2)</f>
        <v>0</v>
      </c>
      <c r="K339" s="4">
        <f>SUMIFS(Movimientos!$E$6:$E$16,Movimientos!$C$6:$C$16,Stocks!$A339,Movimientos!$F$6:$F$16,Stocks!K$3,Movimientos!$A$6:$A$16,"&lt;="&amp;Stocks!$A$2)-SUMIFS(Movimientos!$E$6:$E$16,Movimientos!$C$6:$C$16,Stocks!$A339,Movimientos!$G$6:$G$16,Stocks!K$3,Movimientos!$A$6:$A$16,"&lt;="&amp;Stocks!$A$2)</f>
        <v>0</v>
      </c>
      <c r="L339" s="4">
        <f>SUMIFS(Movimientos!$E$6:$E$16,Movimientos!$C$6:$C$16,Stocks!$A339,Movimientos!$F$6:$F$16,Stocks!L$3,Movimientos!$A$6:$A$16,"&lt;="&amp;Stocks!$A$2)-SUMIFS(Movimientos!$E$6:$E$16,Movimientos!$C$6:$C$16,Stocks!$A339,Movimientos!$G$6:$G$16,Stocks!L$3,Movimientos!$A$6:$A$16,"&lt;="&amp;Stocks!$A$2)</f>
        <v>0</v>
      </c>
    </row>
    <row r="340" spans="1:12" x14ac:dyDescent="0.25">
      <c r="A340" t="str">
        <f>Codificación!A339</f>
        <v/>
      </c>
      <c r="B340" s="1">
        <f>Codificación!B339</f>
        <v>0</v>
      </c>
      <c r="E340" s="4">
        <f>SUMIFS(Movimientos!$E$6:$E$16,Movimientos!$C$6:$C$16,Stocks!$A340,Movimientos!$F$6:$F$16,Stocks!E$3,Movimientos!$A$6:$A$16,"&lt;="&amp;Stocks!$A$2)-SUMIFS(Movimientos!$E$6:$E$16,Movimientos!$C$6:$C$16,Stocks!$A340,Movimientos!$G$6:$G$16,Stocks!E$3,Movimientos!$A$6:$A$16,"&lt;="&amp;Stocks!$A$2)</f>
        <v>0</v>
      </c>
      <c r="F340" s="4">
        <f>SUMIFS(Movimientos!$E$6:$E$16,Movimientos!$C$6:$C$16,Stocks!$A340,Movimientos!$F$6:$F$16,Stocks!F$3,Movimientos!$A$6:$A$16,"&lt;="&amp;Stocks!$A$2)-SUMIFS(Movimientos!$E$6:$E$16,Movimientos!$C$6:$C$16,Stocks!$A340,Movimientos!$G$6:$G$16,Stocks!F$3,Movimientos!$A$6:$A$16,"&lt;="&amp;Stocks!$A$2)</f>
        <v>0</v>
      </c>
      <c r="G340" s="4">
        <f>SUMIFS(Movimientos!$E$6:$E$16,Movimientos!$C$6:$C$16,Stocks!$A340,Movimientos!$F$6:$F$16,Stocks!G$3,Movimientos!$A$6:$A$16,"&lt;="&amp;Stocks!$A$2)-SUMIFS(Movimientos!$E$6:$E$16,Movimientos!$C$6:$C$16,Stocks!$A340,Movimientos!$G$6:$G$16,Stocks!G$3,Movimientos!$A$6:$A$16,"&lt;="&amp;Stocks!$A$2)</f>
        <v>0</v>
      </c>
      <c r="H340" s="4">
        <f>SUMIFS(Movimientos!$E$6:$E$16,Movimientos!$C$6:$C$16,Stocks!$A340,Movimientos!$F$6:$F$16,Stocks!H$3,Movimientos!$A$6:$A$16,"&lt;="&amp;Stocks!$A$2)-SUMIFS(Movimientos!$E$6:$E$16,Movimientos!$C$6:$C$16,Stocks!$A340,Movimientos!$G$6:$G$16,Stocks!H$3,Movimientos!$A$6:$A$16,"&lt;="&amp;Stocks!$A$2)</f>
        <v>0</v>
      </c>
      <c r="I340" s="4">
        <f>SUMIFS(Movimientos!$E$6:$E$16,Movimientos!$C$6:$C$16,Stocks!$A340,Movimientos!$F$6:$F$16,Stocks!I$3,Movimientos!$A$6:$A$16,"&lt;="&amp;Stocks!$A$2)-SUMIFS(Movimientos!$E$6:$E$16,Movimientos!$C$6:$C$16,Stocks!$A340,Movimientos!$G$6:$G$16,Stocks!I$3,Movimientos!$A$6:$A$16,"&lt;="&amp;Stocks!$A$2)</f>
        <v>0</v>
      </c>
      <c r="J340" s="4">
        <f>SUMIFS(Movimientos!$E$6:$E$16,Movimientos!$C$6:$C$16,Stocks!$A340,Movimientos!$F$6:$F$16,Stocks!J$3,Movimientos!$A$6:$A$16,"&lt;="&amp;Stocks!$A$2)-SUMIFS(Movimientos!$E$6:$E$16,Movimientos!$C$6:$C$16,Stocks!$A340,Movimientos!$G$6:$G$16,Stocks!J$3,Movimientos!$A$6:$A$16,"&lt;="&amp;Stocks!$A$2)</f>
        <v>0</v>
      </c>
      <c r="K340" s="4">
        <f>SUMIFS(Movimientos!$E$6:$E$16,Movimientos!$C$6:$C$16,Stocks!$A340,Movimientos!$F$6:$F$16,Stocks!K$3,Movimientos!$A$6:$A$16,"&lt;="&amp;Stocks!$A$2)-SUMIFS(Movimientos!$E$6:$E$16,Movimientos!$C$6:$C$16,Stocks!$A340,Movimientos!$G$6:$G$16,Stocks!K$3,Movimientos!$A$6:$A$16,"&lt;="&amp;Stocks!$A$2)</f>
        <v>0</v>
      </c>
      <c r="L340" s="4">
        <f>SUMIFS(Movimientos!$E$6:$E$16,Movimientos!$C$6:$C$16,Stocks!$A340,Movimientos!$F$6:$F$16,Stocks!L$3,Movimientos!$A$6:$A$16,"&lt;="&amp;Stocks!$A$2)-SUMIFS(Movimientos!$E$6:$E$16,Movimientos!$C$6:$C$16,Stocks!$A340,Movimientos!$G$6:$G$16,Stocks!L$3,Movimientos!$A$6:$A$16,"&lt;="&amp;Stocks!$A$2)</f>
        <v>0</v>
      </c>
    </row>
    <row r="341" spans="1:12" x14ac:dyDescent="0.25">
      <c r="A341" t="str">
        <f>Codificación!A340</f>
        <v/>
      </c>
      <c r="B341" s="1">
        <f>Codificación!B340</f>
        <v>0</v>
      </c>
      <c r="E341" s="4">
        <f>SUMIFS(Movimientos!$E$6:$E$16,Movimientos!$C$6:$C$16,Stocks!$A341,Movimientos!$F$6:$F$16,Stocks!E$3,Movimientos!$A$6:$A$16,"&lt;="&amp;Stocks!$A$2)-SUMIFS(Movimientos!$E$6:$E$16,Movimientos!$C$6:$C$16,Stocks!$A341,Movimientos!$G$6:$G$16,Stocks!E$3,Movimientos!$A$6:$A$16,"&lt;="&amp;Stocks!$A$2)</f>
        <v>0</v>
      </c>
      <c r="F341" s="4">
        <f>SUMIFS(Movimientos!$E$6:$E$16,Movimientos!$C$6:$C$16,Stocks!$A341,Movimientos!$F$6:$F$16,Stocks!F$3,Movimientos!$A$6:$A$16,"&lt;="&amp;Stocks!$A$2)-SUMIFS(Movimientos!$E$6:$E$16,Movimientos!$C$6:$C$16,Stocks!$A341,Movimientos!$G$6:$G$16,Stocks!F$3,Movimientos!$A$6:$A$16,"&lt;="&amp;Stocks!$A$2)</f>
        <v>0</v>
      </c>
      <c r="G341" s="4">
        <f>SUMIFS(Movimientos!$E$6:$E$16,Movimientos!$C$6:$C$16,Stocks!$A341,Movimientos!$F$6:$F$16,Stocks!G$3,Movimientos!$A$6:$A$16,"&lt;="&amp;Stocks!$A$2)-SUMIFS(Movimientos!$E$6:$E$16,Movimientos!$C$6:$C$16,Stocks!$A341,Movimientos!$G$6:$G$16,Stocks!G$3,Movimientos!$A$6:$A$16,"&lt;="&amp;Stocks!$A$2)</f>
        <v>0</v>
      </c>
      <c r="H341" s="4">
        <f>SUMIFS(Movimientos!$E$6:$E$16,Movimientos!$C$6:$C$16,Stocks!$A341,Movimientos!$F$6:$F$16,Stocks!H$3,Movimientos!$A$6:$A$16,"&lt;="&amp;Stocks!$A$2)-SUMIFS(Movimientos!$E$6:$E$16,Movimientos!$C$6:$C$16,Stocks!$A341,Movimientos!$G$6:$G$16,Stocks!H$3,Movimientos!$A$6:$A$16,"&lt;="&amp;Stocks!$A$2)</f>
        <v>0</v>
      </c>
      <c r="I341" s="4">
        <f>SUMIFS(Movimientos!$E$6:$E$16,Movimientos!$C$6:$C$16,Stocks!$A341,Movimientos!$F$6:$F$16,Stocks!I$3,Movimientos!$A$6:$A$16,"&lt;="&amp;Stocks!$A$2)-SUMIFS(Movimientos!$E$6:$E$16,Movimientos!$C$6:$C$16,Stocks!$A341,Movimientos!$G$6:$G$16,Stocks!I$3,Movimientos!$A$6:$A$16,"&lt;="&amp;Stocks!$A$2)</f>
        <v>0</v>
      </c>
      <c r="J341" s="4">
        <f>SUMIFS(Movimientos!$E$6:$E$16,Movimientos!$C$6:$C$16,Stocks!$A341,Movimientos!$F$6:$F$16,Stocks!J$3,Movimientos!$A$6:$A$16,"&lt;="&amp;Stocks!$A$2)-SUMIFS(Movimientos!$E$6:$E$16,Movimientos!$C$6:$C$16,Stocks!$A341,Movimientos!$G$6:$G$16,Stocks!J$3,Movimientos!$A$6:$A$16,"&lt;="&amp;Stocks!$A$2)</f>
        <v>0</v>
      </c>
      <c r="K341" s="4">
        <f>SUMIFS(Movimientos!$E$6:$E$16,Movimientos!$C$6:$C$16,Stocks!$A341,Movimientos!$F$6:$F$16,Stocks!K$3,Movimientos!$A$6:$A$16,"&lt;="&amp;Stocks!$A$2)-SUMIFS(Movimientos!$E$6:$E$16,Movimientos!$C$6:$C$16,Stocks!$A341,Movimientos!$G$6:$G$16,Stocks!K$3,Movimientos!$A$6:$A$16,"&lt;="&amp;Stocks!$A$2)</f>
        <v>0</v>
      </c>
      <c r="L341" s="4">
        <f>SUMIFS(Movimientos!$E$6:$E$16,Movimientos!$C$6:$C$16,Stocks!$A341,Movimientos!$F$6:$F$16,Stocks!L$3,Movimientos!$A$6:$A$16,"&lt;="&amp;Stocks!$A$2)-SUMIFS(Movimientos!$E$6:$E$16,Movimientos!$C$6:$C$16,Stocks!$A341,Movimientos!$G$6:$G$16,Stocks!L$3,Movimientos!$A$6:$A$16,"&lt;="&amp;Stocks!$A$2)</f>
        <v>0</v>
      </c>
    </row>
    <row r="342" spans="1:12" x14ac:dyDescent="0.25">
      <c r="A342" t="str">
        <f>Codificación!A341</f>
        <v/>
      </c>
      <c r="B342" s="1">
        <f>Codificación!B341</f>
        <v>0</v>
      </c>
      <c r="E342" s="4">
        <f>SUMIFS(Movimientos!$E$6:$E$16,Movimientos!$C$6:$C$16,Stocks!$A342,Movimientos!$F$6:$F$16,Stocks!E$3,Movimientos!$A$6:$A$16,"&lt;="&amp;Stocks!$A$2)-SUMIFS(Movimientos!$E$6:$E$16,Movimientos!$C$6:$C$16,Stocks!$A342,Movimientos!$G$6:$G$16,Stocks!E$3,Movimientos!$A$6:$A$16,"&lt;="&amp;Stocks!$A$2)</f>
        <v>0</v>
      </c>
      <c r="F342" s="4">
        <f>SUMIFS(Movimientos!$E$6:$E$16,Movimientos!$C$6:$C$16,Stocks!$A342,Movimientos!$F$6:$F$16,Stocks!F$3,Movimientos!$A$6:$A$16,"&lt;="&amp;Stocks!$A$2)-SUMIFS(Movimientos!$E$6:$E$16,Movimientos!$C$6:$C$16,Stocks!$A342,Movimientos!$G$6:$G$16,Stocks!F$3,Movimientos!$A$6:$A$16,"&lt;="&amp;Stocks!$A$2)</f>
        <v>0</v>
      </c>
      <c r="G342" s="4">
        <f>SUMIFS(Movimientos!$E$6:$E$16,Movimientos!$C$6:$C$16,Stocks!$A342,Movimientos!$F$6:$F$16,Stocks!G$3,Movimientos!$A$6:$A$16,"&lt;="&amp;Stocks!$A$2)-SUMIFS(Movimientos!$E$6:$E$16,Movimientos!$C$6:$C$16,Stocks!$A342,Movimientos!$G$6:$G$16,Stocks!G$3,Movimientos!$A$6:$A$16,"&lt;="&amp;Stocks!$A$2)</f>
        <v>0</v>
      </c>
      <c r="H342" s="4">
        <f>SUMIFS(Movimientos!$E$6:$E$16,Movimientos!$C$6:$C$16,Stocks!$A342,Movimientos!$F$6:$F$16,Stocks!H$3,Movimientos!$A$6:$A$16,"&lt;="&amp;Stocks!$A$2)-SUMIFS(Movimientos!$E$6:$E$16,Movimientos!$C$6:$C$16,Stocks!$A342,Movimientos!$G$6:$G$16,Stocks!H$3,Movimientos!$A$6:$A$16,"&lt;="&amp;Stocks!$A$2)</f>
        <v>0</v>
      </c>
      <c r="I342" s="4">
        <f>SUMIFS(Movimientos!$E$6:$E$16,Movimientos!$C$6:$C$16,Stocks!$A342,Movimientos!$F$6:$F$16,Stocks!I$3,Movimientos!$A$6:$A$16,"&lt;="&amp;Stocks!$A$2)-SUMIFS(Movimientos!$E$6:$E$16,Movimientos!$C$6:$C$16,Stocks!$A342,Movimientos!$G$6:$G$16,Stocks!I$3,Movimientos!$A$6:$A$16,"&lt;="&amp;Stocks!$A$2)</f>
        <v>0</v>
      </c>
      <c r="J342" s="4">
        <f>SUMIFS(Movimientos!$E$6:$E$16,Movimientos!$C$6:$C$16,Stocks!$A342,Movimientos!$F$6:$F$16,Stocks!J$3,Movimientos!$A$6:$A$16,"&lt;="&amp;Stocks!$A$2)-SUMIFS(Movimientos!$E$6:$E$16,Movimientos!$C$6:$C$16,Stocks!$A342,Movimientos!$G$6:$G$16,Stocks!J$3,Movimientos!$A$6:$A$16,"&lt;="&amp;Stocks!$A$2)</f>
        <v>0</v>
      </c>
      <c r="K342" s="4">
        <f>SUMIFS(Movimientos!$E$6:$E$16,Movimientos!$C$6:$C$16,Stocks!$A342,Movimientos!$F$6:$F$16,Stocks!K$3,Movimientos!$A$6:$A$16,"&lt;="&amp;Stocks!$A$2)-SUMIFS(Movimientos!$E$6:$E$16,Movimientos!$C$6:$C$16,Stocks!$A342,Movimientos!$G$6:$G$16,Stocks!K$3,Movimientos!$A$6:$A$16,"&lt;="&amp;Stocks!$A$2)</f>
        <v>0</v>
      </c>
      <c r="L342" s="4">
        <f>SUMIFS(Movimientos!$E$6:$E$16,Movimientos!$C$6:$C$16,Stocks!$A342,Movimientos!$F$6:$F$16,Stocks!L$3,Movimientos!$A$6:$A$16,"&lt;="&amp;Stocks!$A$2)-SUMIFS(Movimientos!$E$6:$E$16,Movimientos!$C$6:$C$16,Stocks!$A342,Movimientos!$G$6:$G$16,Stocks!L$3,Movimientos!$A$6:$A$16,"&lt;="&amp;Stocks!$A$2)</f>
        <v>0</v>
      </c>
    </row>
    <row r="343" spans="1:12" x14ac:dyDescent="0.25">
      <c r="A343" t="str">
        <f>Codificación!A342</f>
        <v/>
      </c>
      <c r="B343" s="1">
        <f>Codificación!B342</f>
        <v>0</v>
      </c>
      <c r="E343" s="4">
        <f>SUMIFS(Movimientos!$E$6:$E$16,Movimientos!$C$6:$C$16,Stocks!$A343,Movimientos!$F$6:$F$16,Stocks!E$3,Movimientos!$A$6:$A$16,"&lt;="&amp;Stocks!$A$2)-SUMIFS(Movimientos!$E$6:$E$16,Movimientos!$C$6:$C$16,Stocks!$A343,Movimientos!$G$6:$G$16,Stocks!E$3,Movimientos!$A$6:$A$16,"&lt;="&amp;Stocks!$A$2)</f>
        <v>0</v>
      </c>
      <c r="F343" s="4">
        <f>SUMIFS(Movimientos!$E$6:$E$16,Movimientos!$C$6:$C$16,Stocks!$A343,Movimientos!$F$6:$F$16,Stocks!F$3,Movimientos!$A$6:$A$16,"&lt;="&amp;Stocks!$A$2)-SUMIFS(Movimientos!$E$6:$E$16,Movimientos!$C$6:$C$16,Stocks!$A343,Movimientos!$G$6:$G$16,Stocks!F$3,Movimientos!$A$6:$A$16,"&lt;="&amp;Stocks!$A$2)</f>
        <v>0</v>
      </c>
      <c r="G343" s="4">
        <f>SUMIFS(Movimientos!$E$6:$E$16,Movimientos!$C$6:$C$16,Stocks!$A343,Movimientos!$F$6:$F$16,Stocks!G$3,Movimientos!$A$6:$A$16,"&lt;="&amp;Stocks!$A$2)-SUMIFS(Movimientos!$E$6:$E$16,Movimientos!$C$6:$C$16,Stocks!$A343,Movimientos!$G$6:$G$16,Stocks!G$3,Movimientos!$A$6:$A$16,"&lt;="&amp;Stocks!$A$2)</f>
        <v>0</v>
      </c>
      <c r="H343" s="4">
        <f>SUMIFS(Movimientos!$E$6:$E$16,Movimientos!$C$6:$C$16,Stocks!$A343,Movimientos!$F$6:$F$16,Stocks!H$3,Movimientos!$A$6:$A$16,"&lt;="&amp;Stocks!$A$2)-SUMIFS(Movimientos!$E$6:$E$16,Movimientos!$C$6:$C$16,Stocks!$A343,Movimientos!$G$6:$G$16,Stocks!H$3,Movimientos!$A$6:$A$16,"&lt;="&amp;Stocks!$A$2)</f>
        <v>0</v>
      </c>
      <c r="I343" s="4">
        <f>SUMIFS(Movimientos!$E$6:$E$16,Movimientos!$C$6:$C$16,Stocks!$A343,Movimientos!$F$6:$F$16,Stocks!I$3,Movimientos!$A$6:$A$16,"&lt;="&amp;Stocks!$A$2)-SUMIFS(Movimientos!$E$6:$E$16,Movimientos!$C$6:$C$16,Stocks!$A343,Movimientos!$G$6:$G$16,Stocks!I$3,Movimientos!$A$6:$A$16,"&lt;="&amp;Stocks!$A$2)</f>
        <v>0</v>
      </c>
      <c r="J343" s="4">
        <f>SUMIFS(Movimientos!$E$6:$E$16,Movimientos!$C$6:$C$16,Stocks!$A343,Movimientos!$F$6:$F$16,Stocks!J$3,Movimientos!$A$6:$A$16,"&lt;="&amp;Stocks!$A$2)-SUMIFS(Movimientos!$E$6:$E$16,Movimientos!$C$6:$C$16,Stocks!$A343,Movimientos!$G$6:$G$16,Stocks!J$3,Movimientos!$A$6:$A$16,"&lt;="&amp;Stocks!$A$2)</f>
        <v>0</v>
      </c>
      <c r="K343" s="4">
        <f>SUMIFS(Movimientos!$E$6:$E$16,Movimientos!$C$6:$C$16,Stocks!$A343,Movimientos!$F$6:$F$16,Stocks!K$3,Movimientos!$A$6:$A$16,"&lt;="&amp;Stocks!$A$2)-SUMIFS(Movimientos!$E$6:$E$16,Movimientos!$C$6:$C$16,Stocks!$A343,Movimientos!$G$6:$G$16,Stocks!K$3,Movimientos!$A$6:$A$16,"&lt;="&amp;Stocks!$A$2)</f>
        <v>0</v>
      </c>
      <c r="L343" s="4">
        <f>SUMIFS(Movimientos!$E$6:$E$16,Movimientos!$C$6:$C$16,Stocks!$A343,Movimientos!$F$6:$F$16,Stocks!L$3,Movimientos!$A$6:$A$16,"&lt;="&amp;Stocks!$A$2)-SUMIFS(Movimientos!$E$6:$E$16,Movimientos!$C$6:$C$16,Stocks!$A343,Movimientos!$G$6:$G$16,Stocks!L$3,Movimientos!$A$6:$A$16,"&lt;="&amp;Stocks!$A$2)</f>
        <v>0</v>
      </c>
    </row>
    <row r="344" spans="1:12" x14ac:dyDescent="0.25">
      <c r="A344" t="str">
        <f>Codificación!A343</f>
        <v/>
      </c>
      <c r="B344" s="1">
        <f>Codificación!B343</f>
        <v>0</v>
      </c>
      <c r="E344" s="4">
        <f>SUMIFS(Movimientos!$E$6:$E$16,Movimientos!$C$6:$C$16,Stocks!$A344,Movimientos!$F$6:$F$16,Stocks!E$3,Movimientos!$A$6:$A$16,"&lt;="&amp;Stocks!$A$2)-SUMIFS(Movimientos!$E$6:$E$16,Movimientos!$C$6:$C$16,Stocks!$A344,Movimientos!$G$6:$G$16,Stocks!E$3,Movimientos!$A$6:$A$16,"&lt;="&amp;Stocks!$A$2)</f>
        <v>0</v>
      </c>
      <c r="F344" s="4">
        <f>SUMIFS(Movimientos!$E$6:$E$16,Movimientos!$C$6:$C$16,Stocks!$A344,Movimientos!$F$6:$F$16,Stocks!F$3,Movimientos!$A$6:$A$16,"&lt;="&amp;Stocks!$A$2)-SUMIFS(Movimientos!$E$6:$E$16,Movimientos!$C$6:$C$16,Stocks!$A344,Movimientos!$G$6:$G$16,Stocks!F$3,Movimientos!$A$6:$A$16,"&lt;="&amp;Stocks!$A$2)</f>
        <v>0</v>
      </c>
      <c r="G344" s="4">
        <f>SUMIFS(Movimientos!$E$6:$E$16,Movimientos!$C$6:$C$16,Stocks!$A344,Movimientos!$F$6:$F$16,Stocks!G$3,Movimientos!$A$6:$A$16,"&lt;="&amp;Stocks!$A$2)-SUMIFS(Movimientos!$E$6:$E$16,Movimientos!$C$6:$C$16,Stocks!$A344,Movimientos!$G$6:$G$16,Stocks!G$3,Movimientos!$A$6:$A$16,"&lt;="&amp;Stocks!$A$2)</f>
        <v>0</v>
      </c>
      <c r="H344" s="4">
        <f>SUMIFS(Movimientos!$E$6:$E$16,Movimientos!$C$6:$C$16,Stocks!$A344,Movimientos!$F$6:$F$16,Stocks!H$3,Movimientos!$A$6:$A$16,"&lt;="&amp;Stocks!$A$2)-SUMIFS(Movimientos!$E$6:$E$16,Movimientos!$C$6:$C$16,Stocks!$A344,Movimientos!$G$6:$G$16,Stocks!H$3,Movimientos!$A$6:$A$16,"&lt;="&amp;Stocks!$A$2)</f>
        <v>0</v>
      </c>
      <c r="I344" s="4">
        <f>SUMIFS(Movimientos!$E$6:$E$16,Movimientos!$C$6:$C$16,Stocks!$A344,Movimientos!$F$6:$F$16,Stocks!I$3,Movimientos!$A$6:$A$16,"&lt;="&amp;Stocks!$A$2)-SUMIFS(Movimientos!$E$6:$E$16,Movimientos!$C$6:$C$16,Stocks!$A344,Movimientos!$G$6:$G$16,Stocks!I$3,Movimientos!$A$6:$A$16,"&lt;="&amp;Stocks!$A$2)</f>
        <v>0</v>
      </c>
      <c r="J344" s="4">
        <f>SUMIFS(Movimientos!$E$6:$E$16,Movimientos!$C$6:$C$16,Stocks!$A344,Movimientos!$F$6:$F$16,Stocks!J$3,Movimientos!$A$6:$A$16,"&lt;="&amp;Stocks!$A$2)-SUMIFS(Movimientos!$E$6:$E$16,Movimientos!$C$6:$C$16,Stocks!$A344,Movimientos!$G$6:$G$16,Stocks!J$3,Movimientos!$A$6:$A$16,"&lt;="&amp;Stocks!$A$2)</f>
        <v>0</v>
      </c>
      <c r="K344" s="4">
        <f>SUMIFS(Movimientos!$E$6:$E$16,Movimientos!$C$6:$C$16,Stocks!$A344,Movimientos!$F$6:$F$16,Stocks!K$3,Movimientos!$A$6:$A$16,"&lt;="&amp;Stocks!$A$2)-SUMIFS(Movimientos!$E$6:$E$16,Movimientos!$C$6:$C$16,Stocks!$A344,Movimientos!$G$6:$G$16,Stocks!K$3,Movimientos!$A$6:$A$16,"&lt;="&amp;Stocks!$A$2)</f>
        <v>0</v>
      </c>
      <c r="L344" s="4">
        <f>SUMIFS(Movimientos!$E$6:$E$16,Movimientos!$C$6:$C$16,Stocks!$A344,Movimientos!$F$6:$F$16,Stocks!L$3,Movimientos!$A$6:$A$16,"&lt;="&amp;Stocks!$A$2)-SUMIFS(Movimientos!$E$6:$E$16,Movimientos!$C$6:$C$16,Stocks!$A344,Movimientos!$G$6:$G$16,Stocks!L$3,Movimientos!$A$6:$A$16,"&lt;="&amp;Stocks!$A$2)</f>
        <v>0</v>
      </c>
    </row>
    <row r="345" spans="1:12" x14ac:dyDescent="0.25">
      <c r="A345" t="str">
        <f>Codificación!A344</f>
        <v/>
      </c>
      <c r="B345" s="1">
        <f>Codificación!B344</f>
        <v>0</v>
      </c>
      <c r="E345" s="4">
        <f>SUMIFS(Movimientos!$E$6:$E$16,Movimientos!$C$6:$C$16,Stocks!$A345,Movimientos!$F$6:$F$16,Stocks!E$3,Movimientos!$A$6:$A$16,"&lt;="&amp;Stocks!$A$2)-SUMIFS(Movimientos!$E$6:$E$16,Movimientos!$C$6:$C$16,Stocks!$A345,Movimientos!$G$6:$G$16,Stocks!E$3,Movimientos!$A$6:$A$16,"&lt;="&amp;Stocks!$A$2)</f>
        <v>0</v>
      </c>
      <c r="F345" s="4">
        <f>SUMIFS(Movimientos!$E$6:$E$16,Movimientos!$C$6:$C$16,Stocks!$A345,Movimientos!$F$6:$F$16,Stocks!F$3,Movimientos!$A$6:$A$16,"&lt;="&amp;Stocks!$A$2)-SUMIFS(Movimientos!$E$6:$E$16,Movimientos!$C$6:$C$16,Stocks!$A345,Movimientos!$G$6:$G$16,Stocks!F$3,Movimientos!$A$6:$A$16,"&lt;="&amp;Stocks!$A$2)</f>
        <v>0</v>
      </c>
      <c r="G345" s="4">
        <f>SUMIFS(Movimientos!$E$6:$E$16,Movimientos!$C$6:$C$16,Stocks!$A345,Movimientos!$F$6:$F$16,Stocks!G$3,Movimientos!$A$6:$A$16,"&lt;="&amp;Stocks!$A$2)-SUMIFS(Movimientos!$E$6:$E$16,Movimientos!$C$6:$C$16,Stocks!$A345,Movimientos!$G$6:$G$16,Stocks!G$3,Movimientos!$A$6:$A$16,"&lt;="&amp;Stocks!$A$2)</f>
        <v>0</v>
      </c>
      <c r="H345" s="4">
        <f>SUMIFS(Movimientos!$E$6:$E$16,Movimientos!$C$6:$C$16,Stocks!$A345,Movimientos!$F$6:$F$16,Stocks!H$3,Movimientos!$A$6:$A$16,"&lt;="&amp;Stocks!$A$2)-SUMIFS(Movimientos!$E$6:$E$16,Movimientos!$C$6:$C$16,Stocks!$A345,Movimientos!$G$6:$G$16,Stocks!H$3,Movimientos!$A$6:$A$16,"&lt;="&amp;Stocks!$A$2)</f>
        <v>0</v>
      </c>
      <c r="I345" s="4">
        <f>SUMIFS(Movimientos!$E$6:$E$16,Movimientos!$C$6:$C$16,Stocks!$A345,Movimientos!$F$6:$F$16,Stocks!I$3,Movimientos!$A$6:$A$16,"&lt;="&amp;Stocks!$A$2)-SUMIFS(Movimientos!$E$6:$E$16,Movimientos!$C$6:$C$16,Stocks!$A345,Movimientos!$G$6:$G$16,Stocks!I$3,Movimientos!$A$6:$A$16,"&lt;="&amp;Stocks!$A$2)</f>
        <v>0</v>
      </c>
      <c r="J345" s="4">
        <f>SUMIFS(Movimientos!$E$6:$E$16,Movimientos!$C$6:$C$16,Stocks!$A345,Movimientos!$F$6:$F$16,Stocks!J$3,Movimientos!$A$6:$A$16,"&lt;="&amp;Stocks!$A$2)-SUMIFS(Movimientos!$E$6:$E$16,Movimientos!$C$6:$C$16,Stocks!$A345,Movimientos!$G$6:$G$16,Stocks!J$3,Movimientos!$A$6:$A$16,"&lt;="&amp;Stocks!$A$2)</f>
        <v>0</v>
      </c>
      <c r="K345" s="4">
        <f>SUMIFS(Movimientos!$E$6:$E$16,Movimientos!$C$6:$C$16,Stocks!$A345,Movimientos!$F$6:$F$16,Stocks!K$3,Movimientos!$A$6:$A$16,"&lt;="&amp;Stocks!$A$2)-SUMIFS(Movimientos!$E$6:$E$16,Movimientos!$C$6:$C$16,Stocks!$A345,Movimientos!$G$6:$G$16,Stocks!K$3,Movimientos!$A$6:$A$16,"&lt;="&amp;Stocks!$A$2)</f>
        <v>0</v>
      </c>
      <c r="L345" s="4">
        <f>SUMIFS(Movimientos!$E$6:$E$16,Movimientos!$C$6:$C$16,Stocks!$A345,Movimientos!$F$6:$F$16,Stocks!L$3,Movimientos!$A$6:$A$16,"&lt;="&amp;Stocks!$A$2)-SUMIFS(Movimientos!$E$6:$E$16,Movimientos!$C$6:$C$16,Stocks!$A345,Movimientos!$G$6:$G$16,Stocks!L$3,Movimientos!$A$6:$A$16,"&lt;="&amp;Stocks!$A$2)</f>
        <v>0</v>
      </c>
    </row>
    <row r="346" spans="1:12" x14ac:dyDescent="0.25">
      <c r="A346" t="str">
        <f>Codificación!A345</f>
        <v/>
      </c>
      <c r="B346" s="1">
        <f>Codificación!B345</f>
        <v>0</v>
      </c>
      <c r="E346" s="4">
        <f>SUMIFS(Movimientos!$E$6:$E$16,Movimientos!$C$6:$C$16,Stocks!$A346,Movimientos!$F$6:$F$16,Stocks!E$3,Movimientos!$A$6:$A$16,"&lt;="&amp;Stocks!$A$2)-SUMIFS(Movimientos!$E$6:$E$16,Movimientos!$C$6:$C$16,Stocks!$A346,Movimientos!$G$6:$G$16,Stocks!E$3,Movimientos!$A$6:$A$16,"&lt;="&amp;Stocks!$A$2)</f>
        <v>0</v>
      </c>
      <c r="F346" s="4">
        <f>SUMIFS(Movimientos!$E$6:$E$16,Movimientos!$C$6:$C$16,Stocks!$A346,Movimientos!$F$6:$F$16,Stocks!F$3,Movimientos!$A$6:$A$16,"&lt;="&amp;Stocks!$A$2)-SUMIFS(Movimientos!$E$6:$E$16,Movimientos!$C$6:$C$16,Stocks!$A346,Movimientos!$G$6:$G$16,Stocks!F$3,Movimientos!$A$6:$A$16,"&lt;="&amp;Stocks!$A$2)</f>
        <v>0</v>
      </c>
      <c r="G346" s="4">
        <f>SUMIFS(Movimientos!$E$6:$E$16,Movimientos!$C$6:$C$16,Stocks!$A346,Movimientos!$F$6:$F$16,Stocks!G$3,Movimientos!$A$6:$A$16,"&lt;="&amp;Stocks!$A$2)-SUMIFS(Movimientos!$E$6:$E$16,Movimientos!$C$6:$C$16,Stocks!$A346,Movimientos!$G$6:$G$16,Stocks!G$3,Movimientos!$A$6:$A$16,"&lt;="&amp;Stocks!$A$2)</f>
        <v>0</v>
      </c>
      <c r="H346" s="4">
        <f>SUMIFS(Movimientos!$E$6:$E$16,Movimientos!$C$6:$C$16,Stocks!$A346,Movimientos!$F$6:$F$16,Stocks!H$3,Movimientos!$A$6:$A$16,"&lt;="&amp;Stocks!$A$2)-SUMIFS(Movimientos!$E$6:$E$16,Movimientos!$C$6:$C$16,Stocks!$A346,Movimientos!$G$6:$G$16,Stocks!H$3,Movimientos!$A$6:$A$16,"&lt;="&amp;Stocks!$A$2)</f>
        <v>0</v>
      </c>
      <c r="I346" s="4">
        <f>SUMIFS(Movimientos!$E$6:$E$16,Movimientos!$C$6:$C$16,Stocks!$A346,Movimientos!$F$6:$F$16,Stocks!I$3,Movimientos!$A$6:$A$16,"&lt;="&amp;Stocks!$A$2)-SUMIFS(Movimientos!$E$6:$E$16,Movimientos!$C$6:$C$16,Stocks!$A346,Movimientos!$G$6:$G$16,Stocks!I$3,Movimientos!$A$6:$A$16,"&lt;="&amp;Stocks!$A$2)</f>
        <v>0</v>
      </c>
      <c r="J346" s="4">
        <f>SUMIFS(Movimientos!$E$6:$E$16,Movimientos!$C$6:$C$16,Stocks!$A346,Movimientos!$F$6:$F$16,Stocks!J$3,Movimientos!$A$6:$A$16,"&lt;="&amp;Stocks!$A$2)-SUMIFS(Movimientos!$E$6:$E$16,Movimientos!$C$6:$C$16,Stocks!$A346,Movimientos!$G$6:$G$16,Stocks!J$3,Movimientos!$A$6:$A$16,"&lt;="&amp;Stocks!$A$2)</f>
        <v>0</v>
      </c>
      <c r="K346" s="4">
        <f>SUMIFS(Movimientos!$E$6:$E$16,Movimientos!$C$6:$C$16,Stocks!$A346,Movimientos!$F$6:$F$16,Stocks!K$3,Movimientos!$A$6:$A$16,"&lt;="&amp;Stocks!$A$2)-SUMIFS(Movimientos!$E$6:$E$16,Movimientos!$C$6:$C$16,Stocks!$A346,Movimientos!$G$6:$G$16,Stocks!K$3,Movimientos!$A$6:$A$16,"&lt;="&amp;Stocks!$A$2)</f>
        <v>0</v>
      </c>
      <c r="L346" s="4">
        <f>SUMIFS(Movimientos!$E$6:$E$16,Movimientos!$C$6:$C$16,Stocks!$A346,Movimientos!$F$6:$F$16,Stocks!L$3,Movimientos!$A$6:$A$16,"&lt;="&amp;Stocks!$A$2)-SUMIFS(Movimientos!$E$6:$E$16,Movimientos!$C$6:$C$16,Stocks!$A346,Movimientos!$G$6:$G$16,Stocks!L$3,Movimientos!$A$6:$A$16,"&lt;="&amp;Stocks!$A$2)</f>
        <v>0</v>
      </c>
    </row>
    <row r="347" spans="1:12" x14ac:dyDescent="0.25">
      <c r="A347" t="str">
        <f>Codificación!A346</f>
        <v/>
      </c>
      <c r="B347" s="1">
        <f>Codificación!B346</f>
        <v>0</v>
      </c>
      <c r="E347" s="4">
        <f>SUMIFS(Movimientos!$E$6:$E$16,Movimientos!$C$6:$C$16,Stocks!$A347,Movimientos!$F$6:$F$16,Stocks!E$3,Movimientos!$A$6:$A$16,"&lt;="&amp;Stocks!$A$2)-SUMIFS(Movimientos!$E$6:$E$16,Movimientos!$C$6:$C$16,Stocks!$A347,Movimientos!$G$6:$G$16,Stocks!E$3,Movimientos!$A$6:$A$16,"&lt;="&amp;Stocks!$A$2)</f>
        <v>0</v>
      </c>
      <c r="F347" s="4">
        <f>SUMIFS(Movimientos!$E$6:$E$16,Movimientos!$C$6:$C$16,Stocks!$A347,Movimientos!$F$6:$F$16,Stocks!F$3,Movimientos!$A$6:$A$16,"&lt;="&amp;Stocks!$A$2)-SUMIFS(Movimientos!$E$6:$E$16,Movimientos!$C$6:$C$16,Stocks!$A347,Movimientos!$G$6:$G$16,Stocks!F$3,Movimientos!$A$6:$A$16,"&lt;="&amp;Stocks!$A$2)</f>
        <v>0</v>
      </c>
      <c r="G347" s="4">
        <f>SUMIFS(Movimientos!$E$6:$E$16,Movimientos!$C$6:$C$16,Stocks!$A347,Movimientos!$F$6:$F$16,Stocks!G$3,Movimientos!$A$6:$A$16,"&lt;="&amp;Stocks!$A$2)-SUMIFS(Movimientos!$E$6:$E$16,Movimientos!$C$6:$C$16,Stocks!$A347,Movimientos!$G$6:$G$16,Stocks!G$3,Movimientos!$A$6:$A$16,"&lt;="&amp;Stocks!$A$2)</f>
        <v>0</v>
      </c>
      <c r="H347" s="4">
        <f>SUMIFS(Movimientos!$E$6:$E$16,Movimientos!$C$6:$C$16,Stocks!$A347,Movimientos!$F$6:$F$16,Stocks!H$3,Movimientos!$A$6:$A$16,"&lt;="&amp;Stocks!$A$2)-SUMIFS(Movimientos!$E$6:$E$16,Movimientos!$C$6:$C$16,Stocks!$A347,Movimientos!$G$6:$G$16,Stocks!H$3,Movimientos!$A$6:$A$16,"&lt;="&amp;Stocks!$A$2)</f>
        <v>0</v>
      </c>
      <c r="I347" s="4">
        <f>SUMIFS(Movimientos!$E$6:$E$16,Movimientos!$C$6:$C$16,Stocks!$A347,Movimientos!$F$6:$F$16,Stocks!I$3,Movimientos!$A$6:$A$16,"&lt;="&amp;Stocks!$A$2)-SUMIFS(Movimientos!$E$6:$E$16,Movimientos!$C$6:$C$16,Stocks!$A347,Movimientos!$G$6:$G$16,Stocks!I$3,Movimientos!$A$6:$A$16,"&lt;="&amp;Stocks!$A$2)</f>
        <v>0</v>
      </c>
      <c r="J347" s="4">
        <f>SUMIFS(Movimientos!$E$6:$E$16,Movimientos!$C$6:$C$16,Stocks!$A347,Movimientos!$F$6:$F$16,Stocks!J$3,Movimientos!$A$6:$A$16,"&lt;="&amp;Stocks!$A$2)-SUMIFS(Movimientos!$E$6:$E$16,Movimientos!$C$6:$C$16,Stocks!$A347,Movimientos!$G$6:$G$16,Stocks!J$3,Movimientos!$A$6:$A$16,"&lt;="&amp;Stocks!$A$2)</f>
        <v>0</v>
      </c>
      <c r="K347" s="4">
        <f>SUMIFS(Movimientos!$E$6:$E$16,Movimientos!$C$6:$C$16,Stocks!$A347,Movimientos!$F$6:$F$16,Stocks!K$3,Movimientos!$A$6:$A$16,"&lt;="&amp;Stocks!$A$2)-SUMIFS(Movimientos!$E$6:$E$16,Movimientos!$C$6:$C$16,Stocks!$A347,Movimientos!$G$6:$G$16,Stocks!K$3,Movimientos!$A$6:$A$16,"&lt;="&amp;Stocks!$A$2)</f>
        <v>0</v>
      </c>
      <c r="L347" s="4">
        <f>SUMIFS(Movimientos!$E$6:$E$16,Movimientos!$C$6:$C$16,Stocks!$A347,Movimientos!$F$6:$F$16,Stocks!L$3,Movimientos!$A$6:$A$16,"&lt;="&amp;Stocks!$A$2)-SUMIFS(Movimientos!$E$6:$E$16,Movimientos!$C$6:$C$16,Stocks!$A347,Movimientos!$G$6:$G$16,Stocks!L$3,Movimientos!$A$6:$A$16,"&lt;="&amp;Stocks!$A$2)</f>
        <v>0</v>
      </c>
    </row>
    <row r="348" spans="1:12" x14ac:dyDescent="0.25">
      <c r="A348" t="str">
        <f>Codificación!A347</f>
        <v/>
      </c>
      <c r="B348" s="1">
        <f>Codificación!B347</f>
        <v>0</v>
      </c>
      <c r="E348" s="4">
        <f>SUMIFS(Movimientos!$E$6:$E$16,Movimientos!$C$6:$C$16,Stocks!$A348,Movimientos!$F$6:$F$16,Stocks!E$3,Movimientos!$A$6:$A$16,"&lt;="&amp;Stocks!$A$2)-SUMIFS(Movimientos!$E$6:$E$16,Movimientos!$C$6:$C$16,Stocks!$A348,Movimientos!$G$6:$G$16,Stocks!E$3,Movimientos!$A$6:$A$16,"&lt;="&amp;Stocks!$A$2)</f>
        <v>0</v>
      </c>
      <c r="F348" s="4">
        <f>SUMIFS(Movimientos!$E$6:$E$16,Movimientos!$C$6:$C$16,Stocks!$A348,Movimientos!$F$6:$F$16,Stocks!F$3,Movimientos!$A$6:$A$16,"&lt;="&amp;Stocks!$A$2)-SUMIFS(Movimientos!$E$6:$E$16,Movimientos!$C$6:$C$16,Stocks!$A348,Movimientos!$G$6:$G$16,Stocks!F$3,Movimientos!$A$6:$A$16,"&lt;="&amp;Stocks!$A$2)</f>
        <v>0</v>
      </c>
      <c r="G348" s="4">
        <f>SUMIFS(Movimientos!$E$6:$E$16,Movimientos!$C$6:$C$16,Stocks!$A348,Movimientos!$F$6:$F$16,Stocks!G$3,Movimientos!$A$6:$A$16,"&lt;="&amp;Stocks!$A$2)-SUMIFS(Movimientos!$E$6:$E$16,Movimientos!$C$6:$C$16,Stocks!$A348,Movimientos!$G$6:$G$16,Stocks!G$3,Movimientos!$A$6:$A$16,"&lt;="&amp;Stocks!$A$2)</f>
        <v>0</v>
      </c>
      <c r="H348" s="4">
        <f>SUMIFS(Movimientos!$E$6:$E$16,Movimientos!$C$6:$C$16,Stocks!$A348,Movimientos!$F$6:$F$16,Stocks!H$3,Movimientos!$A$6:$A$16,"&lt;="&amp;Stocks!$A$2)-SUMIFS(Movimientos!$E$6:$E$16,Movimientos!$C$6:$C$16,Stocks!$A348,Movimientos!$G$6:$G$16,Stocks!H$3,Movimientos!$A$6:$A$16,"&lt;="&amp;Stocks!$A$2)</f>
        <v>0</v>
      </c>
      <c r="I348" s="4">
        <f>SUMIFS(Movimientos!$E$6:$E$16,Movimientos!$C$6:$C$16,Stocks!$A348,Movimientos!$F$6:$F$16,Stocks!I$3,Movimientos!$A$6:$A$16,"&lt;="&amp;Stocks!$A$2)-SUMIFS(Movimientos!$E$6:$E$16,Movimientos!$C$6:$C$16,Stocks!$A348,Movimientos!$G$6:$G$16,Stocks!I$3,Movimientos!$A$6:$A$16,"&lt;="&amp;Stocks!$A$2)</f>
        <v>0</v>
      </c>
      <c r="J348" s="4">
        <f>SUMIFS(Movimientos!$E$6:$E$16,Movimientos!$C$6:$C$16,Stocks!$A348,Movimientos!$F$6:$F$16,Stocks!J$3,Movimientos!$A$6:$A$16,"&lt;="&amp;Stocks!$A$2)-SUMIFS(Movimientos!$E$6:$E$16,Movimientos!$C$6:$C$16,Stocks!$A348,Movimientos!$G$6:$G$16,Stocks!J$3,Movimientos!$A$6:$A$16,"&lt;="&amp;Stocks!$A$2)</f>
        <v>0</v>
      </c>
      <c r="K348" s="4">
        <f>SUMIFS(Movimientos!$E$6:$E$16,Movimientos!$C$6:$C$16,Stocks!$A348,Movimientos!$F$6:$F$16,Stocks!K$3,Movimientos!$A$6:$A$16,"&lt;="&amp;Stocks!$A$2)-SUMIFS(Movimientos!$E$6:$E$16,Movimientos!$C$6:$C$16,Stocks!$A348,Movimientos!$G$6:$G$16,Stocks!K$3,Movimientos!$A$6:$A$16,"&lt;="&amp;Stocks!$A$2)</f>
        <v>0</v>
      </c>
      <c r="L348" s="4">
        <f>SUMIFS(Movimientos!$E$6:$E$16,Movimientos!$C$6:$C$16,Stocks!$A348,Movimientos!$F$6:$F$16,Stocks!L$3,Movimientos!$A$6:$A$16,"&lt;="&amp;Stocks!$A$2)-SUMIFS(Movimientos!$E$6:$E$16,Movimientos!$C$6:$C$16,Stocks!$A348,Movimientos!$G$6:$G$16,Stocks!L$3,Movimientos!$A$6:$A$16,"&lt;="&amp;Stocks!$A$2)</f>
        <v>0</v>
      </c>
    </row>
    <row r="349" spans="1:12" x14ac:dyDescent="0.25">
      <c r="A349" t="str">
        <f>Codificación!A348</f>
        <v/>
      </c>
      <c r="B349" s="1">
        <f>Codificación!B348</f>
        <v>0</v>
      </c>
      <c r="E349" s="4">
        <f>SUMIFS(Movimientos!$E$6:$E$16,Movimientos!$C$6:$C$16,Stocks!$A349,Movimientos!$F$6:$F$16,Stocks!E$3,Movimientos!$A$6:$A$16,"&lt;="&amp;Stocks!$A$2)-SUMIFS(Movimientos!$E$6:$E$16,Movimientos!$C$6:$C$16,Stocks!$A349,Movimientos!$G$6:$G$16,Stocks!E$3,Movimientos!$A$6:$A$16,"&lt;="&amp;Stocks!$A$2)</f>
        <v>0</v>
      </c>
      <c r="F349" s="4">
        <f>SUMIFS(Movimientos!$E$6:$E$16,Movimientos!$C$6:$C$16,Stocks!$A349,Movimientos!$F$6:$F$16,Stocks!F$3,Movimientos!$A$6:$A$16,"&lt;="&amp;Stocks!$A$2)-SUMIFS(Movimientos!$E$6:$E$16,Movimientos!$C$6:$C$16,Stocks!$A349,Movimientos!$G$6:$G$16,Stocks!F$3,Movimientos!$A$6:$A$16,"&lt;="&amp;Stocks!$A$2)</f>
        <v>0</v>
      </c>
      <c r="G349" s="4">
        <f>SUMIFS(Movimientos!$E$6:$E$16,Movimientos!$C$6:$C$16,Stocks!$A349,Movimientos!$F$6:$F$16,Stocks!G$3,Movimientos!$A$6:$A$16,"&lt;="&amp;Stocks!$A$2)-SUMIFS(Movimientos!$E$6:$E$16,Movimientos!$C$6:$C$16,Stocks!$A349,Movimientos!$G$6:$G$16,Stocks!G$3,Movimientos!$A$6:$A$16,"&lt;="&amp;Stocks!$A$2)</f>
        <v>0</v>
      </c>
      <c r="H349" s="4">
        <f>SUMIFS(Movimientos!$E$6:$E$16,Movimientos!$C$6:$C$16,Stocks!$A349,Movimientos!$F$6:$F$16,Stocks!H$3,Movimientos!$A$6:$A$16,"&lt;="&amp;Stocks!$A$2)-SUMIFS(Movimientos!$E$6:$E$16,Movimientos!$C$6:$C$16,Stocks!$A349,Movimientos!$G$6:$G$16,Stocks!H$3,Movimientos!$A$6:$A$16,"&lt;="&amp;Stocks!$A$2)</f>
        <v>0</v>
      </c>
      <c r="I349" s="4">
        <f>SUMIFS(Movimientos!$E$6:$E$16,Movimientos!$C$6:$C$16,Stocks!$A349,Movimientos!$F$6:$F$16,Stocks!I$3,Movimientos!$A$6:$A$16,"&lt;="&amp;Stocks!$A$2)-SUMIFS(Movimientos!$E$6:$E$16,Movimientos!$C$6:$C$16,Stocks!$A349,Movimientos!$G$6:$G$16,Stocks!I$3,Movimientos!$A$6:$A$16,"&lt;="&amp;Stocks!$A$2)</f>
        <v>0</v>
      </c>
      <c r="J349" s="4">
        <f>SUMIFS(Movimientos!$E$6:$E$16,Movimientos!$C$6:$C$16,Stocks!$A349,Movimientos!$F$6:$F$16,Stocks!J$3,Movimientos!$A$6:$A$16,"&lt;="&amp;Stocks!$A$2)-SUMIFS(Movimientos!$E$6:$E$16,Movimientos!$C$6:$C$16,Stocks!$A349,Movimientos!$G$6:$G$16,Stocks!J$3,Movimientos!$A$6:$A$16,"&lt;="&amp;Stocks!$A$2)</f>
        <v>0</v>
      </c>
      <c r="K349" s="4">
        <f>SUMIFS(Movimientos!$E$6:$E$16,Movimientos!$C$6:$C$16,Stocks!$A349,Movimientos!$F$6:$F$16,Stocks!K$3,Movimientos!$A$6:$A$16,"&lt;="&amp;Stocks!$A$2)-SUMIFS(Movimientos!$E$6:$E$16,Movimientos!$C$6:$C$16,Stocks!$A349,Movimientos!$G$6:$G$16,Stocks!K$3,Movimientos!$A$6:$A$16,"&lt;="&amp;Stocks!$A$2)</f>
        <v>0</v>
      </c>
      <c r="L349" s="4">
        <f>SUMIFS(Movimientos!$E$6:$E$16,Movimientos!$C$6:$C$16,Stocks!$A349,Movimientos!$F$6:$F$16,Stocks!L$3,Movimientos!$A$6:$A$16,"&lt;="&amp;Stocks!$A$2)-SUMIFS(Movimientos!$E$6:$E$16,Movimientos!$C$6:$C$16,Stocks!$A349,Movimientos!$G$6:$G$16,Stocks!L$3,Movimientos!$A$6:$A$16,"&lt;="&amp;Stocks!$A$2)</f>
        <v>0</v>
      </c>
    </row>
    <row r="350" spans="1:12" x14ac:dyDescent="0.25">
      <c r="A350" t="str">
        <f>Codificación!A349</f>
        <v/>
      </c>
      <c r="B350" s="1">
        <f>Codificación!B349</f>
        <v>0</v>
      </c>
      <c r="E350" s="4">
        <f>SUMIFS(Movimientos!$E$6:$E$16,Movimientos!$C$6:$C$16,Stocks!$A350,Movimientos!$F$6:$F$16,Stocks!E$3,Movimientos!$A$6:$A$16,"&lt;="&amp;Stocks!$A$2)-SUMIFS(Movimientos!$E$6:$E$16,Movimientos!$C$6:$C$16,Stocks!$A350,Movimientos!$G$6:$G$16,Stocks!E$3,Movimientos!$A$6:$A$16,"&lt;="&amp;Stocks!$A$2)</f>
        <v>0</v>
      </c>
      <c r="F350" s="4">
        <f>SUMIFS(Movimientos!$E$6:$E$16,Movimientos!$C$6:$C$16,Stocks!$A350,Movimientos!$F$6:$F$16,Stocks!F$3,Movimientos!$A$6:$A$16,"&lt;="&amp;Stocks!$A$2)-SUMIFS(Movimientos!$E$6:$E$16,Movimientos!$C$6:$C$16,Stocks!$A350,Movimientos!$G$6:$G$16,Stocks!F$3,Movimientos!$A$6:$A$16,"&lt;="&amp;Stocks!$A$2)</f>
        <v>0</v>
      </c>
      <c r="G350" s="4">
        <f>SUMIFS(Movimientos!$E$6:$E$16,Movimientos!$C$6:$C$16,Stocks!$A350,Movimientos!$F$6:$F$16,Stocks!G$3,Movimientos!$A$6:$A$16,"&lt;="&amp;Stocks!$A$2)-SUMIFS(Movimientos!$E$6:$E$16,Movimientos!$C$6:$C$16,Stocks!$A350,Movimientos!$G$6:$G$16,Stocks!G$3,Movimientos!$A$6:$A$16,"&lt;="&amp;Stocks!$A$2)</f>
        <v>0</v>
      </c>
      <c r="H350" s="4">
        <f>SUMIFS(Movimientos!$E$6:$E$16,Movimientos!$C$6:$C$16,Stocks!$A350,Movimientos!$F$6:$F$16,Stocks!H$3,Movimientos!$A$6:$A$16,"&lt;="&amp;Stocks!$A$2)-SUMIFS(Movimientos!$E$6:$E$16,Movimientos!$C$6:$C$16,Stocks!$A350,Movimientos!$G$6:$G$16,Stocks!H$3,Movimientos!$A$6:$A$16,"&lt;="&amp;Stocks!$A$2)</f>
        <v>0</v>
      </c>
      <c r="I350" s="4">
        <f>SUMIFS(Movimientos!$E$6:$E$16,Movimientos!$C$6:$C$16,Stocks!$A350,Movimientos!$F$6:$F$16,Stocks!I$3,Movimientos!$A$6:$A$16,"&lt;="&amp;Stocks!$A$2)-SUMIFS(Movimientos!$E$6:$E$16,Movimientos!$C$6:$C$16,Stocks!$A350,Movimientos!$G$6:$G$16,Stocks!I$3,Movimientos!$A$6:$A$16,"&lt;="&amp;Stocks!$A$2)</f>
        <v>0</v>
      </c>
      <c r="J350" s="4">
        <f>SUMIFS(Movimientos!$E$6:$E$16,Movimientos!$C$6:$C$16,Stocks!$A350,Movimientos!$F$6:$F$16,Stocks!J$3,Movimientos!$A$6:$A$16,"&lt;="&amp;Stocks!$A$2)-SUMIFS(Movimientos!$E$6:$E$16,Movimientos!$C$6:$C$16,Stocks!$A350,Movimientos!$G$6:$G$16,Stocks!J$3,Movimientos!$A$6:$A$16,"&lt;="&amp;Stocks!$A$2)</f>
        <v>0</v>
      </c>
      <c r="K350" s="4">
        <f>SUMIFS(Movimientos!$E$6:$E$16,Movimientos!$C$6:$C$16,Stocks!$A350,Movimientos!$F$6:$F$16,Stocks!K$3,Movimientos!$A$6:$A$16,"&lt;="&amp;Stocks!$A$2)-SUMIFS(Movimientos!$E$6:$E$16,Movimientos!$C$6:$C$16,Stocks!$A350,Movimientos!$G$6:$G$16,Stocks!K$3,Movimientos!$A$6:$A$16,"&lt;="&amp;Stocks!$A$2)</f>
        <v>0</v>
      </c>
      <c r="L350" s="4">
        <f>SUMIFS(Movimientos!$E$6:$E$16,Movimientos!$C$6:$C$16,Stocks!$A350,Movimientos!$F$6:$F$16,Stocks!L$3,Movimientos!$A$6:$A$16,"&lt;="&amp;Stocks!$A$2)-SUMIFS(Movimientos!$E$6:$E$16,Movimientos!$C$6:$C$16,Stocks!$A350,Movimientos!$G$6:$G$16,Stocks!L$3,Movimientos!$A$6:$A$16,"&lt;="&amp;Stocks!$A$2)</f>
        <v>0</v>
      </c>
    </row>
    <row r="351" spans="1:12" x14ac:dyDescent="0.25">
      <c r="A351" t="str">
        <f>Codificación!A350</f>
        <v/>
      </c>
      <c r="B351" s="1">
        <f>Codificación!B350</f>
        <v>0</v>
      </c>
      <c r="E351" s="4">
        <f>SUMIFS(Movimientos!$E$6:$E$16,Movimientos!$C$6:$C$16,Stocks!$A351,Movimientos!$F$6:$F$16,Stocks!E$3,Movimientos!$A$6:$A$16,"&lt;="&amp;Stocks!$A$2)-SUMIFS(Movimientos!$E$6:$E$16,Movimientos!$C$6:$C$16,Stocks!$A351,Movimientos!$G$6:$G$16,Stocks!E$3,Movimientos!$A$6:$A$16,"&lt;="&amp;Stocks!$A$2)</f>
        <v>0</v>
      </c>
      <c r="F351" s="4">
        <f>SUMIFS(Movimientos!$E$6:$E$16,Movimientos!$C$6:$C$16,Stocks!$A351,Movimientos!$F$6:$F$16,Stocks!F$3,Movimientos!$A$6:$A$16,"&lt;="&amp;Stocks!$A$2)-SUMIFS(Movimientos!$E$6:$E$16,Movimientos!$C$6:$C$16,Stocks!$A351,Movimientos!$G$6:$G$16,Stocks!F$3,Movimientos!$A$6:$A$16,"&lt;="&amp;Stocks!$A$2)</f>
        <v>0</v>
      </c>
      <c r="G351" s="4">
        <f>SUMIFS(Movimientos!$E$6:$E$16,Movimientos!$C$6:$C$16,Stocks!$A351,Movimientos!$F$6:$F$16,Stocks!G$3,Movimientos!$A$6:$A$16,"&lt;="&amp;Stocks!$A$2)-SUMIFS(Movimientos!$E$6:$E$16,Movimientos!$C$6:$C$16,Stocks!$A351,Movimientos!$G$6:$G$16,Stocks!G$3,Movimientos!$A$6:$A$16,"&lt;="&amp;Stocks!$A$2)</f>
        <v>0</v>
      </c>
      <c r="H351" s="4">
        <f>SUMIFS(Movimientos!$E$6:$E$16,Movimientos!$C$6:$C$16,Stocks!$A351,Movimientos!$F$6:$F$16,Stocks!H$3,Movimientos!$A$6:$A$16,"&lt;="&amp;Stocks!$A$2)-SUMIFS(Movimientos!$E$6:$E$16,Movimientos!$C$6:$C$16,Stocks!$A351,Movimientos!$G$6:$G$16,Stocks!H$3,Movimientos!$A$6:$A$16,"&lt;="&amp;Stocks!$A$2)</f>
        <v>0</v>
      </c>
      <c r="I351" s="4">
        <f>SUMIFS(Movimientos!$E$6:$E$16,Movimientos!$C$6:$C$16,Stocks!$A351,Movimientos!$F$6:$F$16,Stocks!I$3,Movimientos!$A$6:$A$16,"&lt;="&amp;Stocks!$A$2)-SUMIFS(Movimientos!$E$6:$E$16,Movimientos!$C$6:$C$16,Stocks!$A351,Movimientos!$G$6:$G$16,Stocks!I$3,Movimientos!$A$6:$A$16,"&lt;="&amp;Stocks!$A$2)</f>
        <v>0</v>
      </c>
      <c r="J351" s="4">
        <f>SUMIFS(Movimientos!$E$6:$E$16,Movimientos!$C$6:$C$16,Stocks!$A351,Movimientos!$F$6:$F$16,Stocks!J$3,Movimientos!$A$6:$A$16,"&lt;="&amp;Stocks!$A$2)-SUMIFS(Movimientos!$E$6:$E$16,Movimientos!$C$6:$C$16,Stocks!$A351,Movimientos!$G$6:$G$16,Stocks!J$3,Movimientos!$A$6:$A$16,"&lt;="&amp;Stocks!$A$2)</f>
        <v>0</v>
      </c>
      <c r="K351" s="4">
        <f>SUMIFS(Movimientos!$E$6:$E$16,Movimientos!$C$6:$C$16,Stocks!$A351,Movimientos!$F$6:$F$16,Stocks!K$3,Movimientos!$A$6:$A$16,"&lt;="&amp;Stocks!$A$2)-SUMIFS(Movimientos!$E$6:$E$16,Movimientos!$C$6:$C$16,Stocks!$A351,Movimientos!$G$6:$G$16,Stocks!K$3,Movimientos!$A$6:$A$16,"&lt;="&amp;Stocks!$A$2)</f>
        <v>0</v>
      </c>
      <c r="L351" s="4">
        <f>SUMIFS(Movimientos!$E$6:$E$16,Movimientos!$C$6:$C$16,Stocks!$A351,Movimientos!$F$6:$F$16,Stocks!L$3,Movimientos!$A$6:$A$16,"&lt;="&amp;Stocks!$A$2)-SUMIFS(Movimientos!$E$6:$E$16,Movimientos!$C$6:$C$16,Stocks!$A351,Movimientos!$G$6:$G$16,Stocks!L$3,Movimientos!$A$6:$A$16,"&lt;="&amp;Stocks!$A$2)</f>
        <v>0</v>
      </c>
    </row>
    <row r="352" spans="1:12" x14ac:dyDescent="0.25">
      <c r="A352" t="str">
        <f>Codificación!A351</f>
        <v/>
      </c>
      <c r="B352" s="1">
        <f>Codificación!B351</f>
        <v>0</v>
      </c>
      <c r="E352" s="4">
        <f>SUMIFS(Movimientos!$E$6:$E$16,Movimientos!$C$6:$C$16,Stocks!$A352,Movimientos!$F$6:$F$16,Stocks!E$3,Movimientos!$A$6:$A$16,"&lt;="&amp;Stocks!$A$2)-SUMIFS(Movimientos!$E$6:$E$16,Movimientos!$C$6:$C$16,Stocks!$A352,Movimientos!$G$6:$G$16,Stocks!E$3,Movimientos!$A$6:$A$16,"&lt;="&amp;Stocks!$A$2)</f>
        <v>0</v>
      </c>
      <c r="F352" s="4">
        <f>SUMIFS(Movimientos!$E$6:$E$16,Movimientos!$C$6:$C$16,Stocks!$A352,Movimientos!$F$6:$F$16,Stocks!F$3,Movimientos!$A$6:$A$16,"&lt;="&amp;Stocks!$A$2)-SUMIFS(Movimientos!$E$6:$E$16,Movimientos!$C$6:$C$16,Stocks!$A352,Movimientos!$G$6:$G$16,Stocks!F$3,Movimientos!$A$6:$A$16,"&lt;="&amp;Stocks!$A$2)</f>
        <v>0</v>
      </c>
      <c r="G352" s="4">
        <f>SUMIFS(Movimientos!$E$6:$E$16,Movimientos!$C$6:$C$16,Stocks!$A352,Movimientos!$F$6:$F$16,Stocks!G$3,Movimientos!$A$6:$A$16,"&lt;="&amp;Stocks!$A$2)-SUMIFS(Movimientos!$E$6:$E$16,Movimientos!$C$6:$C$16,Stocks!$A352,Movimientos!$G$6:$G$16,Stocks!G$3,Movimientos!$A$6:$A$16,"&lt;="&amp;Stocks!$A$2)</f>
        <v>0</v>
      </c>
      <c r="H352" s="4">
        <f>SUMIFS(Movimientos!$E$6:$E$16,Movimientos!$C$6:$C$16,Stocks!$A352,Movimientos!$F$6:$F$16,Stocks!H$3,Movimientos!$A$6:$A$16,"&lt;="&amp;Stocks!$A$2)-SUMIFS(Movimientos!$E$6:$E$16,Movimientos!$C$6:$C$16,Stocks!$A352,Movimientos!$G$6:$G$16,Stocks!H$3,Movimientos!$A$6:$A$16,"&lt;="&amp;Stocks!$A$2)</f>
        <v>0</v>
      </c>
      <c r="I352" s="4">
        <f>SUMIFS(Movimientos!$E$6:$E$16,Movimientos!$C$6:$C$16,Stocks!$A352,Movimientos!$F$6:$F$16,Stocks!I$3,Movimientos!$A$6:$A$16,"&lt;="&amp;Stocks!$A$2)-SUMIFS(Movimientos!$E$6:$E$16,Movimientos!$C$6:$C$16,Stocks!$A352,Movimientos!$G$6:$G$16,Stocks!I$3,Movimientos!$A$6:$A$16,"&lt;="&amp;Stocks!$A$2)</f>
        <v>0</v>
      </c>
      <c r="J352" s="4">
        <f>SUMIFS(Movimientos!$E$6:$E$16,Movimientos!$C$6:$C$16,Stocks!$A352,Movimientos!$F$6:$F$16,Stocks!J$3,Movimientos!$A$6:$A$16,"&lt;="&amp;Stocks!$A$2)-SUMIFS(Movimientos!$E$6:$E$16,Movimientos!$C$6:$C$16,Stocks!$A352,Movimientos!$G$6:$G$16,Stocks!J$3,Movimientos!$A$6:$A$16,"&lt;="&amp;Stocks!$A$2)</f>
        <v>0</v>
      </c>
      <c r="K352" s="4">
        <f>SUMIFS(Movimientos!$E$6:$E$16,Movimientos!$C$6:$C$16,Stocks!$A352,Movimientos!$F$6:$F$16,Stocks!K$3,Movimientos!$A$6:$A$16,"&lt;="&amp;Stocks!$A$2)-SUMIFS(Movimientos!$E$6:$E$16,Movimientos!$C$6:$C$16,Stocks!$A352,Movimientos!$G$6:$G$16,Stocks!K$3,Movimientos!$A$6:$A$16,"&lt;="&amp;Stocks!$A$2)</f>
        <v>0</v>
      </c>
      <c r="L352" s="4">
        <f>SUMIFS(Movimientos!$E$6:$E$16,Movimientos!$C$6:$C$16,Stocks!$A352,Movimientos!$F$6:$F$16,Stocks!L$3,Movimientos!$A$6:$A$16,"&lt;="&amp;Stocks!$A$2)-SUMIFS(Movimientos!$E$6:$E$16,Movimientos!$C$6:$C$16,Stocks!$A352,Movimientos!$G$6:$G$16,Stocks!L$3,Movimientos!$A$6:$A$16,"&lt;="&amp;Stocks!$A$2)</f>
        <v>0</v>
      </c>
    </row>
    <row r="353" spans="1:12" x14ac:dyDescent="0.25">
      <c r="A353" t="str">
        <f>Codificación!A352</f>
        <v/>
      </c>
      <c r="B353" s="1">
        <f>Codificación!B352</f>
        <v>0</v>
      </c>
      <c r="E353" s="4">
        <f>SUMIFS(Movimientos!$E$6:$E$16,Movimientos!$C$6:$C$16,Stocks!$A353,Movimientos!$F$6:$F$16,Stocks!E$3,Movimientos!$A$6:$A$16,"&lt;="&amp;Stocks!$A$2)-SUMIFS(Movimientos!$E$6:$E$16,Movimientos!$C$6:$C$16,Stocks!$A353,Movimientos!$G$6:$G$16,Stocks!E$3,Movimientos!$A$6:$A$16,"&lt;="&amp;Stocks!$A$2)</f>
        <v>0</v>
      </c>
      <c r="F353" s="4">
        <f>SUMIFS(Movimientos!$E$6:$E$16,Movimientos!$C$6:$C$16,Stocks!$A353,Movimientos!$F$6:$F$16,Stocks!F$3,Movimientos!$A$6:$A$16,"&lt;="&amp;Stocks!$A$2)-SUMIFS(Movimientos!$E$6:$E$16,Movimientos!$C$6:$C$16,Stocks!$A353,Movimientos!$G$6:$G$16,Stocks!F$3,Movimientos!$A$6:$A$16,"&lt;="&amp;Stocks!$A$2)</f>
        <v>0</v>
      </c>
      <c r="G353" s="4">
        <f>SUMIFS(Movimientos!$E$6:$E$16,Movimientos!$C$6:$C$16,Stocks!$A353,Movimientos!$F$6:$F$16,Stocks!G$3,Movimientos!$A$6:$A$16,"&lt;="&amp;Stocks!$A$2)-SUMIFS(Movimientos!$E$6:$E$16,Movimientos!$C$6:$C$16,Stocks!$A353,Movimientos!$G$6:$G$16,Stocks!G$3,Movimientos!$A$6:$A$16,"&lt;="&amp;Stocks!$A$2)</f>
        <v>0</v>
      </c>
      <c r="H353" s="4">
        <f>SUMIFS(Movimientos!$E$6:$E$16,Movimientos!$C$6:$C$16,Stocks!$A353,Movimientos!$F$6:$F$16,Stocks!H$3,Movimientos!$A$6:$A$16,"&lt;="&amp;Stocks!$A$2)-SUMIFS(Movimientos!$E$6:$E$16,Movimientos!$C$6:$C$16,Stocks!$A353,Movimientos!$G$6:$G$16,Stocks!H$3,Movimientos!$A$6:$A$16,"&lt;="&amp;Stocks!$A$2)</f>
        <v>0</v>
      </c>
      <c r="I353" s="4">
        <f>SUMIFS(Movimientos!$E$6:$E$16,Movimientos!$C$6:$C$16,Stocks!$A353,Movimientos!$F$6:$F$16,Stocks!I$3,Movimientos!$A$6:$A$16,"&lt;="&amp;Stocks!$A$2)-SUMIFS(Movimientos!$E$6:$E$16,Movimientos!$C$6:$C$16,Stocks!$A353,Movimientos!$G$6:$G$16,Stocks!I$3,Movimientos!$A$6:$A$16,"&lt;="&amp;Stocks!$A$2)</f>
        <v>0</v>
      </c>
      <c r="J353" s="4">
        <f>SUMIFS(Movimientos!$E$6:$E$16,Movimientos!$C$6:$C$16,Stocks!$A353,Movimientos!$F$6:$F$16,Stocks!J$3,Movimientos!$A$6:$A$16,"&lt;="&amp;Stocks!$A$2)-SUMIFS(Movimientos!$E$6:$E$16,Movimientos!$C$6:$C$16,Stocks!$A353,Movimientos!$G$6:$G$16,Stocks!J$3,Movimientos!$A$6:$A$16,"&lt;="&amp;Stocks!$A$2)</f>
        <v>0</v>
      </c>
      <c r="K353" s="4">
        <f>SUMIFS(Movimientos!$E$6:$E$16,Movimientos!$C$6:$C$16,Stocks!$A353,Movimientos!$F$6:$F$16,Stocks!K$3,Movimientos!$A$6:$A$16,"&lt;="&amp;Stocks!$A$2)-SUMIFS(Movimientos!$E$6:$E$16,Movimientos!$C$6:$C$16,Stocks!$A353,Movimientos!$G$6:$G$16,Stocks!K$3,Movimientos!$A$6:$A$16,"&lt;="&amp;Stocks!$A$2)</f>
        <v>0</v>
      </c>
      <c r="L353" s="4">
        <f>SUMIFS(Movimientos!$E$6:$E$16,Movimientos!$C$6:$C$16,Stocks!$A353,Movimientos!$F$6:$F$16,Stocks!L$3,Movimientos!$A$6:$A$16,"&lt;="&amp;Stocks!$A$2)-SUMIFS(Movimientos!$E$6:$E$16,Movimientos!$C$6:$C$16,Stocks!$A353,Movimientos!$G$6:$G$16,Stocks!L$3,Movimientos!$A$6:$A$16,"&lt;="&amp;Stocks!$A$2)</f>
        <v>0</v>
      </c>
    </row>
    <row r="354" spans="1:12" x14ac:dyDescent="0.25">
      <c r="A354" t="str">
        <f>Codificación!A353</f>
        <v/>
      </c>
      <c r="B354" s="1">
        <f>Codificación!B353</f>
        <v>0</v>
      </c>
      <c r="E354" s="4">
        <f>SUMIFS(Movimientos!$E$6:$E$16,Movimientos!$C$6:$C$16,Stocks!$A354,Movimientos!$F$6:$F$16,Stocks!E$3,Movimientos!$A$6:$A$16,"&lt;="&amp;Stocks!$A$2)-SUMIFS(Movimientos!$E$6:$E$16,Movimientos!$C$6:$C$16,Stocks!$A354,Movimientos!$G$6:$G$16,Stocks!E$3,Movimientos!$A$6:$A$16,"&lt;="&amp;Stocks!$A$2)</f>
        <v>0</v>
      </c>
      <c r="F354" s="4">
        <f>SUMIFS(Movimientos!$E$6:$E$16,Movimientos!$C$6:$C$16,Stocks!$A354,Movimientos!$F$6:$F$16,Stocks!F$3,Movimientos!$A$6:$A$16,"&lt;="&amp;Stocks!$A$2)-SUMIFS(Movimientos!$E$6:$E$16,Movimientos!$C$6:$C$16,Stocks!$A354,Movimientos!$G$6:$G$16,Stocks!F$3,Movimientos!$A$6:$A$16,"&lt;="&amp;Stocks!$A$2)</f>
        <v>0</v>
      </c>
      <c r="G354" s="4">
        <f>SUMIFS(Movimientos!$E$6:$E$16,Movimientos!$C$6:$C$16,Stocks!$A354,Movimientos!$F$6:$F$16,Stocks!G$3,Movimientos!$A$6:$A$16,"&lt;="&amp;Stocks!$A$2)-SUMIFS(Movimientos!$E$6:$E$16,Movimientos!$C$6:$C$16,Stocks!$A354,Movimientos!$G$6:$G$16,Stocks!G$3,Movimientos!$A$6:$A$16,"&lt;="&amp;Stocks!$A$2)</f>
        <v>0</v>
      </c>
      <c r="H354" s="4">
        <f>SUMIFS(Movimientos!$E$6:$E$16,Movimientos!$C$6:$C$16,Stocks!$A354,Movimientos!$F$6:$F$16,Stocks!H$3,Movimientos!$A$6:$A$16,"&lt;="&amp;Stocks!$A$2)-SUMIFS(Movimientos!$E$6:$E$16,Movimientos!$C$6:$C$16,Stocks!$A354,Movimientos!$G$6:$G$16,Stocks!H$3,Movimientos!$A$6:$A$16,"&lt;="&amp;Stocks!$A$2)</f>
        <v>0</v>
      </c>
      <c r="I354" s="4">
        <f>SUMIFS(Movimientos!$E$6:$E$16,Movimientos!$C$6:$C$16,Stocks!$A354,Movimientos!$F$6:$F$16,Stocks!I$3,Movimientos!$A$6:$A$16,"&lt;="&amp;Stocks!$A$2)-SUMIFS(Movimientos!$E$6:$E$16,Movimientos!$C$6:$C$16,Stocks!$A354,Movimientos!$G$6:$G$16,Stocks!I$3,Movimientos!$A$6:$A$16,"&lt;="&amp;Stocks!$A$2)</f>
        <v>0</v>
      </c>
      <c r="J354" s="4">
        <f>SUMIFS(Movimientos!$E$6:$E$16,Movimientos!$C$6:$C$16,Stocks!$A354,Movimientos!$F$6:$F$16,Stocks!J$3,Movimientos!$A$6:$A$16,"&lt;="&amp;Stocks!$A$2)-SUMIFS(Movimientos!$E$6:$E$16,Movimientos!$C$6:$C$16,Stocks!$A354,Movimientos!$G$6:$G$16,Stocks!J$3,Movimientos!$A$6:$A$16,"&lt;="&amp;Stocks!$A$2)</f>
        <v>0</v>
      </c>
      <c r="K354" s="4">
        <f>SUMIFS(Movimientos!$E$6:$E$16,Movimientos!$C$6:$C$16,Stocks!$A354,Movimientos!$F$6:$F$16,Stocks!K$3,Movimientos!$A$6:$A$16,"&lt;="&amp;Stocks!$A$2)-SUMIFS(Movimientos!$E$6:$E$16,Movimientos!$C$6:$C$16,Stocks!$A354,Movimientos!$G$6:$G$16,Stocks!K$3,Movimientos!$A$6:$A$16,"&lt;="&amp;Stocks!$A$2)</f>
        <v>0</v>
      </c>
      <c r="L354" s="4">
        <f>SUMIFS(Movimientos!$E$6:$E$16,Movimientos!$C$6:$C$16,Stocks!$A354,Movimientos!$F$6:$F$16,Stocks!L$3,Movimientos!$A$6:$A$16,"&lt;="&amp;Stocks!$A$2)-SUMIFS(Movimientos!$E$6:$E$16,Movimientos!$C$6:$C$16,Stocks!$A354,Movimientos!$G$6:$G$16,Stocks!L$3,Movimientos!$A$6:$A$16,"&lt;="&amp;Stocks!$A$2)</f>
        <v>0</v>
      </c>
    </row>
    <row r="355" spans="1:12" x14ac:dyDescent="0.25">
      <c r="A355" t="str">
        <f>Codificación!A354</f>
        <v/>
      </c>
      <c r="B355" s="1">
        <f>Codificación!B354</f>
        <v>0</v>
      </c>
      <c r="E355" s="4">
        <f>SUMIFS(Movimientos!$E$6:$E$16,Movimientos!$C$6:$C$16,Stocks!$A355,Movimientos!$F$6:$F$16,Stocks!E$3,Movimientos!$A$6:$A$16,"&lt;="&amp;Stocks!$A$2)-SUMIFS(Movimientos!$E$6:$E$16,Movimientos!$C$6:$C$16,Stocks!$A355,Movimientos!$G$6:$G$16,Stocks!E$3,Movimientos!$A$6:$A$16,"&lt;="&amp;Stocks!$A$2)</f>
        <v>0</v>
      </c>
      <c r="F355" s="4">
        <f>SUMIFS(Movimientos!$E$6:$E$16,Movimientos!$C$6:$C$16,Stocks!$A355,Movimientos!$F$6:$F$16,Stocks!F$3,Movimientos!$A$6:$A$16,"&lt;="&amp;Stocks!$A$2)-SUMIFS(Movimientos!$E$6:$E$16,Movimientos!$C$6:$C$16,Stocks!$A355,Movimientos!$G$6:$G$16,Stocks!F$3,Movimientos!$A$6:$A$16,"&lt;="&amp;Stocks!$A$2)</f>
        <v>0</v>
      </c>
      <c r="G355" s="4">
        <f>SUMIFS(Movimientos!$E$6:$E$16,Movimientos!$C$6:$C$16,Stocks!$A355,Movimientos!$F$6:$F$16,Stocks!G$3,Movimientos!$A$6:$A$16,"&lt;="&amp;Stocks!$A$2)-SUMIFS(Movimientos!$E$6:$E$16,Movimientos!$C$6:$C$16,Stocks!$A355,Movimientos!$G$6:$G$16,Stocks!G$3,Movimientos!$A$6:$A$16,"&lt;="&amp;Stocks!$A$2)</f>
        <v>0</v>
      </c>
      <c r="H355" s="4">
        <f>SUMIFS(Movimientos!$E$6:$E$16,Movimientos!$C$6:$C$16,Stocks!$A355,Movimientos!$F$6:$F$16,Stocks!H$3,Movimientos!$A$6:$A$16,"&lt;="&amp;Stocks!$A$2)-SUMIFS(Movimientos!$E$6:$E$16,Movimientos!$C$6:$C$16,Stocks!$A355,Movimientos!$G$6:$G$16,Stocks!H$3,Movimientos!$A$6:$A$16,"&lt;="&amp;Stocks!$A$2)</f>
        <v>0</v>
      </c>
      <c r="I355" s="4">
        <f>SUMIFS(Movimientos!$E$6:$E$16,Movimientos!$C$6:$C$16,Stocks!$A355,Movimientos!$F$6:$F$16,Stocks!I$3,Movimientos!$A$6:$A$16,"&lt;="&amp;Stocks!$A$2)-SUMIFS(Movimientos!$E$6:$E$16,Movimientos!$C$6:$C$16,Stocks!$A355,Movimientos!$G$6:$G$16,Stocks!I$3,Movimientos!$A$6:$A$16,"&lt;="&amp;Stocks!$A$2)</f>
        <v>0</v>
      </c>
      <c r="J355" s="4">
        <f>SUMIFS(Movimientos!$E$6:$E$16,Movimientos!$C$6:$C$16,Stocks!$A355,Movimientos!$F$6:$F$16,Stocks!J$3,Movimientos!$A$6:$A$16,"&lt;="&amp;Stocks!$A$2)-SUMIFS(Movimientos!$E$6:$E$16,Movimientos!$C$6:$C$16,Stocks!$A355,Movimientos!$G$6:$G$16,Stocks!J$3,Movimientos!$A$6:$A$16,"&lt;="&amp;Stocks!$A$2)</f>
        <v>0</v>
      </c>
      <c r="K355" s="4">
        <f>SUMIFS(Movimientos!$E$6:$E$16,Movimientos!$C$6:$C$16,Stocks!$A355,Movimientos!$F$6:$F$16,Stocks!K$3,Movimientos!$A$6:$A$16,"&lt;="&amp;Stocks!$A$2)-SUMIFS(Movimientos!$E$6:$E$16,Movimientos!$C$6:$C$16,Stocks!$A355,Movimientos!$G$6:$G$16,Stocks!K$3,Movimientos!$A$6:$A$16,"&lt;="&amp;Stocks!$A$2)</f>
        <v>0</v>
      </c>
      <c r="L355" s="4">
        <f>SUMIFS(Movimientos!$E$6:$E$16,Movimientos!$C$6:$C$16,Stocks!$A355,Movimientos!$F$6:$F$16,Stocks!L$3,Movimientos!$A$6:$A$16,"&lt;="&amp;Stocks!$A$2)-SUMIFS(Movimientos!$E$6:$E$16,Movimientos!$C$6:$C$16,Stocks!$A355,Movimientos!$G$6:$G$16,Stocks!L$3,Movimientos!$A$6:$A$16,"&lt;="&amp;Stocks!$A$2)</f>
        <v>0</v>
      </c>
    </row>
    <row r="356" spans="1:12" x14ac:dyDescent="0.25">
      <c r="A356" t="str">
        <f>Codificación!A355</f>
        <v/>
      </c>
      <c r="B356" s="1">
        <f>Codificación!B355</f>
        <v>0</v>
      </c>
      <c r="E356" s="4">
        <f>SUMIFS(Movimientos!$E$6:$E$16,Movimientos!$C$6:$C$16,Stocks!$A356,Movimientos!$F$6:$F$16,Stocks!E$3,Movimientos!$A$6:$A$16,"&lt;="&amp;Stocks!$A$2)-SUMIFS(Movimientos!$E$6:$E$16,Movimientos!$C$6:$C$16,Stocks!$A356,Movimientos!$G$6:$G$16,Stocks!E$3,Movimientos!$A$6:$A$16,"&lt;="&amp;Stocks!$A$2)</f>
        <v>0</v>
      </c>
      <c r="F356" s="4">
        <f>SUMIFS(Movimientos!$E$6:$E$16,Movimientos!$C$6:$C$16,Stocks!$A356,Movimientos!$F$6:$F$16,Stocks!F$3,Movimientos!$A$6:$A$16,"&lt;="&amp;Stocks!$A$2)-SUMIFS(Movimientos!$E$6:$E$16,Movimientos!$C$6:$C$16,Stocks!$A356,Movimientos!$G$6:$G$16,Stocks!F$3,Movimientos!$A$6:$A$16,"&lt;="&amp;Stocks!$A$2)</f>
        <v>0</v>
      </c>
      <c r="G356" s="4">
        <f>SUMIFS(Movimientos!$E$6:$E$16,Movimientos!$C$6:$C$16,Stocks!$A356,Movimientos!$F$6:$F$16,Stocks!G$3,Movimientos!$A$6:$A$16,"&lt;="&amp;Stocks!$A$2)-SUMIFS(Movimientos!$E$6:$E$16,Movimientos!$C$6:$C$16,Stocks!$A356,Movimientos!$G$6:$G$16,Stocks!G$3,Movimientos!$A$6:$A$16,"&lt;="&amp;Stocks!$A$2)</f>
        <v>0</v>
      </c>
      <c r="H356" s="4">
        <f>SUMIFS(Movimientos!$E$6:$E$16,Movimientos!$C$6:$C$16,Stocks!$A356,Movimientos!$F$6:$F$16,Stocks!H$3,Movimientos!$A$6:$A$16,"&lt;="&amp;Stocks!$A$2)-SUMIFS(Movimientos!$E$6:$E$16,Movimientos!$C$6:$C$16,Stocks!$A356,Movimientos!$G$6:$G$16,Stocks!H$3,Movimientos!$A$6:$A$16,"&lt;="&amp;Stocks!$A$2)</f>
        <v>0</v>
      </c>
      <c r="I356" s="4">
        <f>SUMIFS(Movimientos!$E$6:$E$16,Movimientos!$C$6:$C$16,Stocks!$A356,Movimientos!$F$6:$F$16,Stocks!I$3,Movimientos!$A$6:$A$16,"&lt;="&amp;Stocks!$A$2)-SUMIFS(Movimientos!$E$6:$E$16,Movimientos!$C$6:$C$16,Stocks!$A356,Movimientos!$G$6:$G$16,Stocks!I$3,Movimientos!$A$6:$A$16,"&lt;="&amp;Stocks!$A$2)</f>
        <v>0</v>
      </c>
      <c r="J356" s="4">
        <f>SUMIFS(Movimientos!$E$6:$E$16,Movimientos!$C$6:$C$16,Stocks!$A356,Movimientos!$F$6:$F$16,Stocks!J$3,Movimientos!$A$6:$A$16,"&lt;="&amp;Stocks!$A$2)-SUMIFS(Movimientos!$E$6:$E$16,Movimientos!$C$6:$C$16,Stocks!$A356,Movimientos!$G$6:$G$16,Stocks!J$3,Movimientos!$A$6:$A$16,"&lt;="&amp;Stocks!$A$2)</f>
        <v>0</v>
      </c>
      <c r="K356" s="4">
        <f>SUMIFS(Movimientos!$E$6:$E$16,Movimientos!$C$6:$C$16,Stocks!$A356,Movimientos!$F$6:$F$16,Stocks!K$3,Movimientos!$A$6:$A$16,"&lt;="&amp;Stocks!$A$2)-SUMIFS(Movimientos!$E$6:$E$16,Movimientos!$C$6:$C$16,Stocks!$A356,Movimientos!$G$6:$G$16,Stocks!K$3,Movimientos!$A$6:$A$16,"&lt;="&amp;Stocks!$A$2)</f>
        <v>0</v>
      </c>
      <c r="L356" s="4">
        <f>SUMIFS(Movimientos!$E$6:$E$16,Movimientos!$C$6:$C$16,Stocks!$A356,Movimientos!$F$6:$F$16,Stocks!L$3,Movimientos!$A$6:$A$16,"&lt;="&amp;Stocks!$A$2)-SUMIFS(Movimientos!$E$6:$E$16,Movimientos!$C$6:$C$16,Stocks!$A356,Movimientos!$G$6:$G$16,Stocks!L$3,Movimientos!$A$6:$A$16,"&lt;="&amp;Stocks!$A$2)</f>
        <v>0</v>
      </c>
    </row>
    <row r="357" spans="1:12" x14ac:dyDescent="0.25">
      <c r="A357" t="str">
        <f>Codificación!A356</f>
        <v/>
      </c>
      <c r="B357" s="1">
        <f>Codificación!B356</f>
        <v>0</v>
      </c>
      <c r="E357" s="4">
        <f>SUMIFS(Movimientos!$E$6:$E$16,Movimientos!$C$6:$C$16,Stocks!$A357,Movimientos!$F$6:$F$16,Stocks!E$3,Movimientos!$A$6:$A$16,"&lt;="&amp;Stocks!$A$2)-SUMIFS(Movimientos!$E$6:$E$16,Movimientos!$C$6:$C$16,Stocks!$A357,Movimientos!$G$6:$G$16,Stocks!E$3,Movimientos!$A$6:$A$16,"&lt;="&amp;Stocks!$A$2)</f>
        <v>0</v>
      </c>
      <c r="F357" s="4">
        <f>SUMIFS(Movimientos!$E$6:$E$16,Movimientos!$C$6:$C$16,Stocks!$A357,Movimientos!$F$6:$F$16,Stocks!F$3,Movimientos!$A$6:$A$16,"&lt;="&amp;Stocks!$A$2)-SUMIFS(Movimientos!$E$6:$E$16,Movimientos!$C$6:$C$16,Stocks!$A357,Movimientos!$G$6:$G$16,Stocks!F$3,Movimientos!$A$6:$A$16,"&lt;="&amp;Stocks!$A$2)</f>
        <v>0</v>
      </c>
      <c r="G357" s="4">
        <f>SUMIFS(Movimientos!$E$6:$E$16,Movimientos!$C$6:$C$16,Stocks!$A357,Movimientos!$F$6:$F$16,Stocks!G$3,Movimientos!$A$6:$A$16,"&lt;="&amp;Stocks!$A$2)-SUMIFS(Movimientos!$E$6:$E$16,Movimientos!$C$6:$C$16,Stocks!$A357,Movimientos!$G$6:$G$16,Stocks!G$3,Movimientos!$A$6:$A$16,"&lt;="&amp;Stocks!$A$2)</f>
        <v>0</v>
      </c>
      <c r="H357" s="4">
        <f>SUMIFS(Movimientos!$E$6:$E$16,Movimientos!$C$6:$C$16,Stocks!$A357,Movimientos!$F$6:$F$16,Stocks!H$3,Movimientos!$A$6:$A$16,"&lt;="&amp;Stocks!$A$2)-SUMIFS(Movimientos!$E$6:$E$16,Movimientos!$C$6:$C$16,Stocks!$A357,Movimientos!$G$6:$G$16,Stocks!H$3,Movimientos!$A$6:$A$16,"&lt;="&amp;Stocks!$A$2)</f>
        <v>0</v>
      </c>
      <c r="I357" s="4">
        <f>SUMIFS(Movimientos!$E$6:$E$16,Movimientos!$C$6:$C$16,Stocks!$A357,Movimientos!$F$6:$F$16,Stocks!I$3,Movimientos!$A$6:$A$16,"&lt;="&amp;Stocks!$A$2)-SUMIFS(Movimientos!$E$6:$E$16,Movimientos!$C$6:$C$16,Stocks!$A357,Movimientos!$G$6:$G$16,Stocks!I$3,Movimientos!$A$6:$A$16,"&lt;="&amp;Stocks!$A$2)</f>
        <v>0</v>
      </c>
      <c r="J357" s="4">
        <f>SUMIFS(Movimientos!$E$6:$E$16,Movimientos!$C$6:$C$16,Stocks!$A357,Movimientos!$F$6:$F$16,Stocks!J$3,Movimientos!$A$6:$A$16,"&lt;="&amp;Stocks!$A$2)-SUMIFS(Movimientos!$E$6:$E$16,Movimientos!$C$6:$C$16,Stocks!$A357,Movimientos!$G$6:$G$16,Stocks!J$3,Movimientos!$A$6:$A$16,"&lt;="&amp;Stocks!$A$2)</f>
        <v>0</v>
      </c>
      <c r="K357" s="4">
        <f>SUMIFS(Movimientos!$E$6:$E$16,Movimientos!$C$6:$C$16,Stocks!$A357,Movimientos!$F$6:$F$16,Stocks!K$3,Movimientos!$A$6:$A$16,"&lt;="&amp;Stocks!$A$2)-SUMIFS(Movimientos!$E$6:$E$16,Movimientos!$C$6:$C$16,Stocks!$A357,Movimientos!$G$6:$G$16,Stocks!K$3,Movimientos!$A$6:$A$16,"&lt;="&amp;Stocks!$A$2)</f>
        <v>0</v>
      </c>
      <c r="L357" s="4">
        <f>SUMIFS(Movimientos!$E$6:$E$16,Movimientos!$C$6:$C$16,Stocks!$A357,Movimientos!$F$6:$F$16,Stocks!L$3,Movimientos!$A$6:$A$16,"&lt;="&amp;Stocks!$A$2)-SUMIFS(Movimientos!$E$6:$E$16,Movimientos!$C$6:$C$16,Stocks!$A357,Movimientos!$G$6:$G$16,Stocks!L$3,Movimientos!$A$6:$A$16,"&lt;="&amp;Stocks!$A$2)</f>
        <v>0</v>
      </c>
    </row>
    <row r="358" spans="1:12" x14ac:dyDescent="0.25">
      <c r="A358" t="str">
        <f>Codificación!A357</f>
        <v/>
      </c>
      <c r="B358" s="1">
        <f>Codificación!B357</f>
        <v>0</v>
      </c>
      <c r="E358" s="4">
        <f>SUMIFS(Movimientos!$E$6:$E$16,Movimientos!$C$6:$C$16,Stocks!$A358,Movimientos!$F$6:$F$16,Stocks!E$3,Movimientos!$A$6:$A$16,"&lt;="&amp;Stocks!$A$2)-SUMIFS(Movimientos!$E$6:$E$16,Movimientos!$C$6:$C$16,Stocks!$A358,Movimientos!$G$6:$G$16,Stocks!E$3,Movimientos!$A$6:$A$16,"&lt;="&amp;Stocks!$A$2)</f>
        <v>0</v>
      </c>
      <c r="F358" s="4">
        <f>SUMIFS(Movimientos!$E$6:$E$16,Movimientos!$C$6:$C$16,Stocks!$A358,Movimientos!$F$6:$F$16,Stocks!F$3,Movimientos!$A$6:$A$16,"&lt;="&amp;Stocks!$A$2)-SUMIFS(Movimientos!$E$6:$E$16,Movimientos!$C$6:$C$16,Stocks!$A358,Movimientos!$G$6:$G$16,Stocks!F$3,Movimientos!$A$6:$A$16,"&lt;="&amp;Stocks!$A$2)</f>
        <v>0</v>
      </c>
      <c r="G358" s="4">
        <f>SUMIFS(Movimientos!$E$6:$E$16,Movimientos!$C$6:$C$16,Stocks!$A358,Movimientos!$F$6:$F$16,Stocks!G$3,Movimientos!$A$6:$A$16,"&lt;="&amp;Stocks!$A$2)-SUMIFS(Movimientos!$E$6:$E$16,Movimientos!$C$6:$C$16,Stocks!$A358,Movimientos!$G$6:$G$16,Stocks!G$3,Movimientos!$A$6:$A$16,"&lt;="&amp;Stocks!$A$2)</f>
        <v>0</v>
      </c>
      <c r="H358" s="4">
        <f>SUMIFS(Movimientos!$E$6:$E$16,Movimientos!$C$6:$C$16,Stocks!$A358,Movimientos!$F$6:$F$16,Stocks!H$3,Movimientos!$A$6:$A$16,"&lt;="&amp;Stocks!$A$2)-SUMIFS(Movimientos!$E$6:$E$16,Movimientos!$C$6:$C$16,Stocks!$A358,Movimientos!$G$6:$G$16,Stocks!H$3,Movimientos!$A$6:$A$16,"&lt;="&amp;Stocks!$A$2)</f>
        <v>0</v>
      </c>
      <c r="I358" s="4">
        <f>SUMIFS(Movimientos!$E$6:$E$16,Movimientos!$C$6:$C$16,Stocks!$A358,Movimientos!$F$6:$F$16,Stocks!I$3,Movimientos!$A$6:$A$16,"&lt;="&amp;Stocks!$A$2)-SUMIFS(Movimientos!$E$6:$E$16,Movimientos!$C$6:$C$16,Stocks!$A358,Movimientos!$G$6:$G$16,Stocks!I$3,Movimientos!$A$6:$A$16,"&lt;="&amp;Stocks!$A$2)</f>
        <v>0</v>
      </c>
      <c r="J358" s="4">
        <f>SUMIFS(Movimientos!$E$6:$E$16,Movimientos!$C$6:$C$16,Stocks!$A358,Movimientos!$F$6:$F$16,Stocks!J$3,Movimientos!$A$6:$A$16,"&lt;="&amp;Stocks!$A$2)-SUMIFS(Movimientos!$E$6:$E$16,Movimientos!$C$6:$C$16,Stocks!$A358,Movimientos!$G$6:$G$16,Stocks!J$3,Movimientos!$A$6:$A$16,"&lt;="&amp;Stocks!$A$2)</f>
        <v>0</v>
      </c>
      <c r="K358" s="4">
        <f>SUMIFS(Movimientos!$E$6:$E$16,Movimientos!$C$6:$C$16,Stocks!$A358,Movimientos!$F$6:$F$16,Stocks!K$3,Movimientos!$A$6:$A$16,"&lt;="&amp;Stocks!$A$2)-SUMIFS(Movimientos!$E$6:$E$16,Movimientos!$C$6:$C$16,Stocks!$A358,Movimientos!$G$6:$G$16,Stocks!K$3,Movimientos!$A$6:$A$16,"&lt;="&amp;Stocks!$A$2)</f>
        <v>0</v>
      </c>
      <c r="L358" s="4">
        <f>SUMIFS(Movimientos!$E$6:$E$16,Movimientos!$C$6:$C$16,Stocks!$A358,Movimientos!$F$6:$F$16,Stocks!L$3,Movimientos!$A$6:$A$16,"&lt;="&amp;Stocks!$A$2)-SUMIFS(Movimientos!$E$6:$E$16,Movimientos!$C$6:$C$16,Stocks!$A358,Movimientos!$G$6:$G$16,Stocks!L$3,Movimientos!$A$6:$A$16,"&lt;="&amp;Stocks!$A$2)</f>
        <v>0</v>
      </c>
    </row>
    <row r="359" spans="1:12" x14ac:dyDescent="0.25">
      <c r="A359" t="str">
        <f>Codificación!A358</f>
        <v/>
      </c>
      <c r="B359" s="1">
        <f>Codificación!B358</f>
        <v>0</v>
      </c>
      <c r="E359" s="4">
        <f>SUMIFS(Movimientos!$E$6:$E$16,Movimientos!$C$6:$C$16,Stocks!$A359,Movimientos!$F$6:$F$16,Stocks!E$3,Movimientos!$A$6:$A$16,"&lt;="&amp;Stocks!$A$2)-SUMIFS(Movimientos!$E$6:$E$16,Movimientos!$C$6:$C$16,Stocks!$A359,Movimientos!$G$6:$G$16,Stocks!E$3,Movimientos!$A$6:$A$16,"&lt;="&amp;Stocks!$A$2)</f>
        <v>0</v>
      </c>
      <c r="F359" s="4">
        <f>SUMIFS(Movimientos!$E$6:$E$16,Movimientos!$C$6:$C$16,Stocks!$A359,Movimientos!$F$6:$F$16,Stocks!F$3,Movimientos!$A$6:$A$16,"&lt;="&amp;Stocks!$A$2)-SUMIFS(Movimientos!$E$6:$E$16,Movimientos!$C$6:$C$16,Stocks!$A359,Movimientos!$G$6:$G$16,Stocks!F$3,Movimientos!$A$6:$A$16,"&lt;="&amp;Stocks!$A$2)</f>
        <v>0</v>
      </c>
      <c r="G359" s="4">
        <f>SUMIFS(Movimientos!$E$6:$E$16,Movimientos!$C$6:$C$16,Stocks!$A359,Movimientos!$F$6:$F$16,Stocks!G$3,Movimientos!$A$6:$A$16,"&lt;="&amp;Stocks!$A$2)-SUMIFS(Movimientos!$E$6:$E$16,Movimientos!$C$6:$C$16,Stocks!$A359,Movimientos!$G$6:$G$16,Stocks!G$3,Movimientos!$A$6:$A$16,"&lt;="&amp;Stocks!$A$2)</f>
        <v>0</v>
      </c>
      <c r="H359" s="4">
        <f>SUMIFS(Movimientos!$E$6:$E$16,Movimientos!$C$6:$C$16,Stocks!$A359,Movimientos!$F$6:$F$16,Stocks!H$3,Movimientos!$A$6:$A$16,"&lt;="&amp;Stocks!$A$2)-SUMIFS(Movimientos!$E$6:$E$16,Movimientos!$C$6:$C$16,Stocks!$A359,Movimientos!$G$6:$G$16,Stocks!H$3,Movimientos!$A$6:$A$16,"&lt;="&amp;Stocks!$A$2)</f>
        <v>0</v>
      </c>
      <c r="I359" s="4">
        <f>SUMIFS(Movimientos!$E$6:$E$16,Movimientos!$C$6:$C$16,Stocks!$A359,Movimientos!$F$6:$F$16,Stocks!I$3,Movimientos!$A$6:$A$16,"&lt;="&amp;Stocks!$A$2)-SUMIFS(Movimientos!$E$6:$E$16,Movimientos!$C$6:$C$16,Stocks!$A359,Movimientos!$G$6:$G$16,Stocks!I$3,Movimientos!$A$6:$A$16,"&lt;="&amp;Stocks!$A$2)</f>
        <v>0</v>
      </c>
      <c r="J359" s="4">
        <f>SUMIFS(Movimientos!$E$6:$E$16,Movimientos!$C$6:$C$16,Stocks!$A359,Movimientos!$F$6:$F$16,Stocks!J$3,Movimientos!$A$6:$A$16,"&lt;="&amp;Stocks!$A$2)-SUMIFS(Movimientos!$E$6:$E$16,Movimientos!$C$6:$C$16,Stocks!$A359,Movimientos!$G$6:$G$16,Stocks!J$3,Movimientos!$A$6:$A$16,"&lt;="&amp;Stocks!$A$2)</f>
        <v>0</v>
      </c>
      <c r="K359" s="4">
        <f>SUMIFS(Movimientos!$E$6:$E$16,Movimientos!$C$6:$C$16,Stocks!$A359,Movimientos!$F$6:$F$16,Stocks!K$3,Movimientos!$A$6:$A$16,"&lt;="&amp;Stocks!$A$2)-SUMIFS(Movimientos!$E$6:$E$16,Movimientos!$C$6:$C$16,Stocks!$A359,Movimientos!$G$6:$G$16,Stocks!K$3,Movimientos!$A$6:$A$16,"&lt;="&amp;Stocks!$A$2)</f>
        <v>0</v>
      </c>
      <c r="L359" s="4">
        <f>SUMIFS(Movimientos!$E$6:$E$16,Movimientos!$C$6:$C$16,Stocks!$A359,Movimientos!$F$6:$F$16,Stocks!L$3,Movimientos!$A$6:$A$16,"&lt;="&amp;Stocks!$A$2)-SUMIFS(Movimientos!$E$6:$E$16,Movimientos!$C$6:$C$16,Stocks!$A359,Movimientos!$G$6:$G$16,Stocks!L$3,Movimientos!$A$6:$A$16,"&lt;="&amp;Stocks!$A$2)</f>
        <v>0</v>
      </c>
    </row>
    <row r="360" spans="1:12" x14ac:dyDescent="0.25">
      <c r="A360" t="str">
        <f>Codificación!A359</f>
        <v/>
      </c>
      <c r="B360" s="1">
        <f>Codificación!B359</f>
        <v>0</v>
      </c>
      <c r="E360" s="4">
        <f>SUMIFS(Movimientos!$E$6:$E$16,Movimientos!$C$6:$C$16,Stocks!$A360,Movimientos!$F$6:$F$16,Stocks!E$3,Movimientos!$A$6:$A$16,"&lt;="&amp;Stocks!$A$2)-SUMIFS(Movimientos!$E$6:$E$16,Movimientos!$C$6:$C$16,Stocks!$A360,Movimientos!$G$6:$G$16,Stocks!E$3,Movimientos!$A$6:$A$16,"&lt;="&amp;Stocks!$A$2)</f>
        <v>0</v>
      </c>
      <c r="F360" s="4">
        <f>SUMIFS(Movimientos!$E$6:$E$16,Movimientos!$C$6:$C$16,Stocks!$A360,Movimientos!$F$6:$F$16,Stocks!F$3,Movimientos!$A$6:$A$16,"&lt;="&amp;Stocks!$A$2)-SUMIFS(Movimientos!$E$6:$E$16,Movimientos!$C$6:$C$16,Stocks!$A360,Movimientos!$G$6:$G$16,Stocks!F$3,Movimientos!$A$6:$A$16,"&lt;="&amp;Stocks!$A$2)</f>
        <v>0</v>
      </c>
      <c r="G360" s="4">
        <f>SUMIFS(Movimientos!$E$6:$E$16,Movimientos!$C$6:$C$16,Stocks!$A360,Movimientos!$F$6:$F$16,Stocks!G$3,Movimientos!$A$6:$A$16,"&lt;="&amp;Stocks!$A$2)-SUMIFS(Movimientos!$E$6:$E$16,Movimientos!$C$6:$C$16,Stocks!$A360,Movimientos!$G$6:$G$16,Stocks!G$3,Movimientos!$A$6:$A$16,"&lt;="&amp;Stocks!$A$2)</f>
        <v>0</v>
      </c>
      <c r="H360" s="4">
        <f>SUMIFS(Movimientos!$E$6:$E$16,Movimientos!$C$6:$C$16,Stocks!$A360,Movimientos!$F$6:$F$16,Stocks!H$3,Movimientos!$A$6:$A$16,"&lt;="&amp;Stocks!$A$2)-SUMIFS(Movimientos!$E$6:$E$16,Movimientos!$C$6:$C$16,Stocks!$A360,Movimientos!$G$6:$G$16,Stocks!H$3,Movimientos!$A$6:$A$16,"&lt;="&amp;Stocks!$A$2)</f>
        <v>0</v>
      </c>
      <c r="I360" s="4">
        <f>SUMIFS(Movimientos!$E$6:$E$16,Movimientos!$C$6:$C$16,Stocks!$A360,Movimientos!$F$6:$F$16,Stocks!I$3,Movimientos!$A$6:$A$16,"&lt;="&amp;Stocks!$A$2)-SUMIFS(Movimientos!$E$6:$E$16,Movimientos!$C$6:$C$16,Stocks!$A360,Movimientos!$G$6:$G$16,Stocks!I$3,Movimientos!$A$6:$A$16,"&lt;="&amp;Stocks!$A$2)</f>
        <v>0</v>
      </c>
      <c r="J360" s="4">
        <f>SUMIFS(Movimientos!$E$6:$E$16,Movimientos!$C$6:$C$16,Stocks!$A360,Movimientos!$F$6:$F$16,Stocks!J$3,Movimientos!$A$6:$A$16,"&lt;="&amp;Stocks!$A$2)-SUMIFS(Movimientos!$E$6:$E$16,Movimientos!$C$6:$C$16,Stocks!$A360,Movimientos!$G$6:$G$16,Stocks!J$3,Movimientos!$A$6:$A$16,"&lt;="&amp;Stocks!$A$2)</f>
        <v>0</v>
      </c>
      <c r="K360" s="4">
        <f>SUMIFS(Movimientos!$E$6:$E$16,Movimientos!$C$6:$C$16,Stocks!$A360,Movimientos!$F$6:$F$16,Stocks!K$3,Movimientos!$A$6:$A$16,"&lt;="&amp;Stocks!$A$2)-SUMIFS(Movimientos!$E$6:$E$16,Movimientos!$C$6:$C$16,Stocks!$A360,Movimientos!$G$6:$G$16,Stocks!K$3,Movimientos!$A$6:$A$16,"&lt;="&amp;Stocks!$A$2)</f>
        <v>0</v>
      </c>
      <c r="L360" s="4">
        <f>SUMIFS(Movimientos!$E$6:$E$16,Movimientos!$C$6:$C$16,Stocks!$A360,Movimientos!$F$6:$F$16,Stocks!L$3,Movimientos!$A$6:$A$16,"&lt;="&amp;Stocks!$A$2)-SUMIFS(Movimientos!$E$6:$E$16,Movimientos!$C$6:$C$16,Stocks!$A360,Movimientos!$G$6:$G$16,Stocks!L$3,Movimientos!$A$6:$A$16,"&lt;="&amp;Stocks!$A$2)</f>
        <v>0</v>
      </c>
    </row>
    <row r="361" spans="1:12" x14ac:dyDescent="0.25">
      <c r="A361" t="str">
        <f>Codificación!A360</f>
        <v/>
      </c>
      <c r="B361" s="1">
        <f>Codificación!B360</f>
        <v>0</v>
      </c>
      <c r="E361" s="4">
        <f>SUMIFS(Movimientos!$E$6:$E$16,Movimientos!$C$6:$C$16,Stocks!$A361,Movimientos!$F$6:$F$16,Stocks!E$3,Movimientos!$A$6:$A$16,"&lt;="&amp;Stocks!$A$2)-SUMIFS(Movimientos!$E$6:$E$16,Movimientos!$C$6:$C$16,Stocks!$A361,Movimientos!$G$6:$G$16,Stocks!E$3,Movimientos!$A$6:$A$16,"&lt;="&amp;Stocks!$A$2)</f>
        <v>0</v>
      </c>
      <c r="F361" s="4">
        <f>SUMIFS(Movimientos!$E$6:$E$16,Movimientos!$C$6:$C$16,Stocks!$A361,Movimientos!$F$6:$F$16,Stocks!F$3,Movimientos!$A$6:$A$16,"&lt;="&amp;Stocks!$A$2)-SUMIFS(Movimientos!$E$6:$E$16,Movimientos!$C$6:$C$16,Stocks!$A361,Movimientos!$G$6:$G$16,Stocks!F$3,Movimientos!$A$6:$A$16,"&lt;="&amp;Stocks!$A$2)</f>
        <v>0</v>
      </c>
      <c r="G361" s="4">
        <f>SUMIFS(Movimientos!$E$6:$E$16,Movimientos!$C$6:$C$16,Stocks!$A361,Movimientos!$F$6:$F$16,Stocks!G$3,Movimientos!$A$6:$A$16,"&lt;="&amp;Stocks!$A$2)-SUMIFS(Movimientos!$E$6:$E$16,Movimientos!$C$6:$C$16,Stocks!$A361,Movimientos!$G$6:$G$16,Stocks!G$3,Movimientos!$A$6:$A$16,"&lt;="&amp;Stocks!$A$2)</f>
        <v>0</v>
      </c>
      <c r="H361" s="4">
        <f>SUMIFS(Movimientos!$E$6:$E$16,Movimientos!$C$6:$C$16,Stocks!$A361,Movimientos!$F$6:$F$16,Stocks!H$3,Movimientos!$A$6:$A$16,"&lt;="&amp;Stocks!$A$2)-SUMIFS(Movimientos!$E$6:$E$16,Movimientos!$C$6:$C$16,Stocks!$A361,Movimientos!$G$6:$G$16,Stocks!H$3,Movimientos!$A$6:$A$16,"&lt;="&amp;Stocks!$A$2)</f>
        <v>0</v>
      </c>
      <c r="I361" s="4">
        <f>SUMIFS(Movimientos!$E$6:$E$16,Movimientos!$C$6:$C$16,Stocks!$A361,Movimientos!$F$6:$F$16,Stocks!I$3,Movimientos!$A$6:$A$16,"&lt;="&amp;Stocks!$A$2)-SUMIFS(Movimientos!$E$6:$E$16,Movimientos!$C$6:$C$16,Stocks!$A361,Movimientos!$G$6:$G$16,Stocks!I$3,Movimientos!$A$6:$A$16,"&lt;="&amp;Stocks!$A$2)</f>
        <v>0</v>
      </c>
      <c r="J361" s="4">
        <f>SUMIFS(Movimientos!$E$6:$E$16,Movimientos!$C$6:$C$16,Stocks!$A361,Movimientos!$F$6:$F$16,Stocks!J$3,Movimientos!$A$6:$A$16,"&lt;="&amp;Stocks!$A$2)-SUMIFS(Movimientos!$E$6:$E$16,Movimientos!$C$6:$C$16,Stocks!$A361,Movimientos!$G$6:$G$16,Stocks!J$3,Movimientos!$A$6:$A$16,"&lt;="&amp;Stocks!$A$2)</f>
        <v>0</v>
      </c>
      <c r="K361" s="4">
        <f>SUMIFS(Movimientos!$E$6:$E$16,Movimientos!$C$6:$C$16,Stocks!$A361,Movimientos!$F$6:$F$16,Stocks!K$3,Movimientos!$A$6:$A$16,"&lt;="&amp;Stocks!$A$2)-SUMIFS(Movimientos!$E$6:$E$16,Movimientos!$C$6:$C$16,Stocks!$A361,Movimientos!$G$6:$G$16,Stocks!K$3,Movimientos!$A$6:$A$16,"&lt;="&amp;Stocks!$A$2)</f>
        <v>0</v>
      </c>
      <c r="L361" s="4">
        <f>SUMIFS(Movimientos!$E$6:$E$16,Movimientos!$C$6:$C$16,Stocks!$A361,Movimientos!$F$6:$F$16,Stocks!L$3,Movimientos!$A$6:$A$16,"&lt;="&amp;Stocks!$A$2)-SUMIFS(Movimientos!$E$6:$E$16,Movimientos!$C$6:$C$16,Stocks!$A361,Movimientos!$G$6:$G$16,Stocks!L$3,Movimientos!$A$6:$A$16,"&lt;="&amp;Stocks!$A$2)</f>
        <v>0</v>
      </c>
    </row>
    <row r="362" spans="1:12" x14ac:dyDescent="0.25">
      <c r="A362" t="str">
        <f>Codificación!A361</f>
        <v/>
      </c>
      <c r="B362" s="1">
        <f>Codificación!B361</f>
        <v>0</v>
      </c>
      <c r="E362" s="4">
        <f>SUMIFS(Movimientos!$E$6:$E$16,Movimientos!$C$6:$C$16,Stocks!$A362,Movimientos!$F$6:$F$16,Stocks!E$3,Movimientos!$A$6:$A$16,"&lt;="&amp;Stocks!$A$2)-SUMIFS(Movimientos!$E$6:$E$16,Movimientos!$C$6:$C$16,Stocks!$A362,Movimientos!$G$6:$G$16,Stocks!E$3,Movimientos!$A$6:$A$16,"&lt;="&amp;Stocks!$A$2)</f>
        <v>0</v>
      </c>
      <c r="F362" s="4">
        <f>SUMIFS(Movimientos!$E$6:$E$16,Movimientos!$C$6:$C$16,Stocks!$A362,Movimientos!$F$6:$F$16,Stocks!F$3,Movimientos!$A$6:$A$16,"&lt;="&amp;Stocks!$A$2)-SUMIFS(Movimientos!$E$6:$E$16,Movimientos!$C$6:$C$16,Stocks!$A362,Movimientos!$G$6:$G$16,Stocks!F$3,Movimientos!$A$6:$A$16,"&lt;="&amp;Stocks!$A$2)</f>
        <v>0</v>
      </c>
      <c r="G362" s="4">
        <f>SUMIFS(Movimientos!$E$6:$E$16,Movimientos!$C$6:$C$16,Stocks!$A362,Movimientos!$F$6:$F$16,Stocks!G$3,Movimientos!$A$6:$A$16,"&lt;="&amp;Stocks!$A$2)-SUMIFS(Movimientos!$E$6:$E$16,Movimientos!$C$6:$C$16,Stocks!$A362,Movimientos!$G$6:$G$16,Stocks!G$3,Movimientos!$A$6:$A$16,"&lt;="&amp;Stocks!$A$2)</f>
        <v>0</v>
      </c>
      <c r="H362" s="4">
        <f>SUMIFS(Movimientos!$E$6:$E$16,Movimientos!$C$6:$C$16,Stocks!$A362,Movimientos!$F$6:$F$16,Stocks!H$3,Movimientos!$A$6:$A$16,"&lt;="&amp;Stocks!$A$2)-SUMIFS(Movimientos!$E$6:$E$16,Movimientos!$C$6:$C$16,Stocks!$A362,Movimientos!$G$6:$G$16,Stocks!H$3,Movimientos!$A$6:$A$16,"&lt;="&amp;Stocks!$A$2)</f>
        <v>0</v>
      </c>
      <c r="I362" s="4">
        <f>SUMIFS(Movimientos!$E$6:$E$16,Movimientos!$C$6:$C$16,Stocks!$A362,Movimientos!$F$6:$F$16,Stocks!I$3,Movimientos!$A$6:$A$16,"&lt;="&amp;Stocks!$A$2)-SUMIFS(Movimientos!$E$6:$E$16,Movimientos!$C$6:$C$16,Stocks!$A362,Movimientos!$G$6:$G$16,Stocks!I$3,Movimientos!$A$6:$A$16,"&lt;="&amp;Stocks!$A$2)</f>
        <v>0</v>
      </c>
      <c r="J362" s="4">
        <f>SUMIFS(Movimientos!$E$6:$E$16,Movimientos!$C$6:$C$16,Stocks!$A362,Movimientos!$F$6:$F$16,Stocks!J$3,Movimientos!$A$6:$A$16,"&lt;="&amp;Stocks!$A$2)-SUMIFS(Movimientos!$E$6:$E$16,Movimientos!$C$6:$C$16,Stocks!$A362,Movimientos!$G$6:$G$16,Stocks!J$3,Movimientos!$A$6:$A$16,"&lt;="&amp;Stocks!$A$2)</f>
        <v>0</v>
      </c>
      <c r="K362" s="4">
        <f>SUMIFS(Movimientos!$E$6:$E$16,Movimientos!$C$6:$C$16,Stocks!$A362,Movimientos!$F$6:$F$16,Stocks!K$3,Movimientos!$A$6:$A$16,"&lt;="&amp;Stocks!$A$2)-SUMIFS(Movimientos!$E$6:$E$16,Movimientos!$C$6:$C$16,Stocks!$A362,Movimientos!$G$6:$G$16,Stocks!K$3,Movimientos!$A$6:$A$16,"&lt;="&amp;Stocks!$A$2)</f>
        <v>0</v>
      </c>
      <c r="L362" s="4">
        <f>SUMIFS(Movimientos!$E$6:$E$16,Movimientos!$C$6:$C$16,Stocks!$A362,Movimientos!$F$6:$F$16,Stocks!L$3,Movimientos!$A$6:$A$16,"&lt;="&amp;Stocks!$A$2)-SUMIFS(Movimientos!$E$6:$E$16,Movimientos!$C$6:$C$16,Stocks!$A362,Movimientos!$G$6:$G$16,Stocks!L$3,Movimientos!$A$6:$A$16,"&lt;="&amp;Stocks!$A$2)</f>
        <v>0</v>
      </c>
    </row>
    <row r="363" spans="1:12" x14ac:dyDescent="0.25">
      <c r="A363" t="str">
        <f>Codificación!A362</f>
        <v/>
      </c>
      <c r="B363" s="1">
        <f>Codificación!B362</f>
        <v>0</v>
      </c>
      <c r="E363" s="4">
        <f>SUMIFS(Movimientos!$E$6:$E$16,Movimientos!$C$6:$C$16,Stocks!$A363,Movimientos!$F$6:$F$16,Stocks!E$3,Movimientos!$A$6:$A$16,"&lt;="&amp;Stocks!$A$2)-SUMIFS(Movimientos!$E$6:$E$16,Movimientos!$C$6:$C$16,Stocks!$A363,Movimientos!$G$6:$G$16,Stocks!E$3,Movimientos!$A$6:$A$16,"&lt;="&amp;Stocks!$A$2)</f>
        <v>0</v>
      </c>
      <c r="F363" s="4">
        <f>SUMIFS(Movimientos!$E$6:$E$16,Movimientos!$C$6:$C$16,Stocks!$A363,Movimientos!$F$6:$F$16,Stocks!F$3,Movimientos!$A$6:$A$16,"&lt;="&amp;Stocks!$A$2)-SUMIFS(Movimientos!$E$6:$E$16,Movimientos!$C$6:$C$16,Stocks!$A363,Movimientos!$G$6:$G$16,Stocks!F$3,Movimientos!$A$6:$A$16,"&lt;="&amp;Stocks!$A$2)</f>
        <v>0</v>
      </c>
      <c r="G363" s="4">
        <f>SUMIFS(Movimientos!$E$6:$E$16,Movimientos!$C$6:$C$16,Stocks!$A363,Movimientos!$F$6:$F$16,Stocks!G$3,Movimientos!$A$6:$A$16,"&lt;="&amp;Stocks!$A$2)-SUMIFS(Movimientos!$E$6:$E$16,Movimientos!$C$6:$C$16,Stocks!$A363,Movimientos!$G$6:$G$16,Stocks!G$3,Movimientos!$A$6:$A$16,"&lt;="&amp;Stocks!$A$2)</f>
        <v>0</v>
      </c>
      <c r="H363" s="4">
        <f>SUMIFS(Movimientos!$E$6:$E$16,Movimientos!$C$6:$C$16,Stocks!$A363,Movimientos!$F$6:$F$16,Stocks!H$3,Movimientos!$A$6:$A$16,"&lt;="&amp;Stocks!$A$2)-SUMIFS(Movimientos!$E$6:$E$16,Movimientos!$C$6:$C$16,Stocks!$A363,Movimientos!$G$6:$G$16,Stocks!H$3,Movimientos!$A$6:$A$16,"&lt;="&amp;Stocks!$A$2)</f>
        <v>0</v>
      </c>
      <c r="I363" s="4">
        <f>SUMIFS(Movimientos!$E$6:$E$16,Movimientos!$C$6:$C$16,Stocks!$A363,Movimientos!$F$6:$F$16,Stocks!I$3,Movimientos!$A$6:$A$16,"&lt;="&amp;Stocks!$A$2)-SUMIFS(Movimientos!$E$6:$E$16,Movimientos!$C$6:$C$16,Stocks!$A363,Movimientos!$G$6:$G$16,Stocks!I$3,Movimientos!$A$6:$A$16,"&lt;="&amp;Stocks!$A$2)</f>
        <v>0</v>
      </c>
      <c r="J363" s="4">
        <f>SUMIFS(Movimientos!$E$6:$E$16,Movimientos!$C$6:$C$16,Stocks!$A363,Movimientos!$F$6:$F$16,Stocks!J$3,Movimientos!$A$6:$A$16,"&lt;="&amp;Stocks!$A$2)-SUMIFS(Movimientos!$E$6:$E$16,Movimientos!$C$6:$C$16,Stocks!$A363,Movimientos!$G$6:$G$16,Stocks!J$3,Movimientos!$A$6:$A$16,"&lt;="&amp;Stocks!$A$2)</f>
        <v>0</v>
      </c>
      <c r="K363" s="4">
        <f>SUMIFS(Movimientos!$E$6:$E$16,Movimientos!$C$6:$C$16,Stocks!$A363,Movimientos!$F$6:$F$16,Stocks!K$3,Movimientos!$A$6:$A$16,"&lt;="&amp;Stocks!$A$2)-SUMIFS(Movimientos!$E$6:$E$16,Movimientos!$C$6:$C$16,Stocks!$A363,Movimientos!$G$6:$G$16,Stocks!K$3,Movimientos!$A$6:$A$16,"&lt;="&amp;Stocks!$A$2)</f>
        <v>0</v>
      </c>
      <c r="L363" s="4">
        <f>SUMIFS(Movimientos!$E$6:$E$16,Movimientos!$C$6:$C$16,Stocks!$A363,Movimientos!$F$6:$F$16,Stocks!L$3,Movimientos!$A$6:$A$16,"&lt;="&amp;Stocks!$A$2)-SUMIFS(Movimientos!$E$6:$E$16,Movimientos!$C$6:$C$16,Stocks!$A363,Movimientos!$G$6:$G$16,Stocks!L$3,Movimientos!$A$6:$A$16,"&lt;="&amp;Stocks!$A$2)</f>
        <v>0</v>
      </c>
    </row>
    <row r="364" spans="1:12" x14ac:dyDescent="0.25">
      <c r="A364" t="str">
        <f>Codificación!A363</f>
        <v/>
      </c>
      <c r="B364" s="1">
        <f>Codificación!B363</f>
        <v>0</v>
      </c>
      <c r="E364" s="4">
        <f>SUMIFS(Movimientos!$E$6:$E$16,Movimientos!$C$6:$C$16,Stocks!$A364,Movimientos!$F$6:$F$16,Stocks!E$3,Movimientos!$A$6:$A$16,"&lt;="&amp;Stocks!$A$2)-SUMIFS(Movimientos!$E$6:$E$16,Movimientos!$C$6:$C$16,Stocks!$A364,Movimientos!$G$6:$G$16,Stocks!E$3,Movimientos!$A$6:$A$16,"&lt;="&amp;Stocks!$A$2)</f>
        <v>0</v>
      </c>
      <c r="F364" s="4">
        <f>SUMIFS(Movimientos!$E$6:$E$16,Movimientos!$C$6:$C$16,Stocks!$A364,Movimientos!$F$6:$F$16,Stocks!F$3,Movimientos!$A$6:$A$16,"&lt;="&amp;Stocks!$A$2)-SUMIFS(Movimientos!$E$6:$E$16,Movimientos!$C$6:$C$16,Stocks!$A364,Movimientos!$G$6:$G$16,Stocks!F$3,Movimientos!$A$6:$A$16,"&lt;="&amp;Stocks!$A$2)</f>
        <v>0</v>
      </c>
      <c r="G364" s="4">
        <f>SUMIFS(Movimientos!$E$6:$E$16,Movimientos!$C$6:$C$16,Stocks!$A364,Movimientos!$F$6:$F$16,Stocks!G$3,Movimientos!$A$6:$A$16,"&lt;="&amp;Stocks!$A$2)-SUMIFS(Movimientos!$E$6:$E$16,Movimientos!$C$6:$C$16,Stocks!$A364,Movimientos!$G$6:$G$16,Stocks!G$3,Movimientos!$A$6:$A$16,"&lt;="&amp;Stocks!$A$2)</f>
        <v>0</v>
      </c>
      <c r="H364" s="4">
        <f>SUMIFS(Movimientos!$E$6:$E$16,Movimientos!$C$6:$C$16,Stocks!$A364,Movimientos!$F$6:$F$16,Stocks!H$3,Movimientos!$A$6:$A$16,"&lt;="&amp;Stocks!$A$2)-SUMIFS(Movimientos!$E$6:$E$16,Movimientos!$C$6:$C$16,Stocks!$A364,Movimientos!$G$6:$G$16,Stocks!H$3,Movimientos!$A$6:$A$16,"&lt;="&amp;Stocks!$A$2)</f>
        <v>0</v>
      </c>
      <c r="I364" s="4">
        <f>SUMIFS(Movimientos!$E$6:$E$16,Movimientos!$C$6:$C$16,Stocks!$A364,Movimientos!$F$6:$F$16,Stocks!I$3,Movimientos!$A$6:$A$16,"&lt;="&amp;Stocks!$A$2)-SUMIFS(Movimientos!$E$6:$E$16,Movimientos!$C$6:$C$16,Stocks!$A364,Movimientos!$G$6:$G$16,Stocks!I$3,Movimientos!$A$6:$A$16,"&lt;="&amp;Stocks!$A$2)</f>
        <v>0</v>
      </c>
      <c r="J364" s="4">
        <f>SUMIFS(Movimientos!$E$6:$E$16,Movimientos!$C$6:$C$16,Stocks!$A364,Movimientos!$F$6:$F$16,Stocks!J$3,Movimientos!$A$6:$A$16,"&lt;="&amp;Stocks!$A$2)-SUMIFS(Movimientos!$E$6:$E$16,Movimientos!$C$6:$C$16,Stocks!$A364,Movimientos!$G$6:$G$16,Stocks!J$3,Movimientos!$A$6:$A$16,"&lt;="&amp;Stocks!$A$2)</f>
        <v>0</v>
      </c>
      <c r="K364" s="4">
        <f>SUMIFS(Movimientos!$E$6:$E$16,Movimientos!$C$6:$C$16,Stocks!$A364,Movimientos!$F$6:$F$16,Stocks!K$3,Movimientos!$A$6:$A$16,"&lt;="&amp;Stocks!$A$2)-SUMIFS(Movimientos!$E$6:$E$16,Movimientos!$C$6:$C$16,Stocks!$A364,Movimientos!$G$6:$G$16,Stocks!K$3,Movimientos!$A$6:$A$16,"&lt;="&amp;Stocks!$A$2)</f>
        <v>0</v>
      </c>
      <c r="L364" s="4">
        <f>SUMIFS(Movimientos!$E$6:$E$16,Movimientos!$C$6:$C$16,Stocks!$A364,Movimientos!$F$6:$F$16,Stocks!L$3,Movimientos!$A$6:$A$16,"&lt;="&amp;Stocks!$A$2)-SUMIFS(Movimientos!$E$6:$E$16,Movimientos!$C$6:$C$16,Stocks!$A364,Movimientos!$G$6:$G$16,Stocks!L$3,Movimientos!$A$6:$A$16,"&lt;="&amp;Stocks!$A$2)</f>
        <v>0</v>
      </c>
    </row>
    <row r="365" spans="1:12" x14ac:dyDescent="0.25">
      <c r="A365" t="str">
        <f>Codificación!A364</f>
        <v/>
      </c>
      <c r="B365" s="1">
        <f>Codificación!B364</f>
        <v>0</v>
      </c>
      <c r="E365" s="4">
        <f>SUMIFS(Movimientos!$E$6:$E$16,Movimientos!$C$6:$C$16,Stocks!$A365,Movimientos!$F$6:$F$16,Stocks!E$3,Movimientos!$A$6:$A$16,"&lt;="&amp;Stocks!$A$2)-SUMIFS(Movimientos!$E$6:$E$16,Movimientos!$C$6:$C$16,Stocks!$A365,Movimientos!$G$6:$G$16,Stocks!E$3,Movimientos!$A$6:$A$16,"&lt;="&amp;Stocks!$A$2)</f>
        <v>0</v>
      </c>
      <c r="F365" s="4">
        <f>SUMIFS(Movimientos!$E$6:$E$16,Movimientos!$C$6:$C$16,Stocks!$A365,Movimientos!$F$6:$F$16,Stocks!F$3,Movimientos!$A$6:$A$16,"&lt;="&amp;Stocks!$A$2)-SUMIFS(Movimientos!$E$6:$E$16,Movimientos!$C$6:$C$16,Stocks!$A365,Movimientos!$G$6:$G$16,Stocks!F$3,Movimientos!$A$6:$A$16,"&lt;="&amp;Stocks!$A$2)</f>
        <v>0</v>
      </c>
      <c r="G365" s="4">
        <f>SUMIFS(Movimientos!$E$6:$E$16,Movimientos!$C$6:$C$16,Stocks!$A365,Movimientos!$F$6:$F$16,Stocks!G$3,Movimientos!$A$6:$A$16,"&lt;="&amp;Stocks!$A$2)-SUMIFS(Movimientos!$E$6:$E$16,Movimientos!$C$6:$C$16,Stocks!$A365,Movimientos!$G$6:$G$16,Stocks!G$3,Movimientos!$A$6:$A$16,"&lt;="&amp;Stocks!$A$2)</f>
        <v>0</v>
      </c>
      <c r="H365" s="4">
        <f>SUMIFS(Movimientos!$E$6:$E$16,Movimientos!$C$6:$C$16,Stocks!$A365,Movimientos!$F$6:$F$16,Stocks!H$3,Movimientos!$A$6:$A$16,"&lt;="&amp;Stocks!$A$2)-SUMIFS(Movimientos!$E$6:$E$16,Movimientos!$C$6:$C$16,Stocks!$A365,Movimientos!$G$6:$G$16,Stocks!H$3,Movimientos!$A$6:$A$16,"&lt;="&amp;Stocks!$A$2)</f>
        <v>0</v>
      </c>
      <c r="I365" s="4">
        <f>SUMIFS(Movimientos!$E$6:$E$16,Movimientos!$C$6:$C$16,Stocks!$A365,Movimientos!$F$6:$F$16,Stocks!I$3,Movimientos!$A$6:$A$16,"&lt;="&amp;Stocks!$A$2)-SUMIFS(Movimientos!$E$6:$E$16,Movimientos!$C$6:$C$16,Stocks!$A365,Movimientos!$G$6:$G$16,Stocks!I$3,Movimientos!$A$6:$A$16,"&lt;="&amp;Stocks!$A$2)</f>
        <v>0</v>
      </c>
      <c r="J365" s="4">
        <f>SUMIFS(Movimientos!$E$6:$E$16,Movimientos!$C$6:$C$16,Stocks!$A365,Movimientos!$F$6:$F$16,Stocks!J$3,Movimientos!$A$6:$A$16,"&lt;="&amp;Stocks!$A$2)-SUMIFS(Movimientos!$E$6:$E$16,Movimientos!$C$6:$C$16,Stocks!$A365,Movimientos!$G$6:$G$16,Stocks!J$3,Movimientos!$A$6:$A$16,"&lt;="&amp;Stocks!$A$2)</f>
        <v>0</v>
      </c>
      <c r="K365" s="4">
        <f>SUMIFS(Movimientos!$E$6:$E$16,Movimientos!$C$6:$C$16,Stocks!$A365,Movimientos!$F$6:$F$16,Stocks!K$3,Movimientos!$A$6:$A$16,"&lt;="&amp;Stocks!$A$2)-SUMIFS(Movimientos!$E$6:$E$16,Movimientos!$C$6:$C$16,Stocks!$A365,Movimientos!$G$6:$G$16,Stocks!K$3,Movimientos!$A$6:$A$16,"&lt;="&amp;Stocks!$A$2)</f>
        <v>0</v>
      </c>
      <c r="L365" s="4">
        <f>SUMIFS(Movimientos!$E$6:$E$16,Movimientos!$C$6:$C$16,Stocks!$A365,Movimientos!$F$6:$F$16,Stocks!L$3,Movimientos!$A$6:$A$16,"&lt;="&amp;Stocks!$A$2)-SUMIFS(Movimientos!$E$6:$E$16,Movimientos!$C$6:$C$16,Stocks!$A365,Movimientos!$G$6:$G$16,Stocks!L$3,Movimientos!$A$6:$A$16,"&lt;="&amp;Stocks!$A$2)</f>
        <v>0</v>
      </c>
    </row>
    <row r="366" spans="1:12" x14ac:dyDescent="0.25">
      <c r="A366" t="str">
        <f>Codificación!A365</f>
        <v/>
      </c>
      <c r="B366" s="1">
        <f>Codificación!B365</f>
        <v>0</v>
      </c>
      <c r="E366" s="4">
        <f>SUMIFS(Movimientos!$E$6:$E$16,Movimientos!$C$6:$C$16,Stocks!$A366,Movimientos!$F$6:$F$16,Stocks!E$3,Movimientos!$A$6:$A$16,"&lt;="&amp;Stocks!$A$2)-SUMIFS(Movimientos!$E$6:$E$16,Movimientos!$C$6:$C$16,Stocks!$A366,Movimientos!$G$6:$G$16,Stocks!E$3,Movimientos!$A$6:$A$16,"&lt;="&amp;Stocks!$A$2)</f>
        <v>0</v>
      </c>
      <c r="F366" s="4">
        <f>SUMIFS(Movimientos!$E$6:$E$16,Movimientos!$C$6:$C$16,Stocks!$A366,Movimientos!$F$6:$F$16,Stocks!F$3,Movimientos!$A$6:$A$16,"&lt;="&amp;Stocks!$A$2)-SUMIFS(Movimientos!$E$6:$E$16,Movimientos!$C$6:$C$16,Stocks!$A366,Movimientos!$G$6:$G$16,Stocks!F$3,Movimientos!$A$6:$A$16,"&lt;="&amp;Stocks!$A$2)</f>
        <v>0</v>
      </c>
      <c r="G366" s="4">
        <f>SUMIFS(Movimientos!$E$6:$E$16,Movimientos!$C$6:$C$16,Stocks!$A366,Movimientos!$F$6:$F$16,Stocks!G$3,Movimientos!$A$6:$A$16,"&lt;="&amp;Stocks!$A$2)-SUMIFS(Movimientos!$E$6:$E$16,Movimientos!$C$6:$C$16,Stocks!$A366,Movimientos!$G$6:$G$16,Stocks!G$3,Movimientos!$A$6:$A$16,"&lt;="&amp;Stocks!$A$2)</f>
        <v>0</v>
      </c>
      <c r="H366" s="4">
        <f>SUMIFS(Movimientos!$E$6:$E$16,Movimientos!$C$6:$C$16,Stocks!$A366,Movimientos!$F$6:$F$16,Stocks!H$3,Movimientos!$A$6:$A$16,"&lt;="&amp;Stocks!$A$2)-SUMIFS(Movimientos!$E$6:$E$16,Movimientos!$C$6:$C$16,Stocks!$A366,Movimientos!$G$6:$G$16,Stocks!H$3,Movimientos!$A$6:$A$16,"&lt;="&amp;Stocks!$A$2)</f>
        <v>0</v>
      </c>
      <c r="I366" s="4">
        <f>SUMIFS(Movimientos!$E$6:$E$16,Movimientos!$C$6:$C$16,Stocks!$A366,Movimientos!$F$6:$F$16,Stocks!I$3,Movimientos!$A$6:$A$16,"&lt;="&amp;Stocks!$A$2)-SUMIFS(Movimientos!$E$6:$E$16,Movimientos!$C$6:$C$16,Stocks!$A366,Movimientos!$G$6:$G$16,Stocks!I$3,Movimientos!$A$6:$A$16,"&lt;="&amp;Stocks!$A$2)</f>
        <v>0</v>
      </c>
      <c r="J366" s="4">
        <f>SUMIFS(Movimientos!$E$6:$E$16,Movimientos!$C$6:$C$16,Stocks!$A366,Movimientos!$F$6:$F$16,Stocks!J$3,Movimientos!$A$6:$A$16,"&lt;="&amp;Stocks!$A$2)-SUMIFS(Movimientos!$E$6:$E$16,Movimientos!$C$6:$C$16,Stocks!$A366,Movimientos!$G$6:$G$16,Stocks!J$3,Movimientos!$A$6:$A$16,"&lt;="&amp;Stocks!$A$2)</f>
        <v>0</v>
      </c>
      <c r="K366" s="4">
        <f>SUMIFS(Movimientos!$E$6:$E$16,Movimientos!$C$6:$C$16,Stocks!$A366,Movimientos!$F$6:$F$16,Stocks!K$3,Movimientos!$A$6:$A$16,"&lt;="&amp;Stocks!$A$2)-SUMIFS(Movimientos!$E$6:$E$16,Movimientos!$C$6:$C$16,Stocks!$A366,Movimientos!$G$6:$G$16,Stocks!K$3,Movimientos!$A$6:$A$16,"&lt;="&amp;Stocks!$A$2)</f>
        <v>0</v>
      </c>
      <c r="L366" s="4">
        <f>SUMIFS(Movimientos!$E$6:$E$16,Movimientos!$C$6:$C$16,Stocks!$A366,Movimientos!$F$6:$F$16,Stocks!L$3,Movimientos!$A$6:$A$16,"&lt;="&amp;Stocks!$A$2)-SUMIFS(Movimientos!$E$6:$E$16,Movimientos!$C$6:$C$16,Stocks!$A366,Movimientos!$G$6:$G$16,Stocks!L$3,Movimientos!$A$6:$A$16,"&lt;="&amp;Stocks!$A$2)</f>
        <v>0</v>
      </c>
    </row>
    <row r="367" spans="1:12" x14ac:dyDescent="0.25">
      <c r="A367" t="str">
        <f>Codificación!A366</f>
        <v/>
      </c>
      <c r="B367" s="1">
        <f>Codificación!B366</f>
        <v>0</v>
      </c>
      <c r="E367" s="4">
        <f>SUMIFS(Movimientos!$E$6:$E$16,Movimientos!$C$6:$C$16,Stocks!$A367,Movimientos!$F$6:$F$16,Stocks!E$3,Movimientos!$A$6:$A$16,"&lt;="&amp;Stocks!$A$2)-SUMIFS(Movimientos!$E$6:$E$16,Movimientos!$C$6:$C$16,Stocks!$A367,Movimientos!$G$6:$G$16,Stocks!E$3,Movimientos!$A$6:$A$16,"&lt;="&amp;Stocks!$A$2)</f>
        <v>0</v>
      </c>
      <c r="F367" s="4">
        <f>SUMIFS(Movimientos!$E$6:$E$16,Movimientos!$C$6:$C$16,Stocks!$A367,Movimientos!$F$6:$F$16,Stocks!F$3,Movimientos!$A$6:$A$16,"&lt;="&amp;Stocks!$A$2)-SUMIFS(Movimientos!$E$6:$E$16,Movimientos!$C$6:$C$16,Stocks!$A367,Movimientos!$G$6:$G$16,Stocks!F$3,Movimientos!$A$6:$A$16,"&lt;="&amp;Stocks!$A$2)</f>
        <v>0</v>
      </c>
      <c r="G367" s="4">
        <f>SUMIFS(Movimientos!$E$6:$E$16,Movimientos!$C$6:$C$16,Stocks!$A367,Movimientos!$F$6:$F$16,Stocks!G$3,Movimientos!$A$6:$A$16,"&lt;="&amp;Stocks!$A$2)-SUMIFS(Movimientos!$E$6:$E$16,Movimientos!$C$6:$C$16,Stocks!$A367,Movimientos!$G$6:$G$16,Stocks!G$3,Movimientos!$A$6:$A$16,"&lt;="&amp;Stocks!$A$2)</f>
        <v>0</v>
      </c>
      <c r="H367" s="4">
        <f>SUMIFS(Movimientos!$E$6:$E$16,Movimientos!$C$6:$C$16,Stocks!$A367,Movimientos!$F$6:$F$16,Stocks!H$3,Movimientos!$A$6:$A$16,"&lt;="&amp;Stocks!$A$2)-SUMIFS(Movimientos!$E$6:$E$16,Movimientos!$C$6:$C$16,Stocks!$A367,Movimientos!$G$6:$G$16,Stocks!H$3,Movimientos!$A$6:$A$16,"&lt;="&amp;Stocks!$A$2)</f>
        <v>0</v>
      </c>
      <c r="I367" s="4">
        <f>SUMIFS(Movimientos!$E$6:$E$16,Movimientos!$C$6:$C$16,Stocks!$A367,Movimientos!$F$6:$F$16,Stocks!I$3,Movimientos!$A$6:$A$16,"&lt;="&amp;Stocks!$A$2)-SUMIFS(Movimientos!$E$6:$E$16,Movimientos!$C$6:$C$16,Stocks!$A367,Movimientos!$G$6:$G$16,Stocks!I$3,Movimientos!$A$6:$A$16,"&lt;="&amp;Stocks!$A$2)</f>
        <v>0</v>
      </c>
      <c r="J367" s="4">
        <f>SUMIFS(Movimientos!$E$6:$E$16,Movimientos!$C$6:$C$16,Stocks!$A367,Movimientos!$F$6:$F$16,Stocks!J$3,Movimientos!$A$6:$A$16,"&lt;="&amp;Stocks!$A$2)-SUMIFS(Movimientos!$E$6:$E$16,Movimientos!$C$6:$C$16,Stocks!$A367,Movimientos!$G$6:$G$16,Stocks!J$3,Movimientos!$A$6:$A$16,"&lt;="&amp;Stocks!$A$2)</f>
        <v>0</v>
      </c>
      <c r="K367" s="4">
        <f>SUMIFS(Movimientos!$E$6:$E$16,Movimientos!$C$6:$C$16,Stocks!$A367,Movimientos!$F$6:$F$16,Stocks!K$3,Movimientos!$A$6:$A$16,"&lt;="&amp;Stocks!$A$2)-SUMIFS(Movimientos!$E$6:$E$16,Movimientos!$C$6:$C$16,Stocks!$A367,Movimientos!$G$6:$G$16,Stocks!K$3,Movimientos!$A$6:$A$16,"&lt;="&amp;Stocks!$A$2)</f>
        <v>0</v>
      </c>
      <c r="L367" s="4">
        <f>SUMIFS(Movimientos!$E$6:$E$16,Movimientos!$C$6:$C$16,Stocks!$A367,Movimientos!$F$6:$F$16,Stocks!L$3,Movimientos!$A$6:$A$16,"&lt;="&amp;Stocks!$A$2)-SUMIFS(Movimientos!$E$6:$E$16,Movimientos!$C$6:$C$16,Stocks!$A367,Movimientos!$G$6:$G$16,Stocks!L$3,Movimientos!$A$6:$A$16,"&lt;="&amp;Stocks!$A$2)</f>
        <v>0</v>
      </c>
    </row>
    <row r="368" spans="1:12" x14ac:dyDescent="0.25">
      <c r="A368">
        <f>Codificación!A367</f>
        <v>0</v>
      </c>
      <c r="B368" s="1">
        <f>Codificación!B367</f>
        <v>0</v>
      </c>
      <c r="E368" s="4">
        <f>SUMIFS(Movimientos!$E$6:$E$16,Movimientos!$C$6:$C$16,Stocks!$A368,Movimientos!$F$6:$F$16,Stocks!E$3,Movimientos!$A$6:$A$16,"&lt;="&amp;Stocks!$A$2)-SUMIFS(Movimientos!$E$6:$E$16,Movimientos!$C$6:$C$16,Stocks!$A368,Movimientos!$G$6:$G$16,Stocks!E$3,Movimientos!$A$6:$A$16,"&lt;="&amp;Stocks!$A$2)</f>
        <v>0</v>
      </c>
      <c r="F368" s="4">
        <f>SUMIFS(Movimientos!$E$6:$E$16,Movimientos!$C$6:$C$16,Stocks!$A368,Movimientos!$F$6:$F$16,Stocks!F$3,Movimientos!$A$6:$A$16,"&lt;="&amp;Stocks!$A$2)-SUMIFS(Movimientos!$E$6:$E$16,Movimientos!$C$6:$C$16,Stocks!$A368,Movimientos!$G$6:$G$16,Stocks!F$3,Movimientos!$A$6:$A$16,"&lt;="&amp;Stocks!$A$2)</f>
        <v>0</v>
      </c>
      <c r="G368" s="4">
        <f>SUMIFS(Movimientos!$E$6:$E$16,Movimientos!$C$6:$C$16,Stocks!$A368,Movimientos!$F$6:$F$16,Stocks!G$3,Movimientos!$A$6:$A$16,"&lt;="&amp;Stocks!$A$2)-SUMIFS(Movimientos!$E$6:$E$16,Movimientos!$C$6:$C$16,Stocks!$A368,Movimientos!$G$6:$G$16,Stocks!G$3,Movimientos!$A$6:$A$16,"&lt;="&amp;Stocks!$A$2)</f>
        <v>0</v>
      </c>
      <c r="H368" s="4">
        <f>SUMIFS(Movimientos!$E$6:$E$16,Movimientos!$C$6:$C$16,Stocks!$A368,Movimientos!$F$6:$F$16,Stocks!H$3,Movimientos!$A$6:$A$16,"&lt;="&amp;Stocks!$A$2)-SUMIFS(Movimientos!$E$6:$E$16,Movimientos!$C$6:$C$16,Stocks!$A368,Movimientos!$G$6:$G$16,Stocks!H$3,Movimientos!$A$6:$A$16,"&lt;="&amp;Stocks!$A$2)</f>
        <v>0</v>
      </c>
      <c r="I368" s="4">
        <f>SUMIFS(Movimientos!$E$6:$E$16,Movimientos!$C$6:$C$16,Stocks!$A368,Movimientos!$F$6:$F$16,Stocks!I$3,Movimientos!$A$6:$A$16,"&lt;="&amp;Stocks!$A$2)-SUMIFS(Movimientos!$E$6:$E$16,Movimientos!$C$6:$C$16,Stocks!$A368,Movimientos!$G$6:$G$16,Stocks!I$3,Movimientos!$A$6:$A$16,"&lt;="&amp;Stocks!$A$2)</f>
        <v>0</v>
      </c>
      <c r="J368" s="4">
        <f>SUMIFS(Movimientos!$E$6:$E$16,Movimientos!$C$6:$C$16,Stocks!$A368,Movimientos!$F$6:$F$16,Stocks!J$3,Movimientos!$A$6:$A$16,"&lt;="&amp;Stocks!$A$2)-SUMIFS(Movimientos!$E$6:$E$16,Movimientos!$C$6:$C$16,Stocks!$A368,Movimientos!$G$6:$G$16,Stocks!J$3,Movimientos!$A$6:$A$16,"&lt;="&amp;Stocks!$A$2)</f>
        <v>0</v>
      </c>
      <c r="K368" s="4">
        <f>SUMIFS(Movimientos!$E$6:$E$16,Movimientos!$C$6:$C$16,Stocks!$A368,Movimientos!$F$6:$F$16,Stocks!K$3,Movimientos!$A$6:$A$16,"&lt;="&amp;Stocks!$A$2)-SUMIFS(Movimientos!$E$6:$E$16,Movimientos!$C$6:$C$16,Stocks!$A368,Movimientos!$G$6:$G$16,Stocks!K$3,Movimientos!$A$6:$A$16,"&lt;="&amp;Stocks!$A$2)</f>
        <v>0</v>
      </c>
      <c r="L368" s="4">
        <f>SUMIFS(Movimientos!$E$6:$E$16,Movimientos!$C$6:$C$16,Stocks!$A368,Movimientos!$F$6:$F$16,Stocks!L$3,Movimientos!$A$6:$A$16,"&lt;="&amp;Stocks!$A$2)-SUMIFS(Movimientos!$E$6:$E$16,Movimientos!$C$6:$C$16,Stocks!$A368,Movimientos!$G$6:$G$16,Stocks!L$3,Movimientos!$A$6:$A$16,"&lt;="&amp;Stocks!$A$2)</f>
        <v>0</v>
      </c>
    </row>
    <row r="369" spans="1:12" x14ac:dyDescent="0.25">
      <c r="A369">
        <f>Codificación!A368</f>
        <v>0</v>
      </c>
      <c r="B369" s="1">
        <f>Codificación!B368</f>
        <v>0</v>
      </c>
      <c r="E369" s="4">
        <f>SUMIFS(Movimientos!$E$6:$E$16,Movimientos!$C$6:$C$16,Stocks!$A369,Movimientos!$F$6:$F$16,Stocks!E$3,Movimientos!$A$6:$A$16,"&lt;="&amp;Stocks!$A$2)-SUMIFS(Movimientos!$E$6:$E$16,Movimientos!$C$6:$C$16,Stocks!$A369,Movimientos!$G$6:$G$16,Stocks!E$3,Movimientos!$A$6:$A$16,"&lt;="&amp;Stocks!$A$2)</f>
        <v>0</v>
      </c>
      <c r="F369" s="4">
        <f>SUMIFS(Movimientos!$E$6:$E$16,Movimientos!$C$6:$C$16,Stocks!$A369,Movimientos!$F$6:$F$16,Stocks!F$3,Movimientos!$A$6:$A$16,"&lt;="&amp;Stocks!$A$2)-SUMIFS(Movimientos!$E$6:$E$16,Movimientos!$C$6:$C$16,Stocks!$A369,Movimientos!$G$6:$G$16,Stocks!F$3,Movimientos!$A$6:$A$16,"&lt;="&amp;Stocks!$A$2)</f>
        <v>0</v>
      </c>
      <c r="G369" s="4">
        <f>SUMIFS(Movimientos!$E$6:$E$16,Movimientos!$C$6:$C$16,Stocks!$A369,Movimientos!$F$6:$F$16,Stocks!G$3,Movimientos!$A$6:$A$16,"&lt;="&amp;Stocks!$A$2)-SUMIFS(Movimientos!$E$6:$E$16,Movimientos!$C$6:$C$16,Stocks!$A369,Movimientos!$G$6:$G$16,Stocks!G$3,Movimientos!$A$6:$A$16,"&lt;="&amp;Stocks!$A$2)</f>
        <v>0</v>
      </c>
      <c r="H369" s="4">
        <f>SUMIFS(Movimientos!$E$6:$E$16,Movimientos!$C$6:$C$16,Stocks!$A369,Movimientos!$F$6:$F$16,Stocks!H$3,Movimientos!$A$6:$A$16,"&lt;="&amp;Stocks!$A$2)-SUMIFS(Movimientos!$E$6:$E$16,Movimientos!$C$6:$C$16,Stocks!$A369,Movimientos!$G$6:$G$16,Stocks!H$3,Movimientos!$A$6:$A$16,"&lt;="&amp;Stocks!$A$2)</f>
        <v>0</v>
      </c>
      <c r="I369" s="4">
        <f>SUMIFS(Movimientos!$E$6:$E$16,Movimientos!$C$6:$C$16,Stocks!$A369,Movimientos!$F$6:$F$16,Stocks!I$3,Movimientos!$A$6:$A$16,"&lt;="&amp;Stocks!$A$2)-SUMIFS(Movimientos!$E$6:$E$16,Movimientos!$C$6:$C$16,Stocks!$A369,Movimientos!$G$6:$G$16,Stocks!I$3,Movimientos!$A$6:$A$16,"&lt;="&amp;Stocks!$A$2)</f>
        <v>0</v>
      </c>
      <c r="J369" s="4">
        <f>SUMIFS(Movimientos!$E$6:$E$16,Movimientos!$C$6:$C$16,Stocks!$A369,Movimientos!$F$6:$F$16,Stocks!J$3,Movimientos!$A$6:$A$16,"&lt;="&amp;Stocks!$A$2)-SUMIFS(Movimientos!$E$6:$E$16,Movimientos!$C$6:$C$16,Stocks!$A369,Movimientos!$G$6:$G$16,Stocks!J$3,Movimientos!$A$6:$A$16,"&lt;="&amp;Stocks!$A$2)</f>
        <v>0</v>
      </c>
      <c r="K369" s="4">
        <f>SUMIFS(Movimientos!$E$6:$E$16,Movimientos!$C$6:$C$16,Stocks!$A369,Movimientos!$F$6:$F$16,Stocks!K$3,Movimientos!$A$6:$A$16,"&lt;="&amp;Stocks!$A$2)-SUMIFS(Movimientos!$E$6:$E$16,Movimientos!$C$6:$C$16,Stocks!$A369,Movimientos!$G$6:$G$16,Stocks!K$3,Movimientos!$A$6:$A$16,"&lt;="&amp;Stocks!$A$2)</f>
        <v>0</v>
      </c>
      <c r="L369" s="4">
        <f>SUMIFS(Movimientos!$E$6:$E$16,Movimientos!$C$6:$C$16,Stocks!$A369,Movimientos!$F$6:$F$16,Stocks!L$3,Movimientos!$A$6:$A$16,"&lt;="&amp;Stocks!$A$2)-SUMIFS(Movimientos!$E$6:$E$16,Movimientos!$C$6:$C$16,Stocks!$A369,Movimientos!$G$6:$G$16,Stocks!L$3,Movimientos!$A$6:$A$16,"&lt;="&amp;Stocks!$A$2)</f>
        <v>0</v>
      </c>
    </row>
    <row r="370" spans="1:12" x14ac:dyDescent="0.25">
      <c r="A370">
        <f>Codificación!A369</f>
        <v>0</v>
      </c>
      <c r="B370" s="1">
        <f>Codificación!B369</f>
        <v>0</v>
      </c>
      <c r="E370" s="4">
        <f>SUMIFS(Movimientos!$E$6:$E$16,Movimientos!$C$6:$C$16,Stocks!$A370,Movimientos!$F$6:$F$16,Stocks!E$3,Movimientos!$A$6:$A$16,"&lt;="&amp;Stocks!$A$2)-SUMIFS(Movimientos!$E$6:$E$16,Movimientos!$C$6:$C$16,Stocks!$A370,Movimientos!$G$6:$G$16,Stocks!E$3,Movimientos!$A$6:$A$16,"&lt;="&amp;Stocks!$A$2)</f>
        <v>0</v>
      </c>
      <c r="F370" s="4">
        <f>SUMIFS(Movimientos!$E$6:$E$16,Movimientos!$C$6:$C$16,Stocks!$A370,Movimientos!$F$6:$F$16,Stocks!F$3,Movimientos!$A$6:$A$16,"&lt;="&amp;Stocks!$A$2)-SUMIFS(Movimientos!$E$6:$E$16,Movimientos!$C$6:$C$16,Stocks!$A370,Movimientos!$G$6:$G$16,Stocks!F$3,Movimientos!$A$6:$A$16,"&lt;="&amp;Stocks!$A$2)</f>
        <v>0</v>
      </c>
      <c r="G370" s="4">
        <f>SUMIFS(Movimientos!$E$6:$E$16,Movimientos!$C$6:$C$16,Stocks!$A370,Movimientos!$F$6:$F$16,Stocks!G$3,Movimientos!$A$6:$A$16,"&lt;="&amp;Stocks!$A$2)-SUMIFS(Movimientos!$E$6:$E$16,Movimientos!$C$6:$C$16,Stocks!$A370,Movimientos!$G$6:$G$16,Stocks!G$3,Movimientos!$A$6:$A$16,"&lt;="&amp;Stocks!$A$2)</f>
        <v>0</v>
      </c>
      <c r="H370" s="4">
        <f>SUMIFS(Movimientos!$E$6:$E$16,Movimientos!$C$6:$C$16,Stocks!$A370,Movimientos!$F$6:$F$16,Stocks!H$3,Movimientos!$A$6:$A$16,"&lt;="&amp;Stocks!$A$2)-SUMIFS(Movimientos!$E$6:$E$16,Movimientos!$C$6:$C$16,Stocks!$A370,Movimientos!$G$6:$G$16,Stocks!H$3,Movimientos!$A$6:$A$16,"&lt;="&amp;Stocks!$A$2)</f>
        <v>0</v>
      </c>
      <c r="I370" s="4">
        <f>SUMIFS(Movimientos!$E$6:$E$16,Movimientos!$C$6:$C$16,Stocks!$A370,Movimientos!$F$6:$F$16,Stocks!I$3,Movimientos!$A$6:$A$16,"&lt;="&amp;Stocks!$A$2)-SUMIFS(Movimientos!$E$6:$E$16,Movimientos!$C$6:$C$16,Stocks!$A370,Movimientos!$G$6:$G$16,Stocks!I$3,Movimientos!$A$6:$A$16,"&lt;="&amp;Stocks!$A$2)</f>
        <v>0</v>
      </c>
      <c r="J370" s="4">
        <f>SUMIFS(Movimientos!$E$6:$E$16,Movimientos!$C$6:$C$16,Stocks!$A370,Movimientos!$F$6:$F$16,Stocks!J$3,Movimientos!$A$6:$A$16,"&lt;="&amp;Stocks!$A$2)-SUMIFS(Movimientos!$E$6:$E$16,Movimientos!$C$6:$C$16,Stocks!$A370,Movimientos!$G$6:$G$16,Stocks!J$3,Movimientos!$A$6:$A$16,"&lt;="&amp;Stocks!$A$2)</f>
        <v>0</v>
      </c>
      <c r="K370" s="4">
        <f>SUMIFS(Movimientos!$E$6:$E$16,Movimientos!$C$6:$C$16,Stocks!$A370,Movimientos!$F$6:$F$16,Stocks!K$3,Movimientos!$A$6:$A$16,"&lt;="&amp;Stocks!$A$2)-SUMIFS(Movimientos!$E$6:$E$16,Movimientos!$C$6:$C$16,Stocks!$A370,Movimientos!$G$6:$G$16,Stocks!K$3,Movimientos!$A$6:$A$16,"&lt;="&amp;Stocks!$A$2)</f>
        <v>0</v>
      </c>
      <c r="L370" s="4">
        <f>SUMIFS(Movimientos!$E$6:$E$16,Movimientos!$C$6:$C$16,Stocks!$A370,Movimientos!$F$6:$F$16,Stocks!L$3,Movimientos!$A$6:$A$16,"&lt;="&amp;Stocks!$A$2)-SUMIFS(Movimientos!$E$6:$E$16,Movimientos!$C$6:$C$16,Stocks!$A370,Movimientos!$G$6:$G$16,Stocks!L$3,Movimientos!$A$6:$A$16,"&lt;="&amp;Stocks!$A$2)</f>
        <v>0</v>
      </c>
    </row>
    <row r="371" spans="1:12" x14ac:dyDescent="0.25">
      <c r="A371">
        <f>Codificación!A370</f>
        <v>0</v>
      </c>
      <c r="B371" s="1">
        <f>Codificación!B370</f>
        <v>0</v>
      </c>
      <c r="E371" s="4">
        <f>SUMIFS(Movimientos!$E$6:$E$16,Movimientos!$C$6:$C$16,Stocks!$A371,Movimientos!$F$6:$F$16,Stocks!E$3,Movimientos!$A$6:$A$16,"&lt;="&amp;Stocks!$A$2)-SUMIFS(Movimientos!$E$6:$E$16,Movimientos!$C$6:$C$16,Stocks!$A371,Movimientos!$G$6:$G$16,Stocks!E$3,Movimientos!$A$6:$A$16,"&lt;="&amp;Stocks!$A$2)</f>
        <v>0</v>
      </c>
      <c r="F371" s="4">
        <f>SUMIFS(Movimientos!$E$6:$E$16,Movimientos!$C$6:$C$16,Stocks!$A371,Movimientos!$F$6:$F$16,Stocks!F$3,Movimientos!$A$6:$A$16,"&lt;="&amp;Stocks!$A$2)-SUMIFS(Movimientos!$E$6:$E$16,Movimientos!$C$6:$C$16,Stocks!$A371,Movimientos!$G$6:$G$16,Stocks!F$3,Movimientos!$A$6:$A$16,"&lt;="&amp;Stocks!$A$2)</f>
        <v>0</v>
      </c>
      <c r="G371" s="4">
        <f>SUMIFS(Movimientos!$E$6:$E$16,Movimientos!$C$6:$C$16,Stocks!$A371,Movimientos!$F$6:$F$16,Stocks!G$3,Movimientos!$A$6:$A$16,"&lt;="&amp;Stocks!$A$2)-SUMIFS(Movimientos!$E$6:$E$16,Movimientos!$C$6:$C$16,Stocks!$A371,Movimientos!$G$6:$G$16,Stocks!G$3,Movimientos!$A$6:$A$16,"&lt;="&amp;Stocks!$A$2)</f>
        <v>0</v>
      </c>
      <c r="H371" s="4">
        <f>SUMIFS(Movimientos!$E$6:$E$16,Movimientos!$C$6:$C$16,Stocks!$A371,Movimientos!$F$6:$F$16,Stocks!H$3,Movimientos!$A$6:$A$16,"&lt;="&amp;Stocks!$A$2)-SUMIFS(Movimientos!$E$6:$E$16,Movimientos!$C$6:$C$16,Stocks!$A371,Movimientos!$G$6:$G$16,Stocks!H$3,Movimientos!$A$6:$A$16,"&lt;="&amp;Stocks!$A$2)</f>
        <v>0</v>
      </c>
      <c r="I371" s="4">
        <f>SUMIFS(Movimientos!$E$6:$E$16,Movimientos!$C$6:$C$16,Stocks!$A371,Movimientos!$F$6:$F$16,Stocks!I$3,Movimientos!$A$6:$A$16,"&lt;="&amp;Stocks!$A$2)-SUMIFS(Movimientos!$E$6:$E$16,Movimientos!$C$6:$C$16,Stocks!$A371,Movimientos!$G$6:$G$16,Stocks!I$3,Movimientos!$A$6:$A$16,"&lt;="&amp;Stocks!$A$2)</f>
        <v>0</v>
      </c>
      <c r="J371" s="4">
        <f>SUMIFS(Movimientos!$E$6:$E$16,Movimientos!$C$6:$C$16,Stocks!$A371,Movimientos!$F$6:$F$16,Stocks!J$3,Movimientos!$A$6:$A$16,"&lt;="&amp;Stocks!$A$2)-SUMIFS(Movimientos!$E$6:$E$16,Movimientos!$C$6:$C$16,Stocks!$A371,Movimientos!$G$6:$G$16,Stocks!J$3,Movimientos!$A$6:$A$16,"&lt;="&amp;Stocks!$A$2)</f>
        <v>0</v>
      </c>
      <c r="K371" s="4">
        <f>SUMIFS(Movimientos!$E$6:$E$16,Movimientos!$C$6:$C$16,Stocks!$A371,Movimientos!$F$6:$F$16,Stocks!K$3,Movimientos!$A$6:$A$16,"&lt;="&amp;Stocks!$A$2)-SUMIFS(Movimientos!$E$6:$E$16,Movimientos!$C$6:$C$16,Stocks!$A371,Movimientos!$G$6:$G$16,Stocks!K$3,Movimientos!$A$6:$A$16,"&lt;="&amp;Stocks!$A$2)</f>
        <v>0</v>
      </c>
      <c r="L371" s="4">
        <f>SUMIFS(Movimientos!$E$6:$E$16,Movimientos!$C$6:$C$16,Stocks!$A371,Movimientos!$F$6:$F$16,Stocks!L$3,Movimientos!$A$6:$A$16,"&lt;="&amp;Stocks!$A$2)-SUMIFS(Movimientos!$E$6:$E$16,Movimientos!$C$6:$C$16,Stocks!$A371,Movimientos!$G$6:$G$16,Stocks!L$3,Movimientos!$A$6:$A$16,"&lt;="&amp;Stocks!$A$2)</f>
        <v>0</v>
      </c>
    </row>
    <row r="372" spans="1:12" x14ac:dyDescent="0.25">
      <c r="A372">
        <f>Codificación!A371</f>
        <v>0</v>
      </c>
      <c r="B372" s="1">
        <f>Codificación!B371</f>
        <v>0</v>
      </c>
      <c r="E372" s="4">
        <f>SUMIFS(Movimientos!$E$6:$E$16,Movimientos!$C$6:$C$16,Stocks!$A372,Movimientos!$F$6:$F$16,Stocks!E$3,Movimientos!$A$6:$A$16,"&lt;="&amp;Stocks!$A$2)-SUMIFS(Movimientos!$E$6:$E$16,Movimientos!$C$6:$C$16,Stocks!$A372,Movimientos!$G$6:$G$16,Stocks!E$3,Movimientos!$A$6:$A$16,"&lt;="&amp;Stocks!$A$2)</f>
        <v>0</v>
      </c>
      <c r="F372" s="4">
        <f>SUMIFS(Movimientos!$E$6:$E$16,Movimientos!$C$6:$C$16,Stocks!$A372,Movimientos!$F$6:$F$16,Stocks!F$3,Movimientos!$A$6:$A$16,"&lt;="&amp;Stocks!$A$2)-SUMIFS(Movimientos!$E$6:$E$16,Movimientos!$C$6:$C$16,Stocks!$A372,Movimientos!$G$6:$G$16,Stocks!F$3,Movimientos!$A$6:$A$16,"&lt;="&amp;Stocks!$A$2)</f>
        <v>0</v>
      </c>
      <c r="G372" s="4">
        <f>SUMIFS(Movimientos!$E$6:$E$16,Movimientos!$C$6:$C$16,Stocks!$A372,Movimientos!$F$6:$F$16,Stocks!G$3,Movimientos!$A$6:$A$16,"&lt;="&amp;Stocks!$A$2)-SUMIFS(Movimientos!$E$6:$E$16,Movimientos!$C$6:$C$16,Stocks!$A372,Movimientos!$G$6:$G$16,Stocks!G$3,Movimientos!$A$6:$A$16,"&lt;="&amp;Stocks!$A$2)</f>
        <v>0</v>
      </c>
      <c r="H372" s="4">
        <f>SUMIFS(Movimientos!$E$6:$E$16,Movimientos!$C$6:$C$16,Stocks!$A372,Movimientos!$F$6:$F$16,Stocks!H$3,Movimientos!$A$6:$A$16,"&lt;="&amp;Stocks!$A$2)-SUMIFS(Movimientos!$E$6:$E$16,Movimientos!$C$6:$C$16,Stocks!$A372,Movimientos!$G$6:$G$16,Stocks!H$3,Movimientos!$A$6:$A$16,"&lt;="&amp;Stocks!$A$2)</f>
        <v>0</v>
      </c>
      <c r="I372" s="4">
        <f>SUMIFS(Movimientos!$E$6:$E$16,Movimientos!$C$6:$C$16,Stocks!$A372,Movimientos!$F$6:$F$16,Stocks!I$3,Movimientos!$A$6:$A$16,"&lt;="&amp;Stocks!$A$2)-SUMIFS(Movimientos!$E$6:$E$16,Movimientos!$C$6:$C$16,Stocks!$A372,Movimientos!$G$6:$G$16,Stocks!I$3,Movimientos!$A$6:$A$16,"&lt;="&amp;Stocks!$A$2)</f>
        <v>0</v>
      </c>
      <c r="J372" s="4">
        <f>SUMIFS(Movimientos!$E$6:$E$16,Movimientos!$C$6:$C$16,Stocks!$A372,Movimientos!$F$6:$F$16,Stocks!J$3,Movimientos!$A$6:$A$16,"&lt;="&amp;Stocks!$A$2)-SUMIFS(Movimientos!$E$6:$E$16,Movimientos!$C$6:$C$16,Stocks!$A372,Movimientos!$G$6:$G$16,Stocks!J$3,Movimientos!$A$6:$A$16,"&lt;="&amp;Stocks!$A$2)</f>
        <v>0</v>
      </c>
      <c r="K372" s="4">
        <f>SUMIFS(Movimientos!$E$6:$E$16,Movimientos!$C$6:$C$16,Stocks!$A372,Movimientos!$F$6:$F$16,Stocks!K$3,Movimientos!$A$6:$A$16,"&lt;="&amp;Stocks!$A$2)-SUMIFS(Movimientos!$E$6:$E$16,Movimientos!$C$6:$C$16,Stocks!$A372,Movimientos!$G$6:$G$16,Stocks!K$3,Movimientos!$A$6:$A$16,"&lt;="&amp;Stocks!$A$2)</f>
        <v>0</v>
      </c>
      <c r="L372" s="4">
        <f>SUMIFS(Movimientos!$E$6:$E$16,Movimientos!$C$6:$C$16,Stocks!$A372,Movimientos!$F$6:$F$16,Stocks!L$3,Movimientos!$A$6:$A$16,"&lt;="&amp;Stocks!$A$2)-SUMIFS(Movimientos!$E$6:$E$16,Movimientos!$C$6:$C$16,Stocks!$A372,Movimientos!$G$6:$G$16,Stocks!L$3,Movimientos!$A$6:$A$16,"&lt;="&amp;Stocks!$A$2)</f>
        <v>0</v>
      </c>
    </row>
    <row r="373" spans="1:12" x14ac:dyDescent="0.25">
      <c r="A373">
        <f>Codificación!A372</f>
        <v>0</v>
      </c>
      <c r="B373" s="1">
        <f>Codificación!B372</f>
        <v>0</v>
      </c>
      <c r="E373" s="4">
        <f>SUMIFS(Movimientos!$E$6:$E$16,Movimientos!$C$6:$C$16,Stocks!$A373,Movimientos!$F$6:$F$16,Stocks!E$3,Movimientos!$A$6:$A$16,"&lt;="&amp;Stocks!$A$2)-SUMIFS(Movimientos!$E$6:$E$16,Movimientos!$C$6:$C$16,Stocks!$A373,Movimientos!$G$6:$G$16,Stocks!E$3,Movimientos!$A$6:$A$16,"&lt;="&amp;Stocks!$A$2)</f>
        <v>0</v>
      </c>
      <c r="F373" s="4">
        <f>SUMIFS(Movimientos!$E$6:$E$16,Movimientos!$C$6:$C$16,Stocks!$A373,Movimientos!$F$6:$F$16,Stocks!F$3,Movimientos!$A$6:$A$16,"&lt;="&amp;Stocks!$A$2)-SUMIFS(Movimientos!$E$6:$E$16,Movimientos!$C$6:$C$16,Stocks!$A373,Movimientos!$G$6:$G$16,Stocks!F$3,Movimientos!$A$6:$A$16,"&lt;="&amp;Stocks!$A$2)</f>
        <v>0</v>
      </c>
      <c r="G373" s="4">
        <f>SUMIFS(Movimientos!$E$6:$E$16,Movimientos!$C$6:$C$16,Stocks!$A373,Movimientos!$F$6:$F$16,Stocks!G$3,Movimientos!$A$6:$A$16,"&lt;="&amp;Stocks!$A$2)-SUMIFS(Movimientos!$E$6:$E$16,Movimientos!$C$6:$C$16,Stocks!$A373,Movimientos!$G$6:$G$16,Stocks!G$3,Movimientos!$A$6:$A$16,"&lt;="&amp;Stocks!$A$2)</f>
        <v>0</v>
      </c>
      <c r="H373" s="4">
        <f>SUMIFS(Movimientos!$E$6:$E$16,Movimientos!$C$6:$C$16,Stocks!$A373,Movimientos!$F$6:$F$16,Stocks!H$3,Movimientos!$A$6:$A$16,"&lt;="&amp;Stocks!$A$2)-SUMIFS(Movimientos!$E$6:$E$16,Movimientos!$C$6:$C$16,Stocks!$A373,Movimientos!$G$6:$G$16,Stocks!H$3,Movimientos!$A$6:$A$16,"&lt;="&amp;Stocks!$A$2)</f>
        <v>0</v>
      </c>
      <c r="I373" s="4">
        <f>SUMIFS(Movimientos!$E$6:$E$16,Movimientos!$C$6:$C$16,Stocks!$A373,Movimientos!$F$6:$F$16,Stocks!I$3,Movimientos!$A$6:$A$16,"&lt;="&amp;Stocks!$A$2)-SUMIFS(Movimientos!$E$6:$E$16,Movimientos!$C$6:$C$16,Stocks!$A373,Movimientos!$G$6:$G$16,Stocks!I$3,Movimientos!$A$6:$A$16,"&lt;="&amp;Stocks!$A$2)</f>
        <v>0</v>
      </c>
      <c r="J373" s="4">
        <f>SUMIFS(Movimientos!$E$6:$E$16,Movimientos!$C$6:$C$16,Stocks!$A373,Movimientos!$F$6:$F$16,Stocks!J$3,Movimientos!$A$6:$A$16,"&lt;="&amp;Stocks!$A$2)-SUMIFS(Movimientos!$E$6:$E$16,Movimientos!$C$6:$C$16,Stocks!$A373,Movimientos!$G$6:$G$16,Stocks!J$3,Movimientos!$A$6:$A$16,"&lt;="&amp;Stocks!$A$2)</f>
        <v>0</v>
      </c>
      <c r="K373" s="4">
        <f>SUMIFS(Movimientos!$E$6:$E$16,Movimientos!$C$6:$C$16,Stocks!$A373,Movimientos!$F$6:$F$16,Stocks!K$3,Movimientos!$A$6:$A$16,"&lt;="&amp;Stocks!$A$2)-SUMIFS(Movimientos!$E$6:$E$16,Movimientos!$C$6:$C$16,Stocks!$A373,Movimientos!$G$6:$G$16,Stocks!K$3,Movimientos!$A$6:$A$16,"&lt;="&amp;Stocks!$A$2)</f>
        <v>0</v>
      </c>
      <c r="L373" s="4">
        <f>SUMIFS(Movimientos!$E$6:$E$16,Movimientos!$C$6:$C$16,Stocks!$A373,Movimientos!$F$6:$F$16,Stocks!L$3,Movimientos!$A$6:$A$16,"&lt;="&amp;Stocks!$A$2)-SUMIFS(Movimientos!$E$6:$E$16,Movimientos!$C$6:$C$16,Stocks!$A373,Movimientos!$G$6:$G$16,Stocks!L$3,Movimientos!$A$6:$A$16,"&lt;="&amp;Stocks!$A$2)</f>
        <v>0</v>
      </c>
    </row>
    <row r="374" spans="1:12" x14ac:dyDescent="0.25">
      <c r="A374">
        <f>Codificación!A373</f>
        <v>0</v>
      </c>
      <c r="B374" s="1">
        <f>Codificación!B373</f>
        <v>0</v>
      </c>
      <c r="E374" s="4">
        <f>SUMIFS(Movimientos!$E$6:$E$16,Movimientos!$C$6:$C$16,Stocks!$A374,Movimientos!$F$6:$F$16,Stocks!E$3,Movimientos!$A$6:$A$16,"&lt;="&amp;Stocks!$A$2)-SUMIFS(Movimientos!$E$6:$E$16,Movimientos!$C$6:$C$16,Stocks!$A374,Movimientos!$G$6:$G$16,Stocks!E$3,Movimientos!$A$6:$A$16,"&lt;="&amp;Stocks!$A$2)</f>
        <v>0</v>
      </c>
      <c r="F374" s="4">
        <f>SUMIFS(Movimientos!$E$6:$E$16,Movimientos!$C$6:$C$16,Stocks!$A374,Movimientos!$F$6:$F$16,Stocks!F$3,Movimientos!$A$6:$A$16,"&lt;="&amp;Stocks!$A$2)-SUMIFS(Movimientos!$E$6:$E$16,Movimientos!$C$6:$C$16,Stocks!$A374,Movimientos!$G$6:$G$16,Stocks!F$3,Movimientos!$A$6:$A$16,"&lt;="&amp;Stocks!$A$2)</f>
        <v>0</v>
      </c>
      <c r="G374" s="4">
        <f>SUMIFS(Movimientos!$E$6:$E$16,Movimientos!$C$6:$C$16,Stocks!$A374,Movimientos!$F$6:$F$16,Stocks!G$3,Movimientos!$A$6:$A$16,"&lt;="&amp;Stocks!$A$2)-SUMIFS(Movimientos!$E$6:$E$16,Movimientos!$C$6:$C$16,Stocks!$A374,Movimientos!$G$6:$G$16,Stocks!G$3,Movimientos!$A$6:$A$16,"&lt;="&amp;Stocks!$A$2)</f>
        <v>0</v>
      </c>
      <c r="H374" s="4">
        <f>SUMIFS(Movimientos!$E$6:$E$16,Movimientos!$C$6:$C$16,Stocks!$A374,Movimientos!$F$6:$F$16,Stocks!H$3,Movimientos!$A$6:$A$16,"&lt;="&amp;Stocks!$A$2)-SUMIFS(Movimientos!$E$6:$E$16,Movimientos!$C$6:$C$16,Stocks!$A374,Movimientos!$G$6:$G$16,Stocks!H$3,Movimientos!$A$6:$A$16,"&lt;="&amp;Stocks!$A$2)</f>
        <v>0</v>
      </c>
      <c r="I374" s="4">
        <f>SUMIFS(Movimientos!$E$6:$E$16,Movimientos!$C$6:$C$16,Stocks!$A374,Movimientos!$F$6:$F$16,Stocks!I$3,Movimientos!$A$6:$A$16,"&lt;="&amp;Stocks!$A$2)-SUMIFS(Movimientos!$E$6:$E$16,Movimientos!$C$6:$C$16,Stocks!$A374,Movimientos!$G$6:$G$16,Stocks!I$3,Movimientos!$A$6:$A$16,"&lt;="&amp;Stocks!$A$2)</f>
        <v>0</v>
      </c>
      <c r="J374" s="4">
        <f>SUMIFS(Movimientos!$E$6:$E$16,Movimientos!$C$6:$C$16,Stocks!$A374,Movimientos!$F$6:$F$16,Stocks!J$3,Movimientos!$A$6:$A$16,"&lt;="&amp;Stocks!$A$2)-SUMIFS(Movimientos!$E$6:$E$16,Movimientos!$C$6:$C$16,Stocks!$A374,Movimientos!$G$6:$G$16,Stocks!J$3,Movimientos!$A$6:$A$16,"&lt;="&amp;Stocks!$A$2)</f>
        <v>0</v>
      </c>
      <c r="K374" s="4">
        <f>SUMIFS(Movimientos!$E$6:$E$16,Movimientos!$C$6:$C$16,Stocks!$A374,Movimientos!$F$6:$F$16,Stocks!K$3,Movimientos!$A$6:$A$16,"&lt;="&amp;Stocks!$A$2)-SUMIFS(Movimientos!$E$6:$E$16,Movimientos!$C$6:$C$16,Stocks!$A374,Movimientos!$G$6:$G$16,Stocks!K$3,Movimientos!$A$6:$A$16,"&lt;="&amp;Stocks!$A$2)</f>
        <v>0</v>
      </c>
      <c r="L374" s="4">
        <f>SUMIFS(Movimientos!$E$6:$E$16,Movimientos!$C$6:$C$16,Stocks!$A374,Movimientos!$F$6:$F$16,Stocks!L$3,Movimientos!$A$6:$A$16,"&lt;="&amp;Stocks!$A$2)-SUMIFS(Movimientos!$E$6:$E$16,Movimientos!$C$6:$C$16,Stocks!$A374,Movimientos!$G$6:$G$16,Stocks!L$3,Movimientos!$A$6:$A$16,"&lt;="&amp;Stocks!$A$2)</f>
        <v>0</v>
      </c>
    </row>
    <row r="375" spans="1:12" x14ac:dyDescent="0.25">
      <c r="A375">
        <f>Codificación!A374</f>
        <v>0</v>
      </c>
      <c r="B375" s="1">
        <f>Codificación!B374</f>
        <v>0</v>
      </c>
      <c r="E375" s="4">
        <f>SUMIFS(Movimientos!$E$6:$E$16,Movimientos!$C$6:$C$16,Stocks!$A375,Movimientos!$F$6:$F$16,Stocks!E$3,Movimientos!$A$6:$A$16,"&lt;="&amp;Stocks!$A$2)-SUMIFS(Movimientos!$E$6:$E$16,Movimientos!$C$6:$C$16,Stocks!$A375,Movimientos!$G$6:$G$16,Stocks!E$3,Movimientos!$A$6:$A$16,"&lt;="&amp;Stocks!$A$2)</f>
        <v>0</v>
      </c>
      <c r="F375" s="4">
        <f>SUMIFS(Movimientos!$E$6:$E$16,Movimientos!$C$6:$C$16,Stocks!$A375,Movimientos!$F$6:$F$16,Stocks!F$3,Movimientos!$A$6:$A$16,"&lt;="&amp;Stocks!$A$2)-SUMIFS(Movimientos!$E$6:$E$16,Movimientos!$C$6:$C$16,Stocks!$A375,Movimientos!$G$6:$G$16,Stocks!F$3,Movimientos!$A$6:$A$16,"&lt;="&amp;Stocks!$A$2)</f>
        <v>0</v>
      </c>
      <c r="G375" s="4">
        <f>SUMIFS(Movimientos!$E$6:$E$16,Movimientos!$C$6:$C$16,Stocks!$A375,Movimientos!$F$6:$F$16,Stocks!G$3,Movimientos!$A$6:$A$16,"&lt;="&amp;Stocks!$A$2)-SUMIFS(Movimientos!$E$6:$E$16,Movimientos!$C$6:$C$16,Stocks!$A375,Movimientos!$G$6:$G$16,Stocks!G$3,Movimientos!$A$6:$A$16,"&lt;="&amp;Stocks!$A$2)</f>
        <v>0</v>
      </c>
      <c r="H375" s="4">
        <f>SUMIFS(Movimientos!$E$6:$E$16,Movimientos!$C$6:$C$16,Stocks!$A375,Movimientos!$F$6:$F$16,Stocks!H$3,Movimientos!$A$6:$A$16,"&lt;="&amp;Stocks!$A$2)-SUMIFS(Movimientos!$E$6:$E$16,Movimientos!$C$6:$C$16,Stocks!$A375,Movimientos!$G$6:$G$16,Stocks!H$3,Movimientos!$A$6:$A$16,"&lt;="&amp;Stocks!$A$2)</f>
        <v>0</v>
      </c>
      <c r="I375" s="4">
        <f>SUMIFS(Movimientos!$E$6:$E$16,Movimientos!$C$6:$C$16,Stocks!$A375,Movimientos!$F$6:$F$16,Stocks!I$3,Movimientos!$A$6:$A$16,"&lt;="&amp;Stocks!$A$2)-SUMIFS(Movimientos!$E$6:$E$16,Movimientos!$C$6:$C$16,Stocks!$A375,Movimientos!$G$6:$G$16,Stocks!I$3,Movimientos!$A$6:$A$16,"&lt;="&amp;Stocks!$A$2)</f>
        <v>0</v>
      </c>
      <c r="J375" s="4">
        <f>SUMIFS(Movimientos!$E$6:$E$16,Movimientos!$C$6:$C$16,Stocks!$A375,Movimientos!$F$6:$F$16,Stocks!J$3,Movimientos!$A$6:$A$16,"&lt;="&amp;Stocks!$A$2)-SUMIFS(Movimientos!$E$6:$E$16,Movimientos!$C$6:$C$16,Stocks!$A375,Movimientos!$G$6:$G$16,Stocks!J$3,Movimientos!$A$6:$A$16,"&lt;="&amp;Stocks!$A$2)</f>
        <v>0</v>
      </c>
      <c r="K375" s="4">
        <f>SUMIFS(Movimientos!$E$6:$E$16,Movimientos!$C$6:$C$16,Stocks!$A375,Movimientos!$F$6:$F$16,Stocks!K$3,Movimientos!$A$6:$A$16,"&lt;="&amp;Stocks!$A$2)-SUMIFS(Movimientos!$E$6:$E$16,Movimientos!$C$6:$C$16,Stocks!$A375,Movimientos!$G$6:$G$16,Stocks!K$3,Movimientos!$A$6:$A$16,"&lt;="&amp;Stocks!$A$2)</f>
        <v>0</v>
      </c>
      <c r="L375" s="4">
        <f>SUMIFS(Movimientos!$E$6:$E$16,Movimientos!$C$6:$C$16,Stocks!$A375,Movimientos!$F$6:$F$16,Stocks!L$3,Movimientos!$A$6:$A$16,"&lt;="&amp;Stocks!$A$2)-SUMIFS(Movimientos!$E$6:$E$16,Movimientos!$C$6:$C$16,Stocks!$A375,Movimientos!$G$6:$G$16,Stocks!L$3,Movimientos!$A$6:$A$16,"&lt;="&amp;Stocks!$A$2)</f>
        <v>0</v>
      </c>
    </row>
    <row r="376" spans="1:12" x14ac:dyDescent="0.25">
      <c r="A376">
        <f>Codificación!A375</f>
        <v>0</v>
      </c>
      <c r="B376" s="1">
        <f>Codificación!B375</f>
        <v>0</v>
      </c>
      <c r="E376" s="4">
        <f>SUMIFS(Movimientos!$E$6:$E$16,Movimientos!$C$6:$C$16,Stocks!$A376,Movimientos!$F$6:$F$16,Stocks!E$3,Movimientos!$A$6:$A$16,"&lt;="&amp;Stocks!$A$2)-SUMIFS(Movimientos!$E$6:$E$16,Movimientos!$C$6:$C$16,Stocks!$A376,Movimientos!$G$6:$G$16,Stocks!E$3,Movimientos!$A$6:$A$16,"&lt;="&amp;Stocks!$A$2)</f>
        <v>0</v>
      </c>
      <c r="F376" s="4">
        <f>SUMIFS(Movimientos!$E$6:$E$16,Movimientos!$C$6:$C$16,Stocks!$A376,Movimientos!$F$6:$F$16,Stocks!F$3,Movimientos!$A$6:$A$16,"&lt;="&amp;Stocks!$A$2)-SUMIFS(Movimientos!$E$6:$E$16,Movimientos!$C$6:$C$16,Stocks!$A376,Movimientos!$G$6:$G$16,Stocks!F$3,Movimientos!$A$6:$A$16,"&lt;="&amp;Stocks!$A$2)</f>
        <v>0</v>
      </c>
      <c r="G376" s="4">
        <f>SUMIFS(Movimientos!$E$6:$E$16,Movimientos!$C$6:$C$16,Stocks!$A376,Movimientos!$F$6:$F$16,Stocks!G$3,Movimientos!$A$6:$A$16,"&lt;="&amp;Stocks!$A$2)-SUMIFS(Movimientos!$E$6:$E$16,Movimientos!$C$6:$C$16,Stocks!$A376,Movimientos!$G$6:$G$16,Stocks!G$3,Movimientos!$A$6:$A$16,"&lt;="&amp;Stocks!$A$2)</f>
        <v>0</v>
      </c>
      <c r="H376" s="4">
        <f>SUMIFS(Movimientos!$E$6:$E$16,Movimientos!$C$6:$C$16,Stocks!$A376,Movimientos!$F$6:$F$16,Stocks!H$3,Movimientos!$A$6:$A$16,"&lt;="&amp;Stocks!$A$2)-SUMIFS(Movimientos!$E$6:$E$16,Movimientos!$C$6:$C$16,Stocks!$A376,Movimientos!$G$6:$G$16,Stocks!H$3,Movimientos!$A$6:$A$16,"&lt;="&amp;Stocks!$A$2)</f>
        <v>0</v>
      </c>
      <c r="I376" s="4">
        <f>SUMIFS(Movimientos!$E$6:$E$16,Movimientos!$C$6:$C$16,Stocks!$A376,Movimientos!$F$6:$F$16,Stocks!I$3,Movimientos!$A$6:$A$16,"&lt;="&amp;Stocks!$A$2)-SUMIFS(Movimientos!$E$6:$E$16,Movimientos!$C$6:$C$16,Stocks!$A376,Movimientos!$G$6:$G$16,Stocks!I$3,Movimientos!$A$6:$A$16,"&lt;="&amp;Stocks!$A$2)</f>
        <v>0</v>
      </c>
      <c r="J376" s="4">
        <f>SUMIFS(Movimientos!$E$6:$E$16,Movimientos!$C$6:$C$16,Stocks!$A376,Movimientos!$F$6:$F$16,Stocks!J$3,Movimientos!$A$6:$A$16,"&lt;="&amp;Stocks!$A$2)-SUMIFS(Movimientos!$E$6:$E$16,Movimientos!$C$6:$C$16,Stocks!$A376,Movimientos!$G$6:$G$16,Stocks!J$3,Movimientos!$A$6:$A$16,"&lt;="&amp;Stocks!$A$2)</f>
        <v>0</v>
      </c>
      <c r="K376" s="4">
        <f>SUMIFS(Movimientos!$E$6:$E$16,Movimientos!$C$6:$C$16,Stocks!$A376,Movimientos!$F$6:$F$16,Stocks!K$3,Movimientos!$A$6:$A$16,"&lt;="&amp;Stocks!$A$2)-SUMIFS(Movimientos!$E$6:$E$16,Movimientos!$C$6:$C$16,Stocks!$A376,Movimientos!$G$6:$G$16,Stocks!K$3,Movimientos!$A$6:$A$16,"&lt;="&amp;Stocks!$A$2)</f>
        <v>0</v>
      </c>
      <c r="L376" s="4">
        <f>SUMIFS(Movimientos!$E$6:$E$16,Movimientos!$C$6:$C$16,Stocks!$A376,Movimientos!$F$6:$F$16,Stocks!L$3,Movimientos!$A$6:$A$16,"&lt;="&amp;Stocks!$A$2)-SUMIFS(Movimientos!$E$6:$E$16,Movimientos!$C$6:$C$16,Stocks!$A376,Movimientos!$G$6:$G$16,Stocks!L$3,Movimientos!$A$6:$A$16,"&lt;="&amp;Stocks!$A$2)</f>
        <v>0</v>
      </c>
    </row>
    <row r="377" spans="1:12" x14ac:dyDescent="0.25">
      <c r="A377">
        <f>Codificación!A376</f>
        <v>0</v>
      </c>
      <c r="B377" s="1">
        <f>Codificación!B376</f>
        <v>0</v>
      </c>
      <c r="E377" s="4">
        <f>SUMIFS(Movimientos!$E$6:$E$16,Movimientos!$C$6:$C$16,Stocks!$A377,Movimientos!$F$6:$F$16,Stocks!E$3,Movimientos!$A$6:$A$16,"&lt;="&amp;Stocks!$A$2)-SUMIFS(Movimientos!$E$6:$E$16,Movimientos!$C$6:$C$16,Stocks!$A377,Movimientos!$G$6:$G$16,Stocks!E$3,Movimientos!$A$6:$A$16,"&lt;="&amp;Stocks!$A$2)</f>
        <v>0</v>
      </c>
      <c r="F377" s="4">
        <f>SUMIFS(Movimientos!$E$6:$E$16,Movimientos!$C$6:$C$16,Stocks!$A377,Movimientos!$F$6:$F$16,Stocks!F$3,Movimientos!$A$6:$A$16,"&lt;="&amp;Stocks!$A$2)-SUMIFS(Movimientos!$E$6:$E$16,Movimientos!$C$6:$C$16,Stocks!$A377,Movimientos!$G$6:$G$16,Stocks!F$3,Movimientos!$A$6:$A$16,"&lt;="&amp;Stocks!$A$2)</f>
        <v>0</v>
      </c>
      <c r="G377" s="4">
        <f>SUMIFS(Movimientos!$E$6:$E$16,Movimientos!$C$6:$C$16,Stocks!$A377,Movimientos!$F$6:$F$16,Stocks!G$3,Movimientos!$A$6:$A$16,"&lt;="&amp;Stocks!$A$2)-SUMIFS(Movimientos!$E$6:$E$16,Movimientos!$C$6:$C$16,Stocks!$A377,Movimientos!$G$6:$G$16,Stocks!G$3,Movimientos!$A$6:$A$16,"&lt;="&amp;Stocks!$A$2)</f>
        <v>0</v>
      </c>
      <c r="H377" s="4">
        <f>SUMIFS(Movimientos!$E$6:$E$16,Movimientos!$C$6:$C$16,Stocks!$A377,Movimientos!$F$6:$F$16,Stocks!H$3,Movimientos!$A$6:$A$16,"&lt;="&amp;Stocks!$A$2)-SUMIFS(Movimientos!$E$6:$E$16,Movimientos!$C$6:$C$16,Stocks!$A377,Movimientos!$G$6:$G$16,Stocks!H$3,Movimientos!$A$6:$A$16,"&lt;="&amp;Stocks!$A$2)</f>
        <v>0</v>
      </c>
      <c r="I377" s="4">
        <f>SUMIFS(Movimientos!$E$6:$E$16,Movimientos!$C$6:$C$16,Stocks!$A377,Movimientos!$F$6:$F$16,Stocks!I$3,Movimientos!$A$6:$A$16,"&lt;="&amp;Stocks!$A$2)-SUMIFS(Movimientos!$E$6:$E$16,Movimientos!$C$6:$C$16,Stocks!$A377,Movimientos!$G$6:$G$16,Stocks!I$3,Movimientos!$A$6:$A$16,"&lt;="&amp;Stocks!$A$2)</f>
        <v>0</v>
      </c>
      <c r="J377" s="4">
        <f>SUMIFS(Movimientos!$E$6:$E$16,Movimientos!$C$6:$C$16,Stocks!$A377,Movimientos!$F$6:$F$16,Stocks!J$3,Movimientos!$A$6:$A$16,"&lt;="&amp;Stocks!$A$2)-SUMIFS(Movimientos!$E$6:$E$16,Movimientos!$C$6:$C$16,Stocks!$A377,Movimientos!$G$6:$G$16,Stocks!J$3,Movimientos!$A$6:$A$16,"&lt;="&amp;Stocks!$A$2)</f>
        <v>0</v>
      </c>
      <c r="K377" s="4">
        <f>SUMIFS(Movimientos!$E$6:$E$16,Movimientos!$C$6:$C$16,Stocks!$A377,Movimientos!$F$6:$F$16,Stocks!K$3,Movimientos!$A$6:$A$16,"&lt;="&amp;Stocks!$A$2)-SUMIFS(Movimientos!$E$6:$E$16,Movimientos!$C$6:$C$16,Stocks!$A377,Movimientos!$G$6:$G$16,Stocks!K$3,Movimientos!$A$6:$A$16,"&lt;="&amp;Stocks!$A$2)</f>
        <v>0</v>
      </c>
      <c r="L377" s="4">
        <f>SUMIFS(Movimientos!$E$6:$E$16,Movimientos!$C$6:$C$16,Stocks!$A377,Movimientos!$F$6:$F$16,Stocks!L$3,Movimientos!$A$6:$A$16,"&lt;="&amp;Stocks!$A$2)-SUMIFS(Movimientos!$E$6:$E$16,Movimientos!$C$6:$C$16,Stocks!$A377,Movimientos!$G$6:$G$16,Stocks!L$3,Movimientos!$A$6:$A$16,"&lt;="&amp;Stocks!$A$2)</f>
        <v>0</v>
      </c>
    </row>
    <row r="378" spans="1:12" x14ac:dyDescent="0.25">
      <c r="A378">
        <f>Codificación!A377</f>
        <v>0</v>
      </c>
      <c r="B378" s="1">
        <f>Codificación!B377</f>
        <v>0</v>
      </c>
      <c r="E378" s="4">
        <f>SUMIFS(Movimientos!$E$6:$E$16,Movimientos!$C$6:$C$16,Stocks!$A378,Movimientos!$F$6:$F$16,Stocks!E$3,Movimientos!$A$6:$A$16,"&lt;="&amp;Stocks!$A$2)-SUMIFS(Movimientos!$E$6:$E$16,Movimientos!$C$6:$C$16,Stocks!$A378,Movimientos!$G$6:$G$16,Stocks!E$3,Movimientos!$A$6:$A$16,"&lt;="&amp;Stocks!$A$2)</f>
        <v>0</v>
      </c>
      <c r="F378" s="4">
        <f>SUMIFS(Movimientos!$E$6:$E$16,Movimientos!$C$6:$C$16,Stocks!$A378,Movimientos!$F$6:$F$16,Stocks!F$3,Movimientos!$A$6:$A$16,"&lt;="&amp;Stocks!$A$2)-SUMIFS(Movimientos!$E$6:$E$16,Movimientos!$C$6:$C$16,Stocks!$A378,Movimientos!$G$6:$G$16,Stocks!F$3,Movimientos!$A$6:$A$16,"&lt;="&amp;Stocks!$A$2)</f>
        <v>0</v>
      </c>
      <c r="G378" s="4">
        <f>SUMIFS(Movimientos!$E$6:$E$16,Movimientos!$C$6:$C$16,Stocks!$A378,Movimientos!$F$6:$F$16,Stocks!G$3,Movimientos!$A$6:$A$16,"&lt;="&amp;Stocks!$A$2)-SUMIFS(Movimientos!$E$6:$E$16,Movimientos!$C$6:$C$16,Stocks!$A378,Movimientos!$G$6:$G$16,Stocks!G$3,Movimientos!$A$6:$A$16,"&lt;="&amp;Stocks!$A$2)</f>
        <v>0</v>
      </c>
      <c r="H378" s="4">
        <f>SUMIFS(Movimientos!$E$6:$E$16,Movimientos!$C$6:$C$16,Stocks!$A378,Movimientos!$F$6:$F$16,Stocks!H$3,Movimientos!$A$6:$A$16,"&lt;="&amp;Stocks!$A$2)-SUMIFS(Movimientos!$E$6:$E$16,Movimientos!$C$6:$C$16,Stocks!$A378,Movimientos!$G$6:$G$16,Stocks!H$3,Movimientos!$A$6:$A$16,"&lt;="&amp;Stocks!$A$2)</f>
        <v>0</v>
      </c>
      <c r="I378" s="4">
        <f>SUMIFS(Movimientos!$E$6:$E$16,Movimientos!$C$6:$C$16,Stocks!$A378,Movimientos!$F$6:$F$16,Stocks!I$3,Movimientos!$A$6:$A$16,"&lt;="&amp;Stocks!$A$2)-SUMIFS(Movimientos!$E$6:$E$16,Movimientos!$C$6:$C$16,Stocks!$A378,Movimientos!$G$6:$G$16,Stocks!I$3,Movimientos!$A$6:$A$16,"&lt;="&amp;Stocks!$A$2)</f>
        <v>0</v>
      </c>
      <c r="J378" s="4">
        <f>SUMIFS(Movimientos!$E$6:$E$16,Movimientos!$C$6:$C$16,Stocks!$A378,Movimientos!$F$6:$F$16,Stocks!J$3,Movimientos!$A$6:$A$16,"&lt;="&amp;Stocks!$A$2)-SUMIFS(Movimientos!$E$6:$E$16,Movimientos!$C$6:$C$16,Stocks!$A378,Movimientos!$G$6:$G$16,Stocks!J$3,Movimientos!$A$6:$A$16,"&lt;="&amp;Stocks!$A$2)</f>
        <v>0</v>
      </c>
      <c r="K378" s="4">
        <f>SUMIFS(Movimientos!$E$6:$E$16,Movimientos!$C$6:$C$16,Stocks!$A378,Movimientos!$F$6:$F$16,Stocks!K$3,Movimientos!$A$6:$A$16,"&lt;="&amp;Stocks!$A$2)-SUMIFS(Movimientos!$E$6:$E$16,Movimientos!$C$6:$C$16,Stocks!$A378,Movimientos!$G$6:$G$16,Stocks!K$3,Movimientos!$A$6:$A$16,"&lt;="&amp;Stocks!$A$2)</f>
        <v>0</v>
      </c>
      <c r="L378" s="4">
        <f>SUMIFS(Movimientos!$E$6:$E$16,Movimientos!$C$6:$C$16,Stocks!$A378,Movimientos!$F$6:$F$16,Stocks!L$3,Movimientos!$A$6:$A$16,"&lt;="&amp;Stocks!$A$2)-SUMIFS(Movimientos!$E$6:$E$16,Movimientos!$C$6:$C$16,Stocks!$A378,Movimientos!$G$6:$G$16,Stocks!L$3,Movimientos!$A$6:$A$16,"&lt;="&amp;Stocks!$A$2)</f>
        <v>0</v>
      </c>
    </row>
    <row r="379" spans="1:12" x14ac:dyDescent="0.25">
      <c r="A379">
        <f>Codificación!A378</f>
        <v>0</v>
      </c>
      <c r="B379" s="1">
        <f>Codificación!B378</f>
        <v>0</v>
      </c>
      <c r="E379" s="4">
        <f>SUMIFS(Movimientos!$E$6:$E$16,Movimientos!$C$6:$C$16,Stocks!$A379,Movimientos!$F$6:$F$16,Stocks!E$3,Movimientos!$A$6:$A$16,"&lt;="&amp;Stocks!$A$2)-SUMIFS(Movimientos!$E$6:$E$16,Movimientos!$C$6:$C$16,Stocks!$A379,Movimientos!$G$6:$G$16,Stocks!E$3,Movimientos!$A$6:$A$16,"&lt;="&amp;Stocks!$A$2)</f>
        <v>0</v>
      </c>
      <c r="F379" s="4">
        <f>SUMIFS(Movimientos!$E$6:$E$16,Movimientos!$C$6:$C$16,Stocks!$A379,Movimientos!$F$6:$F$16,Stocks!F$3,Movimientos!$A$6:$A$16,"&lt;="&amp;Stocks!$A$2)-SUMIFS(Movimientos!$E$6:$E$16,Movimientos!$C$6:$C$16,Stocks!$A379,Movimientos!$G$6:$G$16,Stocks!F$3,Movimientos!$A$6:$A$16,"&lt;="&amp;Stocks!$A$2)</f>
        <v>0</v>
      </c>
      <c r="G379" s="4">
        <f>SUMIFS(Movimientos!$E$6:$E$16,Movimientos!$C$6:$C$16,Stocks!$A379,Movimientos!$F$6:$F$16,Stocks!G$3,Movimientos!$A$6:$A$16,"&lt;="&amp;Stocks!$A$2)-SUMIFS(Movimientos!$E$6:$E$16,Movimientos!$C$6:$C$16,Stocks!$A379,Movimientos!$G$6:$G$16,Stocks!G$3,Movimientos!$A$6:$A$16,"&lt;="&amp;Stocks!$A$2)</f>
        <v>0</v>
      </c>
      <c r="H379" s="4">
        <f>SUMIFS(Movimientos!$E$6:$E$16,Movimientos!$C$6:$C$16,Stocks!$A379,Movimientos!$F$6:$F$16,Stocks!H$3,Movimientos!$A$6:$A$16,"&lt;="&amp;Stocks!$A$2)-SUMIFS(Movimientos!$E$6:$E$16,Movimientos!$C$6:$C$16,Stocks!$A379,Movimientos!$G$6:$G$16,Stocks!H$3,Movimientos!$A$6:$A$16,"&lt;="&amp;Stocks!$A$2)</f>
        <v>0</v>
      </c>
      <c r="I379" s="4">
        <f>SUMIFS(Movimientos!$E$6:$E$16,Movimientos!$C$6:$C$16,Stocks!$A379,Movimientos!$F$6:$F$16,Stocks!I$3,Movimientos!$A$6:$A$16,"&lt;="&amp;Stocks!$A$2)-SUMIFS(Movimientos!$E$6:$E$16,Movimientos!$C$6:$C$16,Stocks!$A379,Movimientos!$G$6:$G$16,Stocks!I$3,Movimientos!$A$6:$A$16,"&lt;="&amp;Stocks!$A$2)</f>
        <v>0</v>
      </c>
      <c r="J379" s="4">
        <f>SUMIFS(Movimientos!$E$6:$E$16,Movimientos!$C$6:$C$16,Stocks!$A379,Movimientos!$F$6:$F$16,Stocks!J$3,Movimientos!$A$6:$A$16,"&lt;="&amp;Stocks!$A$2)-SUMIFS(Movimientos!$E$6:$E$16,Movimientos!$C$6:$C$16,Stocks!$A379,Movimientos!$G$6:$G$16,Stocks!J$3,Movimientos!$A$6:$A$16,"&lt;="&amp;Stocks!$A$2)</f>
        <v>0</v>
      </c>
      <c r="K379" s="4">
        <f>SUMIFS(Movimientos!$E$6:$E$16,Movimientos!$C$6:$C$16,Stocks!$A379,Movimientos!$F$6:$F$16,Stocks!K$3,Movimientos!$A$6:$A$16,"&lt;="&amp;Stocks!$A$2)-SUMIFS(Movimientos!$E$6:$E$16,Movimientos!$C$6:$C$16,Stocks!$A379,Movimientos!$G$6:$G$16,Stocks!K$3,Movimientos!$A$6:$A$16,"&lt;="&amp;Stocks!$A$2)</f>
        <v>0</v>
      </c>
      <c r="L379" s="4">
        <f>SUMIFS(Movimientos!$E$6:$E$16,Movimientos!$C$6:$C$16,Stocks!$A379,Movimientos!$F$6:$F$16,Stocks!L$3,Movimientos!$A$6:$A$16,"&lt;="&amp;Stocks!$A$2)-SUMIFS(Movimientos!$E$6:$E$16,Movimientos!$C$6:$C$16,Stocks!$A379,Movimientos!$G$6:$G$16,Stocks!L$3,Movimientos!$A$6:$A$16,"&lt;="&amp;Stocks!$A$2)</f>
        <v>0</v>
      </c>
    </row>
    <row r="380" spans="1:12" x14ac:dyDescent="0.25">
      <c r="A380">
        <f>Codificación!A379</f>
        <v>0</v>
      </c>
      <c r="B380" s="1">
        <f>Codificación!B379</f>
        <v>0</v>
      </c>
      <c r="E380" s="4">
        <f>SUMIFS(Movimientos!$E$6:$E$16,Movimientos!$C$6:$C$16,Stocks!$A380,Movimientos!$F$6:$F$16,Stocks!E$3,Movimientos!$A$6:$A$16,"&lt;="&amp;Stocks!$A$2)-SUMIFS(Movimientos!$E$6:$E$16,Movimientos!$C$6:$C$16,Stocks!$A380,Movimientos!$G$6:$G$16,Stocks!E$3,Movimientos!$A$6:$A$16,"&lt;="&amp;Stocks!$A$2)</f>
        <v>0</v>
      </c>
      <c r="F380" s="4">
        <f>SUMIFS(Movimientos!$E$6:$E$16,Movimientos!$C$6:$C$16,Stocks!$A380,Movimientos!$F$6:$F$16,Stocks!F$3,Movimientos!$A$6:$A$16,"&lt;="&amp;Stocks!$A$2)-SUMIFS(Movimientos!$E$6:$E$16,Movimientos!$C$6:$C$16,Stocks!$A380,Movimientos!$G$6:$G$16,Stocks!F$3,Movimientos!$A$6:$A$16,"&lt;="&amp;Stocks!$A$2)</f>
        <v>0</v>
      </c>
      <c r="G380" s="4">
        <f>SUMIFS(Movimientos!$E$6:$E$16,Movimientos!$C$6:$C$16,Stocks!$A380,Movimientos!$F$6:$F$16,Stocks!G$3,Movimientos!$A$6:$A$16,"&lt;="&amp;Stocks!$A$2)-SUMIFS(Movimientos!$E$6:$E$16,Movimientos!$C$6:$C$16,Stocks!$A380,Movimientos!$G$6:$G$16,Stocks!G$3,Movimientos!$A$6:$A$16,"&lt;="&amp;Stocks!$A$2)</f>
        <v>0</v>
      </c>
      <c r="H380" s="4">
        <f>SUMIFS(Movimientos!$E$6:$E$16,Movimientos!$C$6:$C$16,Stocks!$A380,Movimientos!$F$6:$F$16,Stocks!H$3,Movimientos!$A$6:$A$16,"&lt;="&amp;Stocks!$A$2)-SUMIFS(Movimientos!$E$6:$E$16,Movimientos!$C$6:$C$16,Stocks!$A380,Movimientos!$G$6:$G$16,Stocks!H$3,Movimientos!$A$6:$A$16,"&lt;="&amp;Stocks!$A$2)</f>
        <v>0</v>
      </c>
      <c r="I380" s="4">
        <f>SUMIFS(Movimientos!$E$6:$E$16,Movimientos!$C$6:$C$16,Stocks!$A380,Movimientos!$F$6:$F$16,Stocks!I$3,Movimientos!$A$6:$A$16,"&lt;="&amp;Stocks!$A$2)-SUMIFS(Movimientos!$E$6:$E$16,Movimientos!$C$6:$C$16,Stocks!$A380,Movimientos!$G$6:$G$16,Stocks!I$3,Movimientos!$A$6:$A$16,"&lt;="&amp;Stocks!$A$2)</f>
        <v>0</v>
      </c>
      <c r="J380" s="4">
        <f>SUMIFS(Movimientos!$E$6:$E$16,Movimientos!$C$6:$C$16,Stocks!$A380,Movimientos!$F$6:$F$16,Stocks!J$3,Movimientos!$A$6:$A$16,"&lt;="&amp;Stocks!$A$2)-SUMIFS(Movimientos!$E$6:$E$16,Movimientos!$C$6:$C$16,Stocks!$A380,Movimientos!$G$6:$G$16,Stocks!J$3,Movimientos!$A$6:$A$16,"&lt;="&amp;Stocks!$A$2)</f>
        <v>0</v>
      </c>
      <c r="K380" s="4">
        <f>SUMIFS(Movimientos!$E$6:$E$16,Movimientos!$C$6:$C$16,Stocks!$A380,Movimientos!$F$6:$F$16,Stocks!K$3,Movimientos!$A$6:$A$16,"&lt;="&amp;Stocks!$A$2)-SUMIFS(Movimientos!$E$6:$E$16,Movimientos!$C$6:$C$16,Stocks!$A380,Movimientos!$G$6:$G$16,Stocks!K$3,Movimientos!$A$6:$A$16,"&lt;="&amp;Stocks!$A$2)</f>
        <v>0</v>
      </c>
      <c r="L380" s="4">
        <f>SUMIFS(Movimientos!$E$6:$E$16,Movimientos!$C$6:$C$16,Stocks!$A380,Movimientos!$F$6:$F$16,Stocks!L$3,Movimientos!$A$6:$A$16,"&lt;="&amp;Stocks!$A$2)-SUMIFS(Movimientos!$E$6:$E$16,Movimientos!$C$6:$C$16,Stocks!$A380,Movimientos!$G$6:$G$16,Stocks!L$3,Movimientos!$A$6:$A$16,"&lt;="&amp;Stocks!$A$2)</f>
        <v>0</v>
      </c>
    </row>
    <row r="381" spans="1:12" x14ac:dyDescent="0.25">
      <c r="A381">
        <f>Codificación!A380</f>
        <v>0</v>
      </c>
      <c r="B381" s="1">
        <f>Codificación!B380</f>
        <v>0</v>
      </c>
      <c r="E381" s="4">
        <f>SUMIFS(Movimientos!$E$6:$E$16,Movimientos!$C$6:$C$16,Stocks!$A381,Movimientos!$F$6:$F$16,Stocks!E$3,Movimientos!$A$6:$A$16,"&lt;="&amp;Stocks!$A$2)-SUMIFS(Movimientos!$E$6:$E$16,Movimientos!$C$6:$C$16,Stocks!$A381,Movimientos!$G$6:$G$16,Stocks!E$3,Movimientos!$A$6:$A$16,"&lt;="&amp;Stocks!$A$2)</f>
        <v>0</v>
      </c>
      <c r="F381" s="4">
        <f>SUMIFS(Movimientos!$E$6:$E$16,Movimientos!$C$6:$C$16,Stocks!$A381,Movimientos!$F$6:$F$16,Stocks!F$3,Movimientos!$A$6:$A$16,"&lt;="&amp;Stocks!$A$2)-SUMIFS(Movimientos!$E$6:$E$16,Movimientos!$C$6:$C$16,Stocks!$A381,Movimientos!$G$6:$G$16,Stocks!F$3,Movimientos!$A$6:$A$16,"&lt;="&amp;Stocks!$A$2)</f>
        <v>0</v>
      </c>
      <c r="G381" s="4">
        <f>SUMIFS(Movimientos!$E$6:$E$16,Movimientos!$C$6:$C$16,Stocks!$A381,Movimientos!$F$6:$F$16,Stocks!G$3,Movimientos!$A$6:$A$16,"&lt;="&amp;Stocks!$A$2)-SUMIFS(Movimientos!$E$6:$E$16,Movimientos!$C$6:$C$16,Stocks!$A381,Movimientos!$G$6:$G$16,Stocks!G$3,Movimientos!$A$6:$A$16,"&lt;="&amp;Stocks!$A$2)</f>
        <v>0</v>
      </c>
      <c r="H381" s="4">
        <f>SUMIFS(Movimientos!$E$6:$E$16,Movimientos!$C$6:$C$16,Stocks!$A381,Movimientos!$F$6:$F$16,Stocks!H$3,Movimientos!$A$6:$A$16,"&lt;="&amp;Stocks!$A$2)-SUMIFS(Movimientos!$E$6:$E$16,Movimientos!$C$6:$C$16,Stocks!$A381,Movimientos!$G$6:$G$16,Stocks!H$3,Movimientos!$A$6:$A$16,"&lt;="&amp;Stocks!$A$2)</f>
        <v>0</v>
      </c>
      <c r="I381" s="4">
        <f>SUMIFS(Movimientos!$E$6:$E$16,Movimientos!$C$6:$C$16,Stocks!$A381,Movimientos!$F$6:$F$16,Stocks!I$3,Movimientos!$A$6:$A$16,"&lt;="&amp;Stocks!$A$2)-SUMIFS(Movimientos!$E$6:$E$16,Movimientos!$C$6:$C$16,Stocks!$A381,Movimientos!$G$6:$G$16,Stocks!I$3,Movimientos!$A$6:$A$16,"&lt;="&amp;Stocks!$A$2)</f>
        <v>0</v>
      </c>
      <c r="J381" s="4">
        <f>SUMIFS(Movimientos!$E$6:$E$16,Movimientos!$C$6:$C$16,Stocks!$A381,Movimientos!$F$6:$F$16,Stocks!J$3,Movimientos!$A$6:$A$16,"&lt;="&amp;Stocks!$A$2)-SUMIFS(Movimientos!$E$6:$E$16,Movimientos!$C$6:$C$16,Stocks!$A381,Movimientos!$G$6:$G$16,Stocks!J$3,Movimientos!$A$6:$A$16,"&lt;="&amp;Stocks!$A$2)</f>
        <v>0</v>
      </c>
      <c r="K381" s="4">
        <f>SUMIFS(Movimientos!$E$6:$E$16,Movimientos!$C$6:$C$16,Stocks!$A381,Movimientos!$F$6:$F$16,Stocks!K$3,Movimientos!$A$6:$A$16,"&lt;="&amp;Stocks!$A$2)-SUMIFS(Movimientos!$E$6:$E$16,Movimientos!$C$6:$C$16,Stocks!$A381,Movimientos!$G$6:$G$16,Stocks!K$3,Movimientos!$A$6:$A$16,"&lt;="&amp;Stocks!$A$2)</f>
        <v>0</v>
      </c>
      <c r="L381" s="4">
        <f>SUMIFS(Movimientos!$E$6:$E$16,Movimientos!$C$6:$C$16,Stocks!$A381,Movimientos!$F$6:$F$16,Stocks!L$3,Movimientos!$A$6:$A$16,"&lt;="&amp;Stocks!$A$2)-SUMIFS(Movimientos!$E$6:$E$16,Movimientos!$C$6:$C$16,Stocks!$A381,Movimientos!$G$6:$G$16,Stocks!L$3,Movimientos!$A$6:$A$16,"&lt;="&amp;Stocks!$A$2)</f>
        <v>0</v>
      </c>
    </row>
    <row r="382" spans="1:12" x14ac:dyDescent="0.25">
      <c r="A382">
        <f>Codificación!A381</f>
        <v>0</v>
      </c>
      <c r="B382" s="1">
        <f>Codificación!B381</f>
        <v>0</v>
      </c>
      <c r="E382" s="4">
        <f>SUMIFS(Movimientos!$E$6:$E$16,Movimientos!$C$6:$C$16,Stocks!$A382,Movimientos!$F$6:$F$16,Stocks!E$3,Movimientos!$A$6:$A$16,"&lt;="&amp;Stocks!$A$2)-SUMIFS(Movimientos!$E$6:$E$16,Movimientos!$C$6:$C$16,Stocks!$A382,Movimientos!$G$6:$G$16,Stocks!E$3,Movimientos!$A$6:$A$16,"&lt;="&amp;Stocks!$A$2)</f>
        <v>0</v>
      </c>
      <c r="F382" s="4">
        <f>SUMIFS(Movimientos!$E$6:$E$16,Movimientos!$C$6:$C$16,Stocks!$A382,Movimientos!$F$6:$F$16,Stocks!F$3,Movimientos!$A$6:$A$16,"&lt;="&amp;Stocks!$A$2)-SUMIFS(Movimientos!$E$6:$E$16,Movimientos!$C$6:$C$16,Stocks!$A382,Movimientos!$G$6:$G$16,Stocks!F$3,Movimientos!$A$6:$A$16,"&lt;="&amp;Stocks!$A$2)</f>
        <v>0</v>
      </c>
      <c r="G382" s="4">
        <f>SUMIFS(Movimientos!$E$6:$E$16,Movimientos!$C$6:$C$16,Stocks!$A382,Movimientos!$F$6:$F$16,Stocks!G$3,Movimientos!$A$6:$A$16,"&lt;="&amp;Stocks!$A$2)-SUMIFS(Movimientos!$E$6:$E$16,Movimientos!$C$6:$C$16,Stocks!$A382,Movimientos!$G$6:$G$16,Stocks!G$3,Movimientos!$A$6:$A$16,"&lt;="&amp;Stocks!$A$2)</f>
        <v>0</v>
      </c>
      <c r="H382" s="4">
        <f>SUMIFS(Movimientos!$E$6:$E$16,Movimientos!$C$6:$C$16,Stocks!$A382,Movimientos!$F$6:$F$16,Stocks!H$3,Movimientos!$A$6:$A$16,"&lt;="&amp;Stocks!$A$2)-SUMIFS(Movimientos!$E$6:$E$16,Movimientos!$C$6:$C$16,Stocks!$A382,Movimientos!$G$6:$G$16,Stocks!H$3,Movimientos!$A$6:$A$16,"&lt;="&amp;Stocks!$A$2)</f>
        <v>0</v>
      </c>
      <c r="I382" s="4">
        <f>SUMIFS(Movimientos!$E$6:$E$16,Movimientos!$C$6:$C$16,Stocks!$A382,Movimientos!$F$6:$F$16,Stocks!I$3,Movimientos!$A$6:$A$16,"&lt;="&amp;Stocks!$A$2)-SUMIFS(Movimientos!$E$6:$E$16,Movimientos!$C$6:$C$16,Stocks!$A382,Movimientos!$G$6:$G$16,Stocks!I$3,Movimientos!$A$6:$A$16,"&lt;="&amp;Stocks!$A$2)</f>
        <v>0</v>
      </c>
      <c r="J382" s="4">
        <f>SUMIFS(Movimientos!$E$6:$E$16,Movimientos!$C$6:$C$16,Stocks!$A382,Movimientos!$F$6:$F$16,Stocks!J$3,Movimientos!$A$6:$A$16,"&lt;="&amp;Stocks!$A$2)-SUMIFS(Movimientos!$E$6:$E$16,Movimientos!$C$6:$C$16,Stocks!$A382,Movimientos!$G$6:$G$16,Stocks!J$3,Movimientos!$A$6:$A$16,"&lt;="&amp;Stocks!$A$2)</f>
        <v>0</v>
      </c>
      <c r="K382" s="4">
        <f>SUMIFS(Movimientos!$E$6:$E$16,Movimientos!$C$6:$C$16,Stocks!$A382,Movimientos!$F$6:$F$16,Stocks!K$3,Movimientos!$A$6:$A$16,"&lt;="&amp;Stocks!$A$2)-SUMIFS(Movimientos!$E$6:$E$16,Movimientos!$C$6:$C$16,Stocks!$A382,Movimientos!$G$6:$G$16,Stocks!K$3,Movimientos!$A$6:$A$16,"&lt;="&amp;Stocks!$A$2)</f>
        <v>0</v>
      </c>
      <c r="L382" s="4">
        <f>SUMIFS(Movimientos!$E$6:$E$16,Movimientos!$C$6:$C$16,Stocks!$A382,Movimientos!$F$6:$F$16,Stocks!L$3,Movimientos!$A$6:$A$16,"&lt;="&amp;Stocks!$A$2)-SUMIFS(Movimientos!$E$6:$E$16,Movimientos!$C$6:$C$16,Stocks!$A382,Movimientos!$G$6:$G$16,Stocks!L$3,Movimientos!$A$6:$A$16,"&lt;="&amp;Stocks!$A$2)</f>
        <v>0</v>
      </c>
    </row>
    <row r="383" spans="1:12" x14ac:dyDescent="0.25">
      <c r="A383">
        <f>Codificación!A382</f>
        <v>0</v>
      </c>
      <c r="B383" s="1">
        <f>Codificación!B382</f>
        <v>0</v>
      </c>
      <c r="E383" s="4">
        <f>SUMIFS(Movimientos!$E$6:$E$16,Movimientos!$C$6:$C$16,Stocks!$A383,Movimientos!$F$6:$F$16,Stocks!E$3,Movimientos!$A$6:$A$16,"&lt;="&amp;Stocks!$A$2)-SUMIFS(Movimientos!$E$6:$E$16,Movimientos!$C$6:$C$16,Stocks!$A383,Movimientos!$G$6:$G$16,Stocks!E$3,Movimientos!$A$6:$A$16,"&lt;="&amp;Stocks!$A$2)</f>
        <v>0</v>
      </c>
      <c r="F383" s="4">
        <f>SUMIFS(Movimientos!$E$6:$E$16,Movimientos!$C$6:$C$16,Stocks!$A383,Movimientos!$F$6:$F$16,Stocks!F$3,Movimientos!$A$6:$A$16,"&lt;="&amp;Stocks!$A$2)-SUMIFS(Movimientos!$E$6:$E$16,Movimientos!$C$6:$C$16,Stocks!$A383,Movimientos!$G$6:$G$16,Stocks!F$3,Movimientos!$A$6:$A$16,"&lt;="&amp;Stocks!$A$2)</f>
        <v>0</v>
      </c>
      <c r="G383" s="4">
        <f>SUMIFS(Movimientos!$E$6:$E$16,Movimientos!$C$6:$C$16,Stocks!$A383,Movimientos!$F$6:$F$16,Stocks!G$3,Movimientos!$A$6:$A$16,"&lt;="&amp;Stocks!$A$2)-SUMIFS(Movimientos!$E$6:$E$16,Movimientos!$C$6:$C$16,Stocks!$A383,Movimientos!$G$6:$G$16,Stocks!G$3,Movimientos!$A$6:$A$16,"&lt;="&amp;Stocks!$A$2)</f>
        <v>0</v>
      </c>
      <c r="H383" s="4">
        <f>SUMIFS(Movimientos!$E$6:$E$16,Movimientos!$C$6:$C$16,Stocks!$A383,Movimientos!$F$6:$F$16,Stocks!H$3,Movimientos!$A$6:$A$16,"&lt;="&amp;Stocks!$A$2)-SUMIFS(Movimientos!$E$6:$E$16,Movimientos!$C$6:$C$16,Stocks!$A383,Movimientos!$G$6:$G$16,Stocks!H$3,Movimientos!$A$6:$A$16,"&lt;="&amp;Stocks!$A$2)</f>
        <v>0</v>
      </c>
      <c r="I383" s="4">
        <f>SUMIFS(Movimientos!$E$6:$E$16,Movimientos!$C$6:$C$16,Stocks!$A383,Movimientos!$F$6:$F$16,Stocks!I$3,Movimientos!$A$6:$A$16,"&lt;="&amp;Stocks!$A$2)-SUMIFS(Movimientos!$E$6:$E$16,Movimientos!$C$6:$C$16,Stocks!$A383,Movimientos!$G$6:$G$16,Stocks!I$3,Movimientos!$A$6:$A$16,"&lt;="&amp;Stocks!$A$2)</f>
        <v>0</v>
      </c>
      <c r="J383" s="4">
        <f>SUMIFS(Movimientos!$E$6:$E$16,Movimientos!$C$6:$C$16,Stocks!$A383,Movimientos!$F$6:$F$16,Stocks!J$3,Movimientos!$A$6:$A$16,"&lt;="&amp;Stocks!$A$2)-SUMIFS(Movimientos!$E$6:$E$16,Movimientos!$C$6:$C$16,Stocks!$A383,Movimientos!$G$6:$G$16,Stocks!J$3,Movimientos!$A$6:$A$16,"&lt;="&amp;Stocks!$A$2)</f>
        <v>0</v>
      </c>
      <c r="K383" s="4">
        <f>SUMIFS(Movimientos!$E$6:$E$16,Movimientos!$C$6:$C$16,Stocks!$A383,Movimientos!$F$6:$F$16,Stocks!K$3,Movimientos!$A$6:$A$16,"&lt;="&amp;Stocks!$A$2)-SUMIFS(Movimientos!$E$6:$E$16,Movimientos!$C$6:$C$16,Stocks!$A383,Movimientos!$G$6:$G$16,Stocks!K$3,Movimientos!$A$6:$A$16,"&lt;="&amp;Stocks!$A$2)</f>
        <v>0</v>
      </c>
      <c r="L383" s="4">
        <f>SUMIFS(Movimientos!$E$6:$E$16,Movimientos!$C$6:$C$16,Stocks!$A383,Movimientos!$F$6:$F$16,Stocks!L$3,Movimientos!$A$6:$A$16,"&lt;="&amp;Stocks!$A$2)-SUMIFS(Movimientos!$E$6:$E$16,Movimientos!$C$6:$C$16,Stocks!$A383,Movimientos!$G$6:$G$16,Stocks!L$3,Movimientos!$A$6:$A$16,"&lt;="&amp;Stocks!$A$2)</f>
        <v>0</v>
      </c>
    </row>
    <row r="384" spans="1:12" x14ac:dyDescent="0.25">
      <c r="A384">
        <f>Codificación!A383</f>
        <v>0</v>
      </c>
      <c r="B384" s="1">
        <f>Codificación!B383</f>
        <v>0</v>
      </c>
      <c r="E384" s="4">
        <f>SUMIFS(Movimientos!$E$6:$E$16,Movimientos!$C$6:$C$16,Stocks!$A384,Movimientos!$F$6:$F$16,Stocks!E$3,Movimientos!$A$6:$A$16,"&lt;="&amp;Stocks!$A$2)-SUMIFS(Movimientos!$E$6:$E$16,Movimientos!$C$6:$C$16,Stocks!$A384,Movimientos!$G$6:$G$16,Stocks!E$3,Movimientos!$A$6:$A$16,"&lt;="&amp;Stocks!$A$2)</f>
        <v>0</v>
      </c>
      <c r="F384" s="4">
        <f>SUMIFS(Movimientos!$E$6:$E$16,Movimientos!$C$6:$C$16,Stocks!$A384,Movimientos!$F$6:$F$16,Stocks!F$3,Movimientos!$A$6:$A$16,"&lt;="&amp;Stocks!$A$2)-SUMIFS(Movimientos!$E$6:$E$16,Movimientos!$C$6:$C$16,Stocks!$A384,Movimientos!$G$6:$G$16,Stocks!F$3,Movimientos!$A$6:$A$16,"&lt;="&amp;Stocks!$A$2)</f>
        <v>0</v>
      </c>
      <c r="G384" s="4">
        <f>SUMIFS(Movimientos!$E$6:$E$16,Movimientos!$C$6:$C$16,Stocks!$A384,Movimientos!$F$6:$F$16,Stocks!G$3,Movimientos!$A$6:$A$16,"&lt;="&amp;Stocks!$A$2)-SUMIFS(Movimientos!$E$6:$E$16,Movimientos!$C$6:$C$16,Stocks!$A384,Movimientos!$G$6:$G$16,Stocks!G$3,Movimientos!$A$6:$A$16,"&lt;="&amp;Stocks!$A$2)</f>
        <v>0</v>
      </c>
      <c r="H384" s="4">
        <f>SUMIFS(Movimientos!$E$6:$E$16,Movimientos!$C$6:$C$16,Stocks!$A384,Movimientos!$F$6:$F$16,Stocks!H$3,Movimientos!$A$6:$A$16,"&lt;="&amp;Stocks!$A$2)-SUMIFS(Movimientos!$E$6:$E$16,Movimientos!$C$6:$C$16,Stocks!$A384,Movimientos!$G$6:$G$16,Stocks!H$3,Movimientos!$A$6:$A$16,"&lt;="&amp;Stocks!$A$2)</f>
        <v>0</v>
      </c>
      <c r="I384" s="4">
        <f>SUMIFS(Movimientos!$E$6:$E$16,Movimientos!$C$6:$C$16,Stocks!$A384,Movimientos!$F$6:$F$16,Stocks!I$3,Movimientos!$A$6:$A$16,"&lt;="&amp;Stocks!$A$2)-SUMIFS(Movimientos!$E$6:$E$16,Movimientos!$C$6:$C$16,Stocks!$A384,Movimientos!$G$6:$G$16,Stocks!I$3,Movimientos!$A$6:$A$16,"&lt;="&amp;Stocks!$A$2)</f>
        <v>0</v>
      </c>
      <c r="J384" s="4">
        <f>SUMIFS(Movimientos!$E$6:$E$16,Movimientos!$C$6:$C$16,Stocks!$A384,Movimientos!$F$6:$F$16,Stocks!J$3,Movimientos!$A$6:$A$16,"&lt;="&amp;Stocks!$A$2)-SUMIFS(Movimientos!$E$6:$E$16,Movimientos!$C$6:$C$16,Stocks!$A384,Movimientos!$G$6:$G$16,Stocks!J$3,Movimientos!$A$6:$A$16,"&lt;="&amp;Stocks!$A$2)</f>
        <v>0</v>
      </c>
      <c r="K384" s="4">
        <f>SUMIFS(Movimientos!$E$6:$E$16,Movimientos!$C$6:$C$16,Stocks!$A384,Movimientos!$F$6:$F$16,Stocks!K$3,Movimientos!$A$6:$A$16,"&lt;="&amp;Stocks!$A$2)-SUMIFS(Movimientos!$E$6:$E$16,Movimientos!$C$6:$C$16,Stocks!$A384,Movimientos!$G$6:$G$16,Stocks!K$3,Movimientos!$A$6:$A$16,"&lt;="&amp;Stocks!$A$2)</f>
        <v>0</v>
      </c>
      <c r="L384" s="4">
        <f>SUMIFS(Movimientos!$E$6:$E$16,Movimientos!$C$6:$C$16,Stocks!$A384,Movimientos!$F$6:$F$16,Stocks!L$3,Movimientos!$A$6:$A$16,"&lt;="&amp;Stocks!$A$2)-SUMIFS(Movimientos!$E$6:$E$16,Movimientos!$C$6:$C$16,Stocks!$A384,Movimientos!$G$6:$G$16,Stocks!L$3,Movimientos!$A$6:$A$16,"&lt;="&amp;Stocks!$A$2)</f>
        <v>0</v>
      </c>
    </row>
    <row r="385" spans="1:12" x14ac:dyDescent="0.25">
      <c r="A385">
        <f>Codificación!A384</f>
        <v>0</v>
      </c>
      <c r="B385" s="1">
        <f>Codificación!B384</f>
        <v>0</v>
      </c>
      <c r="E385" s="4">
        <f>SUMIFS(Movimientos!$E$6:$E$16,Movimientos!$C$6:$C$16,Stocks!$A385,Movimientos!$F$6:$F$16,Stocks!E$3,Movimientos!$A$6:$A$16,"&lt;="&amp;Stocks!$A$2)-SUMIFS(Movimientos!$E$6:$E$16,Movimientos!$C$6:$C$16,Stocks!$A385,Movimientos!$G$6:$G$16,Stocks!E$3,Movimientos!$A$6:$A$16,"&lt;="&amp;Stocks!$A$2)</f>
        <v>0</v>
      </c>
      <c r="F385" s="4">
        <f>SUMIFS(Movimientos!$E$6:$E$16,Movimientos!$C$6:$C$16,Stocks!$A385,Movimientos!$F$6:$F$16,Stocks!F$3,Movimientos!$A$6:$A$16,"&lt;="&amp;Stocks!$A$2)-SUMIFS(Movimientos!$E$6:$E$16,Movimientos!$C$6:$C$16,Stocks!$A385,Movimientos!$G$6:$G$16,Stocks!F$3,Movimientos!$A$6:$A$16,"&lt;="&amp;Stocks!$A$2)</f>
        <v>0</v>
      </c>
      <c r="G385" s="4">
        <f>SUMIFS(Movimientos!$E$6:$E$16,Movimientos!$C$6:$C$16,Stocks!$A385,Movimientos!$F$6:$F$16,Stocks!G$3,Movimientos!$A$6:$A$16,"&lt;="&amp;Stocks!$A$2)-SUMIFS(Movimientos!$E$6:$E$16,Movimientos!$C$6:$C$16,Stocks!$A385,Movimientos!$G$6:$G$16,Stocks!G$3,Movimientos!$A$6:$A$16,"&lt;="&amp;Stocks!$A$2)</f>
        <v>0</v>
      </c>
      <c r="H385" s="4">
        <f>SUMIFS(Movimientos!$E$6:$E$16,Movimientos!$C$6:$C$16,Stocks!$A385,Movimientos!$F$6:$F$16,Stocks!H$3,Movimientos!$A$6:$A$16,"&lt;="&amp;Stocks!$A$2)-SUMIFS(Movimientos!$E$6:$E$16,Movimientos!$C$6:$C$16,Stocks!$A385,Movimientos!$G$6:$G$16,Stocks!H$3,Movimientos!$A$6:$A$16,"&lt;="&amp;Stocks!$A$2)</f>
        <v>0</v>
      </c>
      <c r="I385" s="4">
        <f>SUMIFS(Movimientos!$E$6:$E$16,Movimientos!$C$6:$C$16,Stocks!$A385,Movimientos!$F$6:$F$16,Stocks!I$3,Movimientos!$A$6:$A$16,"&lt;="&amp;Stocks!$A$2)-SUMIFS(Movimientos!$E$6:$E$16,Movimientos!$C$6:$C$16,Stocks!$A385,Movimientos!$G$6:$G$16,Stocks!I$3,Movimientos!$A$6:$A$16,"&lt;="&amp;Stocks!$A$2)</f>
        <v>0</v>
      </c>
      <c r="J385" s="4">
        <f>SUMIFS(Movimientos!$E$6:$E$16,Movimientos!$C$6:$C$16,Stocks!$A385,Movimientos!$F$6:$F$16,Stocks!J$3,Movimientos!$A$6:$A$16,"&lt;="&amp;Stocks!$A$2)-SUMIFS(Movimientos!$E$6:$E$16,Movimientos!$C$6:$C$16,Stocks!$A385,Movimientos!$G$6:$G$16,Stocks!J$3,Movimientos!$A$6:$A$16,"&lt;="&amp;Stocks!$A$2)</f>
        <v>0</v>
      </c>
      <c r="K385" s="4">
        <f>SUMIFS(Movimientos!$E$6:$E$16,Movimientos!$C$6:$C$16,Stocks!$A385,Movimientos!$F$6:$F$16,Stocks!K$3,Movimientos!$A$6:$A$16,"&lt;="&amp;Stocks!$A$2)-SUMIFS(Movimientos!$E$6:$E$16,Movimientos!$C$6:$C$16,Stocks!$A385,Movimientos!$G$6:$G$16,Stocks!K$3,Movimientos!$A$6:$A$16,"&lt;="&amp;Stocks!$A$2)</f>
        <v>0</v>
      </c>
      <c r="L385" s="4">
        <f>SUMIFS(Movimientos!$E$6:$E$16,Movimientos!$C$6:$C$16,Stocks!$A385,Movimientos!$F$6:$F$16,Stocks!L$3,Movimientos!$A$6:$A$16,"&lt;="&amp;Stocks!$A$2)-SUMIFS(Movimientos!$E$6:$E$16,Movimientos!$C$6:$C$16,Stocks!$A385,Movimientos!$G$6:$G$16,Stocks!L$3,Movimientos!$A$6:$A$16,"&lt;="&amp;Stocks!$A$2)</f>
        <v>0</v>
      </c>
    </row>
    <row r="386" spans="1:12" x14ac:dyDescent="0.25">
      <c r="A386">
        <f>Codificación!A385</f>
        <v>0</v>
      </c>
      <c r="B386" s="1">
        <f>Codificación!B385</f>
        <v>0</v>
      </c>
      <c r="E386" s="4">
        <f>SUMIFS(Movimientos!$E$6:$E$16,Movimientos!$C$6:$C$16,Stocks!$A386,Movimientos!$F$6:$F$16,Stocks!E$3,Movimientos!$A$6:$A$16,"&lt;="&amp;Stocks!$A$2)-SUMIFS(Movimientos!$E$6:$E$16,Movimientos!$C$6:$C$16,Stocks!$A386,Movimientos!$G$6:$G$16,Stocks!E$3,Movimientos!$A$6:$A$16,"&lt;="&amp;Stocks!$A$2)</f>
        <v>0</v>
      </c>
      <c r="F386" s="4">
        <f>SUMIFS(Movimientos!$E$6:$E$16,Movimientos!$C$6:$C$16,Stocks!$A386,Movimientos!$F$6:$F$16,Stocks!F$3,Movimientos!$A$6:$A$16,"&lt;="&amp;Stocks!$A$2)-SUMIFS(Movimientos!$E$6:$E$16,Movimientos!$C$6:$C$16,Stocks!$A386,Movimientos!$G$6:$G$16,Stocks!F$3,Movimientos!$A$6:$A$16,"&lt;="&amp;Stocks!$A$2)</f>
        <v>0</v>
      </c>
      <c r="G386" s="4">
        <f>SUMIFS(Movimientos!$E$6:$E$16,Movimientos!$C$6:$C$16,Stocks!$A386,Movimientos!$F$6:$F$16,Stocks!G$3,Movimientos!$A$6:$A$16,"&lt;="&amp;Stocks!$A$2)-SUMIFS(Movimientos!$E$6:$E$16,Movimientos!$C$6:$C$16,Stocks!$A386,Movimientos!$G$6:$G$16,Stocks!G$3,Movimientos!$A$6:$A$16,"&lt;="&amp;Stocks!$A$2)</f>
        <v>0</v>
      </c>
      <c r="H386" s="4">
        <f>SUMIFS(Movimientos!$E$6:$E$16,Movimientos!$C$6:$C$16,Stocks!$A386,Movimientos!$F$6:$F$16,Stocks!H$3,Movimientos!$A$6:$A$16,"&lt;="&amp;Stocks!$A$2)-SUMIFS(Movimientos!$E$6:$E$16,Movimientos!$C$6:$C$16,Stocks!$A386,Movimientos!$G$6:$G$16,Stocks!H$3,Movimientos!$A$6:$A$16,"&lt;="&amp;Stocks!$A$2)</f>
        <v>0</v>
      </c>
      <c r="I386" s="4">
        <f>SUMIFS(Movimientos!$E$6:$E$16,Movimientos!$C$6:$C$16,Stocks!$A386,Movimientos!$F$6:$F$16,Stocks!I$3,Movimientos!$A$6:$A$16,"&lt;="&amp;Stocks!$A$2)-SUMIFS(Movimientos!$E$6:$E$16,Movimientos!$C$6:$C$16,Stocks!$A386,Movimientos!$G$6:$G$16,Stocks!I$3,Movimientos!$A$6:$A$16,"&lt;="&amp;Stocks!$A$2)</f>
        <v>0</v>
      </c>
      <c r="J386" s="4">
        <f>SUMIFS(Movimientos!$E$6:$E$16,Movimientos!$C$6:$C$16,Stocks!$A386,Movimientos!$F$6:$F$16,Stocks!J$3,Movimientos!$A$6:$A$16,"&lt;="&amp;Stocks!$A$2)-SUMIFS(Movimientos!$E$6:$E$16,Movimientos!$C$6:$C$16,Stocks!$A386,Movimientos!$G$6:$G$16,Stocks!J$3,Movimientos!$A$6:$A$16,"&lt;="&amp;Stocks!$A$2)</f>
        <v>0</v>
      </c>
      <c r="K386" s="4">
        <f>SUMIFS(Movimientos!$E$6:$E$16,Movimientos!$C$6:$C$16,Stocks!$A386,Movimientos!$F$6:$F$16,Stocks!K$3,Movimientos!$A$6:$A$16,"&lt;="&amp;Stocks!$A$2)-SUMIFS(Movimientos!$E$6:$E$16,Movimientos!$C$6:$C$16,Stocks!$A386,Movimientos!$G$6:$G$16,Stocks!K$3,Movimientos!$A$6:$A$16,"&lt;="&amp;Stocks!$A$2)</f>
        <v>0</v>
      </c>
      <c r="L386" s="4">
        <f>SUMIFS(Movimientos!$E$6:$E$16,Movimientos!$C$6:$C$16,Stocks!$A386,Movimientos!$F$6:$F$16,Stocks!L$3,Movimientos!$A$6:$A$16,"&lt;="&amp;Stocks!$A$2)-SUMIFS(Movimientos!$E$6:$E$16,Movimientos!$C$6:$C$16,Stocks!$A386,Movimientos!$G$6:$G$16,Stocks!L$3,Movimientos!$A$6:$A$16,"&lt;="&amp;Stocks!$A$2)</f>
        <v>0</v>
      </c>
    </row>
    <row r="387" spans="1:12" x14ac:dyDescent="0.25">
      <c r="A387">
        <f>Codificación!A386</f>
        <v>0</v>
      </c>
      <c r="B387" s="1">
        <f>Codificación!B386</f>
        <v>0</v>
      </c>
      <c r="E387" s="4">
        <f>SUMIFS(Movimientos!$E$6:$E$16,Movimientos!$C$6:$C$16,Stocks!$A387,Movimientos!$F$6:$F$16,Stocks!E$3,Movimientos!$A$6:$A$16,"&lt;="&amp;Stocks!$A$2)-SUMIFS(Movimientos!$E$6:$E$16,Movimientos!$C$6:$C$16,Stocks!$A387,Movimientos!$G$6:$G$16,Stocks!E$3,Movimientos!$A$6:$A$16,"&lt;="&amp;Stocks!$A$2)</f>
        <v>0</v>
      </c>
      <c r="F387" s="4">
        <f>SUMIFS(Movimientos!$E$6:$E$16,Movimientos!$C$6:$C$16,Stocks!$A387,Movimientos!$F$6:$F$16,Stocks!F$3,Movimientos!$A$6:$A$16,"&lt;="&amp;Stocks!$A$2)-SUMIFS(Movimientos!$E$6:$E$16,Movimientos!$C$6:$C$16,Stocks!$A387,Movimientos!$G$6:$G$16,Stocks!F$3,Movimientos!$A$6:$A$16,"&lt;="&amp;Stocks!$A$2)</f>
        <v>0</v>
      </c>
      <c r="G387" s="4">
        <f>SUMIFS(Movimientos!$E$6:$E$16,Movimientos!$C$6:$C$16,Stocks!$A387,Movimientos!$F$6:$F$16,Stocks!G$3,Movimientos!$A$6:$A$16,"&lt;="&amp;Stocks!$A$2)-SUMIFS(Movimientos!$E$6:$E$16,Movimientos!$C$6:$C$16,Stocks!$A387,Movimientos!$G$6:$G$16,Stocks!G$3,Movimientos!$A$6:$A$16,"&lt;="&amp;Stocks!$A$2)</f>
        <v>0</v>
      </c>
      <c r="H387" s="4">
        <f>SUMIFS(Movimientos!$E$6:$E$16,Movimientos!$C$6:$C$16,Stocks!$A387,Movimientos!$F$6:$F$16,Stocks!H$3,Movimientos!$A$6:$A$16,"&lt;="&amp;Stocks!$A$2)-SUMIFS(Movimientos!$E$6:$E$16,Movimientos!$C$6:$C$16,Stocks!$A387,Movimientos!$G$6:$G$16,Stocks!H$3,Movimientos!$A$6:$A$16,"&lt;="&amp;Stocks!$A$2)</f>
        <v>0</v>
      </c>
      <c r="I387" s="4">
        <f>SUMIFS(Movimientos!$E$6:$E$16,Movimientos!$C$6:$C$16,Stocks!$A387,Movimientos!$F$6:$F$16,Stocks!I$3,Movimientos!$A$6:$A$16,"&lt;="&amp;Stocks!$A$2)-SUMIFS(Movimientos!$E$6:$E$16,Movimientos!$C$6:$C$16,Stocks!$A387,Movimientos!$G$6:$G$16,Stocks!I$3,Movimientos!$A$6:$A$16,"&lt;="&amp;Stocks!$A$2)</f>
        <v>0</v>
      </c>
      <c r="J387" s="4">
        <f>SUMIFS(Movimientos!$E$6:$E$16,Movimientos!$C$6:$C$16,Stocks!$A387,Movimientos!$F$6:$F$16,Stocks!J$3,Movimientos!$A$6:$A$16,"&lt;="&amp;Stocks!$A$2)-SUMIFS(Movimientos!$E$6:$E$16,Movimientos!$C$6:$C$16,Stocks!$A387,Movimientos!$G$6:$G$16,Stocks!J$3,Movimientos!$A$6:$A$16,"&lt;="&amp;Stocks!$A$2)</f>
        <v>0</v>
      </c>
      <c r="K387" s="4">
        <f>SUMIFS(Movimientos!$E$6:$E$16,Movimientos!$C$6:$C$16,Stocks!$A387,Movimientos!$F$6:$F$16,Stocks!K$3,Movimientos!$A$6:$A$16,"&lt;="&amp;Stocks!$A$2)-SUMIFS(Movimientos!$E$6:$E$16,Movimientos!$C$6:$C$16,Stocks!$A387,Movimientos!$G$6:$G$16,Stocks!K$3,Movimientos!$A$6:$A$16,"&lt;="&amp;Stocks!$A$2)</f>
        <v>0</v>
      </c>
      <c r="L387" s="4">
        <f>SUMIFS(Movimientos!$E$6:$E$16,Movimientos!$C$6:$C$16,Stocks!$A387,Movimientos!$F$6:$F$16,Stocks!L$3,Movimientos!$A$6:$A$16,"&lt;="&amp;Stocks!$A$2)-SUMIFS(Movimientos!$E$6:$E$16,Movimientos!$C$6:$C$16,Stocks!$A387,Movimientos!$G$6:$G$16,Stocks!L$3,Movimientos!$A$6:$A$16,"&lt;="&amp;Stocks!$A$2)</f>
        <v>0</v>
      </c>
    </row>
    <row r="388" spans="1:12" x14ac:dyDescent="0.25">
      <c r="A388">
        <f>Codificación!A387</f>
        <v>0</v>
      </c>
      <c r="B388" s="1">
        <f>Codificación!B387</f>
        <v>0</v>
      </c>
      <c r="E388" s="4">
        <f>SUMIFS(Movimientos!$E$6:$E$16,Movimientos!$C$6:$C$16,Stocks!$A388,Movimientos!$F$6:$F$16,Stocks!E$3,Movimientos!$A$6:$A$16,"&lt;="&amp;Stocks!$A$2)-SUMIFS(Movimientos!$E$6:$E$16,Movimientos!$C$6:$C$16,Stocks!$A388,Movimientos!$G$6:$G$16,Stocks!E$3,Movimientos!$A$6:$A$16,"&lt;="&amp;Stocks!$A$2)</f>
        <v>0</v>
      </c>
      <c r="F388" s="4">
        <f>SUMIFS(Movimientos!$E$6:$E$16,Movimientos!$C$6:$C$16,Stocks!$A388,Movimientos!$F$6:$F$16,Stocks!F$3,Movimientos!$A$6:$A$16,"&lt;="&amp;Stocks!$A$2)-SUMIFS(Movimientos!$E$6:$E$16,Movimientos!$C$6:$C$16,Stocks!$A388,Movimientos!$G$6:$G$16,Stocks!F$3,Movimientos!$A$6:$A$16,"&lt;="&amp;Stocks!$A$2)</f>
        <v>0</v>
      </c>
      <c r="G388" s="4">
        <f>SUMIFS(Movimientos!$E$6:$E$16,Movimientos!$C$6:$C$16,Stocks!$A388,Movimientos!$F$6:$F$16,Stocks!G$3,Movimientos!$A$6:$A$16,"&lt;="&amp;Stocks!$A$2)-SUMIFS(Movimientos!$E$6:$E$16,Movimientos!$C$6:$C$16,Stocks!$A388,Movimientos!$G$6:$G$16,Stocks!G$3,Movimientos!$A$6:$A$16,"&lt;="&amp;Stocks!$A$2)</f>
        <v>0</v>
      </c>
      <c r="H388" s="4">
        <f>SUMIFS(Movimientos!$E$6:$E$16,Movimientos!$C$6:$C$16,Stocks!$A388,Movimientos!$F$6:$F$16,Stocks!H$3,Movimientos!$A$6:$A$16,"&lt;="&amp;Stocks!$A$2)-SUMIFS(Movimientos!$E$6:$E$16,Movimientos!$C$6:$C$16,Stocks!$A388,Movimientos!$G$6:$G$16,Stocks!H$3,Movimientos!$A$6:$A$16,"&lt;="&amp;Stocks!$A$2)</f>
        <v>0</v>
      </c>
      <c r="I388" s="4">
        <f>SUMIFS(Movimientos!$E$6:$E$16,Movimientos!$C$6:$C$16,Stocks!$A388,Movimientos!$F$6:$F$16,Stocks!I$3,Movimientos!$A$6:$A$16,"&lt;="&amp;Stocks!$A$2)-SUMIFS(Movimientos!$E$6:$E$16,Movimientos!$C$6:$C$16,Stocks!$A388,Movimientos!$G$6:$G$16,Stocks!I$3,Movimientos!$A$6:$A$16,"&lt;="&amp;Stocks!$A$2)</f>
        <v>0</v>
      </c>
      <c r="J388" s="4">
        <f>SUMIFS(Movimientos!$E$6:$E$16,Movimientos!$C$6:$C$16,Stocks!$A388,Movimientos!$F$6:$F$16,Stocks!J$3,Movimientos!$A$6:$A$16,"&lt;="&amp;Stocks!$A$2)-SUMIFS(Movimientos!$E$6:$E$16,Movimientos!$C$6:$C$16,Stocks!$A388,Movimientos!$G$6:$G$16,Stocks!J$3,Movimientos!$A$6:$A$16,"&lt;="&amp;Stocks!$A$2)</f>
        <v>0</v>
      </c>
      <c r="K388" s="4">
        <f>SUMIFS(Movimientos!$E$6:$E$16,Movimientos!$C$6:$C$16,Stocks!$A388,Movimientos!$F$6:$F$16,Stocks!K$3,Movimientos!$A$6:$A$16,"&lt;="&amp;Stocks!$A$2)-SUMIFS(Movimientos!$E$6:$E$16,Movimientos!$C$6:$C$16,Stocks!$A388,Movimientos!$G$6:$G$16,Stocks!K$3,Movimientos!$A$6:$A$16,"&lt;="&amp;Stocks!$A$2)</f>
        <v>0</v>
      </c>
      <c r="L388" s="4">
        <f>SUMIFS(Movimientos!$E$6:$E$16,Movimientos!$C$6:$C$16,Stocks!$A388,Movimientos!$F$6:$F$16,Stocks!L$3,Movimientos!$A$6:$A$16,"&lt;="&amp;Stocks!$A$2)-SUMIFS(Movimientos!$E$6:$E$16,Movimientos!$C$6:$C$16,Stocks!$A388,Movimientos!$G$6:$G$16,Stocks!L$3,Movimientos!$A$6:$A$16,"&lt;="&amp;Stocks!$A$2)</f>
        <v>0</v>
      </c>
    </row>
    <row r="389" spans="1:12" x14ac:dyDescent="0.25">
      <c r="A389">
        <f>Codificación!A388</f>
        <v>0</v>
      </c>
      <c r="B389" s="1">
        <f>Codificación!B388</f>
        <v>0</v>
      </c>
      <c r="E389" s="4">
        <f>SUMIFS(Movimientos!$E$6:$E$16,Movimientos!$C$6:$C$16,Stocks!$A389,Movimientos!$F$6:$F$16,Stocks!E$3,Movimientos!$A$6:$A$16,"&lt;="&amp;Stocks!$A$2)-SUMIFS(Movimientos!$E$6:$E$16,Movimientos!$C$6:$C$16,Stocks!$A389,Movimientos!$G$6:$G$16,Stocks!E$3,Movimientos!$A$6:$A$16,"&lt;="&amp;Stocks!$A$2)</f>
        <v>0</v>
      </c>
      <c r="F389" s="4">
        <f>SUMIFS(Movimientos!$E$6:$E$16,Movimientos!$C$6:$C$16,Stocks!$A389,Movimientos!$F$6:$F$16,Stocks!F$3,Movimientos!$A$6:$A$16,"&lt;="&amp;Stocks!$A$2)-SUMIFS(Movimientos!$E$6:$E$16,Movimientos!$C$6:$C$16,Stocks!$A389,Movimientos!$G$6:$G$16,Stocks!F$3,Movimientos!$A$6:$A$16,"&lt;="&amp;Stocks!$A$2)</f>
        <v>0</v>
      </c>
      <c r="G389" s="4">
        <f>SUMIFS(Movimientos!$E$6:$E$16,Movimientos!$C$6:$C$16,Stocks!$A389,Movimientos!$F$6:$F$16,Stocks!G$3,Movimientos!$A$6:$A$16,"&lt;="&amp;Stocks!$A$2)-SUMIFS(Movimientos!$E$6:$E$16,Movimientos!$C$6:$C$16,Stocks!$A389,Movimientos!$G$6:$G$16,Stocks!G$3,Movimientos!$A$6:$A$16,"&lt;="&amp;Stocks!$A$2)</f>
        <v>0</v>
      </c>
      <c r="H389" s="4">
        <f>SUMIFS(Movimientos!$E$6:$E$16,Movimientos!$C$6:$C$16,Stocks!$A389,Movimientos!$F$6:$F$16,Stocks!H$3,Movimientos!$A$6:$A$16,"&lt;="&amp;Stocks!$A$2)-SUMIFS(Movimientos!$E$6:$E$16,Movimientos!$C$6:$C$16,Stocks!$A389,Movimientos!$G$6:$G$16,Stocks!H$3,Movimientos!$A$6:$A$16,"&lt;="&amp;Stocks!$A$2)</f>
        <v>0</v>
      </c>
      <c r="I389" s="4">
        <f>SUMIFS(Movimientos!$E$6:$E$16,Movimientos!$C$6:$C$16,Stocks!$A389,Movimientos!$F$6:$F$16,Stocks!I$3,Movimientos!$A$6:$A$16,"&lt;="&amp;Stocks!$A$2)-SUMIFS(Movimientos!$E$6:$E$16,Movimientos!$C$6:$C$16,Stocks!$A389,Movimientos!$G$6:$G$16,Stocks!I$3,Movimientos!$A$6:$A$16,"&lt;="&amp;Stocks!$A$2)</f>
        <v>0</v>
      </c>
      <c r="J389" s="4">
        <f>SUMIFS(Movimientos!$E$6:$E$16,Movimientos!$C$6:$C$16,Stocks!$A389,Movimientos!$F$6:$F$16,Stocks!J$3,Movimientos!$A$6:$A$16,"&lt;="&amp;Stocks!$A$2)-SUMIFS(Movimientos!$E$6:$E$16,Movimientos!$C$6:$C$16,Stocks!$A389,Movimientos!$G$6:$G$16,Stocks!J$3,Movimientos!$A$6:$A$16,"&lt;="&amp;Stocks!$A$2)</f>
        <v>0</v>
      </c>
      <c r="K389" s="4">
        <f>SUMIFS(Movimientos!$E$6:$E$16,Movimientos!$C$6:$C$16,Stocks!$A389,Movimientos!$F$6:$F$16,Stocks!K$3,Movimientos!$A$6:$A$16,"&lt;="&amp;Stocks!$A$2)-SUMIFS(Movimientos!$E$6:$E$16,Movimientos!$C$6:$C$16,Stocks!$A389,Movimientos!$G$6:$G$16,Stocks!K$3,Movimientos!$A$6:$A$16,"&lt;="&amp;Stocks!$A$2)</f>
        <v>0</v>
      </c>
      <c r="L389" s="4">
        <f>SUMIFS(Movimientos!$E$6:$E$16,Movimientos!$C$6:$C$16,Stocks!$A389,Movimientos!$F$6:$F$16,Stocks!L$3,Movimientos!$A$6:$A$16,"&lt;="&amp;Stocks!$A$2)-SUMIFS(Movimientos!$E$6:$E$16,Movimientos!$C$6:$C$16,Stocks!$A389,Movimientos!$G$6:$G$16,Stocks!L$3,Movimientos!$A$6:$A$16,"&lt;="&amp;Stocks!$A$2)</f>
        <v>0</v>
      </c>
    </row>
    <row r="390" spans="1:12" x14ac:dyDescent="0.25">
      <c r="A390">
        <f>Codificación!A389</f>
        <v>0</v>
      </c>
      <c r="B390" s="1">
        <f>Codificación!B389</f>
        <v>0</v>
      </c>
      <c r="E390" s="4">
        <f>SUMIFS(Movimientos!$E$6:$E$16,Movimientos!$C$6:$C$16,Stocks!$A390,Movimientos!$F$6:$F$16,Stocks!E$3,Movimientos!$A$6:$A$16,"&lt;="&amp;Stocks!$A$2)-SUMIFS(Movimientos!$E$6:$E$16,Movimientos!$C$6:$C$16,Stocks!$A390,Movimientos!$G$6:$G$16,Stocks!E$3,Movimientos!$A$6:$A$16,"&lt;="&amp;Stocks!$A$2)</f>
        <v>0</v>
      </c>
      <c r="F390" s="4">
        <f>SUMIFS(Movimientos!$E$6:$E$16,Movimientos!$C$6:$C$16,Stocks!$A390,Movimientos!$F$6:$F$16,Stocks!F$3,Movimientos!$A$6:$A$16,"&lt;="&amp;Stocks!$A$2)-SUMIFS(Movimientos!$E$6:$E$16,Movimientos!$C$6:$C$16,Stocks!$A390,Movimientos!$G$6:$G$16,Stocks!F$3,Movimientos!$A$6:$A$16,"&lt;="&amp;Stocks!$A$2)</f>
        <v>0</v>
      </c>
      <c r="G390" s="4">
        <f>SUMIFS(Movimientos!$E$6:$E$16,Movimientos!$C$6:$C$16,Stocks!$A390,Movimientos!$F$6:$F$16,Stocks!G$3,Movimientos!$A$6:$A$16,"&lt;="&amp;Stocks!$A$2)-SUMIFS(Movimientos!$E$6:$E$16,Movimientos!$C$6:$C$16,Stocks!$A390,Movimientos!$G$6:$G$16,Stocks!G$3,Movimientos!$A$6:$A$16,"&lt;="&amp;Stocks!$A$2)</f>
        <v>0</v>
      </c>
      <c r="H390" s="4">
        <f>SUMIFS(Movimientos!$E$6:$E$16,Movimientos!$C$6:$C$16,Stocks!$A390,Movimientos!$F$6:$F$16,Stocks!H$3,Movimientos!$A$6:$A$16,"&lt;="&amp;Stocks!$A$2)-SUMIFS(Movimientos!$E$6:$E$16,Movimientos!$C$6:$C$16,Stocks!$A390,Movimientos!$G$6:$G$16,Stocks!H$3,Movimientos!$A$6:$A$16,"&lt;="&amp;Stocks!$A$2)</f>
        <v>0</v>
      </c>
      <c r="I390" s="4">
        <f>SUMIFS(Movimientos!$E$6:$E$16,Movimientos!$C$6:$C$16,Stocks!$A390,Movimientos!$F$6:$F$16,Stocks!I$3,Movimientos!$A$6:$A$16,"&lt;="&amp;Stocks!$A$2)-SUMIFS(Movimientos!$E$6:$E$16,Movimientos!$C$6:$C$16,Stocks!$A390,Movimientos!$G$6:$G$16,Stocks!I$3,Movimientos!$A$6:$A$16,"&lt;="&amp;Stocks!$A$2)</f>
        <v>0</v>
      </c>
      <c r="J390" s="4">
        <f>SUMIFS(Movimientos!$E$6:$E$16,Movimientos!$C$6:$C$16,Stocks!$A390,Movimientos!$F$6:$F$16,Stocks!J$3,Movimientos!$A$6:$A$16,"&lt;="&amp;Stocks!$A$2)-SUMIFS(Movimientos!$E$6:$E$16,Movimientos!$C$6:$C$16,Stocks!$A390,Movimientos!$G$6:$G$16,Stocks!J$3,Movimientos!$A$6:$A$16,"&lt;="&amp;Stocks!$A$2)</f>
        <v>0</v>
      </c>
      <c r="K390" s="4">
        <f>SUMIFS(Movimientos!$E$6:$E$16,Movimientos!$C$6:$C$16,Stocks!$A390,Movimientos!$F$6:$F$16,Stocks!K$3,Movimientos!$A$6:$A$16,"&lt;="&amp;Stocks!$A$2)-SUMIFS(Movimientos!$E$6:$E$16,Movimientos!$C$6:$C$16,Stocks!$A390,Movimientos!$G$6:$G$16,Stocks!K$3,Movimientos!$A$6:$A$16,"&lt;="&amp;Stocks!$A$2)</f>
        <v>0</v>
      </c>
      <c r="L390" s="4">
        <f>SUMIFS(Movimientos!$E$6:$E$16,Movimientos!$C$6:$C$16,Stocks!$A390,Movimientos!$F$6:$F$16,Stocks!L$3,Movimientos!$A$6:$A$16,"&lt;="&amp;Stocks!$A$2)-SUMIFS(Movimientos!$E$6:$E$16,Movimientos!$C$6:$C$16,Stocks!$A390,Movimientos!$G$6:$G$16,Stocks!L$3,Movimientos!$A$6:$A$16,"&lt;="&amp;Stocks!$A$2)</f>
        <v>0</v>
      </c>
    </row>
    <row r="391" spans="1:12" x14ac:dyDescent="0.25">
      <c r="A391">
        <f>Codificación!A390</f>
        <v>0</v>
      </c>
      <c r="B391" s="1">
        <f>Codificación!B390</f>
        <v>0</v>
      </c>
      <c r="E391" s="4">
        <f>SUMIFS(Movimientos!$E$6:$E$16,Movimientos!$C$6:$C$16,Stocks!$A391,Movimientos!$F$6:$F$16,Stocks!E$3,Movimientos!$A$6:$A$16,"&lt;="&amp;Stocks!$A$2)-SUMIFS(Movimientos!$E$6:$E$16,Movimientos!$C$6:$C$16,Stocks!$A391,Movimientos!$G$6:$G$16,Stocks!E$3,Movimientos!$A$6:$A$16,"&lt;="&amp;Stocks!$A$2)</f>
        <v>0</v>
      </c>
      <c r="F391" s="4">
        <f>SUMIFS(Movimientos!$E$6:$E$16,Movimientos!$C$6:$C$16,Stocks!$A391,Movimientos!$F$6:$F$16,Stocks!F$3,Movimientos!$A$6:$A$16,"&lt;="&amp;Stocks!$A$2)-SUMIFS(Movimientos!$E$6:$E$16,Movimientos!$C$6:$C$16,Stocks!$A391,Movimientos!$G$6:$G$16,Stocks!F$3,Movimientos!$A$6:$A$16,"&lt;="&amp;Stocks!$A$2)</f>
        <v>0</v>
      </c>
      <c r="G391" s="4">
        <f>SUMIFS(Movimientos!$E$6:$E$16,Movimientos!$C$6:$C$16,Stocks!$A391,Movimientos!$F$6:$F$16,Stocks!G$3,Movimientos!$A$6:$A$16,"&lt;="&amp;Stocks!$A$2)-SUMIFS(Movimientos!$E$6:$E$16,Movimientos!$C$6:$C$16,Stocks!$A391,Movimientos!$G$6:$G$16,Stocks!G$3,Movimientos!$A$6:$A$16,"&lt;="&amp;Stocks!$A$2)</f>
        <v>0</v>
      </c>
      <c r="H391" s="4">
        <f>SUMIFS(Movimientos!$E$6:$E$16,Movimientos!$C$6:$C$16,Stocks!$A391,Movimientos!$F$6:$F$16,Stocks!H$3,Movimientos!$A$6:$A$16,"&lt;="&amp;Stocks!$A$2)-SUMIFS(Movimientos!$E$6:$E$16,Movimientos!$C$6:$C$16,Stocks!$A391,Movimientos!$G$6:$G$16,Stocks!H$3,Movimientos!$A$6:$A$16,"&lt;="&amp;Stocks!$A$2)</f>
        <v>0</v>
      </c>
      <c r="I391" s="4">
        <f>SUMIFS(Movimientos!$E$6:$E$16,Movimientos!$C$6:$C$16,Stocks!$A391,Movimientos!$F$6:$F$16,Stocks!I$3,Movimientos!$A$6:$A$16,"&lt;="&amp;Stocks!$A$2)-SUMIFS(Movimientos!$E$6:$E$16,Movimientos!$C$6:$C$16,Stocks!$A391,Movimientos!$G$6:$G$16,Stocks!I$3,Movimientos!$A$6:$A$16,"&lt;="&amp;Stocks!$A$2)</f>
        <v>0</v>
      </c>
      <c r="J391" s="4">
        <f>SUMIFS(Movimientos!$E$6:$E$16,Movimientos!$C$6:$C$16,Stocks!$A391,Movimientos!$F$6:$F$16,Stocks!J$3,Movimientos!$A$6:$A$16,"&lt;="&amp;Stocks!$A$2)-SUMIFS(Movimientos!$E$6:$E$16,Movimientos!$C$6:$C$16,Stocks!$A391,Movimientos!$G$6:$G$16,Stocks!J$3,Movimientos!$A$6:$A$16,"&lt;="&amp;Stocks!$A$2)</f>
        <v>0</v>
      </c>
      <c r="K391" s="4">
        <f>SUMIFS(Movimientos!$E$6:$E$16,Movimientos!$C$6:$C$16,Stocks!$A391,Movimientos!$F$6:$F$16,Stocks!K$3,Movimientos!$A$6:$A$16,"&lt;="&amp;Stocks!$A$2)-SUMIFS(Movimientos!$E$6:$E$16,Movimientos!$C$6:$C$16,Stocks!$A391,Movimientos!$G$6:$G$16,Stocks!K$3,Movimientos!$A$6:$A$16,"&lt;="&amp;Stocks!$A$2)</f>
        <v>0</v>
      </c>
      <c r="L391" s="4">
        <f>SUMIFS(Movimientos!$E$6:$E$16,Movimientos!$C$6:$C$16,Stocks!$A391,Movimientos!$F$6:$F$16,Stocks!L$3,Movimientos!$A$6:$A$16,"&lt;="&amp;Stocks!$A$2)-SUMIFS(Movimientos!$E$6:$E$16,Movimientos!$C$6:$C$16,Stocks!$A391,Movimientos!$G$6:$G$16,Stocks!L$3,Movimientos!$A$6:$A$16,"&lt;="&amp;Stocks!$A$2)</f>
        <v>0</v>
      </c>
    </row>
    <row r="392" spans="1:12" x14ac:dyDescent="0.25">
      <c r="A392">
        <f>Codificación!A391</f>
        <v>0</v>
      </c>
      <c r="B392" s="1">
        <f>Codificación!B391</f>
        <v>0</v>
      </c>
      <c r="E392" s="4">
        <f>SUMIFS(Movimientos!$E$6:$E$16,Movimientos!$C$6:$C$16,Stocks!$A392,Movimientos!$F$6:$F$16,Stocks!E$3,Movimientos!$A$6:$A$16,"&lt;="&amp;Stocks!$A$2)-SUMIFS(Movimientos!$E$6:$E$16,Movimientos!$C$6:$C$16,Stocks!$A392,Movimientos!$G$6:$G$16,Stocks!E$3,Movimientos!$A$6:$A$16,"&lt;="&amp;Stocks!$A$2)</f>
        <v>0</v>
      </c>
      <c r="F392" s="4">
        <f>SUMIFS(Movimientos!$E$6:$E$16,Movimientos!$C$6:$C$16,Stocks!$A392,Movimientos!$F$6:$F$16,Stocks!F$3,Movimientos!$A$6:$A$16,"&lt;="&amp;Stocks!$A$2)-SUMIFS(Movimientos!$E$6:$E$16,Movimientos!$C$6:$C$16,Stocks!$A392,Movimientos!$G$6:$G$16,Stocks!F$3,Movimientos!$A$6:$A$16,"&lt;="&amp;Stocks!$A$2)</f>
        <v>0</v>
      </c>
      <c r="G392" s="4">
        <f>SUMIFS(Movimientos!$E$6:$E$16,Movimientos!$C$6:$C$16,Stocks!$A392,Movimientos!$F$6:$F$16,Stocks!G$3,Movimientos!$A$6:$A$16,"&lt;="&amp;Stocks!$A$2)-SUMIFS(Movimientos!$E$6:$E$16,Movimientos!$C$6:$C$16,Stocks!$A392,Movimientos!$G$6:$G$16,Stocks!G$3,Movimientos!$A$6:$A$16,"&lt;="&amp;Stocks!$A$2)</f>
        <v>0</v>
      </c>
      <c r="H392" s="4">
        <f>SUMIFS(Movimientos!$E$6:$E$16,Movimientos!$C$6:$C$16,Stocks!$A392,Movimientos!$F$6:$F$16,Stocks!H$3,Movimientos!$A$6:$A$16,"&lt;="&amp;Stocks!$A$2)-SUMIFS(Movimientos!$E$6:$E$16,Movimientos!$C$6:$C$16,Stocks!$A392,Movimientos!$G$6:$G$16,Stocks!H$3,Movimientos!$A$6:$A$16,"&lt;="&amp;Stocks!$A$2)</f>
        <v>0</v>
      </c>
      <c r="I392" s="4">
        <f>SUMIFS(Movimientos!$E$6:$E$16,Movimientos!$C$6:$C$16,Stocks!$A392,Movimientos!$F$6:$F$16,Stocks!I$3,Movimientos!$A$6:$A$16,"&lt;="&amp;Stocks!$A$2)-SUMIFS(Movimientos!$E$6:$E$16,Movimientos!$C$6:$C$16,Stocks!$A392,Movimientos!$G$6:$G$16,Stocks!I$3,Movimientos!$A$6:$A$16,"&lt;="&amp;Stocks!$A$2)</f>
        <v>0</v>
      </c>
      <c r="J392" s="4">
        <f>SUMIFS(Movimientos!$E$6:$E$16,Movimientos!$C$6:$C$16,Stocks!$A392,Movimientos!$F$6:$F$16,Stocks!J$3,Movimientos!$A$6:$A$16,"&lt;="&amp;Stocks!$A$2)-SUMIFS(Movimientos!$E$6:$E$16,Movimientos!$C$6:$C$16,Stocks!$A392,Movimientos!$G$6:$G$16,Stocks!J$3,Movimientos!$A$6:$A$16,"&lt;="&amp;Stocks!$A$2)</f>
        <v>0</v>
      </c>
      <c r="K392" s="4">
        <f>SUMIFS(Movimientos!$E$6:$E$16,Movimientos!$C$6:$C$16,Stocks!$A392,Movimientos!$F$6:$F$16,Stocks!K$3,Movimientos!$A$6:$A$16,"&lt;="&amp;Stocks!$A$2)-SUMIFS(Movimientos!$E$6:$E$16,Movimientos!$C$6:$C$16,Stocks!$A392,Movimientos!$G$6:$G$16,Stocks!K$3,Movimientos!$A$6:$A$16,"&lt;="&amp;Stocks!$A$2)</f>
        <v>0</v>
      </c>
      <c r="L392" s="4">
        <f>SUMIFS(Movimientos!$E$6:$E$16,Movimientos!$C$6:$C$16,Stocks!$A392,Movimientos!$F$6:$F$16,Stocks!L$3,Movimientos!$A$6:$A$16,"&lt;="&amp;Stocks!$A$2)-SUMIFS(Movimientos!$E$6:$E$16,Movimientos!$C$6:$C$16,Stocks!$A392,Movimientos!$G$6:$G$16,Stocks!L$3,Movimientos!$A$6:$A$16,"&lt;="&amp;Stocks!$A$2)</f>
        <v>0</v>
      </c>
    </row>
    <row r="393" spans="1:12" x14ac:dyDescent="0.25">
      <c r="A393">
        <f>Codificación!A392</f>
        <v>0</v>
      </c>
      <c r="B393" s="1">
        <f>Codificación!B392</f>
        <v>0</v>
      </c>
      <c r="E393" s="4">
        <f>SUMIFS(Movimientos!$E$6:$E$16,Movimientos!$C$6:$C$16,Stocks!$A393,Movimientos!$F$6:$F$16,Stocks!E$3,Movimientos!$A$6:$A$16,"&lt;="&amp;Stocks!$A$2)-SUMIFS(Movimientos!$E$6:$E$16,Movimientos!$C$6:$C$16,Stocks!$A393,Movimientos!$G$6:$G$16,Stocks!E$3,Movimientos!$A$6:$A$16,"&lt;="&amp;Stocks!$A$2)</f>
        <v>0</v>
      </c>
      <c r="F393" s="4">
        <f>SUMIFS(Movimientos!$E$6:$E$16,Movimientos!$C$6:$C$16,Stocks!$A393,Movimientos!$F$6:$F$16,Stocks!F$3,Movimientos!$A$6:$A$16,"&lt;="&amp;Stocks!$A$2)-SUMIFS(Movimientos!$E$6:$E$16,Movimientos!$C$6:$C$16,Stocks!$A393,Movimientos!$G$6:$G$16,Stocks!F$3,Movimientos!$A$6:$A$16,"&lt;="&amp;Stocks!$A$2)</f>
        <v>0</v>
      </c>
      <c r="G393" s="4">
        <f>SUMIFS(Movimientos!$E$6:$E$16,Movimientos!$C$6:$C$16,Stocks!$A393,Movimientos!$F$6:$F$16,Stocks!G$3,Movimientos!$A$6:$A$16,"&lt;="&amp;Stocks!$A$2)-SUMIFS(Movimientos!$E$6:$E$16,Movimientos!$C$6:$C$16,Stocks!$A393,Movimientos!$G$6:$G$16,Stocks!G$3,Movimientos!$A$6:$A$16,"&lt;="&amp;Stocks!$A$2)</f>
        <v>0</v>
      </c>
      <c r="H393" s="4">
        <f>SUMIFS(Movimientos!$E$6:$E$16,Movimientos!$C$6:$C$16,Stocks!$A393,Movimientos!$F$6:$F$16,Stocks!H$3,Movimientos!$A$6:$A$16,"&lt;="&amp;Stocks!$A$2)-SUMIFS(Movimientos!$E$6:$E$16,Movimientos!$C$6:$C$16,Stocks!$A393,Movimientos!$G$6:$G$16,Stocks!H$3,Movimientos!$A$6:$A$16,"&lt;="&amp;Stocks!$A$2)</f>
        <v>0</v>
      </c>
      <c r="I393" s="4">
        <f>SUMIFS(Movimientos!$E$6:$E$16,Movimientos!$C$6:$C$16,Stocks!$A393,Movimientos!$F$6:$F$16,Stocks!I$3,Movimientos!$A$6:$A$16,"&lt;="&amp;Stocks!$A$2)-SUMIFS(Movimientos!$E$6:$E$16,Movimientos!$C$6:$C$16,Stocks!$A393,Movimientos!$G$6:$G$16,Stocks!I$3,Movimientos!$A$6:$A$16,"&lt;="&amp;Stocks!$A$2)</f>
        <v>0</v>
      </c>
      <c r="J393" s="4">
        <f>SUMIFS(Movimientos!$E$6:$E$16,Movimientos!$C$6:$C$16,Stocks!$A393,Movimientos!$F$6:$F$16,Stocks!J$3,Movimientos!$A$6:$A$16,"&lt;="&amp;Stocks!$A$2)-SUMIFS(Movimientos!$E$6:$E$16,Movimientos!$C$6:$C$16,Stocks!$A393,Movimientos!$G$6:$G$16,Stocks!J$3,Movimientos!$A$6:$A$16,"&lt;="&amp;Stocks!$A$2)</f>
        <v>0</v>
      </c>
      <c r="K393" s="4">
        <f>SUMIFS(Movimientos!$E$6:$E$16,Movimientos!$C$6:$C$16,Stocks!$A393,Movimientos!$F$6:$F$16,Stocks!K$3,Movimientos!$A$6:$A$16,"&lt;="&amp;Stocks!$A$2)-SUMIFS(Movimientos!$E$6:$E$16,Movimientos!$C$6:$C$16,Stocks!$A393,Movimientos!$G$6:$G$16,Stocks!K$3,Movimientos!$A$6:$A$16,"&lt;="&amp;Stocks!$A$2)</f>
        <v>0</v>
      </c>
      <c r="L393" s="4">
        <f>SUMIFS(Movimientos!$E$6:$E$16,Movimientos!$C$6:$C$16,Stocks!$A393,Movimientos!$F$6:$F$16,Stocks!L$3,Movimientos!$A$6:$A$16,"&lt;="&amp;Stocks!$A$2)-SUMIFS(Movimientos!$E$6:$E$16,Movimientos!$C$6:$C$16,Stocks!$A393,Movimientos!$G$6:$G$16,Stocks!L$3,Movimientos!$A$6:$A$16,"&lt;="&amp;Stocks!$A$2)</f>
        <v>0</v>
      </c>
    </row>
    <row r="394" spans="1:12" x14ac:dyDescent="0.25">
      <c r="B394" s="1">
        <f>Codificación!B393</f>
        <v>0</v>
      </c>
      <c r="E394" s="4">
        <f>SUMIFS(Movimientos!$E$6:$E$16,Movimientos!$C$6:$C$16,Stocks!$A394,Movimientos!$F$6:$F$16,Stocks!E$3,Movimientos!$A$6:$A$16,"&lt;="&amp;Stocks!$A$2)-SUMIFS(Movimientos!$E$6:$E$16,Movimientos!$C$6:$C$16,Stocks!$A394,Movimientos!$G$6:$G$16,Stocks!E$3,Movimientos!$A$6:$A$16,"&lt;="&amp;Stocks!$A$2)</f>
        <v>0</v>
      </c>
      <c r="F394" s="4">
        <f>SUMIFS(Movimientos!$E$6:$E$16,Movimientos!$C$6:$C$16,Stocks!$A394,Movimientos!$F$6:$F$16,Stocks!F$3,Movimientos!$A$6:$A$16,"&lt;="&amp;Stocks!$A$2)-SUMIFS(Movimientos!$E$6:$E$16,Movimientos!$C$6:$C$16,Stocks!$A394,Movimientos!$G$6:$G$16,Stocks!F$3,Movimientos!$A$6:$A$16,"&lt;="&amp;Stocks!$A$2)</f>
        <v>0</v>
      </c>
      <c r="G394" s="4">
        <f>SUMIFS(Movimientos!$E$6:$E$16,Movimientos!$C$6:$C$16,Stocks!$A394,Movimientos!$F$6:$F$16,Stocks!G$3,Movimientos!$A$6:$A$16,"&lt;="&amp;Stocks!$A$2)-SUMIFS(Movimientos!$E$6:$E$16,Movimientos!$C$6:$C$16,Stocks!$A394,Movimientos!$G$6:$G$16,Stocks!G$3,Movimientos!$A$6:$A$16,"&lt;="&amp;Stocks!$A$2)</f>
        <v>0</v>
      </c>
      <c r="H394" s="4">
        <f>SUMIFS(Movimientos!$E$6:$E$16,Movimientos!$C$6:$C$16,Stocks!$A394,Movimientos!$F$6:$F$16,Stocks!H$3,Movimientos!$A$6:$A$16,"&lt;="&amp;Stocks!$A$2)-SUMIFS(Movimientos!$E$6:$E$16,Movimientos!$C$6:$C$16,Stocks!$A394,Movimientos!$G$6:$G$16,Stocks!H$3,Movimientos!$A$6:$A$16,"&lt;="&amp;Stocks!$A$2)</f>
        <v>0</v>
      </c>
      <c r="I394" s="4">
        <f>SUMIFS(Movimientos!$E$6:$E$16,Movimientos!$C$6:$C$16,Stocks!$A394,Movimientos!$F$6:$F$16,Stocks!I$3,Movimientos!$A$6:$A$16,"&lt;="&amp;Stocks!$A$2)-SUMIFS(Movimientos!$E$6:$E$16,Movimientos!$C$6:$C$16,Stocks!$A394,Movimientos!$G$6:$G$16,Stocks!I$3,Movimientos!$A$6:$A$16,"&lt;="&amp;Stocks!$A$2)</f>
        <v>0</v>
      </c>
      <c r="J394" s="4">
        <f>SUMIFS(Movimientos!$E$6:$E$16,Movimientos!$C$6:$C$16,Stocks!$A394,Movimientos!$F$6:$F$16,Stocks!J$3,Movimientos!$A$6:$A$16,"&lt;="&amp;Stocks!$A$2)-SUMIFS(Movimientos!$E$6:$E$16,Movimientos!$C$6:$C$16,Stocks!$A394,Movimientos!$G$6:$G$16,Stocks!J$3,Movimientos!$A$6:$A$16,"&lt;="&amp;Stocks!$A$2)</f>
        <v>0</v>
      </c>
      <c r="K394" s="4">
        <f>SUMIFS(Movimientos!$E$6:$E$16,Movimientos!$C$6:$C$16,Stocks!$A394,Movimientos!$F$6:$F$16,Stocks!K$3,Movimientos!$A$6:$A$16,"&lt;="&amp;Stocks!$A$2)-SUMIFS(Movimientos!$E$6:$E$16,Movimientos!$C$6:$C$16,Stocks!$A394,Movimientos!$G$6:$G$16,Stocks!K$3,Movimientos!$A$6:$A$16,"&lt;="&amp;Stocks!$A$2)</f>
        <v>0</v>
      </c>
      <c r="L394" s="4">
        <f>SUMIFS(Movimientos!$E$6:$E$16,Movimientos!$C$6:$C$16,Stocks!$A394,Movimientos!$F$6:$F$16,Stocks!L$3,Movimientos!$A$6:$A$16,"&lt;="&amp;Stocks!$A$2)-SUMIFS(Movimientos!$E$6:$E$16,Movimientos!$C$6:$C$16,Stocks!$A394,Movimientos!$G$6:$G$16,Stocks!L$3,Movimientos!$A$6:$A$16,"&lt;="&amp;Stocks!$A$2)</f>
        <v>0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2:D366"/>
  <sheetViews>
    <sheetView workbookViewId="0">
      <selection activeCell="B10" sqref="B10"/>
    </sheetView>
  </sheetViews>
  <sheetFormatPr baseColWidth="10" defaultRowHeight="15" x14ac:dyDescent="0.25"/>
  <cols>
    <col min="2" max="2" width="24.42578125" customWidth="1"/>
    <col min="4" max="4" width="17" customWidth="1"/>
  </cols>
  <sheetData>
    <row r="2" spans="1:4" x14ac:dyDescent="0.25">
      <c r="A2" s="20" t="s">
        <v>2</v>
      </c>
      <c r="B2" s="21" t="s">
        <v>13</v>
      </c>
      <c r="C2" s="21" t="s">
        <v>14</v>
      </c>
      <c r="D2" s="22" t="s">
        <v>15</v>
      </c>
    </row>
    <row r="3" spans="1:4" x14ac:dyDescent="0.25">
      <c r="A3">
        <v>1</v>
      </c>
      <c r="B3" t="s">
        <v>22</v>
      </c>
    </row>
    <row r="4" spans="1:4" x14ac:dyDescent="0.25">
      <c r="A4">
        <f>IF(B4="",(""),(A3+1))</f>
        <v>2</v>
      </c>
      <c r="B4" t="s">
        <v>23</v>
      </c>
    </row>
    <row r="5" spans="1:4" x14ac:dyDescent="0.25">
      <c r="A5">
        <f t="shared" ref="A5:A68" si="0">IF(B5="",(""),(A4+1))</f>
        <v>3</v>
      </c>
      <c r="B5" t="s">
        <v>24</v>
      </c>
    </row>
    <row r="6" spans="1:4" x14ac:dyDescent="0.25">
      <c r="A6">
        <f t="shared" si="0"/>
        <v>4</v>
      </c>
      <c r="B6" t="s">
        <v>25</v>
      </c>
    </row>
    <row r="7" spans="1:4" x14ac:dyDescent="0.25">
      <c r="A7">
        <f t="shared" si="0"/>
        <v>5</v>
      </c>
      <c r="B7" t="s">
        <v>26</v>
      </c>
    </row>
    <row r="8" spans="1:4" x14ac:dyDescent="0.25">
      <c r="A8">
        <f t="shared" si="0"/>
        <v>6</v>
      </c>
      <c r="B8" t="s">
        <v>27</v>
      </c>
    </row>
    <row r="9" spans="1:4" x14ac:dyDescent="0.25">
      <c r="A9">
        <f t="shared" si="0"/>
        <v>7</v>
      </c>
      <c r="B9" t="s">
        <v>30</v>
      </c>
    </row>
    <row r="10" spans="1:4" x14ac:dyDescent="0.25">
      <c r="A10" t="str">
        <f t="shared" si="0"/>
        <v/>
      </c>
    </row>
    <row r="11" spans="1:4" x14ac:dyDescent="0.25">
      <c r="A11" t="str">
        <f t="shared" si="0"/>
        <v/>
      </c>
    </row>
    <row r="12" spans="1:4" x14ac:dyDescent="0.25">
      <c r="A12" t="str">
        <f t="shared" si="0"/>
        <v/>
      </c>
    </row>
    <row r="13" spans="1:4" x14ac:dyDescent="0.25">
      <c r="A13" t="str">
        <f t="shared" si="0"/>
        <v/>
      </c>
    </row>
    <row r="14" spans="1:4" x14ac:dyDescent="0.25">
      <c r="A14" t="str">
        <f t="shared" si="0"/>
        <v/>
      </c>
    </row>
    <row r="15" spans="1:4" x14ac:dyDescent="0.25">
      <c r="A15" t="str">
        <f t="shared" si="0"/>
        <v/>
      </c>
    </row>
    <row r="16" spans="1:4" x14ac:dyDescent="0.25">
      <c r="A16" t="str">
        <f t="shared" si="0"/>
        <v/>
      </c>
    </row>
    <row r="17" spans="1:1" x14ac:dyDescent="0.25">
      <c r="A17" t="str">
        <f t="shared" si="0"/>
        <v/>
      </c>
    </row>
    <row r="18" spans="1:1" x14ac:dyDescent="0.25">
      <c r="A18" t="str">
        <f t="shared" si="0"/>
        <v/>
      </c>
    </row>
    <row r="19" spans="1:1" x14ac:dyDescent="0.25">
      <c r="A19" t="str">
        <f t="shared" si="0"/>
        <v/>
      </c>
    </row>
    <row r="20" spans="1:1" x14ac:dyDescent="0.25">
      <c r="A20" t="str">
        <f t="shared" si="0"/>
        <v/>
      </c>
    </row>
    <row r="21" spans="1:1" x14ac:dyDescent="0.25">
      <c r="A21" t="str">
        <f t="shared" si="0"/>
        <v/>
      </c>
    </row>
    <row r="22" spans="1:1" x14ac:dyDescent="0.25">
      <c r="A22" t="str">
        <f t="shared" si="0"/>
        <v/>
      </c>
    </row>
    <row r="23" spans="1:1" x14ac:dyDescent="0.25">
      <c r="A23" t="str">
        <f t="shared" si="0"/>
        <v/>
      </c>
    </row>
    <row r="24" spans="1:1" x14ac:dyDescent="0.25">
      <c r="A24" t="str">
        <f t="shared" si="0"/>
        <v/>
      </c>
    </row>
    <row r="25" spans="1:1" x14ac:dyDescent="0.25">
      <c r="A25" t="str">
        <f t="shared" si="0"/>
        <v/>
      </c>
    </row>
    <row r="26" spans="1:1" x14ac:dyDescent="0.25">
      <c r="A26" t="str">
        <f t="shared" si="0"/>
        <v/>
      </c>
    </row>
    <row r="27" spans="1:1" x14ac:dyDescent="0.25">
      <c r="A27" t="str">
        <f t="shared" si="0"/>
        <v/>
      </c>
    </row>
    <row r="28" spans="1:1" x14ac:dyDescent="0.25">
      <c r="A28" t="str">
        <f t="shared" si="0"/>
        <v/>
      </c>
    </row>
    <row r="29" spans="1:1" x14ac:dyDescent="0.25">
      <c r="A29" t="str">
        <f t="shared" si="0"/>
        <v/>
      </c>
    </row>
    <row r="30" spans="1:1" x14ac:dyDescent="0.25">
      <c r="A30" t="str">
        <f t="shared" si="0"/>
        <v/>
      </c>
    </row>
    <row r="31" spans="1:1" x14ac:dyDescent="0.25">
      <c r="A31" t="str">
        <f t="shared" si="0"/>
        <v/>
      </c>
    </row>
    <row r="32" spans="1:1" x14ac:dyDescent="0.25">
      <c r="A32" t="str">
        <f t="shared" si="0"/>
        <v/>
      </c>
    </row>
    <row r="33" spans="1:1" x14ac:dyDescent="0.25">
      <c r="A33" t="str">
        <f t="shared" si="0"/>
        <v/>
      </c>
    </row>
    <row r="34" spans="1:1" x14ac:dyDescent="0.25">
      <c r="A34" t="str">
        <f t="shared" si="0"/>
        <v/>
      </c>
    </row>
    <row r="35" spans="1:1" x14ac:dyDescent="0.25">
      <c r="A35" t="str">
        <f t="shared" si="0"/>
        <v/>
      </c>
    </row>
    <row r="36" spans="1:1" x14ac:dyDescent="0.25">
      <c r="A36" t="str">
        <f t="shared" si="0"/>
        <v/>
      </c>
    </row>
    <row r="37" spans="1:1" x14ac:dyDescent="0.25">
      <c r="A37" t="str">
        <f t="shared" si="0"/>
        <v/>
      </c>
    </row>
    <row r="38" spans="1:1" x14ac:dyDescent="0.25">
      <c r="A38" t="str">
        <f t="shared" si="0"/>
        <v/>
      </c>
    </row>
    <row r="39" spans="1:1" x14ac:dyDescent="0.25">
      <c r="A39" t="str">
        <f t="shared" si="0"/>
        <v/>
      </c>
    </row>
    <row r="40" spans="1:1" x14ac:dyDescent="0.25">
      <c r="A40" t="str">
        <f t="shared" si="0"/>
        <v/>
      </c>
    </row>
    <row r="41" spans="1:1" x14ac:dyDescent="0.25">
      <c r="A41" t="str">
        <f t="shared" si="0"/>
        <v/>
      </c>
    </row>
    <row r="42" spans="1:1" x14ac:dyDescent="0.25">
      <c r="A42" t="str">
        <f t="shared" si="0"/>
        <v/>
      </c>
    </row>
    <row r="43" spans="1:1" x14ac:dyDescent="0.25">
      <c r="A43" t="str">
        <f t="shared" si="0"/>
        <v/>
      </c>
    </row>
    <row r="44" spans="1:1" x14ac:dyDescent="0.25">
      <c r="A44" t="str">
        <f t="shared" si="0"/>
        <v/>
      </c>
    </row>
    <row r="45" spans="1:1" x14ac:dyDescent="0.25">
      <c r="A45" t="str">
        <f t="shared" si="0"/>
        <v/>
      </c>
    </row>
    <row r="46" spans="1:1" x14ac:dyDescent="0.25">
      <c r="A46" t="str">
        <f t="shared" si="0"/>
        <v/>
      </c>
    </row>
    <row r="47" spans="1:1" x14ac:dyDescent="0.25">
      <c r="A47" t="str">
        <f t="shared" si="0"/>
        <v/>
      </c>
    </row>
    <row r="48" spans="1:1" x14ac:dyDescent="0.25">
      <c r="A48" t="str">
        <f t="shared" si="0"/>
        <v/>
      </c>
    </row>
    <row r="49" spans="1:1" x14ac:dyDescent="0.25">
      <c r="A49" t="str">
        <f t="shared" si="0"/>
        <v/>
      </c>
    </row>
    <row r="50" spans="1:1" x14ac:dyDescent="0.25">
      <c r="A50" t="str">
        <f t="shared" si="0"/>
        <v/>
      </c>
    </row>
    <row r="51" spans="1:1" x14ac:dyDescent="0.25">
      <c r="A51" t="str">
        <f t="shared" si="0"/>
        <v/>
      </c>
    </row>
    <row r="52" spans="1:1" x14ac:dyDescent="0.25">
      <c r="A52" t="str">
        <f t="shared" si="0"/>
        <v/>
      </c>
    </row>
    <row r="53" spans="1:1" x14ac:dyDescent="0.25">
      <c r="A53" t="str">
        <f t="shared" si="0"/>
        <v/>
      </c>
    </row>
    <row r="54" spans="1:1" x14ac:dyDescent="0.25">
      <c r="A54" t="str">
        <f t="shared" si="0"/>
        <v/>
      </c>
    </row>
    <row r="55" spans="1:1" x14ac:dyDescent="0.25">
      <c r="A55" t="str">
        <f t="shared" si="0"/>
        <v/>
      </c>
    </row>
    <row r="56" spans="1:1" x14ac:dyDescent="0.25">
      <c r="A56" t="str">
        <f t="shared" si="0"/>
        <v/>
      </c>
    </row>
    <row r="57" spans="1:1" x14ac:dyDescent="0.25">
      <c r="A57" t="str">
        <f t="shared" si="0"/>
        <v/>
      </c>
    </row>
    <row r="58" spans="1:1" x14ac:dyDescent="0.25">
      <c r="A58" t="str">
        <f t="shared" si="0"/>
        <v/>
      </c>
    </row>
    <row r="59" spans="1:1" x14ac:dyDescent="0.25">
      <c r="A59" t="str">
        <f t="shared" si="0"/>
        <v/>
      </c>
    </row>
    <row r="60" spans="1:1" x14ac:dyDescent="0.25">
      <c r="A60" t="str">
        <f t="shared" si="0"/>
        <v/>
      </c>
    </row>
    <row r="61" spans="1:1" x14ac:dyDescent="0.25">
      <c r="A61" t="str">
        <f t="shared" si="0"/>
        <v/>
      </c>
    </row>
    <row r="62" spans="1:1" x14ac:dyDescent="0.25">
      <c r="A62" t="str">
        <f t="shared" si="0"/>
        <v/>
      </c>
    </row>
    <row r="63" spans="1:1" x14ac:dyDescent="0.25">
      <c r="A63" t="str">
        <f t="shared" si="0"/>
        <v/>
      </c>
    </row>
    <row r="64" spans="1:1" x14ac:dyDescent="0.25">
      <c r="A64" t="str">
        <f t="shared" si="0"/>
        <v/>
      </c>
    </row>
    <row r="65" spans="1:1" x14ac:dyDescent="0.25">
      <c r="A65" t="str">
        <f t="shared" si="0"/>
        <v/>
      </c>
    </row>
    <row r="66" spans="1:1" x14ac:dyDescent="0.25">
      <c r="A66" t="str">
        <f t="shared" si="0"/>
        <v/>
      </c>
    </row>
    <row r="67" spans="1:1" x14ac:dyDescent="0.25">
      <c r="A67" t="str">
        <f t="shared" si="0"/>
        <v/>
      </c>
    </row>
    <row r="68" spans="1:1" x14ac:dyDescent="0.25">
      <c r="A68" t="str">
        <f t="shared" si="0"/>
        <v/>
      </c>
    </row>
    <row r="69" spans="1:1" x14ac:dyDescent="0.25">
      <c r="A69" t="str">
        <f t="shared" ref="A69:A132" si="1">IF(B69="",(""),(A68+1))</f>
        <v/>
      </c>
    </row>
    <row r="70" spans="1:1" x14ac:dyDescent="0.25">
      <c r="A70" t="str">
        <f t="shared" si="1"/>
        <v/>
      </c>
    </row>
    <row r="71" spans="1:1" x14ac:dyDescent="0.25">
      <c r="A71" t="str">
        <f t="shared" si="1"/>
        <v/>
      </c>
    </row>
    <row r="72" spans="1:1" x14ac:dyDescent="0.25">
      <c r="A72" t="str">
        <f t="shared" si="1"/>
        <v/>
      </c>
    </row>
    <row r="73" spans="1:1" x14ac:dyDescent="0.25">
      <c r="A73" t="str">
        <f t="shared" si="1"/>
        <v/>
      </c>
    </row>
    <row r="74" spans="1:1" x14ac:dyDescent="0.25">
      <c r="A74" t="str">
        <f t="shared" si="1"/>
        <v/>
      </c>
    </row>
    <row r="75" spans="1:1" x14ac:dyDescent="0.25">
      <c r="A75" t="str">
        <f t="shared" si="1"/>
        <v/>
      </c>
    </row>
    <row r="76" spans="1:1" x14ac:dyDescent="0.25">
      <c r="A76" t="str">
        <f t="shared" si="1"/>
        <v/>
      </c>
    </row>
    <row r="77" spans="1:1" x14ac:dyDescent="0.25">
      <c r="A77" t="str">
        <f t="shared" si="1"/>
        <v/>
      </c>
    </row>
    <row r="78" spans="1:1" x14ac:dyDescent="0.25">
      <c r="A78" t="str">
        <f t="shared" si="1"/>
        <v/>
      </c>
    </row>
    <row r="79" spans="1:1" x14ac:dyDescent="0.25">
      <c r="A79" t="str">
        <f t="shared" si="1"/>
        <v/>
      </c>
    </row>
    <row r="80" spans="1:1" x14ac:dyDescent="0.25">
      <c r="A80" t="str">
        <f t="shared" si="1"/>
        <v/>
      </c>
    </row>
    <row r="81" spans="1:1" x14ac:dyDescent="0.25">
      <c r="A81" t="str">
        <f t="shared" si="1"/>
        <v/>
      </c>
    </row>
    <row r="82" spans="1:1" x14ac:dyDescent="0.25">
      <c r="A82" t="str">
        <f t="shared" si="1"/>
        <v/>
      </c>
    </row>
    <row r="83" spans="1:1" x14ac:dyDescent="0.25">
      <c r="A83" t="str">
        <f t="shared" si="1"/>
        <v/>
      </c>
    </row>
    <row r="84" spans="1:1" x14ac:dyDescent="0.25">
      <c r="A84" t="str">
        <f t="shared" si="1"/>
        <v/>
      </c>
    </row>
    <row r="85" spans="1:1" x14ac:dyDescent="0.25">
      <c r="A85" t="str">
        <f t="shared" si="1"/>
        <v/>
      </c>
    </row>
    <row r="86" spans="1:1" x14ac:dyDescent="0.25">
      <c r="A86" t="str">
        <f t="shared" si="1"/>
        <v/>
      </c>
    </row>
    <row r="87" spans="1:1" x14ac:dyDescent="0.25">
      <c r="A87" t="str">
        <f t="shared" si="1"/>
        <v/>
      </c>
    </row>
    <row r="88" spans="1:1" x14ac:dyDescent="0.25">
      <c r="A88" t="str">
        <f t="shared" si="1"/>
        <v/>
      </c>
    </row>
    <row r="89" spans="1:1" x14ac:dyDescent="0.25">
      <c r="A89" t="str">
        <f t="shared" si="1"/>
        <v/>
      </c>
    </row>
    <row r="90" spans="1:1" x14ac:dyDescent="0.25">
      <c r="A90" t="str">
        <f t="shared" si="1"/>
        <v/>
      </c>
    </row>
    <row r="91" spans="1:1" x14ac:dyDescent="0.25">
      <c r="A91" t="str">
        <f t="shared" si="1"/>
        <v/>
      </c>
    </row>
    <row r="92" spans="1:1" x14ac:dyDescent="0.25">
      <c r="A92" t="str">
        <f t="shared" si="1"/>
        <v/>
      </c>
    </row>
    <row r="93" spans="1:1" x14ac:dyDescent="0.25">
      <c r="A93" t="str">
        <f t="shared" si="1"/>
        <v/>
      </c>
    </row>
    <row r="94" spans="1:1" x14ac:dyDescent="0.25">
      <c r="A94" t="str">
        <f t="shared" si="1"/>
        <v/>
      </c>
    </row>
    <row r="95" spans="1:1" x14ac:dyDescent="0.25">
      <c r="A95" t="str">
        <f t="shared" si="1"/>
        <v/>
      </c>
    </row>
    <row r="96" spans="1:1" x14ac:dyDescent="0.25">
      <c r="A96" t="str">
        <f t="shared" si="1"/>
        <v/>
      </c>
    </row>
    <row r="97" spans="1:1" x14ac:dyDescent="0.25">
      <c r="A97" t="str">
        <f t="shared" si="1"/>
        <v/>
      </c>
    </row>
    <row r="98" spans="1:1" x14ac:dyDescent="0.25">
      <c r="A98" t="str">
        <f t="shared" si="1"/>
        <v/>
      </c>
    </row>
    <row r="99" spans="1:1" x14ac:dyDescent="0.25">
      <c r="A99" t="str">
        <f t="shared" si="1"/>
        <v/>
      </c>
    </row>
    <row r="100" spans="1:1" x14ac:dyDescent="0.25">
      <c r="A100" t="str">
        <f t="shared" si="1"/>
        <v/>
      </c>
    </row>
    <row r="101" spans="1:1" x14ac:dyDescent="0.25">
      <c r="A101" t="str">
        <f t="shared" si="1"/>
        <v/>
      </c>
    </row>
    <row r="102" spans="1:1" x14ac:dyDescent="0.25">
      <c r="A102" t="str">
        <f t="shared" si="1"/>
        <v/>
      </c>
    </row>
    <row r="103" spans="1:1" x14ac:dyDescent="0.25">
      <c r="A103" t="str">
        <f t="shared" si="1"/>
        <v/>
      </c>
    </row>
    <row r="104" spans="1:1" x14ac:dyDescent="0.25">
      <c r="A104" t="str">
        <f t="shared" si="1"/>
        <v/>
      </c>
    </row>
    <row r="105" spans="1:1" x14ac:dyDescent="0.25">
      <c r="A105" t="str">
        <f t="shared" si="1"/>
        <v/>
      </c>
    </row>
    <row r="106" spans="1:1" x14ac:dyDescent="0.25">
      <c r="A106" t="str">
        <f t="shared" si="1"/>
        <v/>
      </c>
    </row>
    <row r="107" spans="1:1" x14ac:dyDescent="0.25">
      <c r="A107" t="str">
        <f t="shared" si="1"/>
        <v/>
      </c>
    </row>
    <row r="108" spans="1:1" x14ac:dyDescent="0.25">
      <c r="A108" t="str">
        <f t="shared" si="1"/>
        <v/>
      </c>
    </row>
    <row r="109" spans="1:1" x14ac:dyDescent="0.25">
      <c r="A109" t="str">
        <f t="shared" si="1"/>
        <v/>
      </c>
    </row>
    <row r="110" spans="1:1" x14ac:dyDescent="0.25">
      <c r="A110" t="str">
        <f t="shared" si="1"/>
        <v/>
      </c>
    </row>
    <row r="111" spans="1:1" x14ac:dyDescent="0.25">
      <c r="A111" t="str">
        <f t="shared" si="1"/>
        <v/>
      </c>
    </row>
    <row r="112" spans="1:1" x14ac:dyDescent="0.25">
      <c r="A112" t="str">
        <f t="shared" si="1"/>
        <v/>
      </c>
    </row>
    <row r="113" spans="1:1" x14ac:dyDescent="0.25">
      <c r="A113" t="str">
        <f t="shared" si="1"/>
        <v/>
      </c>
    </row>
    <row r="114" spans="1:1" x14ac:dyDescent="0.25">
      <c r="A114" t="str">
        <f t="shared" si="1"/>
        <v/>
      </c>
    </row>
    <row r="115" spans="1:1" x14ac:dyDescent="0.25">
      <c r="A115" t="str">
        <f t="shared" si="1"/>
        <v/>
      </c>
    </row>
    <row r="116" spans="1:1" x14ac:dyDescent="0.25">
      <c r="A116" t="str">
        <f t="shared" si="1"/>
        <v/>
      </c>
    </row>
    <row r="117" spans="1:1" x14ac:dyDescent="0.25">
      <c r="A117" t="str">
        <f t="shared" si="1"/>
        <v/>
      </c>
    </row>
    <row r="118" spans="1:1" x14ac:dyDescent="0.25">
      <c r="A118" t="str">
        <f t="shared" si="1"/>
        <v/>
      </c>
    </row>
    <row r="119" spans="1:1" x14ac:dyDescent="0.25">
      <c r="A119" t="str">
        <f t="shared" si="1"/>
        <v/>
      </c>
    </row>
    <row r="120" spans="1:1" x14ac:dyDescent="0.25">
      <c r="A120" t="str">
        <f t="shared" si="1"/>
        <v/>
      </c>
    </row>
    <row r="121" spans="1:1" x14ac:dyDescent="0.25">
      <c r="A121" t="str">
        <f t="shared" si="1"/>
        <v/>
      </c>
    </row>
    <row r="122" spans="1:1" x14ac:dyDescent="0.25">
      <c r="A122" t="str">
        <f t="shared" si="1"/>
        <v/>
      </c>
    </row>
    <row r="123" spans="1:1" x14ac:dyDescent="0.25">
      <c r="A123" t="str">
        <f t="shared" si="1"/>
        <v/>
      </c>
    </row>
    <row r="124" spans="1:1" x14ac:dyDescent="0.25">
      <c r="A124" t="str">
        <f t="shared" si="1"/>
        <v/>
      </c>
    </row>
    <row r="125" spans="1:1" x14ac:dyDescent="0.25">
      <c r="A125" t="str">
        <f t="shared" si="1"/>
        <v/>
      </c>
    </row>
    <row r="126" spans="1:1" x14ac:dyDescent="0.25">
      <c r="A126" t="str">
        <f t="shared" si="1"/>
        <v/>
      </c>
    </row>
    <row r="127" spans="1:1" x14ac:dyDescent="0.25">
      <c r="A127" t="str">
        <f t="shared" si="1"/>
        <v/>
      </c>
    </row>
    <row r="128" spans="1:1" x14ac:dyDescent="0.25">
      <c r="A128" t="str">
        <f t="shared" si="1"/>
        <v/>
      </c>
    </row>
    <row r="129" spans="1:1" x14ac:dyDescent="0.25">
      <c r="A129" t="str">
        <f t="shared" si="1"/>
        <v/>
      </c>
    </row>
    <row r="130" spans="1:1" x14ac:dyDescent="0.25">
      <c r="A130" t="str">
        <f t="shared" si="1"/>
        <v/>
      </c>
    </row>
    <row r="131" spans="1:1" x14ac:dyDescent="0.25">
      <c r="A131" t="str">
        <f t="shared" si="1"/>
        <v/>
      </c>
    </row>
    <row r="132" spans="1:1" x14ac:dyDescent="0.25">
      <c r="A132" t="str">
        <f t="shared" si="1"/>
        <v/>
      </c>
    </row>
    <row r="133" spans="1:1" x14ac:dyDescent="0.25">
      <c r="A133" t="str">
        <f t="shared" ref="A133:A196" si="2">IF(B133="",(""),(A132+1))</f>
        <v/>
      </c>
    </row>
    <row r="134" spans="1:1" x14ac:dyDescent="0.25">
      <c r="A134" t="str">
        <f t="shared" si="2"/>
        <v/>
      </c>
    </row>
    <row r="135" spans="1:1" x14ac:dyDescent="0.25">
      <c r="A135" t="str">
        <f t="shared" si="2"/>
        <v/>
      </c>
    </row>
    <row r="136" spans="1:1" x14ac:dyDescent="0.25">
      <c r="A136" t="str">
        <f t="shared" si="2"/>
        <v/>
      </c>
    </row>
    <row r="137" spans="1:1" x14ac:dyDescent="0.25">
      <c r="A137" t="str">
        <f t="shared" si="2"/>
        <v/>
      </c>
    </row>
    <row r="138" spans="1:1" x14ac:dyDescent="0.25">
      <c r="A138" t="str">
        <f t="shared" si="2"/>
        <v/>
      </c>
    </row>
    <row r="139" spans="1:1" x14ac:dyDescent="0.25">
      <c r="A139" t="str">
        <f t="shared" si="2"/>
        <v/>
      </c>
    </row>
    <row r="140" spans="1:1" x14ac:dyDescent="0.25">
      <c r="A140" t="str">
        <f t="shared" si="2"/>
        <v/>
      </c>
    </row>
    <row r="141" spans="1:1" x14ac:dyDescent="0.25">
      <c r="A141" t="str">
        <f t="shared" si="2"/>
        <v/>
      </c>
    </row>
    <row r="142" spans="1:1" x14ac:dyDescent="0.25">
      <c r="A142" t="str">
        <f t="shared" si="2"/>
        <v/>
      </c>
    </row>
    <row r="143" spans="1:1" x14ac:dyDescent="0.25">
      <c r="A143" t="str">
        <f t="shared" si="2"/>
        <v/>
      </c>
    </row>
    <row r="144" spans="1:1" x14ac:dyDescent="0.25">
      <c r="A144" t="str">
        <f t="shared" si="2"/>
        <v/>
      </c>
    </row>
    <row r="145" spans="1:1" x14ac:dyDescent="0.25">
      <c r="A145" t="str">
        <f t="shared" si="2"/>
        <v/>
      </c>
    </row>
    <row r="146" spans="1:1" x14ac:dyDescent="0.25">
      <c r="A146" t="str">
        <f t="shared" si="2"/>
        <v/>
      </c>
    </row>
    <row r="147" spans="1:1" x14ac:dyDescent="0.25">
      <c r="A147" t="str">
        <f t="shared" si="2"/>
        <v/>
      </c>
    </row>
    <row r="148" spans="1:1" x14ac:dyDescent="0.25">
      <c r="A148" t="str">
        <f t="shared" si="2"/>
        <v/>
      </c>
    </row>
    <row r="149" spans="1:1" x14ac:dyDescent="0.25">
      <c r="A149" t="str">
        <f t="shared" si="2"/>
        <v/>
      </c>
    </row>
    <row r="150" spans="1:1" x14ac:dyDescent="0.25">
      <c r="A150" t="str">
        <f t="shared" si="2"/>
        <v/>
      </c>
    </row>
    <row r="151" spans="1:1" x14ac:dyDescent="0.25">
      <c r="A151" t="str">
        <f t="shared" si="2"/>
        <v/>
      </c>
    </row>
    <row r="152" spans="1:1" x14ac:dyDescent="0.25">
      <c r="A152" t="str">
        <f t="shared" si="2"/>
        <v/>
      </c>
    </row>
    <row r="153" spans="1:1" x14ac:dyDescent="0.25">
      <c r="A153" t="str">
        <f t="shared" si="2"/>
        <v/>
      </c>
    </row>
    <row r="154" spans="1:1" x14ac:dyDescent="0.25">
      <c r="A154" t="str">
        <f t="shared" si="2"/>
        <v/>
      </c>
    </row>
    <row r="155" spans="1:1" x14ac:dyDescent="0.25">
      <c r="A155" t="str">
        <f t="shared" si="2"/>
        <v/>
      </c>
    </row>
    <row r="156" spans="1:1" x14ac:dyDescent="0.25">
      <c r="A156" t="str">
        <f t="shared" si="2"/>
        <v/>
      </c>
    </row>
    <row r="157" spans="1:1" x14ac:dyDescent="0.25">
      <c r="A157" t="str">
        <f t="shared" si="2"/>
        <v/>
      </c>
    </row>
    <row r="158" spans="1:1" x14ac:dyDescent="0.25">
      <c r="A158" t="str">
        <f t="shared" si="2"/>
        <v/>
      </c>
    </row>
    <row r="159" spans="1:1" x14ac:dyDescent="0.25">
      <c r="A159" t="str">
        <f t="shared" si="2"/>
        <v/>
      </c>
    </row>
    <row r="160" spans="1:1" x14ac:dyDescent="0.25">
      <c r="A160" t="str">
        <f t="shared" si="2"/>
        <v/>
      </c>
    </row>
    <row r="161" spans="1:1" x14ac:dyDescent="0.25">
      <c r="A161" t="str">
        <f t="shared" si="2"/>
        <v/>
      </c>
    </row>
    <row r="162" spans="1:1" x14ac:dyDescent="0.25">
      <c r="A162" t="str">
        <f t="shared" si="2"/>
        <v/>
      </c>
    </row>
    <row r="163" spans="1:1" x14ac:dyDescent="0.25">
      <c r="A163" t="str">
        <f t="shared" si="2"/>
        <v/>
      </c>
    </row>
    <row r="164" spans="1:1" x14ac:dyDescent="0.25">
      <c r="A164" t="str">
        <f t="shared" si="2"/>
        <v/>
      </c>
    </row>
    <row r="165" spans="1:1" x14ac:dyDescent="0.25">
      <c r="A165" t="str">
        <f t="shared" si="2"/>
        <v/>
      </c>
    </row>
    <row r="166" spans="1:1" x14ac:dyDescent="0.25">
      <c r="A166" t="str">
        <f t="shared" si="2"/>
        <v/>
      </c>
    </row>
    <row r="167" spans="1:1" x14ac:dyDescent="0.25">
      <c r="A167" t="str">
        <f t="shared" si="2"/>
        <v/>
      </c>
    </row>
    <row r="168" spans="1:1" x14ac:dyDescent="0.25">
      <c r="A168" t="str">
        <f t="shared" si="2"/>
        <v/>
      </c>
    </row>
    <row r="169" spans="1:1" x14ac:dyDescent="0.25">
      <c r="A169" t="str">
        <f t="shared" si="2"/>
        <v/>
      </c>
    </row>
    <row r="170" spans="1:1" x14ac:dyDescent="0.25">
      <c r="A170" t="str">
        <f t="shared" si="2"/>
        <v/>
      </c>
    </row>
    <row r="171" spans="1:1" x14ac:dyDescent="0.25">
      <c r="A171" t="str">
        <f t="shared" si="2"/>
        <v/>
      </c>
    </row>
    <row r="172" spans="1:1" x14ac:dyDescent="0.25">
      <c r="A172" t="str">
        <f t="shared" si="2"/>
        <v/>
      </c>
    </row>
    <row r="173" spans="1:1" x14ac:dyDescent="0.25">
      <c r="A173" t="str">
        <f t="shared" si="2"/>
        <v/>
      </c>
    </row>
    <row r="174" spans="1:1" x14ac:dyDescent="0.25">
      <c r="A174" t="str">
        <f t="shared" si="2"/>
        <v/>
      </c>
    </row>
    <row r="175" spans="1:1" x14ac:dyDescent="0.25">
      <c r="A175" t="str">
        <f t="shared" si="2"/>
        <v/>
      </c>
    </row>
    <row r="176" spans="1:1" x14ac:dyDescent="0.25">
      <c r="A176" t="str">
        <f t="shared" si="2"/>
        <v/>
      </c>
    </row>
    <row r="177" spans="1:1" x14ac:dyDescent="0.25">
      <c r="A177" t="str">
        <f t="shared" si="2"/>
        <v/>
      </c>
    </row>
    <row r="178" spans="1:1" x14ac:dyDescent="0.25">
      <c r="A178" t="str">
        <f t="shared" si="2"/>
        <v/>
      </c>
    </row>
    <row r="179" spans="1:1" x14ac:dyDescent="0.25">
      <c r="A179" t="str">
        <f t="shared" si="2"/>
        <v/>
      </c>
    </row>
    <row r="180" spans="1:1" x14ac:dyDescent="0.25">
      <c r="A180" t="str">
        <f t="shared" si="2"/>
        <v/>
      </c>
    </row>
    <row r="181" spans="1:1" x14ac:dyDescent="0.25">
      <c r="A181" t="str">
        <f t="shared" si="2"/>
        <v/>
      </c>
    </row>
    <row r="182" spans="1:1" x14ac:dyDescent="0.25">
      <c r="A182" t="str">
        <f t="shared" si="2"/>
        <v/>
      </c>
    </row>
    <row r="183" spans="1:1" x14ac:dyDescent="0.25">
      <c r="A183" t="str">
        <f t="shared" si="2"/>
        <v/>
      </c>
    </row>
    <row r="184" spans="1:1" x14ac:dyDescent="0.25">
      <c r="A184" t="str">
        <f t="shared" si="2"/>
        <v/>
      </c>
    </row>
    <row r="185" spans="1:1" x14ac:dyDescent="0.25">
      <c r="A185" t="str">
        <f t="shared" si="2"/>
        <v/>
      </c>
    </row>
    <row r="186" spans="1:1" x14ac:dyDescent="0.25">
      <c r="A186" t="str">
        <f t="shared" si="2"/>
        <v/>
      </c>
    </row>
    <row r="187" spans="1:1" x14ac:dyDescent="0.25">
      <c r="A187" t="str">
        <f t="shared" si="2"/>
        <v/>
      </c>
    </row>
    <row r="188" spans="1:1" x14ac:dyDescent="0.25">
      <c r="A188" t="str">
        <f t="shared" si="2"/>
        <v/>
      </c>
    </row>
    <row r="189" spans="1:1" x14ac:dyDescent="0.25">
      <c r="A189" t="str">
        <f t="shared" si="2"/>
        <v/>
      </c>
    </row>
    <row r="190" spans="1:1" x14ac:dyDescent="0.25">
      <c r="A190" t="str">
        <f t="shared" si="2"/>
        <v/>
      </c>
    </row>
    <row r="191" spans="1:1" x14ac:dyDescent="0.25">
      <c r="A191" t="str">
        <f t="shared" si="2"/>
        <v/>
      </c>
    </row>
    <row r="192" spans="1:1" x14ac:dyDescent="0.25">
      <c r="A192" t="str">
        <f t="shared" si="2"/>
        <v/>
      </c>
    </row>
    <row r="193" spans="1:1" x14ac:dyDescent="0.25">
      <c r="A193" t="str">
        <f t="shared" si="2"/>
        <v/>
      </c>
    </row>
    <row r="194" spans="1:1" x14ac:dyDescent="0.25">
      <c r="A194" t="str">
        <f t="shared" si="2"/>
        <v/>
      </c>
    </row>
    <row r="195" spans="1:1" x14ac:dyDescent="0.25">
      <c r="A195" t="str">
        <f t="shared" si="2"/>
        <v/>
      </c>
    </row>
    <row r="196" spans="1:1" x14ac:dyDescent="0.25">
      <c r="A196" t="str">
        <f t="shared" si="2"/>
        <v/>
      </c>
    </row>
    <row r="197" spans="1:1" x14ac:dyDescent="0.25">
      <c r="A197" t="str">
        <f t="shared" ref="A197:A260" si="3">IF(B197="",(""),(A196+1))</f>
        <v/>
      </c>
    </row>
    <row r="198" spans="1:1" x14ac:dyDescent="0.25">
      <c r="A198" t="str">
        <f t="shared" si="3"/>
        <v/>
      </c>
    </row>
    <row r="199" spans="1:1" x14ac:dyDescent="0.25">
      <c r="A199" t="str">
        <f t="shared" si="3"/>
        <v/>
      </c>
    </row>
    <row r="200" spans="1:1" x14ac:dyDescent="0.25">
      <c r="A200" t="str">
        <f t="shared" si="3"/>
        <v/>
      </c>
    </row>
    <row r="201" spans="1:1" x14ac:dyDescent="0.25">
      <c r="A201" t="str">
        <f t="shared" si="3"/>
        <v/>
      </c>
    </row>
    <row r="202" spans="1:1" x14ac:dyDescent="0.25">
      <c r="A202" t="str">
        <f t="shared" si="3"/>
        <v/>
      </c>
    </row>
    <row r="203" spans="1:1" x14ac:dyDescent="0.25">
      <c r="A203" t="str">
        <f t="shared" si="3"/>
        <v/>
      </c>
    </row>
    <row r="204" spans="1:1" x14ac:dyDescent="0.25">
      <c r="A204" t="str">
        <f t="shared" si="3"/>
        <v/>
      </c>
    </row>
    <row r="205" spans="1:1" x14ac:dyDescent="0.25">
      <c r="A205" t="str">
        <f t="shared" si="3"/>
        <v/>
      </c>
    </row>
    <row r="206" spans="1:1" x14ac:dyDescent="0.25">
      <c r="A206" t="str">
        <f t="shared" si="3"/>
        <v/>
      </c>
    </row>
    <row r="207" spans="1:1" x14ac:dyDescent="0.25">
      <c r="A207" t="str">
        <f t="shared" si="3"/>
        <v/>
      </c>
    </row>
    <row r="208" spans="1:1" x14ac:dyDescent="0.25">
      <c r="A208" t="str">
        <f t="shared" si="3"/>
        <v/>
      </c>
    </row>
    <row r="209" spans="1:1" x14ac:dyDescent="0.25">
      <c r="A209" t="str">
        <f t="shared" si="3"/>
        <v/>
      </c>
    </row>
    <row r="210" spans="1:1" x14ac:dyDescent="0.25">
      <c r="A210" t="str">
        <f t="shared" si="3"/>
        <v/>
      </c>
    </row>
    <row r="211" spans="1:1" x14ac:dyDescent="0.25">
      <c r="A211" t="str">
        <f t="shared" si="3"/>
        <v/>
      </c>
    </row>
    <row r="212" spans="1:1" x14ac:dyDescent="0.25">
      <c r="A212" t="str">
        <f t="shared" si="3"/>
        <v/>
      </c>
    </row>
    <row r="213" spans="1:1" x14ac:dyDescent="0.25">
      <c r="A213" t="str">
        <f t="shared" si="3"/>
        <v/>
      </c>
    </row>
    <row r="214" spans="1:1" x14ac:dyDescent="0.25">
      <c r="A214" t="str">
        <f t="shared" si="3"/>
        <v/>
      </c>
    </row>
    <row r="215" spans="1:1" x14ac:dyDescent="0.25">
      <c r="A215" t="str">
        <f t="shared" si="3"/>
        <v/>
      </c>
    </row>
    <row r="216" spans="1:1" x14ac:dyDescent="0.25">
      <c r="A216" t="str">
        <f t="shared" si="3"/>
        <v/>
      </c>
    </row>
    <row r="217" spans="1:1" x14ac:dyDescent="0.25">
      <c r="A217" t="str">
        <f t="shared" si="3"/>
        <v/>
      </c>
    </row>
    <row r="218" spans="1:1" x14ac:dyDescent="0.25">
      <c r="A218" t="str">
        <f t="shared" si="3"/>
        <v/>
      </c>
    </row>
    <row r="219" spans="1:1" x14ac:dyDescent="0.25">
      <c r="A219" t="str">
        <f t="shared" si="3"/>
        <v/>
      </c>
    </row>
    <row r="220" spans="1:1" x14ac:dyDescent="0.25">
      <c r="A220" t="str">
        <f t="shared" si="3"/>
        <v/>
      </c>
    </row>
    <row r="221" spans="1:1" x14ac:dyDescent="0.25">
      <c r="A221" t="str">
        <f t="shared" si="3"/>
        <v/>
      </c>
    </row>
    <row r="222" spans="1:1" x14ac:dyDescent="0.25">
      <c r="A222" t="str">
        <f t="shared" si="3"/>
        <v/>
      </c>
    </row>
    <row r="223" spans="1:1" x14ac:dyDescent="0.25">
      <c r="A223" t="str">
        <f t="shared" si="3"/>
        <v/>
      </c>
    </row>
    <row r="224" spans="1:1" x14ac:dyDescent="0.25">
      <c r="A224" t="str">
        <f t="shared" si="3"/>
        <v/>
      </c>
    </row>
    <row r="225" spans="1:1" x14ac:dyDescent="0.25">
      <c r="A225" t="str">
        <f t="shared" si="3"/>
        <v/>
      </c>
    </row>
    <row r="226" spans="1:1" x14ac:dyDescent="0.25">
      <c r="A226" t="str">
        <f t="shared" si="3"/>
        <v/>
      </c>
    </row>
    <row r="227" spans="1:1" x14ac:dyDescent="0.25">
      <c r="A227" t="str">
        <f t="shared" si="3"/>
        <v/>
      </c>
    </row>
    <row r="228" spans="1:1" x14ac:dyDescent="0.25">
      <c r="A228" t="str">
        <f t="shared" si="3"/>
        <v/>
      </c>
    </row>
    <row r="229" spans="1:1" x14ac:dyDescent="0.25">
      <c r="A229" t="str">
        <f t="shared" si="3"/>
        <v/>
      </c>
    </row>
    <row r="230" spans="1:1" x14ac:dyDescent="0.25">
      <c r="A230" t="str">
        <f t="shared" si="3"/>
        <v/>
      </c>
    </row>
    <row r="231" spans="1:1" x14ac:dyDescent="0.25">
      <c r="A231" t="str">
        <f t="shared" si="3"/>
        <v/>
      </c>
    </row>
    <row r="232" spans="1:1" x14ac:dyDescent="0.25">
      <c r="A232" t="str">
        <f t="shared" si="3"/>
        <v/>
      </c>
    </row>
    <row r="233" spans="1:1" x14ac:dyDescent="0.25">
      <c r="A233" t="str">
        <f t="shared" si="3"/>
        <v/>
      </c>
    </row>
    <row r="234" spans="1:1" x14ac:dyDescent="0.25">
      <c r="A234" t="str">
        <f t="shared" si="3"/>
        <v/>
      </c>
    </row>
    <row r="235" spans="1:1" x14ac:dyDescent="0.25">
      <c r="A235" t="str">
        <f t="shared" si="3"/>
        <v/>
      </c>
    </row>
    <row r="236" spans="1:1" x14ac:dyDescent="0.25">
      <c r="A236" t="str">
        <f t="shared" si="3"/>
        <v/>
      </c>
    </row>
    <row r="237" spans="1:1" x14ac:dyDescent="0.25">
      <c r="A237" t="str">
        <f t="shared" si="3"/>
        <v/>
      </c>
    </row>
    <row r="238" spans="1:1" x14ac:dyDescent="0.25">
      <c r="A238" t="str">
        <f t="shared" si="3"/>
        <v/>
      </c>
    </row>
    <row r="239" spans="1:1" x14ac:dyDescent="0.25">
      <c r="A239" t="str">
        <f t="shared" si="3"/>
        <v/>
      </c>
    </row>
    <row r="240" spans="1:1" x14ac:dyDescent="0.25">
      <c r="A240" t="str">
        <f t="shared" si="3"/>
        <v/>
      </c>
    </row>
    <row r="241" spans="1:1" x14ac:dyDescent="0.25">
      <c r="A241" t="str">
        <f t="shared" si="3"/>
        <v/>
      </c>
    </row>
    <row r="242" spans="1:1" x14ac:dyDescent="0.25">
      <c r="A242" t="str">
        <f t="shared" si="3"/>
        <v/>
      </c>
    </row>
    <row r="243" spans="1:1" x14ac:dyDescent="0.25">
      <c r="A243" t="str">
        <f t="shared" si="3"/>
        <v/>
      </c>
    </row>
    <row r="244" spans="1:1" x14ac:dyDescent="0.25">
      <c r="A244" t="str">
        <f t="shared" si="3"/>
        <v/>
      </c>
    </row>
    <row r="245" spans="1:1" x14ac:dyDescent="0.25">
      <c r="A245" t="str">
        <f t="shared" si="3"/>
        <v/>
      </c>
    </row>
    <row r="246" spans="1:1" x14ac:dyDescent="0.25">
      <c r="A246" t="str">
        <f t="shared" si="3"/>
        <v/>
      </c>
    </row>
    <row r="247" spans="1:1" x14ac:dyDescent="0.25">
      <c r="A247" t="str">
        <f t="shared" si="3"/>
        <v/>
      </c>
    </row>
    <row r="248" spans="1:1" x14ac:dyDescent="0.25">
      <c r="A248" t="str">
        <f t="shared" si="3"/>
        <v/>
      </c>
    </row>
    <row r="249" spans="1:1" x14ac:dyDescent="0.25">
      <c r="A249" t="str">
        <f t="shared" si="3"/>
        <v/>
      </c>
    </row>
    <row r="250" spans="1:1" x14ac:dyDescent="0.25">
      <c r="A250" t="str">
        <f t="shared" si="3"/>
        <v/>
      </c>
    </row>
    <row r="251" spans="1:1" x14ac:dyDescent="0.25">
      <c r="A251" t="str">
        <f t="shared" si="3"/>
        <v/>
      </c>
    </row>
    <row r="252" spans="1:1" x14ac:dyDescent="0.25">
      <c r="A252" t="str">
        <f t="shared" si="3"/>
        <v/>
      </c>
    </row>
    <row r="253" spans="1:1" x14ac:dyDescent="0.25">
      <c r="A253" t="str">
        <f t="shared" si="3"/>
        <v/>
      </c>
    </row>
    <row r="254" spans="1:1" x14ac:dyDescent="0.25">
      <c r="A254" t="str">
        <f t="shared" si="3"/>
        <v/>
      </c>
    </row>
    <row r="255" spans="1:1" x14ac:dyDescent="0.25">
      <c r="A255" t="str">
        <f t="shared" si="3"/>
        <v/>
      </c>
    </row>
    <row r="256" spans="1:1" x14ac:dyDescent="0.25">
      <c r="A256" t="str">
        <f t="shared" si="3"/>
        <v/>
      </c>
    </row>
    <row r="257" spans="1:1" x14ac:dyDescent="0.25">
      <c r="A257" t="str">
        <f t="shared" si="3"/>
        <v/>
      </c>
    </row>
    <row r="258" spans="1:1" x14ac:dyDescent="0.25">
      <c r="A258" t="str">
        <f t="shared" si="3"/>
        <v/>
      </c>
    </row>
    <row r="259" spans="1:1" x14ac:dyDescent="0.25">
      <c r="A259" t="str">
        <f t="shared" si="3"/>
        <v/>
      </c>
    </row>
    <row r="260" spans="1:1" x14ac:dyDescent="0.25">
      <c r="A260" t="str">
        <f t="shared" si="3"/>
        <v/>
      </c>
    </row>
    <row r="261" spans="1:1" x14ac:dyDescent="0.25">
      <c r="A261" t="str">
        <f t="shared" ref="A261:A324" si="4">IF(B261="",(""),(A260+1))</f>
        <v/>
      </c>
    </row>
    <row r="262" spans="1:1" x14ac:dyDescent="0.25">
      <c r="A262" t="str">
        <f t="shared" si="4"/>
        <v/>
      </c>
    </row>
    <row r="263" spans="1:1" x14ac:dyDescent="0.25">
      <c r="A263" t="str">
        <f t="shared" si="4"/>
        <v/>
      </c>
    </row>
    <row r="264" spans="1:1" x14ac:dyDescent="0.25">
      <c r="A264" t="str">
        <f t="shared" si="4"/>
        <v/>
      </c>
    </row>
    <row r="265" spans="1:1" x14ac:dyDescent="0.25">
      <c r="A265" t="str">
        <f t="shared" si="4"/>
        <v/>
      </c>
    </row>
    <row r="266" spans="1:1" x14ac:dyDescent="0.25">
      <c r="A266" t="str">
        <f t="shared" si="4"/>
        <v/>
      </c>
    </row>
    <row r="267" spans="1:1" x14ac:dyDescent="0.25">
      <c r="A267" t="str">
        <f t="shared" si="4"/>
        <v/>
      </c>
    </row>
    <row r="268" spans="1:1" x14ac:dyDescent="0.25">
      <c r="A268" t="str">
        <f t="shared" si="4"/>
        <v/>
      </c>
    </row>
    <row r="269" spans="1:1" x14ac:dyDescent="0.25">
      <c r="A269" t="str">
        <f t="shared" si="4"/>
        <v/>
      </c>
    </row>
    <row r="270" spans="1:1" x14ac:dyDescent="0.25">
      <c r="A270" t="str">
        <f t="shared" si="4"/>
        <v/>
      </c>
    </row>
    <row r="271" spans="1:1" x14ac:dyDescent="0.25">
      <c r="A271" t="str">
        <f t="shared" si="4"/>
        <v/>
      </c>
    </row>
    <row r="272" spans="1:1" x14ac:dyDescent="0.25">
      <c r="A272" t="str">
        <f t="shared" si="4"/>
        <v/>
      </c>
    </row>
    <row r="273" spans="1:1" x14ac:dyDescent="0.25">
      <c r="A273" t="str">
        <f t="shared" si="4"/>
        <v/>
      </c>
    </row>
    <row r="274" spans="1:1" x14ac:dyDescent="0.25">
      <c r="A274" t="str">
        <f t="shared" si="4"/>
        <v/>
      </c>
    </row>
    <row r="275" spans="1:1" x14ac:dyDescent="0.25">
      <c r="A275" t="str">
        <f t="shared" si="4"/>
        <v/>
      </c>
    </row>
    <row r="276" spans="1:1" x14ac:dyDescent="0.25">
      <c r="A276" t="str">
        <f t="shared" si="4"/>
        <v/>
      </c>
    </row>
    <row r="277" spans="1:1" x14ac:dyDescent="0.25">
      <c r="A277" t="str">
        <f t="shared" si="4"/>
        <v/>
      </c>
    </row>
    <row r="278" spans="1:1" x14ac:dyDescent="0.25">
      <c r="A278" t="str">
        <f t="shared" si="4"/>
        <v/>
      </c>
    </row>
    <row r="279" spans="1:1" x14ac:dyDescent="0.25">
      <c r="A279" t="str">
        <f t="shared" si="4"/>
        <v/>
      </c>
    </row>
    <row r="280" spans="1:1" x14ac:dyDescent="0.25">
      <c r="A280" t="str">
        <f t="shared" si="4"/>
        <v/>
      </c>
    </row>
    <row r="281" spans="1:1" x14ac:dyDescent="0.25">
      <c r="A281" t="str">
        <f t="shared" si="4"/>
        <v/>
      </c>
    </row>
    <row r="282" spans="1:1" x14ac:dyDescent="0.25">
      <c r="A282" t="str">
        <f t="shared" si="4"/>
        <v/>
      </c>
    </row>
    <row r="283" spans="1:1" x14ac:dyDescent="0.25">
      <c r="A283" t="str">
        <f t="shared" si="4"/>
        <v/>
      </c>
    </row>
    <row r="284" spans="1:1" x14ac:dyDescent="0.25">
      <c r="A284" t="str">
        <f t="shared" si="4"/>
        <v/>
      </c>
    </row>
    <row r="285" spans="1:1" x14ac:dyDescent="0.25">
      <c r="A285" t="str">
        <f t="shared" si="4"/>
        <v/>
      </c>
    </row>
    <row r="286" spans="1:1" x14ac:dyDescent="0.25">
      <c r="A286" t="str">
        <f t="shared" si="4"/>
        <v/>
      </c>
    </row>
    <row r="287" spans="1:1" x14ac:dyDescent="0.25">
      <c r="A287" t="str">
        <f t="shared" si="4"/>
        <v/>
      </c>
    </row>
    <row r="288" spans="1:1" x14ac:dyDescent="0.25">
      <c r="A288" t="str">
        <f t="shared" si="4"/>
        <v/>
      </c>
    </row>
    <row r="289" spans="1:1" x14ac:dyDescent="0.25">
      <c r="A289" t="str">
        <f t="shared" si="4"/>
        <v/>
      </c>
    </row>
    <row r="290" spans="1:1" x14ac:dyDescent="0.25">
      <c r="A290" t="str">
        <f t="shared" si="4"/>
        <v/>
      </c>
    </row>
    <row r="291" spans="1:1" x14ac:dyDescent="0.25">
      <c r="A291" t="str">
        <f t="shared" si="4"/>
        <v/>
      </c>
    </row>
    <row r="292" spans="1:1" x14ac:dyDescent="0.25">
      <c r="A292" t="str">
        <f t="shared" si="4"/>
        <v/>
      </c>
    </row>
    <row r="293" spans="1:1" x14ac:dyDescent="0.25">
      <c r="A293" t="str">
        <f t="shared" si="4"/>
        <v/>
      </c>
    </row>
    <row r="294" spans="1:1" x14ac:dyDescent="0.25">
      <c r="A294" t="str">
        <f t="shared" si="4"/>
        <v/>
      </c>
    </row>
    <row r="295" spans="1:1" x14ac:dyDescent="0.25">
      <c r="A295" t="str">
        <f t="shared" si="4"/>
        <v/>
      </c>
    </row>
    <row r="296" spans="1:1" x14ac:dyDescent="0.25">
      <c r="A296" t="str">
        <f t="shared" si="4"/>
        <v/>
      </c>
    </row>
    <row r="297" spans="1:1" x14ac:dyDescent="0.25">
      <c r="A297" t="str">
        <f t="shared" si="4"/>
        <v/>
      </c>
    </row>
    <row r="298" spans="1:1" x14ac:dyDescent="0.25">
      <c r="A298" t="str">
        <f t="shared" si="4"/>
        <v/>
      </c>
    </row>
    <row r="299" spans="1:1" x14ac:dyDescent="0.25">
      <c r="A299" t="str">
        <f t="shared" si="4"/>
        <v/>
      </c>
    </row>
    <row r="300" spans="1:1" x14ac:dyDescent="0.25">
      <c r="A300" t="str">
        <f t="shared" si="4"/>
        <v/>
      </c>
    </row>
    <row r="301" spans="1:1" x14ac:dyDescent="0.25">
      <c r="A301" t="str">
        <f t="shared" si="4"/>
        <v/>
      </c>
    </row>
    <row r="302" spans="1:1" x14ac:dyDescent="0.25">
      <c r="A302" t="str">
        <f t="shared" si="4"/>
        <v/>
      </c>
    </row>
    <row r="303" spans="1:1" x14ac:dyDescent="0.25">
      <c r="A303" t="str">
        <f t="shared" si="4"/>
        <v/>
      </c>
    </row>
    <row r="304" spans="1:1" x14ac:dyDescent="0.25">
      <c r="A304" t="str">
        <f t="shared" si="4"/>
        <v/>
      </c>
    </row>
    <row r="305" spans="1:1" x14ac:dyDescent="0.25">
      <c r="A305" t="str">
        <f t="shared" si="4"/>
        <v/>
      </c>
    </row>
    <row r="306" spans="1:1" x14ac:dyDescent="0.25">
      <c r="A306" t="str">
        <f t="shared" si="4"/>
        <v/>
      </c>
    </row>
    <row r="307" spans="1:1" x14ac:dyDescent="0.25">
      <c r="A307" t="str">
        <f t="shared" si="4"/>
        <v/>
      </c>
    </row>
    <row r="308" spans="1:1" x14ac:dyDescent="0.25">
      <c r="A308" t="str">
        <f t="shared" si="4"/>
        <v/>
      </c>
    </row>
    <row r="309" spans="1:1" x14ac:dyDescent="0.25">
      <c r="A309" t="str">
        <f t="shared" si="4"/>
        <v/>
      </c>
    </row>
    <row r="310" spans="1:1" x14ac:dyDescent="0.25">
      <c r="A310" t="str">
        <f t="shared" si="4"/>
        <v/>
      </c>
    </row>
    <row r="311" spans="1:1" x14ac:dyDescent="0.25">
      <c r="A311" t="str">
        <f t="shared" si="4"/>
        <v/>
      </c>
    </row>
    <row r="312" spans="1:1" x14ac:dyDescent="0.25">
      <c r="A312" t="str">
        <f t="shared" si="4"/>
        <v/>
      </c>
    </row>
    <row r="313" spans="1:1" x14ac:dyDescent="0.25">
      <c r="A313" t="str">
        <f t="shared" si="4"/>
        <v/>
      </c>
    </row>
    <row r="314" spans="1:1" x14ac:dyDescent="0.25">
      <c r="A314" t="str">
        <f t="shared" si="4"/>
        <v/>
      </c>
    </row>
    <row r="315" spans="1:1" x14ac:dyDescent="0.25">
      <c r="A315" t="str">
        <f t="shared" si="4"/>
        <v/>
      </c>
    </row>
    <row r="316" spans="1:1" x14ac:dyDescent="0.25">
      <c r="A316" t="str">
        <f t="shared" si="4"/>
        <v/>
      </c>
    </row>
    <row r="317" spans="1:1" x14ac:dyDescent="0.25">
      <c r="A317" t="str">
        <f t="shared" si="4"/>
        <v/>
      </c>
    </row>
    <row r="318" spans="1:1" x14ac:dyDescent="0.25">
      <c r="A318" t="str">
        <f t="shared" si="4"/>
        <v/>
      </c>
    </row>
    <row r="319" spans="1:1" x14ac:dyDescent="0.25">
      <c r="A319" t="str">
        <f t="shared" si="4"/>
        <v/>
      </c>
    </row>
    <row r="320" spans="1:1" x14ac:dyDescent="0.25">
      <c r="A320" t="str">
        <f t="shared" si="4"/>
        <v/>
      </c>
    </row>
    <row r="321" spans="1:1" x14ac:dyDescent="0.25">
      <c r="A321" t="str">
        <f t="shared" si="4"/>
        <v/>
      </c>
    </row>
    <row r="322" spans="1:1" x14ac:dyDescent="0.25">
      <c r="A322" t="str">
        <f t="shared" si="4"/>
        <v/>
      </c>
    </row>
    <row r="323" spans="1:1" x14ac:dyDescent="0.25">
      <c r="A323" t="str">
        <f t="shared" si="4"/>
        <v/>
      </c>
    </row>
    <row r="324" spans="1:1" x14ac:dyDescent="0.25">
      <c r="A324" t="str">
        <f t="shared" si="4"/>
        <v/>
      </c>
    </row>
    <row r="325" spans="1:1" x14ac:dyDescent="0.25">
      <c r="A325" t="str">
        <f t="shared" ref="A325:A366" si="5">IF(B325="",(""),(A324+1))</f>
        <v/>
      </c>
    </row>
    <row r="326" spans="1:1" x14ac:dyDescent="0.25">
      <c r="A326" t="str">
        <f t="shared" si="5"/>
        <v/>
      </c>
    </row>
    <row r="327" spans="1:1" x14ac:dyDescent="0.25">
      <c r="A327" t="str">
        <f t="shared" si="5"/>
        <v/>
      </c>
    </row>
    <row r="328" spans="1:1" x14ac:dyDescent="0.25">
      <c r="A328" t="str">
        <f t="shared" si="5"/>
        <v/>
      </c>
    </row>
    <row r="329" spans="1:1" x14ac:dyDescent="0.25">
      <c r="A329" t="str">
        <f t="shared" si="5"/>
        <v/>
      </c>
    </row>
    <row r="330" spans="1:1" x14ac:dyDescent="0.25">
      <c r="A330" t="str">
        <f t="shared" si="5"/>
        <v/>
      </c>
    </row>
    <row r="331" spans="1:1" x14ac:dyDescent="0.25">
      <c r="A331" t="str">
        <f t="shared" si="5"/>
        <v/>
      </c>
    </row>
    <row r="332" spans="1:1" x14ac:dyDescent="0.25">
      <c r="A332" t="str">
        <f t="shared" si="5"/>
        <v/>
      </c>
    </row>
    <row r="333" spans="1:1" x14ac:dyDescent="0.25">
      <c r="A333" t="str">
        <f t="shared" si="5"/>
        <v/>
      </c>
    </row>
    <row r="334" spans="1:1" x14ac:dyDescent="0.25">
      <c r="A334" t="str">
        <f t="shared" si="5"/>
        <v/>
      </c>
    </row>
    <row r="335" spans="1:1" x14ac:dyDescent="0.25">
      <c r="A335" t="str">
        <f t="shared" si="5"/>
        <v/>
      </c>
    </row>
    <row r="336" spans="1:1" x14ac:dyDescent="0.25">
      <c r="A336" t="str">
        <f t="shared" si="5"/>
        <v/>
      </c>
    </row>
    <row r="337" spans="1:1" x14ac:dyDescent="0.25">
      <c r="A337" t="str">
        <f t="shared" si="5"/>
        <v/>
      </c>
    </row>
    <row r="338" spans="1:1" x14ac:dyDescent="0.25">
      <c r="A338" t="str">
        <f t="shared" si="5"/>
        <v/>
      </c>
    </row>
    <row r="339" spans="1:1" x14ac:dyDescent="0.25">
      <c r="A339" t="str">
        <f t="shared" si="5"/>
        <v/>
      </c>
    </row>
    <row r="340" spans="1:1" x14ac:dyDescent="0.25">
      <c r="A340" t="str">
        <f t="shared" si="5"/>
        <v/>
      </c>
    </row>
    <row r="341" spans="1:1" x14ac:dyDescent="0.25">
      <c r="A341" t="str">
        <f t="shared" si="5"/>
        <v/>
      </c>
    </row>
    <row r="342" spans="1:1" x14ac:dyDescent="0.25">
      <c r="A342" t="str">
        <f t="shared" si="5"/>
        <v/>
      </c>
    </row>
    <row r="343" spans="1:1" x14ac:dyDescent="0.25">
      <c r="A343" t="str">
        <f t="shared" si="5"/>
        <v/>
      </c>
    </row>
    <row r="344" spans="1:1" x14ac:dyDescent="0.25">
      <c r="A344" t="str">
        <f t="shared" si="5"/>
        <v/>
      </c>
    </row>
    <row r="345" spans="1:1" x14ac:dyDescent="0.25">
      <c r="A345" t="str">
        <f t="shared" si="5"/>
        <v/>
      </c>
    </row>
    <row r="346" spans="1:1" x14ac:dyDescent="0.25">
      <c r="A346" t="str">
        <f t="shared" si="5"/>
        <v/>
      </c>
    </row>
    <row r="347" spans="1:1" x14ac:dyDescent="0.25">
      <c r="A347" t="str">
        <f t="shared" si="5"/>
        <v/>
      </c>
    </row>
    <row r="348" spans="1:1" x14ac:dyDescent="0.25">
      <c r="A348" t="str">
        <f t="shared" si="5"/>
        <v/>
      </c>
    </row>
    <row r="349" spans="1:1" x14ac:dyDescent="0.25">
      <c r="A349" t="str">
        <f t="shared" si="5"/>
        <v/>
      </c>
    </row>
    <row r="350" spans="1:1" x14ac:dyDescent="0.25">
      <c r="A350" t="str">
        <f t="shared" si="5"/>
        <v/>
      </c>
    </row>
    <row r="351" spans="1:1" x14ac:dyDescent="0.25">
      <c r="A351" t="str">
        <f t="shared" si="5"/>
        <v/>
      </c>
    </row>
    <row r="352" spans="1:1" x14ac:dyDescent="0.25">
      <c r="A352" t="str">
        <f t="shared" si="5"/>
        <v/>
      </c>
    </row>
    <row r="353" spans="1:1" x14ac:dyDescent="0.25">
      <c r="A353" t="str">
        <f t="shared" si="5"/>
        <v/>
      </c>
    </row>
    <row r="354" spans="1:1" x14ac:dyDescent="0.25">
      <c r="A354" t="str">
        <f t="shared" si="5"/>
        <v/>
      </c>
    </row>
    <row r="355" spans="1:1" x14ac:dyDescent="0.25">
      <c r="A355" t="str">
        <f t="shared" si="5"/>
        <v/>
      </c>
    </row>
    <row r="356" spans="1:1" x14ac:dyDescent="0.25">
      <c r="A356" t="str">
        <f t="shared" si="5"/>
        <v/>
      </c>
    </row>
    <row r="357" spans="1:1" x14ac:dyDescent="0.25">
      <c r="A357" t="str">
        <f t="shared" si="5"/>
        <v/>
      </c>
    </row>
    <row r="358" spans="1:1" x14ac:dyDescent="0.25">
      <c r="A358" t="str">
        <f t="shared" si="5"/>
        <v/>
      </c>
    </row>
    <row r="359" spans="1:1" x14ac:dyDescent="0.25">
      <c r="A359" t="str">
        <f t="shared" si="5"/>
        <v/>
      </c>
    </row>
    <row r="360" spans="1:1" x14ac:dyDescent="0.25">
      <c r="A360" t="str">
        <f t="shared" si="5"/>
        <v/>
      </c>
    </row>
    <row r="361" spans="1:1" x14ac:dyDescent="0.25">
      <c r="A361" t="str">
        <f t="shared" si="5"/>
        <v/>
      </c>
    </row>
    <row r="362" spans="1:1" x14ac:dyDescent="0.25">
      <c r="A362" t="str">
        <f t="shared" si="5"/>
        <v/>
      </c>
    </row>
    <row r="363" spans="1:1" x14ac:dyDescent="0.25">
      <c r="A363" t="str">
        <f t="shared" si="5"/>
        <v/>
      </c>
    </row>
    <row r="364" spans="1:1" x14ac:dyDescent="0.25">
      <c r="A364" t="str">
        <f t="shared" si="5"/>
        <v/>
      </c>
    </row>
    <row r="365" spans="1:1" x14ac:dyDescent="0.25">
      <c r="A365" t="str">
        <f t="shared" si="5"/>
        <v/>
      </c>
    </row>
    <row r="366" spans="1:1" x14ac:dyDescent="0.25">
      <c r="A366" t="str">
        <f t="shared" si="5"/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2:C7"/>
  <sheetViews>
    <sheetView workbookViewId="0">
      <selection activeCell="C7" sqref="C7"/>
    </sheetView>
  </sheetViews>
  <sheetFormatPr baseColWidth="10" defaultRowHeight="15" x14ac:dyDescent="0.25"/>
  <sheetData>
    <row r="2" spans="1:3" x14ac:dyDescent="0.25">
      <c r="A2" t="s">
        <v>16</v>
      </c>
      <c r="C2" t="s">
        <v>19</v>
      </c>
    </row>
    <row r="3" spans="1:3" x14ac:dyDescent="0.25">
      <c r="A3" t="s">
        <v>17</v>
      </c>
      <c r="C3" t="s">
        <v>20</v>
      </c>
    </row>
    <row r="4" spans="1:3" x14ac:dyDescent="0.25">
      <c r="A4" t="s">
        <v>10</v>
      </c>
      <c r="C4" t="s">
        <v>7</v>
      </c>
    </row>
    <row r="5" spans="1:3" x14ac:dyDescent="0.25">
      <c r="A5" t="s">
        <v>9</v>
      </c>
      <c r="C5" t="s">
        <v>5</v>
      </c>
    </row>
    <row r="6" spans="1:3" x14ac:dyDescent="0.25">
      <c r="A6" t="s">
        <v>18</v>
      </c>
      <c r="C6" t="s">
        <v>21</v>
      </c>
    </row>
    <row r="7" spans="1:3" x14ac:dyDescent="0.25">
      <c r="C7" t="s">
        <v>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Movimientos</vt:lpstr>
      <vt:lpstr>Stocks</vt:lpstr>
      <vt:lpstr>Codificación</vt:lpstr>
      <vt:lpstr>Base de Datos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Usuario</cp:lastModifiedBy>
  <dcterms:created xsi:type="dcterms:W3CDTF">2024-10-23T19:45:50Z</dcterms:created>
  <dcterms:modified xsi:type="dcterms:W3CDTF">2024-10-23T22:16:45Z</dcterms:modified>
</cp:coreProperties>
</file>