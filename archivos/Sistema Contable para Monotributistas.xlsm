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1.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Mis documentos\Documentos\Universidad\8vo Cuatrimestre\Metodología de la Investigación\TFG\GAP---Gestion-Accesible-para-PyMEs\archivos\"/>
    </mc:Choice>
  </mc:AlternateContent>
  <bookViews>
    <workbookView xWindow="0" yWindow="0" windowWidth="20490" windowHeight="7650"/>
  </bookViews>
  <sheets>
    <sheet name="Datos" sheetId="2" r:id="rId1"/>
    <sheet name="Ventas" sheetId="1" r:id="rId2"/>
    <sheet name="Compras" sheetId="6" r:id="rId3"/>
    <sheet name="Listado" sheetId="5" r:id="rId4"/>
    <sheet name="Base de Datos" sheetId="8" r:id="rId5"/>
    <sheet name="Análisis de Situación" sheetId="7" r:id="rId6"/>
    <sheet name="Informe de Recategorizacion" sheetId="9" r:id="rId7"/>
  </sheets>
  <functionGroups builtInGroupCount="18"/>
  <calcPr calcId="162913"/>
  <customWorkbookViews>
    <customWorkbookView name="Pantalla completa" guid="{D5A013E0-F144-4959-954A-48218BE88D5B}" maximized="1" xWindow="54" yWindow="-8" windowWidth="1234" windowHeight="1040"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5" i="1" l="1"/>
  <c r="M6" i="1"/>
  <c r="M7" i="1"/>
  <c r="M8" i="1"/>
  <c r="M9" i="1"/>
  <c r="M10" i="1"/>
  <c r="M11" i="1"/>
  <c r="M12" i="1"/>
  <c r="M13" i="1"/>
  <c r="M14" i="1"/>
  <c r="M15"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21" i="1"/>
  <c r="F92" i="9" l="1"/>
  <c r="B121" i="9"/>
  <c r="C53" i="9"/>
  <c r="C52" i="9"/>
  <c r="C51" i="9"/>
  <c r="C50" i="9"/>
  <c r="C49" i="9"/>
  <c r="C48" i="9"/>
  <c r="C47" i="9"/>
  <c r="C46" i="9"/>
  <c r="C45" i="9"/>
  <c r="C44" i="9"/>
  <c r="C43" i="9"/>
  <c r="C42" i="9"/>
  <c r="D41" i="9"/>
  <c r="C41" i="9"/>
  <c r="C28" i="9"/>
  <c r="C27" i="9"/>
  <c r="C26" i="9"/>
  <c r="C25" i="9"/>
  <c r="C24" i="9"/>
  <c r="C23" i="9"/>
  <c r="C22" i="9"/>
  <c r="C21" i="9"/>
  <c r="C20" i="9"/>
  <c r="C19" i="9"/>
  <c r="C18" i="9"/>
  <c r="C17" i="9"/>
  <c r="D16" i="9"/>
  <c r="C16" i="9"/>
  <c r="H17" i="8"/>
  <c r="H18" i="8"/>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B121" i="7"/>
  <c r="F114" i="7"/>
  <c r="C93" i="7"/>
  <c r="F92" i="7"/>
  <c r="A48" i="2"/>
  <c r="A49" i="2" s="1"/>
  <c r="A50" i="2" s="1"/>
  <c r="A51" i="2" s="1"/>
  <c r="A52" i="2" s="1"/>
  <c r="A53" i="2" s="1"/>
  <c r="A54" i="2" s="1"/>
  <c r="A55" i="2" s="1"/>
  <c r="A56" i="2" s="1"/>
  <c r="A57" i="2" s="1"/>
  <c r="A58" i="2" s="1"/>
  <c r="A59" i="2" s="1"/>
  <c r="B3" i="8"/>
  <c r="D6" i="6" a="1"/>
  <c r="D6" i="6" s="1"/>
  <c r="D5" i="6" a="1"/>
  <c r="D5" i="6" s="1"/>
  <c r="B4" i="8" l="1"/>
  <c r="A11" i="2"/>
  <c r="A12" i="2" s="1"/>
  <c r="A13" i="2" s="1"/>
  <c r="A14" i="2" s="1"/>
  <c r="A15" i="2" s="1"/>
  <c r="A16" i="2" s="1"/>
  <c r="A17" i="2" s="1"/>
  <c r="A18" i="2" s="1"/>
  <c r="A19" i="2" s="1"/>
  <c r="A20" i="2" s="1"/>
  <c r="A21" i="2" s="1"/>
  <c r="A22" i="2" s="1"/>
  <c r="C3" i="8"/>
  <c r="A3" i="8"/>
  <c r="D8" i="6" a="1"/>
  <c r="D8" i="6" s="1"/>
  <c r="D9" i="6" a="1"/>
  <c r="D9" i="6" s="1"/>
  <c r="G15" i="1"/>
  <c r="R776" i="6" l="1"/>
  <c r="S776" i="6"/>
  <c r="R777" i="6"/>
  <c r="S777" i="6"/>
  <c r="R778" i="6"/>
  <c r="S778" i="6"/>
  <c r="R779" i="6"/>
  <c r="S779" i="6"/>
  <c r="R780" i="6"/>
  <c r="S780" i="6"/>
  <c r="R781" i="6"/>
  <c r="S781" i="6"/>
  <c r="R782" i="6"/>
  <c r="S782" i="6"/>
  <c r="R783" i="6"/>
  <c r="S783" i="6"/>
  <c r="R784" i="6"/>
  <c r="S784" i="6"/>
  <c r="R785" i="6"/>
  <c r="S785" i="6"/>
  <c r="R786" i="6"/>
  <c r="S786" i="6"/>
  <c r="R787" i="6"/>
  <c r="S787" i="6"/>
  <c r="R788" i="6"/>
  <c r="S788" i="6"/>
  <c r="R789" i="6"/>
  <c r="S789" i="6"/>
  <c r="R790" i="6"/>
  <c r="S790" i="6"/>
  <c r="R791" i="6"/>
  <c r="S791" i="6"/>
  <c r="R792" i="6"/>
  <c r="S792" i="6"/>
  <c r="R793" i="6"/>
  <c r="S793" i="6"/>
  <c r="R794" i="6"/>
  <c r="S794" i="6"/>
  <c r="R795" i="6"/>
  <c r="S795" i="6"/>
  <c r="R796" i="6"/>
  <c r="S796" i="6"/>
  <c r="R797" i="6"/>
  <c r="S797" i="6"/>
  <c r="R798" i="6"/>
  <c r="S798" i="6"/>
  <c r="R799" i="6"/>
  <c r="S799" i="6"/>
  <c r="R800" i="6"/>
  <c r="S800" i="6"/>
  <c r="R801" i="6"/>
  <c r="S801" i="6"/>
  <c r="R802" i="6"/>
  <c r="S802" i="6"/>
  <c r="R803" i="6"/>
  <c r="S803" i="6"/>
  <c r="R804" i="6"/>
  <c r="S804" i="6"/>
  <c r="R805" i="6"/>
  <c r="S805" i="6"/>
  <c r="R806" i="6"/>
  <c r="S806" i="6"/>
  <c r="R807" i="6"/>
  <c r="S807" i="6"/>
  <c r="R808" i="6"/>
  <c r="S808" i="6"/>
  <c r="R809" i="6"/>
  <c r="S809" i="6"/>
  <c r="R810" i="6"/>
  <c r="S810" i="6"/>
  <c r="R811" i="6"/>
  <c r="S811" i="6"/>
  <c r="R812" i="6"/>
  <c r="S812" i="6"/>
  <c r="R813" i="6"/>
  <c r="S813" i="6"/>
  <c r="R814" i="6"/>
  <c r="S814" i="6"/>
  <c r="R815" i="6"/>
  <c r="S815" i="6"/>
  <c r="R816" i="6"/>
  <c r="S816" i="6"/>
  <c r="R817" i="6"/>
  <c r="S817" i="6"/>
  <c r="R818" i="6"/>
  <c r="S818" i="6"/>
  <c r="R819" i="6"/>
  <c r="S819" i="6"/>
  <c r="R820" i="6"/>
  <c r="S820" i="6"/>
  <c r="R821" i="6"/>
  <c r="S821" i="6"/>
  <c r="R822" i="6"/>
  <c r="S822" i="6"/>
  <c r="R823" i="6"/>
  <c r="S823" i="6"/>
  <c r="R824" i="6"/>
  <c r="S824" i="6"/>
  <c r="R825" i="6"/>
  <c r="S825" i="6"/>
  <c r="R826" i="6"/>
  <c r="S826" i="6"/>
  <c r="R827" i="6"/>
  <c r="S827" i="6"/>
  <c r="R828" i="6"/>
  <c r="S828" i="6"/>
  <c r="R829" i="6"/>
  <c r="S829" i="6"/>
  <c r="R830" i="6"/>
  <c r="S830" i="6"/>
  <c r="R831" i="6"/>
  <c r="S831" i="6"/>
  <c r="R832" i="6"/>
  <c r="S832" i="6"/>
  <c r="R833" i="6"/>
  <c r="S833" i="6"/>
  <c r="R834" i="6"/>
  <c r="S834" i="6"/>
  <c r="R835" i="6"/>
  <c r="S835" i="6"/>
  <c r="R836" i="6"/>
  <c r="S836" i="6"/>
  <c r="R837" i="6"/>
  <c r="S837" i="6"/>
  <c r="R838" i="6"/>
  <c r="S838" i="6"/>
  <c r="R839" i="6"/>
  <c r="S839" i="6"/>
  <c r="R840" i="6"/>
  <c r="S840" i="6"/>
  <c r="R841" i="6"/>
  <c r="S841" i="6"/>
  <c r="R842" i="6"/>
  <c r="S842" i="6"/>
  <c r="R843" i="6"/>
  <c r="S843" i="6"/>
  <c r="R844" i="6"/>
  <c r="S844" i="6"/>
  <c r="R845" i="6"/>
  <c r="S845" i="6"/>
  <c r="R846" i="6"/>
  <c r="S846" i="6"/>
  <c r="R847" i="6"/>
  <c r="S847" i="6"/>
  <c r="R848" i="6"/>
  <c r="S848" i="6"/>
  <c r="R849" i="6"/>
  <c r="S849" i="6"/>
  <c r="R850" i="6"/>
  <c r="S850" i="6"/>
  <c r="R851" i="6"/>
  <c r="S851" i="6"/>
  <c r="R852" i="6"/>
  <c r="S852" i="6"/>
  <c r="R853" i="6"/>
  <c r="S853" i="6"/>
  <c r="R854" i="6"/>
  <c r="S854" i="6"/>
  <c r="R855" i="6"/>
  <c r="S855" i="6"/>
  <c r="R856" i="6"/>
  <c r="S856" i="6"/>
  <c r="R857" i="6"/>
  <c r="S857" i="6"/>
  <c r="R858" i="6"/>
  <c r="S858" i="6"/>
  <c r="R859" i="6"/>
  <c r="S859" i="6"/>
  <c r="R860" i="6"/>
  <c r="S860" i="6"/>
  <c r="R861" i="6"/>
  <c r="S861" i="6"/>
  <c r="R862" i="6"/>
  <c r="S862" i="6"/>
  <c r="R863" i="6"/>
  <c r="S863" i="6"/>
  <c r="R864" i="6"/>
  <c r="S864" i="6"/>
  <c r="R865" i="6"/>
  <c r="S865" i="6"/>
  <c r="R866" i="6"/>
  <c r="S866" i="6"/>
  <c r="R867" i="6"/>
  <c r="S867" i="6"/>
  <c r="R868" i="6"/>
  <c r="S868" i="6"/>
  <c r="R869" i="6"/>
  <c r="S869" i="6"/>
  <c r="R870" i="6"/>
  <c r="S870" i="6"/>
  <c r="R871" i="6"/>
  <c r="S871" i="6"/>
  <c r="R872" i="6"/>
  <c r="S872" i="6"/>
  <c r="R873" i="6"/>
  <c r="S873" i="6"/>
  <c r="R874" i="6"/>
  <c r="S874" i="6"/>
  <c r="R875" i="6"/>
  <c r="S875" i="6"/>
  <c r="R876" i="6"/>
  <c r="S876" i="6"/>
  <c r="R877" i="6"/>
  <c r="S877" i="6"/>
  <c r="R878" i="6"/>
  <c r="S878" i="6"/>
  <c r="R879" i="6"/>
  <c r="S879" i="6"/>
  <c r="R880" i="6"/>
  <c r="S880" i="6"/>
  <c r="R881" i="6"/>
  <c r="S881" i="6"/>
  <c r="R882" i="6"/>
  <c r="S882" i="6"/>
  <c r="R883" i="6"/>
  <c r="S883" i="6"/>
  <c r="R884" i="6"/>
  <c r="S884" i="6"/>
  <c r="R885" i="6"/>
  <c r="S885" i="6"/>
  <c r="R886" i="6"/>
  <c r="S886" i="6"/>
  <c r="R887" i="6"/>
  <c r="S887" i="6"/>
  <c r="R888" i="6"/>
  <c r="S888" i="6"/>
  <c r="R889" i="6"/>
  <c r="S889" i="6"/>
  <c r="R890" i="6"/>
  <c r="S890" i="6"/>
  <c r="R891" i="6"/>
  <c r="S891" i="6"/>
  <c r="R892" i="6"/>
  <c r="S892" i="6"/>
  <c r="R893" i="6"/>
  <c r="S893" i="6"/>
  <c r="R894" i="6"/>
  <c r="S894" i="6"/>
  <c r="R895" i="6"/>
  <c r="S895" i="6"/>
  <c r="R896" i="6"/>
  <c r="S896" i="6"/>
  <c r="R897" i="6"/>
  <c r="S897" i="6"/>
  <c r="R898" i="6"/>
  <c r="S898" i="6"/>
  <c r="R899" i="6"/>
  <c r="S899" i="6"/>
  <c r="R900" i="6"/>
  <c r="S900" i="6"/>
  <c r="R901" i="6"/>
  <c r="S901" i="6"/>
  <c r="R902" i="6"/>
  <c r="S902" i="6"/>
  <c r="R903" i="6"/>
  <c r="S903" i="6"/>
  <c r="R904" i="6"/>
  <c r="S904" i="6"/>
  <c r="R905" i="6"/>
  <c r="S905" i="6"/>
  <c r="R906" i="6"/>
  <c r="S906" i="6"/>
  <c r="R907" i="6"/>
  <c r="S907" i="6"/>
  <c r="R908" i="6"/>
  <c r="S908" i="6"/>
  <c r="R909" i="6"/>
  <c r="S909" i="6"/>
  <c r="R910" i="6"/>
  <c r="S910" i="6"/>
  <c r="R911" i="6"/>
  <c r="S911" i="6"/>
  <c r="R912" i="6"/>
  <c r="S912" i="6"/>
  <c r="R913" i="6"/>
  <c r="S913" i="6"/>
  <c r="R914" i="6"/>
  <c r="S914" i="6"/>
  <c r="R915" i="6"/>
  <c r="S915" i="6"/>
  <c r="R916" i="6"/>
  <c r="S916" i="6"/>
  <c r="R917" i="6"/>
  <c r="S917" i="6"/>
  <c r="R918" i="6"/>
  <c r="S918" i="6"/>
  <c r="R919" i="6"/>
  <c r="S919" i="6"/>
  <c r="R920" i="6"/>
  <c r="S920" i="6"/>
  <c r="R921" i="6"/>
  <c r="S921" i="6"/>
  <c r="R922" i="6"/>
  <c r="S922" i="6"/>
  <c r="R923" i="6"/>
  <c r="S923" i="6"/>
  <c r="R924" i="6"/>
  <c r="S924" i="6"/>
  <c r="R925" i="6"/>
  <c r="S925" i="6"/>
  <c r="R926" i="6"/>
  <c r="S926" i="6"/>
  <c r="R927" i="6"/>
  <c r="S927" i="6"/>
  <c r="R928" i="6"/>
  <c r="S928" i="6"/>
  <c r="R929" i="6"/>
  <c r="S929" i="6"/>
  <c r="R930" i="6"/>
  <c r="S930" i="6"/>
  <c r="R931" i="6"/>
  <c r="S931" i="6"/>
  <c r="R932" i="6"/>
  <c r="S932" i="6"/>
  <c r="R933" i="6"/>
  <c r="S933" i="6"/>
  <c r="R934" i="6"/>
  <c r="S934" i="6"/>
  <c r="R935" i="6"/>
  <c r="S935" i="6"/>
  <c r="R936" i="6"/>
  <c r="S936" i="6"/>
  <c r="R937" i="6"/>
  <c r="S937" i="6"/>
  <c r="R938" i="6"/>
  <c r="S938" i="6"/>
  <c r="R939" i="6"/>
  <c r="S939" i="6"/>
  <c r="R940" i="6"/>
  <c r="S940" i="6"/>
  <c r="R941" i="6"/>
  <c r="S941" i="6"/>
  <c r="R942" i="6"/>
  <c r="S942" i="6"/>
  <c r="R943" i="6"/>
  <c r="S943" i="6"/>
  <c r="R944" i="6"/>
  <c r="S944" i="6"/>
  <c r="R945" i="6"/>
  <c r="S945" i="6"/>
  <c r="R946" i="6"/>
  <c r="S946" i="6"/>
  <c r="R947" i="6"/>
  <c r="S947" i="6"/>
  <c r="R948" i="6"/>
  <c r="S948" i="6"/>
  <c r="R949" i="6"/>
  <c r="S949" i="6"/>
  <c r="R950" i="6"/>
  <c r="S950" i="6"/>
  <c r="R951" i="6"/>
  <c r="S951" i="6"/>
  <c r="R952" i="6"/>
  <c r="S952" i="6"/>
  <c r="R953" i="6"/>
  <c r="S953" i="6"/>
  <c r="R954" i="6"/>
  <c r="S954" i="6"/>
  <c r="R955" i="6"/>
  <c r="S955" i="6"/>
  <c r="R956" i="6"/>
  <c r="S956" i="6"/>
  <c r="R957" i="6"/>
  <c r="S957" i="6"/>
  <c r="R958" i="6"/>
  <c r="S958" i="6"/>
  <c r="R959" i="6"/>
  <c r="S959" i="6"/>
  <c r="R960" i="6"/>
  <c r="S960" i="6"/>
  <c r="R961" i="6"/>
  <c r="S961" i="6"/>
  <c r="R962" i="6"/>
  <c r="S962" i="6"/>
  <c r="R963" i="6"/>
  <c r="S963" i="6"/>
  <c r="R964" i="6"/>
  <c r="S964" i="6"/>
  <c r="R965" i="6"/>
  <c r="S965" i="6"/>
  <c r="R966" i="6"/>
  <c r="S966" i="6"/>
  <c r="R967" i="6"/>
  <c r="S967" i="6"/>
  <c r="R968" i="6"/>
  <c r="S968" i="6"/>
  <c r="R969" i="6"/>
  <c r="S969" i="6"/>
  <c r="R970" i="6"/>
  <c r="S970" i="6"/>
  <c r="R971" i="6"/>
  <c r="S971" i="6"/>
  <c r="R972" i="6"/>
  <c r="S972" i="6"/>
  <c r="R973" i="6"/>
  <c r="S973" i="6"/>
  <c r="R974" i="6"/>
  <c r="S974" i="6"/>
  <c r="R975" i="6"/>
  <c r="S975" i="6"/>
  <c r="R976" i="6"/>
  <c r="S976" i="6"/>
  <c r="R977" i="6"/>
  <c r="S977" i="6"/>
  <c r="R978" i="6"/>
  <c r="S978" i="6"/>
  <c r="R979" i="6"/>
  <c r="S979" i="6"/>
  <c r="R980" i="6"/>
  <c r="S980" i="6"/>
  <c r="R981" i="6"/>
  <c r="S981" i="6"/>
  <c r="R982" i="6"/>
  <c r="S982" i="6"/>
  <c r="R983" i="6"/>
  <c r="S983" i="6"/>
  <c r="R984" i="6"/>
  <c r="S984" i="6"/>
  <c r="R985" i="6"/>
  <c r="S985" i="6"/>
  <c r="R986" i="6"/>
  <c r="S986" i="6"/>
  <c r="R987" i="6"/>
  <c r="S987" i="6"/>
  <c r="R988" i="6"/>
  <c r="S988" i="6"/>
  <c r="R989" i="6"/>
  <c r="S989" i="6"/>
  <c r="R990" i="6"/>
  <c r="S990" i="6"/>
  <c r="R991" i="6"/>
  <c r="S991" i="6"/>
  <c r="R992" i="6"/>
  <c r="S992" i="6"/>
  <c r="R993" i="6"/>
  <c r="S993" i="6"/>
  <c r="R994" i="6"/>
  <c r="S994" i="6"/>
  <c r="R995" i="6"/>
  <c r="S995" i="6"/>
  <c r="R996" i="6"/>
  <c r="S996" i="6"/>
  <c r="R997" i="6"/>
  <c r="S997" i="6"/>
  <c r="R998" i="6"/>
  <c r="S998" i="6"/>
  <c r="R999" i="6"/>
  <c r="S999" i="6"/>
  <c r="R1000" i="6"/>
  <c r="S1000" i="6"/>
  <c r="R1001" i="6"/>
  <c r="S1001" i="6"/>
  <c r="R1002" i="6"/>
  <c r="S1002" i="6"/>
  <c r="R1003" i="6"/>
  <c r="S1003" i="6"/>
  <c r="R1004" i="6"/>
  <c r="S1004" i="6"/>
  <c r="R1005" i="6"/>
  <c r="S1005" i="6"/>
  <c r="R1006" i="6"/>
  <c r="S1006" i="6"/>
  <c r="R1007" i="6"/>
  <c r="S1007" i="6"/>
  <c r="R1008" i="6"/>
  <c r="S1008" i="6"/>
  <c r="R1009" i="6"/>
  <c r="S1009" i="6"/>
  <c r="R1010" i="6"/>
  <c r="S1010" i="6"/>
  <c r="R1011" i="6"/>
  <c r="S1011" i="6"/>
  <c r="R1012" i="6"/>
  <c r="S1012" i="6"/>
  <c r="R1013" i="6"/>
  <c r="S1013" i="6"/>
  <c r="R1014" i="6"/>
  <c r="S1014" i="6"/>
  <c r="R1015" i="6"/>
  <c r="S1015" i="6"/>
  <c r="R1016" i="6"/>
  <c r="S1016" i="6"/>
  <c r="R1017" i="6"/>
  <c r="S1017" i="6"/>
  <c r="R1018" i="6"/>
  <c r="S1018" i="6"/>
  <c r="R1019" i="6"/>
  <c r="S1019" i="6"/>
  <c r="R1020" i="6"/>
  <c r="S1020" i="6"/>
  <c r="R1021" i="6"/>
  <c r="S1021" i="6"/>
  <c r="R1022" i="6"/>
  <c r="S1022" i="6"/>
  <c r="R1023" i="6"/>
  <c r="S1023" i="6"/>
  <c r="R1024" i="6"/>
  <c r="S1024" i="6"/>
  <c r="R1025" i="6"/>
  <c r="S1025" i="6"/>
  <c r="R1026" i="6"/>
  <c r="S1026" i="6"/>
  <c r="R1027" i="6"/>
  <c r="S1027" i="6"/>
  <c r="R1028" i="6"/>
  <c r="S1028" i="6"/>
  <c r="R1029" i="6"/>
  <c r="S1029" i="6"/>
  <c r="R1030" i="6"/>
  <c r="S1030" i="6"/>
  <c r="R1031" i="6"/>
  <c r="S1031" i="6"/>
  <c r="R1032" i="6"/>
  <c r="S1032" i="6"/>
  <c r="R1033" i="6"/>
  <c r="S1033" i="6"/>
  <c r="R1034" i="6"/>
  <c r="S1034" i="6"/>
  <c r="R1035" i="6"/>
  <c r="S1035" i="6"/>
  <c r="R1036" i="6"/>
  <c r="S1036" i="6"/>
  <c r="R1037" i="6"/>
  <c r="S1037" i="6"/>
  <c r="R1038" i="6"/>
  <c r="S1038" i="6"/>
  <c r="R1039" i="6"/>
  <c r="S1039" i="6"/>
  <c r="R1040" i="6"/>
  <c r="S1040" i="6"/>
  <c r="R1041" i="6"/>
  <c r="S1041" i="6"/>
  <c r="R1042" i="6"/>
  <c r="S1042" i="6"/>
  <c r="R1043" i="6"/>
  <c r="S1043" i="6"/>
  <c r="R1044" i="6"/>
  <c r="S1044" i="6"/>
  <c r="R1045" i="6"/>
  <c r="S1045" i="6"/>
  <c r="R1046" i="6"/>
  <c r="S1046" i="6"/>
  <c r="R1047" i="6"/>
  <c r="S1047" i="6"/>
  <c r="R1048" i="6"/>
  <c r="S1048" i="6"/>
  <c r="R1049" i="6"/>
  <c r="S1049" i="6"/>
  <c r="R1050" i="6"/>
  <c r="S1050" i="6"/>
  <c r="R1051" i="6"/>
  <c r="S1051" i="6"/>
  <c r="R1052" i="6"/>
  <c r="S1052" i="6"/>
  <c r="R1053" i="6"/>
  <c r="S1053" i="6"/>
  <c r="R1054" i="6"/>
  <c r="S1054" i="6"/>
  <c r="R1055" i="6"/>
  <c r="S1055" i="6"/>
  <c r="R1056" i="6"/>
  <c r="S1056" i="6"/>
  <c r="R1057" i="6"/>
  <c r="S1057" i="6"/>
  <c r="R1058" i="6"/>
  <c r="S1058" i="6"/>
  <c r="R1059" i="6"/>
  <c r="S1059" i="6"/>
  <c r="R1060" i="6"/>
  <c r="S1060" i="6"/>
  <c r="R1061" i="6"/>
  <c r="S1061" i="6"/>
  <c r="R1062" i="6"/>
  <c r="S1062" i="6"/>
  <c r="R1063" i="6"/>
  <c r="S1063" i="6"/>
  <c r="R1064" i="6"/>
  <c r="S1064" i="6"/>
  <c r="R1065" i="6"/>
  <c r="S1065" i="6"/>
  <c r="R1066" i="6"/>
  <c r="S1066" i="6"/>
  <c r="R1067" i="6"/>
  <c r="S1067" i="6"/>
  <c r="R1068" i="6"/>
  <c r="S1068" i="6"/>
  <c r="R1069" i="6"/>
  <c r="S1069" i="6"/>
  <c r="R1070" i="6"/>
  <c r="S1070" i="6"/>
  <c r="R1071" i="6"/>
  <c r="S1071" i="6"/>
  <c r="R1072" i="6"/>
  <c r="S1072" i="6"/>
  <c r="R1073" i="6"/>
  <c r="S1073" i="6"/>
  <c r="R1074" i="6"/>
  <c r="S1074" i="6"/>
  <c r="R1075" i="6"/>
  <c r="S1075" i="6"/>
  <c r="R1076" i="6"/>
  <c r="S1076" i="6"/>
  <c r="R1077" i="6"/>
  <c r="S1077" i="6"/>
  <c r="R1078" i="6"/>
  <c r="S1078" i="6"/>
  <c r="R1079" i="6"/>
  <c r="S1079" i="6"/>
  <c r="R1080" i="6"/>
  <c r="S1080" i="6"/>
  <c r="R1081" i="6"/>
  <c r="S1081" i="6"/>
  <c r="R1082" i="6"/>
  <c r="S1082" i="6"/>
  <c r="R1083" i="6"/>
  <c r="S1083" i="6"/>
  <c r="R1084" i="6"/>
  <c r="S1084" i="6"/>
  <c r="R1085" i="6"/>
  <c r="S1085" i="6"/>
  <c r="R1086" i="6"/>
  <c r="S1086" i="6"/>
  <c r="R1087" i="6"/>
  <c r="S1087" i="6"/>
  <c r="R1088" i="6"/>
  <c r="S1088" i="6"/>
  <c r="R1089" i="6"/>
  <c r="S1089" i="6"/>
  <c r="R1090" i="6"/>
  <c r="S1090" i="6"/>
  <c r="R1091" i="6"/>
  <c r="S1091" i="6"/>
  <c r="R1092" i="6"/>
  <c r="S1092" i="6"/>
  <c r="R1093" i="6"/>
  <c r="S1093" i="6"/>
  <c r="R1094" i="6"/>
  <c r="S1094" i="6"/>
  <c r="R1095" i="6"/>
  <c r="S1095" i="6"/>
  <c r="R1096" i="6"/>
  <c r="S1096" i="6"/>
  <c r="R1097" i="6"/>
  <c r="S1097" i="6"/>
  <c r="R1098" i="6"/>
  <c r="S1098" i="6"/>
  <c r="R1099" i="6"/>
  <c r="S1099" i="6"/>
  <c r="R1100" i="6"/>
  <c r="S1100" i="6"/>
  <c r="R1101" i="6"/>
  <c r="S1101" i="6"/>
  <c r="R1102" i="6"/>
  <c r="S1102" i="6"/>
  <c r="R1103" i="6"/>
  <c r="S1103" i="6"/>
  <c r="R1104" i="6"/>
  <c r="S1104" i="6"/>
  <c r="R1105" i="6"/>
  <c r="S1105" i="6"/>
  <c r="R1106" i="6"/>
  <c r="S1106" i="6"/>
  <c r="R1107" i="6"/>
  <c r="S1107" i="6"/>
  <c r="R1108" i="6"/>
  <c r="S1108" i="6"/>
  <c r="R1109" i="6"/>
  <c r="S1109" i="6"/>
  <c r="R1110" i="6"/>
  <c r="S1110" i="6"/>
  <c r="R1111" i="6"/>
  <c r="S1111" i="6"/>
  <c r="R1112" i="6"/>
  <c r="S1112" i="6"/>
  <c r="R1113" i="6"/>
  <c r="S1113" i="6"/>
  <c r="R1114" i="6"/>
  <c r="S1114" i="6"/>
  <c r="R1115" i="6"/>
  <c r="S1115" i="6"/>
  <c r="R1116" i="6"/>
  <c r="S1116" i="6"/>
  <c r="R1117" i="6"/>
  <c r="S1117" i="6"/>
  <c r="R1118" i="6"/>
  <c r="S1118" i="6"/>
  <c r="R1119" i="6"/>
  <c r="S1119" i="6"/>
  <c r="R1120" i="6"/>
  <c r="S1120" i="6"/>
  <c r="R1121" i="6"/>
  <c r="S1121" i="6"/>
  <c r="R1122" i="6"/>
  <c r="S1122" i="6"/>
  <c r="R1123" i="6"/>
  <c r="S1123" i="6"/>
  <c r="R1124" i="6"/>
  <c r="S1124" i="6"/>
  <c r="R1125" i="6"/>
  <c r="S1125" i="6"/>
  <c r="R1126" i="6"/>
  <c r="S1126" i="6"/>
  <c r="R1127" i="6"/>
  <c r="S1127" i="6"/>
  <c r="R1128" i="6"/>
  <c r="S1128" i="6"/>
  <c r="R1129" i="6"/>
  <c r="S1129" i="6"/>
  <c r="R1130" i="6"/>
  <c r="S1130" i="6"/>
  <c r="R1131" i="6"/>
  <c r="S1131" i="6"/>
  <c r="R1132" i="6"/>
  <c r="S1132" i="6"/>
  <c r="R1133" i="6"/>
  <c r="S1133" i="6"/>
  <c r="R1134" i="6"/>
  <c r="S1134" i="6"/>
  <c r="R1135" i="6"/>
  <c r="S1135" i="6"/>
  <c r="R1136" i="6"/>
  <c r="S1136" i="6"/>
  <c r="R1137" i="6"/>
  <c r="S1137" i="6"/>
  <c r="R1138" i="6"/>
  <c r="S1138" i="6"/>
  <c r="R1139" i="6"/>
  <c r="S1139" i="6"/>
  <c r="R1140" i="6"/>
  <c r="S1140" i="6"/>
  <c r="R1141" i="6"/>
  <c r="S1141" i="6"/>
  <c r="R1142" i="6"/>
  <c r="S1142" i="6"/>
  <c r="R1143" i="6"/>
  <c r="S1143" i="6"/>
  <c r="R1144" i="6"/>
  <c r="S1144" i="6"/>
  <c r="R1145" i="6"/>
  <c r="S1145" i="6"/>
  <c r="R1146" i="6"/>
  <c r="S1146" i="6"/>
  <c r="R1147" i="6"/>
  <c r="S1147" i="6"/>
  <c r="R1148" i="6"/>
  <c r="S1148" i="6"/>
  <c r="R1149" i="6"/>
  <c r="S1149" i="6"/>
  <c r="R1150" i="6"/>
  <c r="S1150" i="6"/>
  <c r="R1151" i="6"/>
  <c r="S1151" i="6"/>
  <c r="R1152" i="6"/>
  <c r="S1152" i="6"/>
  <c r="R1153" i="6"/>
  <c r="S1153" i="6"/>
  <c r="R1154" i="6"/>
  <c r="S1154" i="6"/>
  <c r="R1155" i="6"/>
  <c r="S1155" i="6"/>
  <c r="R1156" i="6"/>
  <c r="S1156" i="6"/>
  <c r="R1157" i="6"/>
  <c r="S1157" i="6"/>
  <c r="R1158" i="6"/>
  <c r="S1158" i="6"/>
  <c r="R1159" i="6"/>
  <c r="S1159" i="6"/>
  <c r="R1160" i="6"/>
  <c r="S1160" i="6"/>
  <c r="R1161" i="6"/>
  <c r="S1161" i="6"/>
  <c r="R1162" i="6"/>
  <c r="S1162" i="6"/>
  <c r="R1163" i="6"/>
  <c r="S1163" i="6"/>
  <c r="R1164" i="6"/>
  <c r="S1164" i="6"/>
  <c r="R1165" i="6"/>
  <c r="S1165" i="6"/>
  <c r="R1166" i="6"/>
  <c r="S1166" i="6"/>
  <c r="R1167" i="6"/>
  <c r="S1167" i="6"/>
  <c r="R1168" i="6"/>
  <c r="S1168" i="6"/>
  <c r="R1169" i="6"/>
  <c r="S1169" i="6"/>
  <c r="R1170" i="6"/>
  <c r="S1170" i="6"/>
  <c r="R1171" i="6"/>
  <c r="S1171" i="6"/>
  <c r="R1172" i="6"/>
  <c r="S1172" i="6"/>
  <c r="R1173" i="6"/>
  <c r="S1173" i="6"/>
  <c r="R1174" i="6"/>
  <c r="S1174" i="6"/>
  <c r="R1175" i="6"/>
  <c r="S1175" i="6"/>
  <c r="R1176" i="6"/>
  <c r="S1176" i="6"/>
  <c r="R1177" i="6"/>
  <c r="S1177" i="6"/>
  <c r="R1178" i="6"/>
  <c r="S1178" i="6"/>
  <c r="R1179" i="6"/>
  <c r="S1179" i="6"/>
  <c r="R1180" i="6"/>
  <c r="S1180" i="6"/>
  <c r="R1181" i="6"/>
  <c r="S1181" i="6"/>
  <c r="R1182" i="6"/>
  <c r="S1182" i="6"/>
  <c r="R1183" i="6"/>
  <c r="S1183" i="6"/>
  <c r="R1184" i="6"/>
  <c r="S1184" i="6"/>
  <c r="R1185" i="6"/>
  <c r="S1185" i="6"/>
  <c r="R1186" i="6"/>
  <c r="S1186" i="6"/>
  <c r="R1187" i="6"/>
  <c r="S1187" i="6"/>
  <c r="R1188" i="6"/>
  <c r="S1188" i="6"/>
  <c r="R1189" i="6"/>
  <c r="S1189" i="6"/>
  <c r="R1190" i="6"/>
  <c r="S1190" i="6"/>
  <c r="R1191" i="6"/>
  <c r="S1191" i="6"/>
  <c r="R1192" i="6"/>
  <c r="S1192" i="6"/>
  <c r="R1193" i="6"/>
  <c r="S1193" i="6"/>
  <c r="R1194" i="6"/>
  <c r="S1194" i="6"/>
  <c r="R1195" i="6"/>
  <c r="S1195" i="6"/>
  <c r="R1196" i="6"/>
  <c r="S1196" i="6"/>
  <c r="R1197" i="6"/>
  <c r="S1197" i="6"/>
  <c r="R1198" i="6"/>
  <c r="S1198" i="6"/>
  <c r="R1199" i="6"/>
  <c r="S1199" i="6"/>
  <c r="R1200" i="6"/>
  <c r="S1200" i="6"/>
  <c r="R1201" i="6"/>
  <c r="S1201" i="6"/>
  <c r="R1202" i="6"/>
  <c r="S1202" i="6"/>
  <c r="R1203" i="6"/>
  <c r="S1203" i="6"/>
  <c r="R1204" i="6"/>
  <c r="S1204" i="6"/>
  <c r="R1205" i="6"/>
  <c r="S1205" i="6"/>
  <c r="R1206" i="6"/>
  <c r="S1206" i="6"/>
  <c r="R1207" i="6"/>
  <c r="S1207" i="6"/>
  <c r="R1208" i="6"/>
  <c r="S1208" i="6"/>
  <c r="R1209" i="6"/>
  <c r="S1209" i="6"/>
  <c r="R1210" i="6"/>
  <c r="S1210" i="6"/>
  <c r="R1211" i="6"/>
  <c r="S1211" i="6"/>
  <c r="R1212" i="6"/>
  <c r="S1212" i="6"/>
  <c r="R1213" i="6"/>
  <c r="S1213" i="6"/>
  <c r="R1214" i="6"/>
  <c r="S1214" i="6"/>
  <c r="R1215" i="6"/>
  <c r="S1215" i="6"/>
  <c r="R1216" i="6"/>
  <c r="S1216" i="6"/>
  <c r="R1217" i="6"/>
  <c r="S1217" i="6"/>
  <c r="R1218" i="6"/>
  <c r="S1218" i="6"/>
  <c r="R1219" i="6"/>
  <c r="S1219" i="6"/>
  <c r="R1220" i="6"/>
  <c r="S1220" i="6"/>
  <c r="R1221" i="6"/>
  <c r="S1221" i="6"/>
  <c r="R1222" i="6"/>
  <c r="S1222" i="6"/>
  <c r="R1223" i="6"/>
  <c r="S1223" i="6"/>
  <c r="R1224" i="6"/>
  <c r="S1224" i="6"/>
  <c r="R1225" i="6"/>
  <c r="S1225" i="6"/>
  <c r="R1226" i="6"/>
  <c r="S1226" i="6"/>
  <c r="R1227" i="6"/>
  <c r="S1227" i="6"/>
  <c r="R1228" i="6"/>
  <c r="S1228" i="6"/>
  <c r="R1229" i="6"/>
  <c r="S1229" i="6"/>
  <c r="R1230" i="6"/>
  <c r="S1230" i="6"/>
  <c r="R1231" i="6"/>
  <c r="S1231" i="6"/>
  <c r="R1232" i="6"/>
  <c r="S1232" i="6"/>
  <c r="R1233" i="6"/>
  <c r="S1233" i="6"/>
  <c r="R1234" i="6"/>
  <c r="S1234" i="6"/>
  <c r="R1235" i="6"/>
  <c r="S1235" i="6"/>
  <c r="R1236" i="6"/>
  <c r="S1236" i="6"/>
  <c r="R1237" i="6"/>
  <c r="S1237" i="6"/>
  <c r="R1238" i="6"/>
  <c r="S1238" i="6"/>
  <c r="R1239" i="6"/>
  <c r="S1239" i="6"/>
  <c r="R1240" i="6"/>
  <c r="S1240" i="6"/>
  <c r="R1241" i="6"/>
  <c r="S1241" i="6"/>
  <c r="R1242" i="6"/>
  <c r="S1242" i="6"/>
  <c r="R1243" i="6"/>
  <c r="S1243" i="6"/>
  <c r="R1244" i="6"/>
  <c r="S1244" i="6"/>
  <c r="R1245" i="6"/>
  <c r="S1245" i="6"/>
  <c r="R1246" i="6"/>
  <c r="S1246" i="6"/>
  <c r="R1247" i="6"/>
  <c r="S1247" i="6"/>
  <c r="R1248" i="6"/>
  <c r="S1248" i="6"/>
  <c r="R1249" i="6"/>
  <c r="S1249" i="6"/>
  <c r="R1250" i="6"/>
  <c r="S1250" i="6"/>
  <c r="R1251" i="6"/>
  <c r="S1251" i="6"/>
  <c r="R1252" i="6"/>
  <c r="S1252" i="6"/>
  <c r="R1253" i="6"/>
  <c r="S1253" i="6"/>
  <c r="R1254" i="6"/>
  <c r="S1254" i="6"/>
  <c r="R1255" i="6"/>
  <c r="S1255" i="6"/>
  <c r="R1256" i="6"/>
  <c r="S1256" i="6"/>
  <c r="R1257" i="6"/>
  <c r="S1257" i="6"/>
  <c r="R1258" i="6"/>
  <c r="S1258" i="6"/>
  <c r="R1259" i="6"/>
  <c r="S1259" i="6"/>
  <c r="R1260" i="6"/>
  <c r="S1260" i="6"/>
  <c r="R1261" i="6"/>
  <c r="S1261" i="6"/>
  <c r="R1262" i="6"/>
  <c r="S1262" i="6"/>
  <c r="R1263" i="6"/>
  <c r="S1263" i="6"/>
  <c r="R1264" i="6"/>
  <c r="S1264" i="6"/>
  <c r="R1265" i="6"/>
  <c r="S1265" i="6"/>
  <c r="R1266" i="6"/>
  <c r="S1266" i="6"/>
  <c r="R1267" i="6"/>
  <c r="S1267" i="6"/>
  <c r="R1268" i="6"/>
  <c r="S1268" i="6"/>
  <c r="R1269" i="6"/>
  <c r="S1269" i="6"/>
  <c r="R1270" i="6"/>
  <c r="S1270" i="6"/>
  <c r="R1271" i="6"/>
  <c r="S1271" i="6"/>
  <c r="R1272" i="6"/>
  <c r="S1272" i="6"/>
  <c r="R1273" i="6"/>
  <c r="S1273" i="6"/>
  <c r="R1274" i="6"/>
  <c r="S1274" i="6"/>
  <c r="R1275" i="6"/>
  <c r="S1275" i="6"/>
  <c r="R1276" i="6"/>
  <c r="S1276" i="6"/>
  <c r="R1277" i="6"/>
  <c r="S1277" i="6"/>
  <c r="R1278" i="6"/>
  <c r="S1278" i="6"/>
  <c r="R1279" i="6"/>
  <c r="S1279" i="6"/>
  <c r="R1280" i="6"/>
  <c r="S1280" i="6"/>
  <c r="R1281" i="6"/>
  <c r="S1281" i="6"/>
  <c r="R1282" i="6"/>
  <c r="S1282" i="6"/>
  <c r="R1283" i="6"/>
  <c r="S1283" i="6"/>
  <c r="R1284" i="6"/>
  <c r="S1284" i="6"/>
  <c r="R1285" i="6"/>
  <c r="S1285" i="6"/>
  <c r="R1286" i="6"/>
  <c r="S1286" i="6"/>
  <c r="R1287" i="6"/>
  <c r="S1287" i="6"/>
  <c r="R1288" i="6"/>
  <c r="S1288" i="6"/>
  <c r="R1289" i="6"/>
  <c r="S1289" i="6"/>
  <c r="R1290" i="6"/>
  <c r="S1290" i="6"/>
  <c r="R1291" i="6"/>
  <c r="S1291" i="6"/>
  <c r="R1292" i="6"/>
  <c r="S1292" i="6"/>
  <c r="R1293" i="6"/>
  <c r="S1293" i="6"/>
  <c r="R1294" i="6"/>
  <c r="S1294" i="6"/>
  <c r="R1295" i="6"/>
  <c r="S1295" i="6"/>
  <c r="R1296" i="6"/>
  <c r="S1296" i="6"/>
  <c r="R1297" i="6"/>
  <c r="S1297" i="6"/>
  <c r="R1298" i="6"/>
  <c r="S1298" i="6"/>
  <c r="R1299" i="6"/>
  <c r="S1299" i="6"/>
  <c r="R1300" i="6"/>
  <c r="S1300" i="6"/>
  <c r="R1301" i="6"/>
  <c r="S1301" i="6"/>
  <c r="R1302" i="6"/>
  <c r="S1302" i="6"/>
  <c r="R1303" i="6"/>
  <c r="S1303" i="6"/>
  <c r="R1304" i="6"/>
  <c r="S1304" i="6"/>
  <c r="R1305" i="6"/>
  <c r="S1305" i="6"/>
  <c r="R1306" i="6"/>
  <c r="S1306" i="6"/>
  <c r="R1307" i="6"/>
  <c r="S1307" i="6"/>
  <c r="R1308" i="6"/>
  <c r="S1308" i="6"/>
  <c r="R1309" i="6"/>
  <c r="S1309" i="6"/>
  <c r="R1310" i="6"/>
  <c r="S1310" i="6"/>
  <c r="R1311" i="6"/>
  <c r="S1311" i="6"/>
  <c r="R1312" i="6"/>
  <c r="S1312" i="6"/>
  <c r="R1313" i="6"/>
  <c r="S1313" i="6"/>
  <c r="R1314" i="6"/>
  <c r="S1314" i="6"/>
  <c r="R1315" i="6"/>
  <c r="S1315" i="6"/>
  <c r="R1316" i="6"/>
  <c r="S1316" i="6"/>
  <c r="R1317" i="6"/>
  <c r="S1317" i="6"/>
  <c r="R1318" i="6"/>
  <c r="S1318" i="6"/>
  <c r="R1319" i="6"/>
  <c r="S1319" i="6"/>
  <c r="R1320" i="6"/>
  <c r="S1320" i="6"/>
  <c r="R1321" i="6"/>
  <c r="S1321" i="6"/>
  <c r="R1322" i="6"/>
  <c r="S1322" i="6"/>
  <c r="R1323" i="6"/>
  <c r="S1323" i="6"/>
  <c r="R1324" i="6"/>
  <c r="S1324" i="6"/>
  <c r="R1325" i="6"/>
  <c r="S1325" i="6"/>
  <c r="R1326" i="6"/>
  <c r="S1326" i="6"/>
  <c r="R1327" i="6"/>
  <c r="S1327" i="6"/>
  <c r="R1328" i="6"/>
  <c r="S1328" i="6"/>
  <c r="R1329" i="6"/>
  <c r="S1329" i="6"/>
  <c r="R1330" i="6"/>
  <c r="S1330" i="6"/>
  <c r="R1331" i="6"/>
  <c r="S1331" i="6"/>
  <c r="R1332" i="6"/>
  <c r="S1332" i="6"/>
  <c r="R1333" i="6"/>
  <c r="S1333" i="6"/>
  <c r="R1334" i="6"/>
  <c r="S1334" i="6"/>
  <c r="R1335" i="6"/>
  <c r="S1335" i="6"/>
  <c r="R1336" i="6"/>
  <c r="S1336" i="6"/>
  <c r="R1337" i="6"/>
  <c r="S1337" i="6"/>
  <c r="R1338" i="6"/>
  <c r="S1338" i="6"/>
  <c r="R1339" i="6"/>
  <c r="S1339" i="6"/>
  <c r="R1340" i="6"/>
  <c r="S1340" i="6"/>
  <c r="R1341" i="6"/>
  <c r="S1341" i="6"/>
  <c r="R1342" i="6"/>
  <c r="S1342" i="6"/>
  <c r="R1343" i="6"/>
  <c r="S1343" i="6"/>
  <c r="R1344" i="6"/>
  <c r="S1344" i="6"/>
  <c r="R1345" i="6"/>
  <c r="S1345" i="6"/>
  <c r="R1346" i="6"/>
  <c r="S1346" i="6"/>
  <c r="R1347" i="6"/>
  <c r="S1347" i="6"/>
  <c r="R1348" i="6"/>
  <c r="S1348" i="6"/>
  <c r="R1349" i="6"/>
  <c r="S1349" i="6"/>
  <c r="R1350" i="6"/>
  <c r="S1350" i="6"/>
  <c r="R1351" i="6"/>
  <c r="S1351" i="6"/>
  <c r="R1352" i="6"/>
  <c r="S1352" i="6"/>
  <c r="R1353" i="6"/>
  <c r="S1353" i="6"/>
  <c r="R1354" i="6"/>
  <c r="S1354" i="6"/>
  <c r="R1355" i="6"/>
  <c r="S1355" i="6"/>
  <c r="R1356" i="6"/>
  <c r="S1356" i="6"/>
  <c r="R1357" i="6"/>
  <c r="S1357" i="6"/>
  <c r="R1358" i="6"/>
  <c r="S1358" i="6"/>
  <c r="R1359" i="6"/>
  <c r="S1359" i="6"/>
  <c r="R1360" i="6"/>
  <c r="S1360" i="6"/>
  <c r="R1361" i="6"/>
  <c r="S1361" i="6"/>
  <c r="R1362" i="6"/>
  <c r="S1362" i="6"/>
  <c r="R1363" i="6"/>
  <c r="S1363" i="6"/>
  <c r="R1364" i="6"/>
  <c r="S1364" i="6"/>
  <c r="R1365" i="6"/>
  <c r="S1365" i="6"/>
  <c r="R1366" i="6"/>
  <c r="S1366" i="6"/>
  <c r="R1367" i="6"/>
  <c r="S1367" i="6"/>
  <c r="R1368" i="6"/>
  <c r="S1368" i="6"/>
  <c r="R1369" i="6"/>
  <c r="S1369" i="6"/>
  <c r="R1370" i="6"/>
  <c r="S1370" i="6"/>
  <c r="R1371" i="6"/>
  <c r="S1371" i="6"/>
  <c r="R1372" i="6"/>
  <c r="S1372" i="6"/>
  <c r="R1373" i="6"/>
  <c r="S1373" i="6"/>
  <c r="R1374" i="6"/>
  <c r="S1374" i="6"/>
  <c r="R1375" i="6"/>
  <c r="S1375" i="6"/>
  <c r="R1376" i="6"/>
  <c r="S1376" i="6"/>
  <c r="R1377" i="6"/>
  <c r="S1377" i="6"/>
  <c r="R1378" i="6"/>
  <c r="S1378" i="6"/>
  <c r="R1379" i="6"/>
  <c r="S1379" i="6"/>
  <c r="R1380" i="6"/>
  <c r="S1380" i="6"/>
  <c r="R1381" i="6"/>
  <c r="S1381" i="6"/>
  <c r="R1382" i="6"/>
  <c r="S1382" i="6"/>
  <c r="R1383" i="6"/>
  <c r="S1383" i="6"/>
  <c r="R1384" i="6"/>
  <c r="S1384" i="6"/>
  <c r="R1385" i="6"/>
  <c r="S1385" i="6"/>
  <c r="R1386" i="6"/>
  <c r="S1386" i="6"/>
  <c r="R1387" i="6"/>
  <c r="S1387" i="6"/>
  <c r="R1388" i="6"/>
  <c r="S1388" i="6"/>
  <c r="R1389" i="6"/>
  <c r="S1389" i="6"/>
  <c r="R1390" i="6"/>
  <c r="S1390" i="6"/>
  <c r="R1391" i="6"/>
  <c r="S1391" i="6"/>
  <c r="R1392" i="6"/>
  <c r="S1392" i="6"/>
  <c r="R1393" i="6"/>
  <c r="S1393" i="6"/>
  <c r="R1394" i="6"/>
  <c r="S1394" i="6"/>
  <c r="R1395" i="6"/>
  <c r="S1395" i="6"/>
  <c r="R1396" i="6"/>
  <c r="S1396" i="6"/>
  <c r="R1397" i="6"/>
  <c r="S1397" i="6"/>
  <c r="R1398" i="6"/>
  <c r="S1398" i="6"/>
  <c r="R1399" i="6"/>
  <c r="S1399" i="6"/>
  <c r="R1400" i="6"/>
  <c r="S1400" i="6"/>
  <c r="R1401" i="6"/>
  <c r="S1401" i="6"/>
  <c r="R1402" i="6"/>
  <c r="S1402" i="6"/>
  <c r="R1403" i="6"/>
  <c r="S1403" i="6"/>
  <c r="R1404" i="6"/>
  <c r="S1404" i="6"/>
  <c r="R1405" i="6"/>
  <c r="S1405" i="6"/>
  <c r="R1406" i="6"/>
  <c r="S1406" i="6"/>
  <c r="R1407" i="6"/>
  <c r="S1407" i="6"/>
  <c r="R1408" i="6"/>
  <c r="S1408" i="6"/>
  <c r="R1409" i="6"/>
  <c r="S1409" i="6"/>
  <c r="R1410" i="6"/>
  <c r="S1410" i="6"/>
  <c r="R1411" i="6"/>
  <c r="S1411" i="6"/>
  <c r="R1412" i="6"/>
  <c r="S1412" i="6"/>
  <c r="R1413" i="6"/>
  <c r="S1413" i="6"/>
  <c r="R1414" i="6"/>
  <c r="S1414" i="6"/>
  <c r="R1415" i="6"/>
  <c r="S1415" i="6"/>
  <c r="R1416" i="6"/>
  <c r="S1416" i="6"/>
  <c r="R1417" i="6"/>
  <c r="S1417" i="6"/>
  <c r="R1418" i="6"/>
  <c r="S1418" i="6"/>
  <c r="R1419" i="6"/>
  <c r="S1419" i="6"/>
  <c r="R1420" i="6"/>
  <c r="S1420" i="6"/>
  <c r="R1421" i="6"/>
  <c r="S1421" i="6"/>
  <c r="R1422" i="6"/>
  <c r="S1422" i="6"/>
  <c r="R1423" i="6"/>
  <c r="S1423" i="6"/>
  <c r="R1424" i="6"/>
  <c r="S1424" i="6"/>
  <c r="R1425" i="6"/>
  <c r="S1425" i="6"/>
  <c r="R1426" i="6"/>
  <c r="S1426" i="6"/>
  <c r="R1427" i="6"/>
  <c r="S1427" i="6"/>
  <c r="R1428" i="6"/>
  <c r="S1428" i="6"/>
  <c r="R1429" i="6"/>
  <c r="S1429" i="6"/>
  <c r="R1430" i="6"/>
  <c r="S1430" i="6"/>
  <c r="R1431" i="6"/>
  <c r="S1431" i="6"/>
  <c r="R1432" i="6"/>
  <c r="S1432" i="6"/>
  <c r="R1433" i="6"/>
  <c r="S1433" i="6"/>
  <c r="R1434" i="6"/>
  <c r="S1434" i="6"/>
  <c r="R1435" i="6"/>
  <c r="S1435" i="6"/>
  <c r="R1436" i="6"/>
  <c r="S1436" i="6"/>
  <c r="R1437" i="6"/>
  <c r="S1437" i="6"/>
  <c r="R1438" i="6"/>
  <c r="S1438" i="6"/>
  <c r="R1439" i="6"/>
  <c r="S1439" i="6"/>
  <c r="R1440" i="6"/>
  <c r="S1440" i="6"/>
  <c r="R1441" i="6"/>
  <c r="S1441" i="6"/>
  <c r="R1442" i="6"/>
  <c r="S1442" i="6"/>
  <c r="R1443" i="6"/>
  <c r="S1443" i="6"/>
  <c r="R1444" i="6"/>
  <c r="S1444" i="6"/>
  <c r="R1445" i="6"/>
  <c r="S1445" i="6"/>
  <c r="R1446" i="6"/>
  <c r="S1446" i="6"/>
  <c r="R1447" i="6"/>
  <c r="S1447" i="6"/>
  <c r="R1448" i="6"/>
  <c r="S1448" i="6"/>
  <c r="R1449" i="6"/>
  <c r="S1449" i="6"/>
  <c r="R1450" i="6"/>
  <c r="S1450" i="6"/>
  <c r="R1451" i="6"/>
  <c r="S1451" i="6"/>
  <c r="R1452" i="6"/>
  <c r="S1452" i="6"/>
  <c r="R1453" i="6"/>
  <c r="S1453" i="6"/>
  <c r="R1454" i="6"/>
  <c r="S1454" i="6"/>
  <c r="R1455" i="6"/>
  <c r="S1455" i="6"/>
  <c r="R1456" i="6"/>
  <c r="S1456" i="6"/>
  <c r="R1457" i="6"/>
  <c r="S1457" i="6"/>
  <c r="R1458" i="6"/>
  <c r="S1458" i="6"/>
  <c r="R1459" i="6"/>
  <c r="S1459" i="6"/>
  <c r="R1460" i="6"/>
  <c r="S1460" i="6"/>
  <c r="R1461" i="6"/>
  <c r="S1461" i="6"/>
  <c r="R1462" i="6"/>
  <c r="S1462" i="6"/>
  <c r="R1463" i="6"/>
  <c r="S1463" i="6"/>
  <c r="R1464" i="6"/>
  <c r="S1464" i="6"/>
  <c r="R1465" i="6"/>
  <c r="S1465" i="6"/>
  <c r="R1466" i="6"/>
  <c r="S1466" i="6"/>
  <c r="R1467" i="6"/>
  <c r="S1467" i="6"/>
  <c r="R1468" i="6"/>
  <c r="S1468" i="6"/>
  <c r="R1469" i="6"/>
  <c r="S1469" i="6"/>
  <c r="R1470" i="6"/>
  <c r="S1470" i="6"/>
  <c r="R1471" i="6"/>
  <c r="S1471" i="6"/>
  <c r="R1472" i="6"/>
  <c r="S1472" i="6"/>
  <c r="R1473" i="6"/>
  <c r="S1473" i="6"/>
  <c r="R1474" i="6"/>
  <c r="S1474" i="6"/>
  <c r="R1475" i="6"/>
  <c r="S1475" i="6"/>
  <c r="R1476" i="6"/>
  <c r="S1476" i="6"/>
  <c r="R1477" i="6"/>
  <c r="S1477" i="6"/>
  <c r="R1478" i="6"/>
  <c r="S1478" i="6"/>
  <c r="R1479" i="6"/>
  <c r="S1479" i="6"/>
  <c r="R1480" i="6"/>
  <c r="S1480" i="6"/>
  <c r="R1481" i="6"/>
  <c r="S1481" i="6"/>
  <c r="R1482" i="6"/>
  <c r="S1482" i="6"/>
  <c r="R1483" i="6"/>
  <c r="S1483" i="6"/>
  <c r="R1484" i="6"/>
  <c r="S1484" i="6"/>
  <c r="R1485" i="6"/>
  <c r="S1485" i="6"/>
  <c r="R1486" i="6"/>
  <c r="S1486" i="6"/>
  <c r="R1487" i="6"/>
  <c r="S1487" i="6"/>
  <c r="R1488" i="6"/>
  <c r="S1488" i="6"/>
  <c r="R1489" i="6"/>
  <c r="S1489" i="6"/>
  <c r="R1490" i="6"/>
  <c r="S1490" i="6"/>
  <c r="R1491" i="6"/>
  <c r="S1491" i="6"/>
  <c r="R1492" i="6"/>
  <c r="S1492" i="6"/>
  <c r="R1493" i="6"/>
  <c r="S1493" i="6"/>
  <c r="R1494" i="6"/>
  <c r="S1494" i="6"/>
  <c r="R1495" i="6"/>
  <c r="S1495" i="6"/>
  <c r="R1496" i="6"/>
  <c r="S1496" i="6"/>
  <c r="R1497" i="6"/>
  <c r="S1497" i="6"/>
  <c r="R1498" i="6"/>
  <c r="S1498" i="6"/>
  <c r="R1499" i="6"/>
  <c r="S1499" i="6"/>
  <c r="R1500" i="6"/>
  <c r="S1500" i="6"/>
  <c r="R1501" i="6"/>
  <c r="S1501" i="6"/>
  <c r="R1502" i="6"/>
  <c r="S1502" i="6"/>
  <c r="R1503" i="6"/>
  <c r="S1503" i="6"/>
  <c r="R1504" i="6"/>
  <c r="S1504" i="6"/>
  <c r="R1505" i="6"/>
  <c r="S1505" i="6"/>
  <c r="R1506" i="6"/>
  <c r="S1506" i="6"/>
  <c r="R1507" i="6"/>
  <c r="S1507" i="6"/>
  <c r="R1508" i="6"/>
  <c r="S1508" i="6"/>
  <c r="R1509" i="6"/>
  <c r="S1509" i="6"/>
  <c r="R1510" i="6"/>
  <c r="S1510" i="6"/>
  <c r="R1511" i="6"/>
  <c r="S1511" i="6"/>
  <c r="R1512" i="6"/>
  <c r="S1512" i="6"/>
  <c r="R1513" i="6"/>
  <c r="S1513" i="6"/>
  <c r="R1514" i="6"/>
  <c r="S1514" i="6"/>
  <c r="R1515" i="6"/>
  <c r="S1515" i="6"/>
  <c r="R1516" i="6"/>
  <c r="S1516" i="6"/>
  <c r="R1517" i="6"/>
  <c r="S1517" i="6"/>
  <c r="R1518" i="6"/>
  <c r="S1518" i="6"/>
  <c r="R1519" i="6"/>
  <c r="S1519" i="6"/>
  <c r="R1520" i="6"/>
  <c r="S1520" i="6"/>
  <c r="R1521" i="6"/>
  <c r="S1521" i="6"/>
  <c r="R1522" i="6"/>
  <c r="S1522" i="6"/>
  <c r="R1523" i="6"/>
  <c r="S1523" i="6"/>
  <c r="R1524" i="6"/>
  <c r="S1524" i="6"/>
  <c r="R1525" i="6"/>
  <c r="S1525" i="6"/>
  <c r="R1526" i="6"/>
  <c r="S1526" i="6"/>
  <c r="R1527" i="6"/>
  <c r="S1527" i="6"/>
  <c r="R1528" i="6"/>
  <c r="S1528" i="6"/>
  <c r="R1529" i="6"/>
  <c r="S1529" i="6"/>
  <c r="R1530" i="6"/>
  <c r="S1530" i="6"/>
  <c r="R1531" i="6"/>
  <c r="S1531" i="6"/>
  <c r="R1532" i="6"/>
  <c r="S1532" i="6"/>
  <c r="R1533" i="6"/>
  <c r="S1533" i="6"/>
  <c r="R1534" i="6"/>
  <c r="S1534" i="6"/>
  <c r="R1535" i="6"/>
  <c r="S1535" i="6"/>
  <c r="R1536" i="6"/>
  <c r="S1536" i="6"/>
  <c r="R1537" i="6"/>
  <c r="S1537" i="6"/>
  <c r="R1538" i="6"/>
  <c r="S1538" i="6"/>
  <c r="R1539" i="6"/>
  <c r="S1539" i="6"/>
  <c r="R1540" i="6"/>
  <c r="S1540" i="6"/>
  <c r="R1541" i="6"/>
  <c r="S1541" i="6"/>
  <c r="R1542" i="6"/>
  <c r="S1542" i="6"/>
  <c r="R1543" i="6"/>
  <c r="S1543" i="6"/>
  <c r="R1544" i="6"/>
  <c r="S1544" i="6"/>
  <c r="R1545" i="6"/>
  <c r="S1545" i="6"/>
  <c r="R1546" i="6"/>
  <c r="S1546" i="6"/>
  <c r="R1547" i="6"/>
  <c r="S1547" i="6"/>
  <c r="R1548" i="6"/>
  <c r="S1548" i="6"/>
  <c r="R1549" i="6"/>
  <c r="S1549" i="6"/>
  <c r="R1550" i="6"/>
  <c r="S1550" i="6"/>
  <c r="R1551" i="6"/>
  <c r="S1551" i="6"/>
  <c r="R1552" i="6"/>
  <c r="S1552" i="6"/>
  <c r="R1553" i="6"/>
  <c r="S1553" i="6"/>
  <c r="R1554" i="6"/>
  <c r="S1554" i="6"/>
  <c r="R1555" i="6"/>
  <c r="S1555" i="6"/>
  <c r="R1556" i="6"/>
  <c r="S1556" i="6"/>
  <c r="R1557" i="6"/>
  <c r="S1557" i="6"/>
  <c r="R1558" i="6"/>
  <c r="S1558" i="6"/>
  <c r="R1559" i="6"/>
  <c r="S1559" i="6"/>
  <c r="R1560" i="6"/>
  <c r="S1560" i="6"/>
  <c r="R1561" i="6"/>
  <c r="S1561" i="6"/>
  <c r="R1562" i="6"/>
  <c r="S1562" i="6"/>
  <c r="R1563" i="6"/>
  <c r="S1563" i="6"/>
  <c r="R1564" i="6"/>
  <c r="S1564" i="6"/>
  <c r="R1565" i="6"/>
  <c r="S1565" i="6"/>
  <c r="R1566" i="6"/>
  <c r="S1566" i="6"/>
  <c r="R1567" i="6"/>
  <c r="S1567" i="6"/>
  <c r="R1568" i="6"/>
  <c r="S1568" i="6"/>
  <c r="R1569" i="6"/>
  <c r="S1569" i="6"/>
  <c r="R1570" i="6"/>
  <c r="S1570" i="6"/>
  <c r="R1571" i="6"/>
  <c r="S1571" i="6"/>
  <c r="R1572" i="6"/>
  <c r="S1572" i="6"/>
  <c r="R1573" i="6"/>
  <c r="S1573" i="6"/>
  <c r="R1574" i="6"/>
  <c r="S1574" i="6"/>
  <c r="R1575" i="6"/>
  <c r="S1575" i="6"/>
  <c r="R1576" i="6"/>
  <c r="S1576" i="6"/>
  <c r="R1577" i="6"/>
  <c r="S1577" i="6"/>
  <c r="R1578" i="6"/>
  <c r="S1578" i="6"/>
  <c r="R1579" i="6"/>
  <c r="S1579" i="6"/>
  <c r="R1580" i="6"/>
  <c r="S1580" i="6"/>
  <c r="R1581" i="6"/>
  <c r="S1581" i="6"/>
  <c r="R1582" i="6"/>
  <c r="S1582" i="6"/>
  <c r="R1583" i="6"/>
  <c r="S1583" i="6"/>
  <c r="R1584" i="6"/>
  <c r="S1584" i="6"/>
  <c r="R1585" i="6"/>
  <c r="S1585" i="6"/>
  <c r="R1586" i="6"/>
  <c r="S1586" i="6"/>
  <c r="R1587" i="6"/>
  <c r="S1587" i="6"/>
  <c r="R1588" i="6"/>
  <c r="S1588" i="6"/>
  <c r="R1589" i="6"/>
  <c r="S1589" i="6"/>
  <c r="R1590" i="6"/>
  <c r="S1590" i="6"/>
  <c r="R1591" i="6"/>
  <c r="S1591" i="6"/>
  <c r="R1592" i="6"/>
  <c r="S1592" i="6"/>
  <c r="R1593" i="6"/>
  <c r="S1593" i="6"/>
  <c r="R1594" i="6"/>
  <c r="S1594" i="6"/>
  <c r="R1595" i="6"/>
  <c r="S1595" i="6"/>
  <c r="R1596" i="6"/>
  <c r="S1596" i="6"/>
  <c r="R1597" i="6"/>
  <c r="S1597" i="6"/>
  <c r="R1598" i="6"/>
  <c r="S1598" i="6"/>
  <c r="R1599" i="6"/>
  <c r="S1599" i="6"/>
  <c r="R1600" i="6"/>
  <c r="S1600" i="6"/>
  <c r="R1601" i="6"/>
  <c r="S1601" i="6"/>
  <c r="R1602" i="6"/>
  <c r="S1602" i="6"/>
  <c r="R1603" i="6"/>
  <c r="S1603" i="6"/>
  <c r="R1604" i="6"/>
  <c r="S1604" i="6"/>
  <c r="R1605" i="6"/>
  <c r="S1605" i="6"/>
  <c r="R1606" i="6"/>
  <c r="S1606" i="6"/>
  <c r="R1607" i="6"/>
  <c r="S1607" i="6"/>
  <c r="R1608" i="6"/>
  <c r="S1608" i="6"/>
  <c r="R1609" i="6"/>
  <c r="S1609" i="6"/>
  <c r="R1610" i="6"/>
  <c r="S1610" i="6"/>
  <c r="R1611" i="6"/>
  <c r="S1611" i="6"/>
  <c r="R1612" i="6"/>
  <c r="S1612" i="6"/>
  <c r="R1613" i="6"/>
  <c r="S1613" i="6"/>
  <c r="R1614" i="6"/>
  <c r="S1614" i="6"/>
  <c r="R1615" i="6"/>
  <c r="S1615" i="6"/>
  <c r="R1616" i="6"/>
  <c r="S1616" i="6"/>
  <c r="R1617" i="6"/>
  <c r="S1617" i="6"/>
  <c r="R1618" i="6"/>
  <c r="S1618" i="6"/>
  <c r="R1619" i="6"/>
  <c r="S1619" i="6"/>
  <c r="R1620" i="6"/>
  <c r="S1620" i="6"/>
  <c r="R1621" i="6"/>
  <c r="S1621" i="6"/>
  <c r="R1622" i="6"/>
  <c r="S1622" i="6"/>
  <c r="R1623" i="6"/>
  <c r="S1623" i="6"/>
  <c r="R1624" i="6"/>
  <c r="S1624" i="6"/>
  <c r="R1625" i="6"/>
  <c r="S1625" i="6"/>
  <c r="R1626" i="6"/>
  <c r="S1626" i="6"/>
  <c r="R1627" i="6"/>
  <c r="S1627" i="6"/>
  <c r="R1628" i="6"/>
  <c r="S1628" i="6"/>
  <c r="R1629" i="6"/>
  <c r="S1629" i="6"/>
  <c r="R1630" i="6"/>
  <c r="S1630" i="6"/>
  <c r="R1631" i="6"/>
  <c r="S1631" i="6"/>
  <c r="R1632" i="6"/>
  <c r="S1632" i="6"/>
  <c r="R1633" i="6"/>
  <c r="S1633" i="6"/>
  <c r="R1634" i="6"/>
  <c r="S1634" i="6"/>
  <c r="R1635" i="6"/>
  <c r="S1635" i="6"/>
  <c r="R1636" i="6"/>
  <c r="S1636" i="6"/>
  <c r="R1637" i="6"/>
  <c r="S1637" i="6"/>
  <c r="R1638" i="6"/>
  <c r="S1638" i="6"/>
  <c r="R1639" i="6"/>
  <c r="S1639" i="6"/>
  <c r="R1640" i="6"/>
  <c r="S1640" i="6"/>
  <c r="R1641" i="6"/>
  <c r="S1641" i="6"/>
  <c r="R1642" i="6"/>
  <c r="S1642" i="6"/>
  <c r="R1643" i="6"/>
  <c r="S1643" i="6"/>
  <c r="R1644" i="6"/>
  <c r="S1644" i="6"/>
  <c r="R1645" i="6"/>
  <c r="S1645" i="6"/>
  <c r="R1646" i="6"/>
  <c r="S1646" i="6"/>
  <c r="R1647" i="6"/>
  <c r="S1647" i="6"/>
  <c r="R1648" i="6"/>
  <c r="S1648" i="6"/>
  <c r="R1649" i="6"/>
  <c r="S1649" i="6"/>
  <c r="R1650" i="6"/>
  <c r="S1650" i="6"/>
  <c r="R1651" i="6"/>
  <c r="S1651" i="6"/>
  <c r="R1652" i="6"/>
  <c r="S1652" i="6"/>
  <c r="R1653" i="6"/>
  <c r="S1653" i="6"/>
  <c r="R1654" i="6"/>
  <c r="S1654" i="6"/>
  <c r="R1655" i="6"/>
  <c r="S1655" i="6"/>
  <c r="R1656" i="6"/>
  <c r="S1656" i="6"/>
  <c r="R1657" i="6"/>
  <c r="S1657" i="6"/>
  <c r="R1658" i="6"/>
  <c r="S1658" i="6"/>
  <c r="R1659" i="6"/>
  <c r="S1659" i="6"/>
  <c r="R1660" i="6"/>
  <c r="S1660" i="6"/>
  <c r="R1661" i="6"/>
  <c r="S1661" i="6"/>
  <c r="R1662" i="6"/>
  <c r="S1662" i="6"/>
  <c r="R1663" i="6"/>
  <c r="S1663" i="6"/>
  <c r="R1664" i="6"/>
  <c r="S1664" i="6"/>
  <c r="R1665" i="6"/>
  <c r="S1665" i="6"/>
  <c r="R1666" i="6"/>
  <c r="S1666" i="6"/>
  <c r="R1667" i="6"/>
  <c r="S1667" i="6"/>
  <c r="R1668" i="6"/>
  <c r="S1668" i="6"/>
  <c r="R1669" i="6"/>
  <c r="S1669" i="6"/>
  <c r="R1670" i="6"/>
  <c r="S1670" i="6"/>
  <c r="R1671" i="6"/>
  <c r="S1671" i="6"/>
  <c r="R1672" i="6"/>
  <c r="S1672" i="6"/>
  <c r="R1673" i="6"/>
  <c r="S1673" i="6"/>
  <c r="R1674" i="6"/>
  <c r="S1674" i="6"/>
  <c r="R1675" i="6"/>
  <c r="S1675" i="6"/>
  <c r="R1676" i="6"/>
  <c r="S1676" i="6"/>
  <c r="R1677" i="6"/>
  <c r="S1677" i="6"/>
  <c r="R1678" i="6"/>
  <c r="S1678" i="6"/>
  <c r="R1679" i="6"/>
  <c r="S1679" i="6"/>
  <c r="R1680" i="6"/>
  <c r="S1680" i="6"/>
  <c r="R1681" i="6"/>
  <c r="S1681" i="6"/>
  <c r="R1682" i="6"/>
  <c r="S1682" i="6"/>
  <c r="R1683" i="6"/>
  <c r="S1683" i="6"/>
  <c r="R1684" i="6"/>
  <c r="S1684" i="6"/>
  <c r="R1685" i="6"/>
  <c r="S1685" i="6"/>
  <c r="R1686" i="6"/>
  <c r="S1686" i="6"/>
  <c r="R1687" i="6"/>
  <c r="S1687" i="6"/>
  <c r="R1688" i="6"/>
  <c r="S1688" i="6"/>
  <c r="R1689" i="6"/>
  <c r="S1689" i="6"/>
  <c r="R1690" i="6"/>
  <c r="S1690" i="6"/>
  <c r="R1691" i="6"/>
  <c r="S1691" i="6"/>
  <c r="R1692" i="6"/>
  <c r="S1692" i="6"/>
  <c r="R1693" i="6"/>
  <c r="S1693" i="6"/>
  <c r="R1694" i="6"/>
  <c r="S1694" i="6"/>
  <c r="R1695" i="6"/>
  <c r="S1695" i="6"/>
  <c r="R1696" i="6"/>
  <c r="S1696" i="6"/>
  <c r="R1697" i="6"/>
  <c r="S1697" i="6"/>
  <c r="R1698" i="6"/>
  <c r="S1698" i="6"/>
  <c r="R1699" i="6"/>
  <c r="S1699" i="6"/>
  <c r="R1700" i="6"/>
  <c r="S1700" i="6"/>
  <c r="R1701" i="6"/>
  <c r="S1701" i="6"/>
  <c r="R1702" i="6"/>
  <c r="S1702" i="6"/>
  <c r="R1703" i="6"/>
  <c r="S1703" i="6"/>
  <c r="R1704" i="6"/>
  <c r="S1704" i="6"/>
  <c r="R1705" i="6"/>
  <c r="S1705" i="6"/>
  <c r="R1706" i="6"/>
  <c r="S1706" i="6"/>
  <c r="R1707" i="6"/>
  <c r="S1707" i="6"/>
  <c r="R1708" i="6"/>
  <c r="S1708" i="6"/>
  <c r="R1709" i="6"/>
  <c r="S1709" i="6"/>
  <c r="R1710" i="6"/>
  <c r="S1710" i="6"/>
  <c r="R1711" i="6"/>
  <c r="S1711" i="6"/>
  <c r="R1712" i="6"/>
  <c r="S1712" i="6"/>
  <c r="R1713" i="6"/>
  <c r="S1713" i="6"/>
  <c r="R1714" i="6"/>
  <c r="S1714" i="6"/>
  <c r="R1715" i="6"/>
  <c r="S1715" i="6"/>
  <c r="R1716" i="6"/>
  <c r="S1716" i="6"/>
  <c r="R1717" i="6"/>
  <c r="S1717" i="6"/>
  <c r="R1718" i="6"/>
  <c r="S1718" i="6"/>
  <c r="R1719" i="6"/>
  <c r="S1719" i="6"/>
  <c r="R1720" i="6"/>
  <c r="S1720" i="6"/>
  <c r="R1721" i="6"/>
  <c r="S1721" i="6"/>
  <c r="R1722" i="6"/>
  <c r="S1722" i="6"/>
  <c r="R1723" i="6"/>
  <c r="S1723" i="6"/>
  <c r="R1724" i="6"/>
  <c r="S1724" i="6"/>
  <c r="R1725" i="6"/>
  <c r="S1725" i="6"/>
  <c r="R1726" i="6"/>
  <c r="S1726" i="6"/>
  <c r="R1727" i="6"/>
  <c r="S1727" i="6"/>
  <c r="R1728" i="6"/>
  <c r="S1728" i="6"/>
  <c r="R1729" i="6"/>
  <c r="S1729" i="6"/>
  <c r="R1730" i="6"/>
  <c r="S1730" i="6"/>
  <c r="R1731" i="6"/>
  <c r="S1731" i="6"/>
  <c r="R1732" i="6"/>
  <c r="S1732" i="6"/>
  <c r="R1733" i="6"/>
  <c r="S1733" i="6"/>
  <c r="R1734" i="6"/>
  <c r="S1734" i="6"/>
  <c r="R1735" i="6"/>
  <c r="S1735" i="6"/>
  <c r="R1736" i="6"/>
  <c r="S1736" i="6"/>
  <c r="R1737" i="6"/>
  <c r="S1737" i="6"/>
  <c r="R1738" i="6"/>
  <c r="S1738" i="6"/>
  <c r="R1739" i="6"/>
  <c r="S1739" i="6"/>
  <c r="R1740" i="6"/>
  <c r="S1740" i="6"/>
  <c r="R1741" i="6"/>
  <c r="S1741" i="6"/>
  <c r="R1742" i="6"/>
  <c r="S1742" i="6"/>
  <c r="R1743" i="6"/>
  <c r="S1743" i="6"/>
  <c r="R1744" i="6"/>
  <c r="S1744" i="6"/>
  <c r="R1745" i="6"/>
  <c r="S1745" i="6"/>
  <c r="R1746" i="6"/>
  <c r="S1746" i="6"/>
  <c r="R1747" i="6"/>
  <c r="S1747" i="6"/>
  <c r="R1748" i="6"/>
  <c r="S1748" i="6"/>
  <c r="R1749" i="6"/>
  <c r="S1749" i="6"/>
  <c r="R1750" i="6"/>
  <c r="S1750" i="6"/>
  <c r="R1751" i="6"/>
  <c r="S1751" i="6"/>
  <c r="R1752" i="6"/>
  <c r="S1752" i="6"/>
  <c r="R1753" i="6"/>
  <c r="S1753" i="6"/>
  <c r="R1754" i="6"/>
  <c r="S1754" i="6"/>
  <c r="R1755" i="6"/>
  <c r="S1755" i="6"/>
  <c r="R1756" i="6"/>
  <c r="S1756" i="6"/>
  <c r="R1757" i="6"/>
  <c r="S1757" i="6"/>
  <c r="R1758" i="6"/>
  <c r="S1758" i="6"/>
  <c r="R1759" i="6"/>
  <c r="S1759" i="6"/>
  <c r="R1760" i="6"/>
  <c r="S1760" i="6"/>
  <c r="R1761" i="6"/>
  <c r="S1761" i="6"/>
  <c r="R1762" i="6"/>
  <c r="S1762" i="6"/>
  <c r="R1763" i="6"/>
  <c r="S1763" i="6"/>
  <c r="R1764" i="6"/>
  <c r="S1764" i="6"/>
  <c r="R1765" i="6"/>
  <c r="S1765" i="6"/>
  <c r="R1766" i="6"/>
  <c r="S1766" i="6"/>
  <c r="R1767" i="6"/>
  <c r="S1767" i="6"/>
  <c r="R1768" i="6"/>
  <c r="S1768" i="6"/>
  <c r="R1769" i="6"/>
  <c r="S1769" i="6"/>
  <c r="R1770" i="6"/>
  <c r="S1770" i="6"/>
  <c r="R1771" i="6"/>
  <c r="S1771" i="6"/>
  <c r="R1772" i="6"/>
  <c r="S1772" i="6"/>
  <c r="R1773" i="6"/>
  <c r="S1773" i="6"/>
  <c r="R1774" i="6"/>
  <c r="S1774" i="6"/>
  <c r="R1775" i="6"/>
  <c r="S1775" i="6"/>
  <c r="R1776" i="6"/>
  <c r="S1776" i="6"/>
  <c r="R1777" i="6"/>
  <c r="S1777" i="6"/>
  <c r="R1778" i="6"/>
  <c r="S1778" i="6"/>
  <c r="R1779" i="6"/>
  <c r="S1779" i="6"/>
  <c r="R1780" i="6"/>
  <c r="S1780" i="6"/>
  <c r="R1781" i="6"/>
  <c r="S1781" i="6"/>
  <c r="R1782" i="6"/>
  <c r="S1782" i="6"/>
  <c r="R1783" i="6"/>
  <c r="S1783" i="6"/>
  <c r="R1784" i="6"/>
  <c r="S1784" i="6"/>
  <c r="R1785" i="6"/>
  <c r="S1785" i="6"/>
  <c r="R1786" i="6"/>
  <c r="S1786" i="6"/>
  <c r="R1787" i="6"/>
  <c r="S1787" i="6"/>
  <c r="R1788" i="6"/>
  <c r="S1788" i="6"/>
  <c r="R1789" i="6"/>
  <c r="S1789" i="6"/>
  <c r="R1790" i="6"/>
  <c r="S1790" i="6"/>
  <c r="R1791" i="6"/>
  <c r="S1791" i="6"/>
  <c r="R1792" i="6"/>
  <c r="S1792" i="6"/>
  <c r="R1793" i="6"/>
  <c r="S1793" i="6"/>
  <c r="R1794" i="6"/>
  <c r="S1794" i="6"/>
  <c r="R1795" i="6"/>
  <c r="S1795" i="6"/>
  <c r="R1796" i="6"/>
  <c r="S1796" i="6"/>
  <c r="R1797" i="6"/>
  <c r="S1797" i="6"/>
  <c r="R1798" i="6"/>
  <c r="S1798" i="6"/>
  <c r="R1799" i="6"/>
  <c r="S1799" i="6"/>
  <c r="R1800" i="6"/>
  <c r="S1800" i="6"/>
  <c r="R1801" i="6"/>
  <c r="S1801" i="6"/>
  <c r="R1802" i="6"/>
  <c r="S1802" i="6"/>
  <c r="R1803" i="6"/>
  <c r="S1803" i="6"/>
  <c r="R1804" i="6"/>
  <c r="S1804" i="6"/>
  <c r="R1805" i="6"/>
  <c r="S1805" i="6"/>
  <c r="R1806" i="6"/>
  <c r="S1806" i="6"/>
  <c r="R1807" i="6"/>
  <c r="S1807" i="6"/>
  <c r="R1808" i="6"/>
  <c r="S1808" i="6"/>
  <c r="R1809" i="6"/>
  <c r="S1809" i="6"/>
  <c r="R1810" i="6"/>
  <c r="S1810" i="6"/>
  <c r="R1811" i="6"/>
  <c r="S1811" i="6"/>
  <c r="R1812" i="6"/>
  <c r="S1812" i="6"/>
  <c r="R1813" i="6"/>
  <c r="S1813" i="6"/>
  <c r="R1814" i="6"/>
  <c r="S1814" i="6"/>
  <c r="R1815" i="6"/>
  <c r="S1815" i="6"/>
  <c r="R1816" i="6"/>
  <c r="S1816" i="6"/>
  <c r="R1817" i="6"/>
  <c r="S1817" i="6"/>
  <c r="R1818" i="6"/>
  <c r="S1818" i="6"/>
  <c r="R1819" i="6"/>
  <c r="S1819" i="6"/>
  <c r="R1820" i="6"/>
  <c r="S1820" i="6"/>
  <c r="R1821" i="6"/>
  <c r="S1821" i="6"/>
  <c r="R1822" i="6"/>
  <c r="S1822" i="6"/>
  <c r="R1823" i="6"/>
  <c r="S1823" i="6"/>
  <c r="R1824" i="6"/>
  <c r="S1824" i="6"/>
  <c r="R1825" i="6"/>
  <c r="S1825" i="6"/>
  <c r="R1826" i="6"/>
  <c r="S1826" i="6"/>
  <c r="R1827" i="6"/>
  <c r="S1827" i="6"/>
  <c r="R1828" i="6"/>
  <c r="S1828" i="6"/>
  <c r="R1829" i="6"/>
  <c r="S1829" i="6"/>
  <c r="R1830" i="6"/>
  <c r="S1830" i="6"/>
  <c r="R1831" i="6"/>
  <c r="S1831" i="6"/>
  <c r="R1832" i="6"/>
  <c r="S1832" i="6"/>
  <c r="R1833" i="6"/>
  <c r="S1833" i="6"/>
  <c r="R1834" i="6"/>
  <c r="S1834" i="6"/>
  <c r="R1835" i="6"/>
  <c r="S1835" i="6"/>
  <c r="R1836" i="6"/>
  <c r="S1836" i="6"/>
  <c r="R1837" i="6"/>
  <c r="S1837" i="6"/>
  <c r="R1838" i="6"/>
  <c r="S1838" i="6"/>
  <c r="R1839" i="6"/>
  <c r="S1839" i="6"/>
  <c r="R1840" i="6"/>
  <c r="S1840" i="6"/>
  <c r="R1841" i="6"/>
  <c r="S1841" i="6"/>
  <c r="R1842" i="6"/>
  <c r="S1842" i="6"/>
  <c r="R1843" i="6"/>
  <c r="S1843" i="6"/>
  <c r="R1844" i="6"/>
  <c r="S1844" i="6"/>
  <c r="R1845" i="6"/>
  <c r="S1845" i="6"/>
  <c r="R1846" i="6"/>
  <c r="S1846" i="6"/>
  <c r="R1847" i="6"/>
  <c r="S1847" i="6"/>
  <c r="R1848" i="6"/>
  <c r="S1848" i="6"/>
  <c r="R1849" i="6"/>
  <c r="S1849" i="6"/>
  <c r="R1850" i="6"/>
  <c r="S1850" i="6"/>
  <c r="R1851" i="6"/>
  <c r="S1851" i="6"/>
  <c r="R1852" i="6"/>
  <c r="S1852" i="6"/>
  <c r="R1853" i="6"/>
  <c r="S1853" i="6"/>
  <c r="R1854" i="6"/>
  <c r="S1854" i="6"/>
  <c r="R1855" i="6"/>
  <c r="S1855" i="6"/>
  <c r="R1856" i="6"/>
  <c r="S1856" i="6"/>
  <c r="R1857" i="6"/>
  <c r="S1857" i="6"/>
  <c r="R1858" i="6"/>
  <c r="S1858" i="6"/>
  <c r="R1859" i="6"/>
  <c r="S1859" i="6"/>
  <c r="R1860" i="6"/>
  <c r="S1860" i="6"/>
  <c r="R1861" i="6"/>
  <c r="S1861" i="6"/>
  <c r="R1862" i="6"/>
  <c r="S1862" i="6"/>
  <c r="R1863" i="6"/>
  <c r="S1863" i="6"/>
  <c r="R1864" i="6"/>
  <c r="S1864" i="6"/>
  <c r="R1865" i="6"/>
  <c r="S1865" i="6"/>
  <c r="R1866" i="6"/>
  <c r="S1866" i="6"/>
  <c r="R1867" i="6"/>
  <c r="S1867" i="6"/>
  <c r="R1868" i="6"/>
  <c r="S1868" i="6"/>
  <c r="R1869" i="6"/>
  <c r="S1869" i="6"/>
  <c r="R1870" i="6"/>
  <c r="S1870" i="6"/>
  <c r="R1871" i="6"/>
  <c r="S1871" i="6"/>
  <c r="R1872" i="6"/>
  <c r="S1872" i="6"/>
  <c r="R1873" i="6"/>
  <c r="S1873" i="6"/>
  <c r="R1874" i="6"/>
  <c r="S1874" i="6"/>
  <c r="R1875" i="6"/>
  <c r="S1875" i="6"/>
  <c r="R1876" i="6"/>
  <c r="S1876" i="6"/>
  <c r="R1877" i="6"/>
  <c r="S1877" i="6"/>
  <c r="R1878" i="6"/>
  <c r="S1878" i="6"/>
  <c r="R1879" i="6"/>
  <c r="S1879" i="6"/>
  <c r="R1880" i="6"/>
  <c r="S1880" i="6"/>
  <c r="R1881" i="6"/>
  <c r="S1881" i="6"/>
  <c r="R1882" i="6"/>
  <c r="S1882" i="6"/>
  <c r="R1883" i="6"/>
  <c r="S1883" i="6"/>
  <c r="R1884" i="6"/>
  <c r="S1884" i="6"/>
  <c r="R1885" i="6"/>
  <c r="S1885" i="6"/>
  <c r="R1886" i="6"/>
  <c r="S1886" i="6"/>
  <c r="R1887" i="6"/>
  <c r="S1887" i="6"/>
  <c r="R1888" i="6"/>
  <c r="S1888" i="6"/>
  <c r="R1889" i="6"/>
  <c r="S1889" i="6"/>
  <c r="R1890" i="6"/>
  <c r="S1890" i="6"/>
  <c r="R1891" i="6"/>
  <c r="S1891" i="6"/>
  <c r="R1892" i="6"/>
  <c r="S1892" i="6"/>
  <c r="R1893" i="6"/>
  <c r="S1893" i="6"/>
  <c r="R1894" i="6"/>
  <c r="S1894" i="6"/>
  <c r="R1895" i="6"/>
  <c r="S1895" i="6"/>
  <c r="R1896" i="6"/>
  <c r="S1896" i="6"/>
  <c r="R1897" i="6"/>
  <c r="S1897" i="6"/>
  <c r="R1898" i="6"/>
  <c r="S1898" i="6"/>
  <c r="R1899" i="6"/>
  <c r="S1899" i="6"/>
  <c r="R1900" i="6"/>
  <c r="S1900" i="6"/>
  <c r="R1901" i="6"/>
  <c r="S1901" i="6"/>
  <c r="R1902" i="6"/>
  <c r="S1902" i="6"/>
  <c r="R1903" i="6"/>
  <c r="S1903" i="6"/>
  <c r="R1904" i="6"/>
  <c r="S1904" i="6"/>
  <c r="R1905" i="6"/>
  <c r="S1905" i="6"/>
  <c r="R1906" i="6"/>
  <c r="S1906" i="6"/>
  <c r="R1907" i="6"/>
  <c r="S1907" i="6"/>
  <c r="R1908" i="6"/>
  <c r="S1908" i="6"/>
  <c r="R1909" i="6"/>
  <c r="S1909" i="6"/>
  <c r="R1910" i="6"/>
  <c r="S1910" i="6"/>
  <c r="R1911" i="6"/>
  <c r="S1911" i="6"/>
  <c r="R1912" i="6"/>
  <c r="S1912" i="6"/>
  <c r="R1913" i="6"/>
  <c r="S1913" i="6"/>
  <c r="R1914" i="6"/>
  <c r="S1914" i="6"/>
  <c r="R1915" i="6"/>
  <c r="S1915" i="6"/>
  <c r="R1916" i="6"/>
  <c r="S1916" i="6"/>
  <c r="R1917" i="6"/>
  <c r="S1917" i="6"/>
  <c r="R1918" i="6"/>
  <c r="S1918" i="6"/>
  <c r="R1919" i="6"/>
  <c r="S1919" i="6"/>
  <c r="R1920" i="6"/>
  <c r="S1920" i="6"/>
  <c r="R1921" i="6"/>
  <c r="S1921" i="6"/>
  <c r="R1922" i="6"/>
  <c r="S1922" i="6"/>
  <c r="R1923" i="6"/>
  <c r="S1923" i="6"/>
  <c r="R1924" i="6"/>
  <c r="S1924" i="6"/>
  <c r="R1925" i="6"/>
  <c r="S1925" i="6"/>
  <c r="R1926" i="6"/>
  <c r="S1926" i="6"/>
  <c r="R1927" i="6"/>
  <c r="S1927" i="6"/>
  <c r="R1928" i="6"/>
  <c r="S1928" i="6"/>
  <c r="R1929" i="6"/>
  <c r="S1929" i="6"/>
  <c r="R1930" i="6"/>
  <c r="S1930" i="6"/>
  <c r="R1931" i="6"/>
  <c r="S1931" i="6"/>
  <c r="R1932" i="6"/>
  <c r="S1932" i="6"/>
  <c r="R1933" i="6"/>
  <c r="S1933" i="6"/>
  <c r="R1934" i="6"/>
  <c r="S1934" i="6"/>
  <c r="R1935" i="6"/>
  <c r="S1935" i="6"/>
  <c r="R1936" i="6"/>
  <c r="S1936" i="6"/>
  <c r="R1937" i="6"/>
  <c r="S1937" i="6"/>
  <c r="R1938" i="6"/>
  <c r="S1938" i="6"/>
  <c r="R1939" i="6"/>
  <c r="S1939" i="6"/>
  <c r="R1940" i="6"/>
  <c r="S1940" i="6"/>
  <c r="R1941" i="6"/>
  <c r="S1941" i="6"/>
  <c r="R1942" i="6"/>
  <c r="S1942" i="6"/>
  <c r="R1943" i="6"/>
  <c r="S1943" i="6"/>
  <c r="R1944" i="6"/>
  <c r="S1944" i="6"/>
  <c r="R1945" i="6"/>
  <c r="S1945" i="6"/>
  <c r="R1946" i="6"/>
  <c r="S1946" i="6"/>
  <c r="R1947" i="6"/>
  <c r="S1947" i="6"/>
  <c r="R1948" i="6"/>
  <c r="S1948" i="6"/>
  <c r="R1949" i="6"/>
  <c r="S1949" i="6"/>
  <c r="R1950" i="6"/>
  <c r="S1950" i="6"/>
  <c r="R1951" i="6"/>
  <c r="S1951" i="6"/>
  <c r="R1952" i="6"/>
  <c r="S1952" i="6"/>
  <c r="R1953" i="6"/>
  <c r="S1953" i="6"/>
  <c r="R1954" i="6"/>
  <c r="S1954" i="6"/>
  <c r="R1955" i="6"/>
  <c r="S1955" i="6"/>
  <c r="R1956" i="6"/>
  <c r="S1956" i="6"/>
  <c r="R1957" i="6"/>
  <c r="S1957" i="6"/>
  <c r="R1958" i="6"/>
  <c r="S1958" i="6"/>
  <c r="R1959" i="6"/>
  <c r="S1959" i="6"/>
  <c r="R1960" i="6"/>
  <c r="S1960" i="6"/>
  <c r="R1961" i="6"/>
  <c r="S1961" i="6"/>
  <c r="R1962" i="6"/>
  <c r="S1962" i="6"/>
  <c r="R1963" i="6"/>
  <c r="S1963" i="6"/>
  <c r="R1964" i="6"/>
  <c r="S1964" i="6"/>
  <c r="R1965" i="6"/>
  <c r="S1965" i="6"/>
  <c r="R1966" i="6"/>
  <c r="S1966" i="6"/>
  <c r="R1967" i="6"/>
  <c r="S1967" i="6"/>
  <c r="R1968" i="6"/>
  <c r="S1968" i="6"/>
  <c r="R1969" i="6"/>
  <c r="S1969" i="6"/>
  <c r="R1970" i="6"/>
  <c r="S1970" i="6"/>
  <c r="R1971" i="6"/>
  <c r="S1971" i="6"/>
  <c r="R1972" i="6"/>
  <c r="S1972" i="6"/>
  <c r="R1973" i="6"/>
  <c r="S1973" i="6"/>
  <c r="R1974" i="6"/>
  <c r="S1974" i="6"/>
  <c r="R1975" i="6"/>
  <c r="S1975" i="6"/>
  <c r="R1976" i="6"/>
  <c r="S1976" i="6"/>
  <c r="R1977" i="6"/>
  <c r="S1977" i="6"/>
  <c r="R1978" i="6"/>
  <c r="S1978" i="6"/>
  <c r="R1979" i="6"/>
  <c r="S1979" i="6"/>
  <c r="R1980" i="6"/>
  <c r="S1980" i="6"/>
  <c r="R1981" i="6"/>
  <c r="S1981" i="6"/>
  <c r="R1982" i="6"/>
  <c r="S1982" i="6"/>
  <c r="R1983" i="6"/>
  <c r="S1983" i="6"/>
  <c r="R1984" i="6"/>
  <c r="S1984" i="6"/>
  <c r="R1985" i="6"/>
  <c r="S1985" i="6"/>
  <c r="R1986" i="6"/>
  <c r="S1986" i="6"/>
  <c r="R1987" i="6"/>
  <c r="S1987" i="6"/>
  <c r="R1988" i="6"/>
  <c r="S1988" i="6"/>
  <c r="R1989" i="6"/>
  <c r="S1989" i="6"/>
  <c r="R1990" i="6"/>
  <c r="S1990" i="6"/>
  <c r="R1991" i="6"/>
  <c r="S1991" i="6"/>
  <c r="R1992" i="6"/>
  <c r="S1992" i="6"/>
  <c r="R1993" i="6"/>
  <c r="S1993" i="6"/>
  <c r="R1994" i="6"/>
  <c r="S1994" i="6"/>
  <c r="R1995" i="6"/>
  <c r="S1995" i="6"/>
  <c r="R1996" i="6"/>
  <c r="S1996" i="6"/>
  <c r="R1997" i="6"/>
  <c r="S1997" i="6"/>
  <c r="R1998" i="6"/>
  <c r="S1998" i="6"/>
  <c r="R1999" i="6"/>
  <c r="S1999" i="6"/>
  <c r="R2000" i="6"/>
  <c r="S2000" i="6"/>
  <c r="R2001" i="6"/>
  <c r="S2001" i="6"/>
  <c r="R2002" i="6"/>
  <c r="S2002" i="6"/>
  <c r="R2003" i="6"/>
  <c r="S2003" i="6"/>
  <c r="R2004" i="6"/>
  <c r="S2004" i="6"/>
  <c r="R2005" i="6"/>
  <c r="S2005" i="6"/>
  <c r="R2006" i="6"/>
  <c r="S2006" i="6"/>
  <c r="R2007" i="6"/>
  <c r="S2007" i="6"/>
  <c r="R2008" i="6"/>
  <c r="S2008" i="6"/>
  <c r="R2009" i="6"/>
  <c r="S2009" i="6"/>
  <c r="R2010" i="6"/>
  <c r="S2010" i="6"/>
  <c r="R2011" i="6"/>
  <c r="S2011" i="6"/>
  <c r="R2012" i="6"/>
  <c r="S2012" i="6"/>
  <c r="R2013" i="6"/>
  <c r="S2013" i="6"/>
  <c r="R2014" i="6"/>
  <c r="S2014" i="6"/>
  <c r="R2015" i="6"/>
  <c r="S2015" i="6"/>
  <c r="R2016" i="6"/>
  <c r="S2016" i="6"/>
  <c r="R2017" i="6"/>
  <c r="S2017" i="6"/>
  <c r="R2018" i="6"/>
  <c r="S2018" i="6"/>
  <c r="R2019" i="6"/>
  <c r="S2019" i="6"/>
  <c r="R2020" i="6"/>
  <c r="S2020" i="6"/>
  <c r="R2021" i="6"/>
  <c r="S2021" i="6"/>
  <c r="R2022" i="6"/>
  <c r="S2022" i="6"/>
  <c r="R2023" i="6"/>
  <c r="S2023" i="6"/>
  <c r="R2024" i="6"/>
  <c r="S2024" i="6"/>
  <c r="R2025" i="6"/>
  <c r="S2025" i="6"/>
  <c r="R2026" i="6"/>
  <c r="S2026" i="6"/>
  <c r="R2027" i="6"/>
  <c r="S2027" i="6"/>
  <c r="R2028" i="6"/>
  <c r="S2028" i="6"/>
  <c r="R2029" i="6"/>
  <c r="S2029" i="6"/>
  <c r="R2030" i="6"/>
  <c r="S2030" i="6"/>
  <c r="R2031" i="6"/>
  <c r="S2031" i="6"/>
  <c r="R2032" i="6"/>
  <c r="S2032" i="6"/>
  <c r="R2033" i="6"/>
  <c r="S2033" i="6"/>
  <c r="R2034" i="6"/>
  <c r="S2034" i="6"/>
  <c r="R2035" i="6"/>
  <c r="S2035" i="6"/>
  <c r="R2036" i="6"/>
  <c r="S2036" i="6"/>
  <c r="R2037" i="6"/>
  <c r="S2037" i="6"/>
  <c r="R2038" i="6"/>
  <c r="S2038" i="6"/>
  <c r="R2039" i="6"/>
  <c r="S2039" i="6"/>
  <c r="R2040" i="6"/>
  <c r="S2040" i="6"/>
  <c r="R2041" i="6"/>
  <c r="S2041" i="6"/>
  <c r="R2042" i="6"/>
  <c r="S2042" i="6"/>
  <c r="R2043" i="6"/>
  <c r="S2043" i="6"/>
  <c r="R2044" i="6"/>
  <c r="S2044" i="6"/>
  <c r="R2045" i="6"/>
  <c r="S2045" i="6"/>
  <c r="R2046" i="6"/>
  <c r="S2046" i="6"/>
  <c r="R2047" i="6"/>
  <c r="S2047" i="6"/>
  <c r="R2048" i="6"/>
  <c r="S2048" i="6"/>
  <c r="R2049" i="6"/>
  <c r="S2049" i="6"/>
  <c r="R2050" i="6"/>
  <c r="S2050" i="6"/>
  <c r="R2051" i="6"/>
  <c r="S2051" i="6"/>
  <c r="R2052" i="6"/>
  <c r="S2052" i="6"/>
  <c r="R2053" i="6"/>
  <c r="S2053" i="6"/>
  <c r="R2054" i="6"/>
  <c r="S2054" i="6"/>
  <c r="R2055" i="6"/>
  <c r="S2055" i="6"/>
  <c r="R2056" i="6"/>
  <c r="S2056" i="6"/>
  <c r="R2057" i="6"/>
  <c r="S2057" i="6"/>
  <c r="R2058" i="6"/>
  <c r="S2058" i="6"/>
  <c r="R2059" i="6"/>
  <c r="S2059" i="6"/>
  <c r="R2060" i="6"/>
  <c r="S2060" i="6"/>
  <c r="R2061" i="6"/>
  <c r="S2061" i="6"/>
  <c r="R2062" i="6"/>
  <c r="S2062" i="6"/>
  <c r="R2063" i="6"/>
  <c r="S2063" i="6"/>
  <c r="R2064" i="6"/>
  <c r="S2064" i="6"/>
  <c r="R2065" i="6"/>
  <c r="S2065" i="6"/>
  <c r="R2066" i="6"/>
  <c r="S2066" i="6"/>
  <c r="R2067" i="6"/>
  <c r="S2067" i="6"/>
  <c r="R2068" i="6"/>
  <c r="S2068" i="6"/>
  <c r="R2069" i="6"/>
  <c r="S2069" i="6"/>
  <c r="R2070" i="6"/>
  <c r="S2070" i="6"/>
  <c r="R2071" i="6"/>
  <c r="S2071" i="6"/>
  <c r="R2072" i="6"/>
  <c r="S2072" i="6"/>
  <c r="R2073" i="6"/>
  <c r="S2073" i="6"/>
  <c r="R2074" i="6"/>
  <c r="S2074" i="6"/>
  <c r="R2075" i="6"/>
  <c r="S2075" i="6"/>
  <c r="R2076" i="6"/>
  <c r="S2076" i="6"/>
  <c r="R2077" i="6"/>
  <c r="S2077" i="6"/>
  <c r="R2078" i="6"/>
  <c r="S2078" i="6"/>
  <c r="R2079" i="6"/>
  <c r="S2079" i="6"/>
  <c r="R2080" i="6"/>
  <c r="S2080" i="6"/>
  <c r="R2081" i="6"/>
  <c r="S2081" i="6"/>
  <c r="R2082" i="6"/>
  <c r="S2082" i="6"/>
  <c r="R2083" i="6"/>
  <c r="S2083" i="6"/>
  <c r="R2084" i="6"/>
  <c r="S2084" i="6"/>
  <c r="R2085" i="6"/>
  <c r="S2085" i="6"/>
  <c r="R2086" i="6"/>
  <c r="S2086" i="6"/>
  <c r="R2087" i="6"/>
  <c r="S2087" i="6"/>
  <c r="R2088" i="6"/>
  <c r="S2088" i="6"/>
  <c r="R2089" i="6"/>
  <c r="S2089" i="6"/>
  <c r="R2090" i="6"/>
  <c r="S2090" i="6"/>
  <c r="R2091" i="6"/>
  <c r="S2091" i="6"/>
  <c r="R2092" i="6"/>
  <c r="S2092" i="6"/>
  <c r="R2093" i="6"/>
  <c r="S2093" i="6"/>
  <c r="R2094" i="6"/>
  <c r="S2094" i="6"/>
  <c r="R2095" i="6"/>
  <c r="S2095" i="6"/>
  <c r="R2096" i="6"/>
  <c r="S2096" i="6"/>
  <c r="R2097" i="6"/>
  <c r="S2097" i="6"/>
  <c r="R2098" i="6"/>
  <c r="S2098" i="6"/>
  <c r="R2099" i="6"/>
  <c r="S2099" i="6"/>
  <c r="R2100" i="6"/>
  <c r="S2100" i="6"/>
  <c r="R2101" i="6"/>
  <c r="S2101" i="6"/>
  <c r="R2102" i="6"/>
  <c r="S2102" i="6"/>
  <c r="R2103" i="6"/>
  <c r="S2103" i="6"/>
  <c r="R2104" i="6"/>
  <c r="S2104" i="6"/>
  <c r="R2105" i="6"/>
  <c r="S2105" i="6"/>
  <c r="R2106" i="6"/>
  <c r="S2106" i="6"/>
  <c r="R2107" i="6"/>
  <c r="S2107" i="6"/>
  <c r="R2108" i="6"/>
  <c r="S2108" i="6"/>
  <c r="R2109" i="6"/>
  <c r="S2109" i="6"/>
  <c r="R2110" i="6"/>
  <c r="S2110" i="6"/>
  <c r="R2111" i="6"/>
  <c r="S2111" i="6"/>
  <c r="R2112" i="6"/>
  <c r="S2112" i="6"/>
  <c r="R2113" i="6"/>
  <c r="S2113" i="6"/>
  <c r="R2114" i="6"/>
  <c r="S2114" i="6"/>
  <c r="R2115" i="6"/>
  <c r="S2115" i="6"/>
  <c r="R2116" i="6"/>
  <c r="S2116" i="6"/>
  <c r="R2117" i="6"/>
  <c r="S2117" i="6"/>
  <c r="R2118" i="6"/>
  <c r="S2118" i="6"/>
  <c r="R2119" i="6"/>
  <c r="S2119" i="6"/>
  <c r="R2120" i="6"/>
  <c r="S2120" i="6"/>
  <c r="R2121" i="6"/>
  <c r="S2121" i="6"/>
  <c r="R2122" i="6"/>
  <c r="S2122" i="6"/>
  <c r="R2123" i="6"/>
  <c r="S2123" i="6"/>
  <c r="R2124" i="6"/>
  <c r="S2124" i="6"/>
  <c r="R2125" i="6"/>
  <c r="S2125" i="6"/>
  <c r="R2126" i="6"/>
  <c r="S2126" i="6"/>
  <c r="R2127" i="6"/>
  <c r="S2127" i="6"/>
  <c r="R2128" i="6"/>
  <c r="S2128" i="6"/>
  <c r="R2129" i="6"/>
  <c r="S2129" i="6"/>
  <c r="R2130" i="6"/>
  <c r="S2130" i="6"/>
  <c r="R2131" i="6"/>
  <c r="S2131" i="6"/>
  <c r="R2132" i="6"/>
  <c r="S2132" i="6"/>
  <c r="R2133" i="6"/>
  <c r="S2133" i="6"/>
  <c r="R2134" i="6"/>
  <c r="S2134" i="6"/>
  <c r="R2135" i="6"/>
  <c r="S2135" i="6"/>
  <c r="R2136" i="6"/>
  <c r="S2136" i="6"/>
  <c r="R2137" i="6"/>
  <c r="S2137" i="6"/>
  <c r="R2138" i="6"/>
  <c r="S2138" i="6"/>
  <c r="R2139" i="6"/>
  <c r="S2139" i="6"/>
  <c r="R2140" i="6"/>
  <c r="S2140" i="6"/>
  <c r="R2141" i="6"/>
  <c r="S2141" i="6"/>
  <c r="R2142" i="6"/>
  <c r="S2142" i="6"/>
  <c r="R2143" i="6"/>
  <c r="S2143" i="6"/>
  <c r="R2144" i="6"/>
  <c r="S2144" i="6"/>
  <c r="R2145" i="6"/>
  <c r="S2145" i="6"/>
  <c r="R2146" i="6"/>
  <c r="S2146" i="6"/>
  <c r="R2147" i="6"/>
  <c r="S2147" i="6"/>
  <c r="R2148" i="6"/>
  <c r="S2148" i="6"/>
  <c r="R2149" i="6"/>
  <c r="S2149" i="6"/>
  <c r="R2150" i="6"/>
  <c r="S2150" i="6"/>
  <c r="R2151" i="6"/>
  <c r="S2151" i="6"/>
  <c r="R2152" i="6"/>
  <c r="S2152" i="6"/>
  <c r="R2153" i="6"/>
  <c r="S2153" i="6"/>
  <c r="R2154" i="6"/>
  <c r="S2154" i="6"/>
  <c r="R2155" i="6"/>
  <c r="S2155" i="6"/>
  <c r="R2156" i="6"/>
  <c r="S2156" i="6"/>
  <c r="R2157" i="6"/>
  <c r="S2157" i="6"/>
  <c r="R2158" i="6"/>
  <c r="S2158" i="6"/>
  <c r="R2159" i="6"/>
  <c r="S2159" i="6"/>
  <c r="R2160" i="6"/>
  <c r="S2160" i="6"/>
  <c r="R2161" i="6"/>
  <c r="S2161" i="6"/>
  <c r="R2162" i="6"/>
  <c r="S2162" i="6"/>
  <c r="R2163" i="6"/>
  <c r="S2163" i="6"/>
  <c r="R2164" i="6"/>
  <c r="S2164" i="6"/>
  <c r="R2165" i="6"/>
  <c r="S2165" i="6"/>
  <c r="R2166" i="6"/>
  <c r="S2166" i="6"/>
  <c r="R2167" i="6"/>
  <c r="S2167" i="6"/>
  <c r="R2168" i="6"/>
  <c r="S2168" i="6"/>
  <c r="R2169" i="6"/>
  <c r="S2169" i="6"/>
  <c r="R2170" i="6"/>
  <c r="S2170" i="6"/>
  <c r="R2171" i="6"/>
  <c r="S2171" i="6"/>
  <c r="R2172" i="6"/>
  <c r="S2172" i="6"/>
  <c r="R2173" i="6"/>
  <c r="S2173" i="6"/>
  <c r="R2174" i="6"/>
  <c r="S2174" i="6"/>
  <c r="R2175" i="6"/>
  <c r="S2175" i="6"/>
  <c r="R2176" i="6"/>
  <c r="S2176" i="6"/>
  <c r="R2177" i="6"/>
  <c r="S2177" i="6"/>
  <c r="R2178" i="6"/>
  <c r="S2178" i="6"/>
  <c r="R2179" i="6"/>
  <c r="S2179" i="6"/>
  <c r="R2180" i="6"/>
  <c r="S2180" i="6"/>
  <c r="R2181" i="6"/>
  <c r="S2181" i="6"/>
  <c r="R2182" i="6"/>
  <c r="S2182" i="6"/>
  <c r="R2183" i="6"/>
  <c r="S2183" i="6"/>
  <c r="R2184" i="6"/>
  <c r="S2184" i="6"/>
  <c r="R2185" i="6"/>
  <c r="S2185" i="6"/>
  <c r="R2186" i="6"/>
  <c r="S2186" i="6"/>
  <c r="R2187" i="6"/>
  <c r="S2187" i="6"/>
  <c r="R2188" i="6"/>
  <c r="S2188" i="6"/>
  <c r="R2189" i="6"/>
  <c r="S2189" i="6"/>
  <c r="R2190" i="6"/>
  <c r="S2190" i="6"/>
  <c r="R2191" i="6"/>
  <c r="S2191" i="6"/>
  <c r="R2192" i="6"/>
  <c r="S2192" i="6"/>
  <c r="R2193" i="6"/>
  <c r="S2193" i="6"/>
  <c r="R2194" i="6"/>
  <c r="S2194" i="6"/>
  <c r="R2195" i="6"/>
  <c r="S2195" i="6"/>
  <c r="R2196" i="6"/>
  <c r="S2196" i="6"/>
  <c r="R2197" i="6"/>
  <c r="S2197" i="6"/>
  <c r="R2198" i="6"/>
  <c r="S2198" i="6"/>
  <c r="R2199" i="6"/>
  <c r="S2199" i="6"/>
  <c r="R2200" i="6"/>
  <c r="S2200" i="6"/>
  <c r="R2201" i="6"/>
  <c r="S2201" i="6"/>
  <c r="R2202" i="6"/>
  <c r="S2202" i="6"/>
  <c r="R2203" i="6"/>
  <c r="S2203" i="6"/>
  <c r="R2204" i="6"/>
  <c r="S2204" i="6"/>
  <c r="R2205" i="6"/>
  <c r="S2205" i="6"/>
  <c r="R2206" i="6"/>
  <c r="S2206" i="6"/>
  <c r="R2207" i="6"/>
  <c r="S2207" i="6"/>
  <c r="R2208" i="6"/>
  <c r="S2208" i="6"/>
  <c r="R2209" i="6"/>
  <c r="S2209" i="6"/>
  <c r="R2210" i="6"/>
  <c r="S2210" i="6"/>
  <c r="R2211" i="6"/>
  <c r="S2211" i="6"/>
  <c r="R2212" i="6"/>
  <c r="S2212" i="6"/>
  <c r="R2213" i="6"/>
  <c r="S2213" i="6"/>
  <c r="R2214" i="6"/>
  <c r="S2214" i="6"/>
  <c r="R2215" i="6"/>
  <c r="S2215" i="6"/>
  <c r="R2216" i="6"/>
  <c r="S2216" i="6"/>
  <c r="R2217" i="6"/>
  <c r="S2217" i="6"/>
  <c r="R2218" i="6"/>
  <c r="S2218" i="6"/>
  <c r="R2219" i="6"/>
  <c r="S2219" i="6"/>
  <c r="R2220" i="6"/>
  <c r="S2220" i="6"/>
  <c r="R2221" i="6"/>
  <c r="S2221" i="6"/>
  <c r="R2222" i="6"/>
  <c r="S2222" i="6"/>
  <c r="R2223" i="6"/>
  <c r="S2223" i="6"/>
  <c r="R2224" i="6"/>
  <c r="S2224" i="6"/>
  <c r="R2225" i="6"/>
  <c r="S2225" i="6"/>
  <c r="R2226" i="6"/>
  <c r="S2226" i="6"/>
  <c r="R2227" i="6"/>
  <c r="S2227" i="6"/>
  <c r="R2228" i="6"/>
  <c r="S2228" i="6"/>
  <c r="R2229" i="6"/>
  <c r="S2229" i="6"/>
  <c r="R2230" i="6"/>
  <c r="S2230" i="6"/>
  <c r="R2231" i="6"/>
  <c r="S2231" i="6"/>
  <c r="R2232" i="6"/>
  <c r="S2232" i="6"/>
  <c r="R2233" i="6"/>
  <c r="S2233" i="6"/>
  <c r="R2234" i="6"/>
  <c r="S2234" i="6"/>
  <c r="R2235" i="6"/>
  <c r="S2235" i="6"/>
  <c r="R2236" i="6"/>
  <c r="S2236" i="6"/>
  <c r="R2237" i="6"/>
  <c r="S2237" i="6"/>
  <c r="R2238" i="6"/>
  <c r="S2238" i="6"/>
  <c r="R2239" i="6"/>
  <c r="S2239" i="6"/>
  <c r="R2240" i="6"/>
  <c r="S2240" i="6"/>
  <c r="R2241" i="6"/>
  <c r="S2241" i="6"/>
  <c r="R2242" i="6"/>
  <c r="S2242" i="6"/>
  <c r="R2243" i="6"/>
  <c r="S2243" i="6"/>
  <c r="R2244" i="6"/>
  <c r="S2244" i="6"/>
  <c r="R2245" i="6"/>
  <c r="S2245" i="6"/>
  <c r="R2246" i="6"/>
  <c r="S2246" i="6"/>
  <c r="R2247" i="6"/>
  <c r="S2247" i="6"/>
  <c r="R2248" i="6"/>
  <c r="S2248" i="6"/>
  <c r="R2249" i="6"/>
  <c r="S2249" i="6"/>
  <c r="R2250" i="6"/>
  <c r="S2250" i="6"/>
  <c r="R2251" i="6"/>
  <c r="S2251" i="6"/>
  <c r="R2252" i="6"/>
  <c r="S2252" i="6"/>
  <c r="R2253" i="6"/>
  <c r="S2253" i="6"/>
  <c r="R2254" i="6"/>
  <c r="S2254" i="6"/>
  <c r="R2255" i="6"/>
  <c r="S2255" i="6"/>
  <c r="R2256" i="6"/>
  <c r="S2256" i="6"/>
  <c r="R2257" i="6"/>
  <c r="S2257" i="6"/>
  <c r="R2258" i="6"/>
  <c r="S2258" i="6"/>
  <c r="R2259" i="6"/>
  <c r="S2259" i="6"/>
  <c r="R2260" i="6"/>
  <c r="S2260" i="6"/>
  <c r="R2261" i="6"/>
  <c r="S2261" i="6"/>
  <c r="R2262" i="6"/>
  <c r="S2262" i="6"/>
  <c r="R2263" i="6"/>
  <c r="S2263" i="6"/>
  <c r="R2264" i="6"/>
  <c r="S2264" i="6"/>
  <c r="R2265" i="6"/>
  <c r="S2265" i="6"/>
  <c r="R2266" i="6"/>
  <c r="S2266" i="6"/>
  <c r="R2267" i="6"/>
  <c r="S2267" i="6"/>
  <c r="R2268" i="6"/>
  <c r="S2268" i="6"/>
  <c r="R2269" i="6"/>
  <c r="S2269" i="6"/>
  <c r="R2270" i="6"/>
  <c r="S2270" i="6"/>
  <c r="R2271" i="6"/>
  <c r="S2271" i="6"/>
  <c r="R2272" i="6"/>
  <c r="S2272" i="6"/>
  <c r="R2273" i="6"/>
  <c r="S2273" i="6"/>
  <c r="R2274" i="6"/>
  <c r="S2274" i="6"/>
  <c r="R2275" i="6"/>
  <c r="S2275" i="6"/>
  <c r="R2276" i="6"/>
  <c r="S2276" i="6"/>
  <c r="R2277" i="6"/>
  <c r="S2277" i="6"/>
  <c r="R2278" i="6"/>
  <c r="S2278" i="6"/>
  <c r="R2279" i="6"/>
  <c r="S2279" i="6"/>
  <c r="R2280" i="6"/>
  <c r="S2280" i="6"/>
  <c r="R2281" i="6"/>
  <c r="S2281" i="6"/>
  <c r="R2282" i="6"/>
  <c r="S2282" i="6"/>
  <c r="R2283" i="6"/>
  <c r="S2283" i="6"/>
  <c r="R2284" i="6"/>
  <c r="S2284" i="6"/>
  <c r="R2285" i="6"/>
  <c r="S2285" i="6"/>
  <c r="R2286" i="6"/>
  <c r="S2286" i="6"/>
  <c r="R2287" i="6"/>
  <c r="S2287" i="6"/>
  <c r="R2288" i="6"/>
  <c r="S2288" i="6"/>
  <c r="R2289" i="6"/>
  <c r="S2289" i="6"/>
  <c r="R2290" i="6"/>
  <c r="S2290" i="6"/>
  <c r="R2291" i="6"/>
  <c r="S2291" i="6"/>
  <c r="R2292" i="6"/>
  <c r="S2292" i="6"/>
  <c r="R2293" i="6"/>
  <c r="S2293" i="6"/>
  <c r="R2294" i="6"/>
  <c r="S2294" i="6"/>
  <c r="R2295" i="6"/>
  <c r="S2295" i="6"/>
  <c r="R2296" i="6"/>
  <c r="S2296" i="6"/>
  <c r="R2297" i="6"/>
  <c r="S2297" i="6"/>
  <c r="R2298" i="6"/>
  <c r="S2298" i="6"/>
  <c r="R2299" i="6"/>
  <c r="S2299" i="6"/>
  <c r="R2300" i="6"/>
  <c r="S2300" i="6"/>
  <c r="R2301" i="6"/>
  <c r="S2301" i="6"/>
  <c r="R2302" i="6"/>
  <c r="S2302" i="6"/>
  <c r="R2303" i="6"/>
  <c r="S2303" i="6"/>
  <c r="R2304" i="6"/>
  <c r="S2304" i="6"/>
  <c r="R2305" i="6"/>
  <c r="S2305" i="6"/>
  <c r="R2306" i="6"/>
  <c r="S2306" i="6"/>
  <c r="R2307" i="6"/>
  <c r="S2307" i="6"/>
  <c r="R2308" i="6"/>
  <c r="S2308" i="6"/>
  <c r="R2309" i="6"/>
  <c r="S2309" i="6"/>
  <c r="R2310" i="6"/>
  <c r="S2310" i="6"/>
  <c r="R2311" i="6"/>
  <c r="S2311" i="6"/>
  <c r="R2312" i="6"/>
  <c r="S2312" i="6"/>
  <c r="R2313" i="6"/>
  <c r="S2313" i="6"/>
  <c r="R2314" i="6"/>
  <c r="S2314" i="6"/>
  <c r="R2315" i="6"/>
  <c r="S2315" i="6"/>
  <c r="R2316" i="6"/>
  <c r="S2316" i="6"/>
  <c r="R2317" i="6"/>
  <c r="S2317" i="6"/>
  <c r="R2318" i="6"/>
  <c r="S2318" i="6"/>
  <c r="R2319" i="6"/>
  <c r="S2319" i="6"/>
  <c r="R2320" i="6"/>
  <c r="S2320" i="6"/>
  <c r="R2321" i="6"/>
  <c r="S2321" i="6"/>
  <c r="R2322" i="6"/>
  <c r="S2322" i="6"/>
  <c r="R2323" i="6"/>
  <c r="S2323" i="6"/>
  <c r="R2324" i="6"/>
  <c r="S2324" i="6"/>
  <c r="R2325" i="6"/>
  <c r="S2325" i="6"/>
  <c r="R2326" i="6"/>
  <c r="S2326" i="6"/>
  <c r="R2327" i="6"/>
  <c r="S2327" i="6"/>
  <c r="R2328" i="6"/>
  <c r="S2328" i="6"/>
  <c r="R2329" i="6"/>
  <c r="S2329" i="6"/>
  <c r="R2330" i="6"/>
  <c r="S2330" i="6"/>
  <c r="R2331" i="6"/>
  <c r="S2331" i="6"/>
  <c r="R2332" i="6"/>
  <c r="S2332" i="6"/>
  <c r="R2333" i="6"/>
  <c r="S2333" i="6"/>
  <c r="R2334" i="6"/>
  <c r="S2334" i="6"/>
  <c r="R2335" i="6"/>
  <c r="S2335" i="6"/>
  <c r="R2336" i="6"/>
  <c r="S2336" i="6"/>
  <c r="R2337" i="6"/>
  <c r="S2337" i="6"/>
  <c r="R2338" i="6"/>
  <c r="S2338" i="6"/>
  <c r="R2339" i="6"/>
  <c r="S2339" i="6"/>
  <c r="R2340" i="6"/>
  <c r="S2340" i="6"/>
  <c r="R2341" i="6"/>
  <c r="S2341" i="6"/>
  <c r="R2342" i="6"/>
  <c r="S2342" i="6"/>
  <c r="R2343" i="6"/>
  <c r="S2343" i="6"/>
  <c r="R2344" i="6"/>
  <c r="S2344" i="6"/>
  <c r="R2345" i="6"/>
  <c r="S2345" i="6"/>
  <c r="R2346" i="6"/>
  <c r="S2346" i="6"/>
  <c r="R2347" i="6"/>
  <c r="S2347" i="6"/>
  <c r="R2348" i="6"/>
  <c r="S2348" i="6"/>
  <c r="R2349" i="6"/>
  <c r="S2349" i="6"/>
  <c r="R2350" i="6"/>
  <c r="S2350" i="6"/>
  <c r="R2351" i="6"/>
  <c r="S2351" i="6"/>
  <c r="R2352" i="6"/>
  <c r="S2352" i="6"/>
  <c r="R2353" i="6"/>
  <c r="S2353" i="6"/>
  <c r="R2354" i="6"/>
  <c r="S2354" i="6"/>
  <c r="R2355" i="6"/>
  <c r="S2355" i="6"/>
  <c r="R2356" i="6"/>
  <c r="S2356" i="6"/>
  <c r="R2357" i="6"/>
  <c r="S2357" i="6"/>
  <c r="R2358" i="6"/>
  <c r="S2358" i="6"/>
  <c r="R2359" i="6"/>
  <c r="S2359" i="6"/>
  <c r="R2360" i="6"/>
  <c r="S2360" i="6"/>
  <c r="R2361" i="6"/>
  <c r="S2361" i="6"/>
  <c r="R2362" i="6"/>
  <c r="S2362" i="6"/>
  <c r="R2363" i="6"/>
  <c r="S2363" i="6"/>
  <c r="R2364" i="6"/>
  <c r="S2364" i="6"/>
  <c r="R2365" i="6"/>
  <c r="S2365" i="6"/>
  <c r="R2366" i="6"/>
  <c r="S2366" i="6"/>
  <c r="R2367" i="6"/>
  <c r="S2367" i="6"/>
  <c r="R2368" i="6"/>
  <c r="S2368" i="6"/>
  <c r="R2369" i="6"/>
  <c r="S2369" i="6"/>
  <c r="R2370" i="6"/>
  <c r="S2370" i="6"/>
  <c r="R2371" i="6"/>
  <c r="S2371" i="6"/>
  <c r="R2372" i="6"/>
  <c r="S2372" i="6"/>
  <c r="R2373" i="6"/>
  <c r="S2373" i="6"/>
  <c r="R2374" i="6"/>
  <c r="S2374" i="6"/>
  <c r="R2375" i="6"/>
  <c r="S2375" i="6"/>
  <c r="R2376" i="6"/>
  <c r="S2376" i="6"/>
  <c r="R2377" i="6"/>
  <c r="S2377" i="6"/>
  <c r="R2378" i="6"/>
  <c r="S2378" i="6"/>
  <c r="R2379" i="6"/>
  <c r="S2379" i="6"/>
  <c r="R2380" i="6"/>
  <c r="S2380" i="6"/>
  <c r="R2381" i="6"/>
  <c r="S2381" i="6"/>
  <c r="R2382" i="6"/>
  <c r="S2382" i="6"/>
  <c r="R2383" i="6"/>
  <c r="S2383" i="6"/>
  <c r="R2384" i="6"/>
  <c r="S2384" i="6"/>
  <c r="R2385" i="6"/>
  <c r="S2385" i="6"/>
  <c r="R2386" i="6"/>
  <c r="S2386" i="6"/>
  <c r="R2387" i="6"/>
  <c r="S2387" i="6"/>
  <c r="R2388" i="6"/>
  <c r="S2388" i="6"/>
  <c r="R2389" i="6"/>
  <c r="S2389" i="6"/>
  <c r="R2390" i="6"/>
  <c r="S2390" i="6"/>
  <c r="R2391" i="6"/>
  <c r="S2391" i="6"/>
  <c r="R2392" i="6"/>
  <c r="S2392" i="6"/>
  <c r="R2393" i="6"/>
  <c r="S2393" i="6"/>
  <c r="R2394" i="6"/>
  <c r="S2394" i="6"/>
  <c r="R2395" i="6"/>
  <c r="S2395" i="6"/>
  <c r="R2396" i="6"/>
  <c r="S2396" i="6"/>
  <c r="R2397" i="6"/>
  <c r="S2397" i="6"/>
  <c r="R2398" i="6"/>
  <c r="S2398" i="6"/>
  <c r="R2399" i="6"/>
  <c r="S2399" i="6"/>
  <c r="R2400" i="6"/>
  <c r="S2400" i="6"/>
  <c r="R2401" i="6"/>
  <c r="S2401" i="6"/>
  <c r="R2402" i="6"/>
  <c r="S2402" i="6"/>
  <c r="R2403" i="6"/>
  <c r="S2403" i="6"/>
  <c r="R2404" i="6"/>
  <c r="S2404" i="6"/>
  <c r="R2405" i="6"/>
  <c r="S2405" i="6"/>
  <c r="R2406" i="6"/>
  <c r="S2406" i="6"/>
  <c r="R2407" i="6"/>
  <c r="S2407" i="6"/>
  <c r="R2408" i="6"/>
  <c r="S2408" i="6"/>
  <c r="R2409" i="6"/>
  <c r="S2409" i="6"/>
  <c r="R2410" i="6"/>
  <c r="S2410" i="6"/>
  <c r="R2411" i="6"/>
  <c r="S2411" i="6"/>
  <c r="R2412" i="6"/>
  <c r="S2412" i="6"/>
  <c r="R2413" i="6"/>
  <c r="S2413" i="6"/>
  <c r="R2414" i="6"/>
  <c r="S2414" i="6"/>
  <c r="R2415" i="6"/>
  <c r="S2415" i="6"/>
  <c r="R2416" i="6"/>
  <c r="S2416" i="6"/>
  <c r="R2417" i="6"/>
  <c r="S2417" i="6"/>
  <c r="R2418" i="6"/>
  <c r="S2418" i="6"/>
  <c r="R2419" i="6"/>
  <c r="S2419" i="6"/>
  <c r="R2420" i="6"/>
  <c r="S2420" i="6"/>
  <c r="R2421" i="6"/>
  <c r="S2421" i="6"/>
  <c r="R2422" i="6"/>
  <c r="S2422" i="6"/>
  <c r="R2423" i="6"/>
  <c r="S2423" i="6"/>
  <c r="R2424" i="6"/>
  <c r="S2424" i="6"/>
  <c r="R2425" i="6"/>
  <c r="S2425" i="6"/>
  <c r="R2426" i="6"/>
  <c r="S2426" i="6"/>
  <c r="R2427" i="6"/>
  <c r="S2427" i="6"/>
  <c r="R2428" i="6"/>
  <c r="S2428" i="6"/>
  <c r="R2429" i="6"/>
  <c r="S2429" i="6"/>
  <c r="R2430" i="6"/>
  <c r="S2430" i="6"/>
  <c r="R2431" i="6"/>
  <c r="S2431" i="6"/>
  <c r="R2432" i="6"/>
  <c r="S2432" i="6"/>
  <c r="R2433" i="6"/>
  <c r="S2433" i="6"/>
  <c r="R2434" i="6"/>
  <c r="S2434" i="6"/>
  <c r="R2435" i="6"/>
  <c r="S2435" i="6"/>
  <c r="R2436" i="6"/>
  <c r="S2436" i="6"/>
  <c r="R2437" i="6"/>
  <c r="S2437" i="6"/>
  <c r="R2438" i="6"/>
  <c r="S2438" i="6"/>
  <c r="R2439" i="6"/>
  <c r="S2439" i="6"/>
  <c r="R2440" i="6"/>
  <c r="S2440" i="6"/>
  <c r="R2441" i="6"/>
  <c r="S2441" i="6"/>
  <c r="R2442" i="6"/>
  <c r="S2442" i="6"/>
  <c r="R2443" i="6"/>
  <c r="S2443" i="6"/>
  <c r="R2444" i="6"/>
  <c r="S2444" i="6"/>
  <c r="R2445" i="6"/>
  <c r="S2445" i="6"/>
  <c r="R2446" i="6"/>
  <c r="S2446" i="6"/>
  <c r="R2447" i="6"/>
  <c r="S2447" i="6"/>
  <c r="R2448" i="6"/>
  <c r="S2448" i="6"/>
  <c r="R2449" i="6"/>
  <c r="S2449" i="6"/>
  <c r="R2450" i="6"/>
  <c r="S2450" i="6"/>
  <c r="R2451" i="6"/>
  <c r="S2451" i="6"/>
  <c r="R2452" i="6"/>
  <c r="S2452" i="6"/>
  <c r="R2453" i="6"/>
  <c r="S2453" i="6"/>
  <c r="R2454" i="6"/>
  <c r="S2454" i="6"/>
  <c r="R2455" i="6"/>
  <c r="S2455" i="6"/>
  <c r="R2456" i="6"/>
  <c r="S2456" i="6"/>
  <c r="R2457" i="6"/>
  <c r="S2457" i="6"/>
  <c r="R2458" i="6"/>
  <c r="S2458" i="6"/>
  <c r="R2459" i="6"/>
  <c r="S2459" i="6"/>
  <c r="R2460" i="6"/>
  <c r="S2460" i="6"/>
  <c r="R2461" i="6"/>
  <c r="S2461" i="6"/>
  <c r="R2462" i="6"/>
  <c r="S2462" i="6"/>
  <c r="R2463" i="6"/>
  <c r="S2463" i="6"/>
  <c r="R2464" i="6"/>
  <c r="S2464" i="6"/>
  <c r="R2465" i="6"/>
  <c r="S2465" i="6"/>
  <c r="R2466" i="6"/>
  <c r="S2466" i="6"/>
  <c r="R2467" i="6"/>
  <c r="S2467" i="6"/>
  <c r="R2468" i="6"/>
  <c r="S2468" i="6"/>
  <c r="R2469" i="6"/>
  <c r="S2469" i="6"/>
  <c r="R2470" i="6"/>
  <c r="S2470" i="6"/>
  <c r="R2471" i="6"/>
  <c r="S2471" i="6"/>
  <c r="R2472" i="6"/>
  <c r="S2472" i="6"/>
  <c r="R2473" i="6"/>
  <c r="S2473" i="6"/>
  <c r="R2474" i="6"/>
  <c r="S2474" i="6"/>
  <c r="R2475" i="6"/>
  <c r="S2475" i="6"/>
  <c r="R2476" i="6"/>
  <c r="S2476" i="6"/>
  <c r="R2477" i="6"/>
  <c r="S2477" i="6"/>
  <c r="R2478" i="6"/>
  <c r="S2478" i="6"/>
  <c r="R2479" i="6"/>
  <c r="S2479" i="6"/>
  <c r="R2480" i="6"/>
  <c r="S2480" i="6"/>
  <c r="R2481" i="6"/>
  <c r="S2481" i="6"/>
  <c r="R2482" i="6"/>
  <c r="S2482" i="6"/>
  <c r="R2483" i="6"/>
  <c r="S2483" i="6"/>
  <c r="R2484" i="6"/>
  <c r="S2484" i="6"/>
  <c r="R2485" i="6"/>
  <c r="S2485" i="6"/>
  <c r="R2486" i="6"/>
  <c r="S2486" i="6"/>
  <c r="R2487" i="6"/>
  <c r="S2487" i="6"/>
  <c r="R2488" i="6"/>
  <c r="S2488" i="6"/>
  <c r="R2489" i="6"/>
  <c r="S2489" i="6"/>
  <c r="R2490" i="6"/>
  <c r="S2490" i="6"/>
  <c r="R2491" i="6"/>
  <c r="S2491" i="6"/>
  <c r="R2492" i="6"/>
  <c r="S2492" i="6"/>
  <c r="R2493" i="6"/>
  <c r="S2493" i="6"/>
  <c r="R2494" i="6"/>
  <c r="S2494" i="6"/>
  <c r="R2495" i="6"/>
  <c r="S2495" i="6"/>
  <c r="R2496" i="6"/>
  <c r="S2496" i="6"/>
  <c r="R2497" i="6"/>
  <c r="S2497" i="6"/>
  <c r="R2498" i="6"/>
  <c r="S2498" i="6"/>
  <c r="R2499" i="6"/>
  <c r="S2499" i="6"/>
  <c r="R2500" i="6"/>
  <c r="S2500" i="6"/>
  <c r="R2501" i="6"/>
  <c r="S2501" i="6"/>
  <c r="R2502" i="6"/>
  <c r="S2502" i="6"/>
  <c r="R2503" i="6"/>
  <c r="S2503" i="6"/>
  <c r="R2504" i="6"/>
  <c r="S2504" i="6"/>
  <c r="R2505" i="6"/>
  <c r="S2505" i="6"/>
  <c r="R2506" i="6"/>
  <c r="S2506" i="6"/>
  <c r="R2507" i="6"/>
  <c r="S2507" i="6"/>
  <c r="R2508" i="6"/>
  <c r="S2508" i="6"/>
  <c r="R2509" i="6"/>
  <c r="S2509" i="6"/>
  <c r="R2510" i="6"/>
  <c r="S2510" i="6"/>
  <c r="R2511" i="6"/>
  <c r="S2511" i="6"/>
  <c r="R2512" i="6"/>
  <c r="S2512" i="6"/>
  <c r="R2513" i="6"/>
  <c r="S2513" i="6"/>
  <c r="R2514" i="6"/>
  <c r="S2514" i="6"/>
  <c r="R2515" i="6"/>
  <c r="S2515" i="6"/>
  <c r="R2516" i="6"/>
  <c r="S2516" i="6"/>
  <c r="R2517" i="6"/>
  <c r="S2517" i="6"/>
  <c r="R2518" i="6"/>
  <c r="S2518" i="6"/>
  <c r="R2519" i="6"/>
  <c r="S2519" i="6"/>
  <c r="R2520" i="6"/>
  <c r="S2520" i="6"/>
  <c r="R2521" i="6"/>
  <c r="S2521" i="6"/>
  <c r="R2522" i="6"/>
  <c r="S2522" i="6"/>
  <c r="R2523" i="6"/>
  <c r="S2523" i="6"/>
  <c r="R2524" i="6"/>
  <c r="S2524" i="6"/>
  <c r="R2525" i="6"/>
  <c r="S2525" i="6"/>
  <c r="R2526" i="6"/>
  <c r="S2526" i="6"/>
  <c r="R2527" i="6"/>
  <c r="S2527" i="6"/>
  <c r="R2528" i="6"/>
  <c r="S2528" i="6"/>
  <c r="R2529" i="6"/>
  <c r="S2529" i="6"/>
  <c r="R2530" i="6"/>
  <c r="S2530" i="6"/>
  <c r="R2531" i="6"/>
  <c r="S2531" i="6"/>
  <c r="R2532" i="6"/>
  <c r="S2532" i="6"/>
  <c r="R2533" i="6"/>
  <c r="S2533" i="6"/>
  <c r="R2534" i="6"/>
  <c r="S2534" i="6"/>
  <c r="R2535" i="6"/>
  <c r="S2535" i="6"/>
  <c r="R2536" i="6"/>
  <c r="S2536" i="6"/>
  <c r="R2537" i="6"/>
  <c r="S2537" i="6"/>
  <c r="R2538" i="6"/>
  <c r="S2538" i="6"/>
  <c r="R2539" i="6"/>
  <c r="S2539" i="6"/>
  <c r="R2540" i="6"/>
  <c r="S2540" i="6"/>
  <c r="R2541" i="6"/>
  <c r="S2541" i="6"/>
  <c r="R2542" i="6"/>
  <c r="S2542" i="6"/>
  <c r="R2543" i="6"/>
  <c r="S2543" i="6"/>
  <c r="R2544" i="6"/>
  <c r="S2544" i="6"/>
  <c r="R2545" i="6"/>
  <c r="S2545" i="6"/>
  <c r="R2546" i="6"/>
  <c r="S2546" i="6"/>
  <c r="R2547" i="6"/>
  <c r="S2547" i="6"/>
  <c r="R2548" i="6"/>
  <c r="S2548" i="6"/>
  <c r="R2549" i="6"/>
  <c r="S2549" i="6"/>
  <c r="R2550" i="6"/>
  <c r="S2550" i="6"/>
  <c r="R2551" i="6"/>
  <c r="S2551" i="6"/>
  <c r="R2552" i="6"/>
  <c r="S2552" i="6"/>
  <c r="R2553" i="6"/>
  <c r="S2553" i="6"/>
  <c r="R2554" i="6"/>
  <c r="S2554" i="6"/>
  <c r="R2555" i="6"/>
  <c r="S2555" i="6"/>
  <c r="R2556" i="6"/>
  <c r="S2556" i="6"/>
  <c r="R2557" i="6"/>
  <c r="S2557" i="6"/>
  <c r="R2558" i="6"/>
  <c r="S2558" i="6"/>
  <c r="R2559" i="6"/>
  <c r="S2559" i="6"/>
  <c r="R2560" i="6"/>
  <c r="S2560" i="6"/>
  <c r="R2561" i="6"/>
  <c r="S2561" i="6"/>
  <c r="R2562" i="6"/>
  <c r="S2562" i="6"/>
  <c r="R2563" i="6"/>
  <c r="S2563" i="6"/>
  <c r="R2564" i="6"/>
  <c r="S2564" i="6"/>
  <c r="R2565" i="6"/>
  <c r="S2565" i="6"/>
  <c r="R2566" i="6"/>
  <c r="S2566" i="6"/>
  <c r="R2567" i="6"/>
  <c r="S2567" i="6"/>
  <c r="R2568" i="6"/>
  <c r="S2568" i="6"/>
  <c r="R2569" i="6"/>
  <c r="S2569" i="6"/>
  <c r="R2570" i="6"/>
  <c r="S2570" i="6"/>
  <c r="R2571" i="6"/>
  <c r="S2571" i="6"/>
  <c r="R2572" i="6"/>
  <c r="S2572" i="6"/>
  <c r="R2573" i="6"/>
  <c r="S2573" i="6"/>
  <c r="R2574" i="6"/>
  <c r="S2574" i="6"/>
  <c r="R2575" i="6"/>
  <c r="S2575" i="6"/>
  <c r="R2576" i="6"/>
  <c r="S2576" i="6"/>
  <c r="R2577" i="6"/>
  <c r="S2577" i="6"/>
  <c r="R2578" i="6"/>
  <c r="S2578" i="6"/>
  <c r="R2579" i="6"/>
  <c r="S2579" i="6"/>
  <c r="R2580" i="6"/>
  <c r="S2580" i="6"/>
  <c r="R2581" i="6"/>
  <c r="S2581" i="6"/>
  <c r="R2582" i="6"/>
  <c r="S2582" i="6"/>
  <c r="R2583" i="6"/>
  <c r="S2583" i="6"/>
  <c r="R2584" i="6"/>
  <c r="S2584" i="6"/>
  <c r="R2585" i="6"/>
  <c r="S2585" i="6"/>
  <c r="R2586" i="6"/>
  <c r="S2586" i="6"/>
  <c r="R2587" i="6"/>
  <c r="S2587" i="6"/>
  <c r="R2588" i="6"/>
  <c r="S2588" i="6"/>
  <c r="R2589" i="6"/>
  <c r="S2589" i="6"/>
  <c r="R2590" i="6"/>
  <c r="S2590" i="6"/>
  <c r="R2591" i="6"/>
  <c r="S2591" i="6"/>
  <c r="R2592" i="6"/>
  <c r="S2592" i="6"/>
  <c r="R2593" i="6"/>
  <c r="S2593" i="6"/>
  <c r="R2594" i="6"/>
  <c r="S2594" i="6"/>
  <c r="R2595" i="6"/>
  <c r="S2595" i="6"/>
  <c r="R2596" i="6"/>
  <c r="S2596" i="6"/>
  <c r="R2597" i="6"/>
  <c r="S2597" i="6"/>
  <c r="R2598" i="6"/>
  <c r="S2598" i="6"/>
  <c r="R2599" i="6"/>
  <c r="S2599" i="6"/>
  <c r="R2600" i="6"/>
  <c r="S2600" i="6"/>
  <c r="R2601" i="6"/>
  <c r="S2601" i="6"/>
  <c r="R2602" i="6"/>
  <c r="S2602" i="6"/>
  <c r="R2603" i="6"/>
  <c r="S2603" i="6"/>
  <c r="R2604" i="6"/>
  <c r="S2604" i="6"/>
  <c r="R2605" i="6"/>
  <c r="S2605" i="6"/>
  <c r="R2606" i="6"/>
  <c r="S2606" i="6"/>
  <c r="R2607" i="6"/>
  <c r="S2607" i="6"/>
  <c r="R2608" i="6"/>
  <c r="S2608" i="6"/>
  <c r="R2609" i="6"/>
  <c r="S2609" i="6"/>
  <c r="R2610" i="6"/>
  <c r="S2610" i="6"/>
  <c r="R2611" i="6"/>
  <c r="S2611" i="6"/>
  <c r="R2612" i="6"/>
  <c r="S2612" i="6"/>
  <c r="R2613" i="6"/>
  <c r="S2613" i="6"/>
  <c r="R2614" i="6"/>
  <c r="S2614" i="6"/>
  <c r="R2615" i="6"/>
  <c r="S2615" i="6"/>
  <c r="R2616" i="6"/>
  <c r="S2616" i="6"/>
  <c r="R2617" i="6"/>
  <c r="S2617" i="6"/>
  <c r="R2618" i="6"/>
  <c r="S2618" i="6"/>
  <c r="R2619" i="6"/>
  <c r="S2619" i="6"/>
  <c r="R2620" i="6"/>
  <c r="S2620" i="6"/>
  <c r="R2621" i="6"/>
  <c r="S2621" i="6"/>
  <c r="R2622" i="6"/>
  <c r="S2622" i="6"/>
  <c r="R2623" i="6"/>
  <c r="S2623" i="6"/>
  <c r="R2624" i="6"/>
  <c r="S2624" i="6"/>
  <c r="R2625" i="6"/>
  <c r="S2625" i="6"/>
  <c r="R2626" i="6"/>
  <c r="S2626" i="6"/>
  <c r="R2627" i="6"/>
  <c r="S2627" i="6"/>
  <c r="R2628" i="6"/>
  <c r="S2628" i="6"/>
  <c r="R2629" i="6"/>
  <c r="S2629" i="6"/>
  <c r="R2630" i="6"/>
  <c r="S2630" i="6"/>
  <c r="R2631" i="6"/>
  <c r="S2631" i="6"/>
  <c r="R2632" i="6"/>
  <c r="S2632" i="6"/>
  <c r="R2633" i="6"/>
  <c r="S2633" i="6"/>
  <c r="R2634" i="6"/>
  <c r="S2634" i="6"/>
  <c r="R2635" i="6"/>
  <c r="S2635" i="6"/>
  <c r="R2636" i="6"/>
  <c r="S2636" i="6"/>
  <c r="R2637" i="6"/>
  <c r="S2637" i="6"/>
  <c r="R2638" i="6"/>
  <c r="S2638" i="6"/>
  <c r="R2639" i="6"/>
  <c r="S2639" i="6"/>
  <c r="R2640" i="6"/>
  <c r="S2640" i="6"/>
  <c r="R2641" i="6"/>
  <c r="S2641" i="6"/>
  <c r="R2642" i="6"/>
  <c r="S2642" i="6"/>
  <c r="R2643" i="6"/>
  <c r="S2643" i="6"/>
  <c r="R2644" i="6"/>
  <c r="S2644" i="6"/>
  <c r="R2645" i="6"/>
  <c r="S2645" i="6"/>
  <c r="R2646" i="6"/>
  <c r="S2646" i="6"/>
  <c r="R2647" i="6"/>
  <c r="S2647" i="6"/>
  <c r="R2648" i="6"/>
  <c r="S2648" i="6"/>
  <c r="R2649" i="6"/>
  <c r="S2649" i="6"/>
  <c r="R2650" i="6"/>
  <c r="S2650" i="6"/>
  <c r="R2651" i="6"/>
  <c r="S2651" i="6"/>
  <c r="R2652" i="6"/>
  <c r="S2652" i="6"/>
  <c r="R2653" i="6"/>
  <c r="S2653" i="6"/>
  <c r="R2654" i="6"/>
  <c r="S2654" i="6"/>
  <c r="R2655" i="6"/>
  <c r="S2655" i="6"/>
  <c r="R2656" i="6"/>
  <c r="S2656" i="6"/>
  <c r="R2657" i="6"/>
  <c r="S2657" i="6"/>
  <c r="R2658" i="6"/>
  <c r="S2658" i="6"/>
  <c r="R2659" i="6"/>
  <c r="S2659" i="6"/>
  <c r="R2660" i="6"/>
  <c r="S2660" i="6"/>
  <c r="R2661" i="6"/>
  <c r="S2661" i="6"/>
  <c r="R2662" i="6"/>
  <c r="S2662" i="6"/>
  <c r="R2663" i="6"/>
  <c r="S2663" i="6"/>
  <c r="R2664" i="6"/>
  <c r="S2664" i="6"/>
  <c r="R2665" i="6"/>
  <c r="S2665" i="6"/>
  <c r="R2666" i="6"/>
  <c r="S2666" i="6"/>
  <c r="R2667" i="6"/>
  <c r="S2667" i="6"/>
  <c r="R2668" i="6"/>
  <c r="S2668" i="6"/>
  <c r="R2669" i="6"/>
  <c r="S2669" i="6"/>
  <c r="R2670" i="6"/>
  <c r="S2670" i="6"/>
  <c r="R2671" i="6"/>
  <c r="S2671" i="6"/>
  <c r="R2672" i="6"/>
  <c r="S2672" i="6"/>
  <c r="R2673" i="6"/>
  <c r="S2673" i="6"/>
  <c r="R2674" i="6"/>
  <c r="S2674" i="6"/>
  <c r="R2675" i="6"/>
  <c r="S2675" i="6"/>
  <c r="R2676" i="6"/>
  <c r="S2676" i="6"/>
  <c r="R2677" i="6"/>
  <c r="S2677" i="6"/>
  <c r="R2678" i="6"/>
  <c r="S2678" i="6"/>
  <c r="R2679" i="6"/>
  <c r="S2679" i="6"/>
  <c r="R2680" i="6"/>
  <c r="S2680" i="6"/>
  <c r="R2681" i="6"/>
  <c r="S2681" i="6"/>
  <c r="R2682" i="6"/>
  <c r="S2682" i="6"/>
  <c r="R2683" i="6"/>
  <c r="S2683" i="6"/>
  <c r="R2684" i="6"/>
  <c r="S2684" i="6"/>
  <c r="R2685" i="6"/>
  <c r="S2685" i="6"/>
  <c r="R2686" i="6"/>
  <c r="S2686" i="6"/>
  <c r="R2687" i="6"/>
  <c r="S2687" i="6"/>
  <c r="R2688" i="6"/>
  <c r="S2688" i="6"/>
  <c r="R2689" i="6"/>
  <c r="S2689" i="6"/>
  <c r="R2690" i="6"/>
  <c r="S2690" i="6"/>
  <c r="R2691" i="6"/>
  <c r="S2691" i="6"/>
  <c r="R2692" i="6"/>
  <c r="S2692" i="6"/>
  <c r="R2693" i="6"/>
  <c r="S2693" i="6"/>
  <c r="R2694" i="6"/>
  <c r="S2694" i="6"/>
  <c r="R2695" i="6"/>
  <c r="S2695" i="6"/>
  <c r="R2696" i="6"/>
  <c r="S2696" i="6"/>
  <c r="R2697" i="6"/>
  <c r="S2697" i="6"/>
  <c r="R2698" i="6"/>
  <c r="S2698" i="6"/>
  <c r="R2699" i="6"/>
  <c r="S2699" i="6"/>
  <c r="R2700" i="6"/>
  <c r="S2700" i="6"/>
  <c r="R2701" i="6"/>
  <c r="S2701" i="6"/>
  <c r="R2702" i="6"/>
  <c r="S2702" i="6"/>
  <c r="R2703" i="6"/>
  <c r="S2703" i="6"/>
  <c r="R2704" i="6"/>
  <c r="S2704" i="6"/>
  <c r="R2705" i="6"/>
  <c r="S2705" i="6"/>
  <c r="R2706" i="6"/>
  <c r="S2706" i="6"/>
  <c r="R2707" i="6"/>
  <c r="S2707" i="6"/>
  <c r="R2708" i="6"/>
  <c r="S2708" i="6"/>
  <c r="R2709" i="6"/>
  <c r="S2709" i="6"/>
  <c r="R2710" i="6"/>
  <c r="S2710" i="6"/>
  <c r="R2711" i="6"/>
  <c r="S2711" i="6"/>
  <c r="R2712" i="6"/>
  <c r="S2712" i="6"/>
  <c r="R2713" i="6"/>
  <c r="S2713" i="6"/>
  <c r="R2714" i="6"/>
  <c r="S2714" i="6"/>
  <c r="R2715" i="6"/>
  <c r="S2715" i="6"/>
  <c r="R2716" i="6"/>
  <c r="S2716" i="6"/>
  <c r="R2717" i="6"/>
  <c r="S2717" i="6"/>
  <c r="R2718" i="6"/>
  <c r="S2718" i="6"/>
  <c r="R2719" i="6"/>
  <c r="S2719" i="6"/>
  <c r="R2720" i="6"/>
  <c r="S2720" i="6"/>
  <c r="R2721" i="6"/>
  <c r="S2721" i="6"/>
  <c r="R2722" i="6"/>
  <c r="S2722" i="6"/>
  <c r="R2723" i="6"/>
  <c r="S2723" i="6"/>
  <c r="R2724" i="6"/>
  <c r="S2724" i="6"/>
  <c r="R2725" i="6"/>
  <c r="S2725" i="6"/>
  <c r="R2726" i="6"/>
  <c r="S2726" i="6"/>
  <c r="R2727" i="6"/>
  <c r="S2727" i="6"/>
  <c r="R2728" i="6"/>
  <c r="S2728" i="6"/>
  <c r="R2729" i="6"/>
  <c r="S2729" i="6"/>
  <c r="R2730" i="6"/>
  <c r="S2730" i="6"/>
  <c r="R2731" i="6"/>
  <c r="S2731" i="6"/>
  <c r="R2732" i="6"/>
  <c r="S2732" i="6"/>
  <c r="R2733" i="6"/>
  <c r="S2733" i="6"/>
  <c r="R2734" i="6"/>
  <c r="S2734" i="6"/>
  <c r="R2735" i="6"/>
  <c r="S2735" i="6"/>
  <c r="R2736" i="6"/>
  <c r="S2736" i="6"/>
  <c r="R2737" i="6"/>
  <c r="S2737" i="6"/>
  <c r="R2738" i="6"/>
  <c r="S2738" i="6"/>
  <c r="R2739" i="6"/>
  <c r="S2739" i="6"/>
  <c r="R2740" i="6"/>
  <c r="S2740" i="6"/>
  <c r="R2741" i="6"/>
  <c r="S2741" i="6"/>
  <c r="R2742" i="6"/>
  <c r="S2742" i="6"/>
  <c r="R2743" i="6"/>
  <c r="S2743" i="6"/>
  <c r="R2744" i="6"/>
  <c r="S2744" i="6"/>
  <c r="R2745" i="6"/>
  <c r="S2745" i="6"/>
  <c r="R2746" i="6"/>
  <c r="S2746" i="6"/>
  <c r="R2747" i="6"/>
  <c r="S2747" i="6"/>
  <c r="R2748" i="6"/>
  <c r="S2748" i="6"/>
  <c r="R2749" i="6"/>
  <c r="S2749" i="6"/>
  <c r="R2750" i="6"/>
  <c r="S2750" i="6"/>
  <c r="R2751" i="6"/>
  <c r="S2751" i="6"/>
  <c r="R2752" i="6"/>
  <c r="S2752" i="6"/>
  <c r="R2753" i="6"/>
  <c r="S2753" i="6"/>
  <c r="R2754" i="6"/>
  <c r="S2754" i="6"/>
  <c r="R2755" i="6"/>
  <c r="S2755" i="6"/>
  <c r="R2756" i="6"/>
  <c r="S2756" i="6"/>
  <c r="R2757" i="6"/>
  <c r="S2757" i="6"/>
  <c r="R2758" i="6"/>
  <c r="S2758" i="6"/>
  <c r="R2759" i="6"/>
  <c r="S2759" i="6"/>
  <c r="R2760" i="6"/>
  <c r="S2760" i="6"/>
  <c r="R2761" i="6"/>
  <c r="S2761" i="6"/>
  <c r="R2762" i="6"/>
  <c r="S2762" i="6"/>
  <c r="R2763" i="6"/>
  <c r="S2763" i="6"/>
  <c r="R2764" i="6"/>
  <c r="S2764" i="6"/>
  <c r="R2765" i="6"/>
  <c r="S2765" i="6"/>
  <c r="R2766" i="6"/>
  <c r="S2766" i="6"/>
  <c r="R2767" i="6"/>
  <c r="S2767" i="6"/>
  <c r="R2768" i="6"/>
  <c r="S2768" i="6"/>
  <c r="R2769" i="6"/>
  <c r="S2769" i="6"/>
  <c r="R2770" i="6"/>
  <c r="S2770" i="6"/>
  <c r="R2771" i="6"/>
  <c r="S2771" i="6"/>
  <c r="R2772" i="6"/>
  <c r="S2772" i="6"/>
  <c r="R2773" i="6"/>
  <c r="S2773" i="6"/>
  <c r="R2774" i="6"/>
  <c r="S2774" i="6"/>
  <c r="R2775" i="6"/>
  <c r="S2775" i="6"/>
  <c r="R2776" i="6"/>
  <c r="S2776" i="6"/>
  <c r="R2777" i="6"/>
  <c r="S2777" i="6"/>
  <c r="R2778" i="6"/>
  <c r="S2778" i="6"/>
  <c r="R2779" i="6"/>
  <c r="S2779" i="6"/>
  <c r="R2780" i="6"/>
  <c r="S2780" i="6"/>
  <c r="R2781" i="6"/>
  <c r="S2781" i="6"/>
  <c r="R2782" i="6"/>
  <c r="S2782" i="6"/>
  <c r="R2783" i="6"/>
  <c r="S2783" i="6"/>
  <c r="R2784" i="6"/>
  <c r="S2784" i="6"/>
  <c r="R2785" i="6"/>
  <c r="S2785" i="6"/>
  <c r="R2786" i="6"/>
  <c r="S2786" i="6"/>
  <c r="R2787" i="6"/>
  <c r="S2787" i="6"/>
  <c r="R2788" i="6"/>
  <c r="S2788" i="6"/>
  <c r="R2789" i="6"/>
  <c r="S2789" i="6"/>
  <c r="R2790" i="6"/>
  <c r="S2790" i="6"/>
  <c r="R2791" i="6"/>
  <c r="S2791" i="6"/>
  <c r="R2792" i="6"/>
  <c r="S2792" i="6"/>
  <c r="R2793" i="6"/>
  <c r="S2793" i="6"/>
  <c r="R2794" i="6"/>
  <c r="S2794" i="6"/>
  <c r="R2795" i="6"/>
  <c r="S2795" i="6"/>
  <c r="R2796" i="6"/>
  <c r="S2796" i="6"/>
  <c r="R2797" i="6"/>
  <c r="S2797" i="6"/>
  <c r="R2798" i="6"/>
  <c r="S2798" i="6"/>
  <c r="R2799" i="6"/>
  <c r="S2799" i="6"/>
  <c r="R2800" i="6"/>
  <c r="S2800" i="6"/>
  <c r="R2801" i="6"/>
  <c r="S2801" i="6"/>
  <c r="R2802" i="6"/>
  <c r="S2802" i="6"/>
  <c r="R2803" i="6"/>
  <c r="S2803" i="6"/>
  <c r="R2804" i="6"/>
  <c r="S2804" i="6"/>
  <c r="R2805" i="6"/>
  <c r="S2805" i="6"/>
  <c r="R2806" i="6"/>
  <c r="S2806" i="6"/>
  <c r="R2807" i="6"/>
  <c r="S2807" i="6"/>
  <c r="R2808" i="6"/>
  <c r="S2808" i="6"/>
  <c r="R2809" i="6"/>
  <c r="S2809" i="6"/>
  <c r="R2810" i="6"/>
  <c r="S2810" i="6"/>
  <c r="R2811" i="6"/>
  <c r="S2811" i="6"/>
  <c r="R2812" i="6"/>
  <c r="S2812" i="6"/>
  <c r="R2813" i="6"/>
  <c r="S2813" i="6"/>
  <c r="R2814" i="6"/>
  <c r="S2814" i="6"/>
  <c r="R2815" i="6"/>
  <c r="S2815" i="6"/>
  <c r="R2816" i="6"/>
  <c r="S2816" i="6"/>
  <c r="R2817" i="6"/>
  <c r="S2817" i="6"/>
  <c r="R2818" i="6"/>
  <c r="S2818" i="6"/>
  <c r="R2819" i="6"/>
  <c r="S2819" i="6"/>
  <c r="R2820" i="6"/>
  <c r="S2820" i="6"/>
  <c r="R2821" i="6"/>
  <c r="S2821" i="6"/>
  <c r="R2822" i="6"/>
  <c r="S2822" i="6"/>
  <c r="R2823" i="6"/>
  <c r="S2823" i="6"/>
  <c r="R2824" i="6"/>
  <c r="S2824" i="6"/>
  <c r="R2825" i="6"/>
  <c r="S2825" i="6"/>
  <c r="R2826" i="6"/>
  <c r="S2826" i="6"/>
  <c r="R2827" i="6"/>
  <c r="S2827" i="6"/>
  <c r="R2828" i="6"/>
  <c r="S2828" i="6"/>
  <c r="R2829" i="6"/>
  <c r="S2829" i="6"/>
  <c r="R2830" i="6"/>
  <c r="S2830" i="6"/>
  <c r="R2831" i="6"/>
  <c r="S2831" i="6"/>
  <c r="R2832" i="6"/>
  <c r="S2832" i="6"/>
  <c r="R2833" i="6"/>
  <c r="S2833" i="6"/>
  <c r="R2834" i="6"/>
  <c r="S2834" i="6"/>
  <c r="R2835" i="6"/>
  <c r="S2835" i="6"/>
  <c r="R2836" i="6"/>
  <c r="S2836" i="6"/>
  <c r="R2837" i="6"/>
  <c r="S2837" i="6"/>
  <c r="R2838" i="6"/>
  <c r="S2838" i="6"/>
  <c r="R2839" i="6"/>
  <c r="S2839" i="6"/>
  <c r="R2840" i="6"/>
  <c r="S2840" i="6"/>
  <c r="R2841" i="6"/>
  <c r="S2841" i="6"/>
  <c r="R2842" i="6"/>
  <c r="S2842" i="6"/>
  <c r="R2843" i="6"/>
  <c r="S2843" i="6"/>
  <c r="R2844" i="6"/>
  <c r="S2844" i="6"/>
  <c r="R2845" i="6"/>
  <c r="S2845" i="6"/>
  <c r="R2846" i="6"/>
  <c r="S2846" i="6"/>
  <c r="R2847" i="6"/>
  <c r="S2847" i="6"/>
  <c r="R2848" i="6"/>
  <c r="S2848" i="6"/>
  <c r="R2849" i="6"/>
  <c r="S2849" i="6"/>
  <c r="R2850" i="6"/>
  <c r="S2850" i="6"/>
  <c r="R2851" i="6"/>
  <c r="S2851" i="6"/>
  <c r="R2852" i="6"/>
  <c r="S2852" i="6"/>
  <c r="R2853" i="6"/>
  <c r="S2853" i="6"/>
  <c r="R2854" i="6"/>
  <c r="S2854" i="6"/>
  <c r="R2855" i="6"/>
  <c r="S2855" i="6"/>
  <c r="R2856" i="6"/>
  <c r="S2856" i="6"/>
  <c r="R2857" i="6"/>
  <c r="S2857" i="6"/>
  <c r="R2858" i="6"/>
  <c r="S2858" i="6"/>
  <c r="R2859" i="6"/>
  <c r="S2859" i="6"/>
  <c r="R2860" i="6"/>
  <c r="S2860" i="6"/>
  <c r="R2861" i="6"/>
  <c r="S2861" i="6"/>
  <c r="R2862" i="6"/>
  <c r="S2862" i="6"/>
  <c r="R2863" i="6"/>
  <c r="S2863" i="6"/>
  <c r="R2864" i="6"/>
  <c r="S2864" i="6"/>
  <c r="R2865" i="6"/>
  <c r="S2865" i="6"/>
  <c r="R2866" i="6"/>
  <c r="S2866" i="6"/>
  <c r="R2867" i="6"/>
  <c r="S2867" i="6"/>
  <c r="R2868" i="6"/>
  <c r="S2868" i="6"/>
  <c r="R2869" i="6"/>
  <c r="S2869" i="6"/>
  <c r="R2870" i="6"/>
  <c r="S2870" i="6"/>
  <c r="R2871" i="6"/>
  <c r="S2871" i="6"/>
  <c r="R2872" i="6"/>
  <c r="S2872" i="6"/>
  <c r="R2873" i="6"/>
  <c r="S2873" i="6"/>
  <c r="R2874" i="6"/>
  <c r="S2874" i="6"/>
  <c r="R2875" i="6"/>
  <c r="S2875" i="6"/>
  <c r="R2876" i="6"/>
  <c r="S2876" i="6"/>
  <c r="R2877" i="6"/>
  <c r="S2877" i="6"/>
  <c r="R2878" i="6"/>
  <c r="S2878" i="6"/>
  <c r="R2879" i="6"/>
  <c r="S2879" i="6"/>
  <c r="R2880" i="6"/>
  <c r="S2880" i="6"/>
  <c r="R2881" i="6"/>
  <c r="S2881" i="6"/>
  <c r="R2882" i="6"/>
  <c r="S2882" i="6"/>
  <c r="R2883" i="6"/>
  <c r="S2883" i="6"/>
  <c r="R2884" i="6"/>
  <c r="S2884" i="6"/>
  <c r="R2885" i="6"/>
  <c r="S2885" i="6"/>
  <c r="R2886" i="6"/>
  <c r="S2886" i="6"/>
  <c r="R2887" i="6"/>
  <c r="S2887" i="6"/>
  <c r="R2888" i="6"/>
  <c r="S2888" i="6"/>
  <c r="R2889" i="6"/>
  <c r="S2889" i="6"/>
  <c r="R2890" i="6"/>
  <c r="S2890" i="6"/>
  <c r="R2891" i="6"/>
  <c r="S2891" i="6"/>
  <c r="R2892" i="6"/>
  <c r="S2892" i="6"/>
  <c r="R2893" i="6"/>
  <c r="S2893" i="6"/>
  <c r="R2894" i="6"/>
  <c r="S2894" i="6"/>
  <c r="R2895" i="6"/>
  <c r="S2895" i="6"/>
  <c r="R2896" i="6"/>
  <c r="S2896" i="6"/>
  <c r="R2897" i="6"/>
  <c r="S2897" i="6"/>
  <c r="R2898" i="6"/>
  <c r="S2898" i="6"/>
  <c r="R2899" i="6"/>
  <c r="S2899" i="6"/>
  <c r="R2900" i="6"/>
  <c r="S2900" i="6"/>
  <c r="R2901" i="6"/>
  <c r="S2901" i="6"/>
  <c r="R2902" i="6"/>
  <c r="S2902" i="6"/>
  <c r="R2903" i="6"/>
  <c r="S2903" i="6"/>
  <c r="R2904" i="6"/>
  <c r="S2904" i="6"/>
  <c r="R2905" i="6"/>
  <c r="S2905" i="6"/>
  <c r="R2906" i="6"/>
  <c r="S2906" i="6"/>
  <c r="R2907" i="6"/>
  <c r="S2907" i="6"/>
  <c r="R2908" i="6"/>
  <c r="S2908" i="6"/>
  <c r="R2909" i="6"/>
  <c r="S2909" i="6"/>
  <c r="R2910" i="6"/>
  <c r="S2910" i="6"/>
  <c r="R2911" i="6"/>
  <c r="S2911" i="6"/>
  <c r="R2912" i="6"/>
  <c r="S2912" i="6"/>
  <c r="R2913" i="6"/>
  <c r="S2913" i="6"/>
  <c r="R2914" i="6"/>
  <c r="S2914" i="6"/>
  <c r="R2915" i="6"/>
  <c r="S2915" i="6"/>
  <c r="R2916" i="6"/>
  <c r="S2916" i="6"/>
  <c r="R2917" i="6"/>
  <c r="S2917" i="6"/>
  <c r="R2918" i="6"/>
  <c r="S2918" i="6"/>
  <c r="R2919" i="6"/>
  <c r="S2919" i="6"/>
  <c r="R2920" i="6"/>
  <c r="S2920" i="6"/>
  <c r="R2921" i="6"/>
  <c r="S2921" i="6"/>
  <c r="R2922" i="6"/>
  <c r="S2922" i="6"/>
  <c r="R2923" i="6"/>
  <c r="S2923" i="6"/>
  <c r="R2924" i="6"/>
  <c r="S2924" i="6"/>
  <c r="R2925" i="6"/>
  <c r="S2925" i="6"/>
  <c r="R2926" i="6"/>
  <c r="S2926" i="6"/>
  <c r="R2927" i="6"/>
  <c r="S2927" i="6"/>
  <c r="R2928" i="6"/>
  <c r="S2928" i="6"/>
  <c r="R2929" i="6"/>
  <c r="S2929" i="6"/>
  <c r="R2930" i="6"/>
  <c r="S2930" i="6"/>
  <c r="R2931" i="6"/>
  <c r="S2931" i="6"/>
  <c r="R2932" i="6"/>
  <c r="S2932" i="6"/>
  <c r="R2933" i="6"/>
  <c r="S2933" i="6"/>
  <c r="R2934" i="6"/>
  <c r="S2934" i="6"/>
  <c r="R2935" i="6"/>
  <c r="S2935" i="6"/>
  <c r="R2936" i="6"/>
  <c r="S2936" i="6"/>
  <c r="R2937" i="6"/>
  <c r="S2937" i="6"/>
  <c r="R2938" i="6"/>
  <c r="S2938" i="6"/>
  <c r="R2939" i="6"/>
  <c r="S2939" i="6"/>
  <c r="R2940" i="6"/>
  <c r="S2940" i="6"/>
  <c r="R2941" i="6"/>
  <c r="S2941" i="6"/>
  <c r="R2942" i="6"/>
  <c r="S2942" i="6"/>
  <c r="R2943" i="6"/>
  <c r="S2943" i="6"/>
  <c r="R2944" i="6"/>
  <c r="S2944" i="6"/>
  <c r="R2945" i="6"/>
  <c r="S2945" i="6"/>
  <c r="R2946" i="6"/>
  <c r="S2946" i="6"/>
  <c r="R2947" i="6"/>
  <c r="S2947" i="6"/>
  <c r="R2948" i="6"/>
  <c r="S2948" i="6"/>
  <c r="R2949" i="6"/>
  <c r="S2949" i="6"/>
  <c r="R2950" i="6"/>
  <c r="S2950" i="6"/>
  <c r="R2951" i="6"/>
  <c r="S2951" i="6"/>
  <c r="R2952" i="6"/>
  <c r="S2952" i="6"/>
  <c r="R2953" i="6"/>
  <c r="S2953" i="6"/>
  <c r="R2954" i="6"/>
  <c r="S2954" i="6"/>
  <c r="R2955" i="6"/>
  <c r="S2955" i="6"/>
  <c r="R2956" i="6"/>
  <c r="S2956" i="6"/>
  <c r="R2957" i="6"/>
  <c r="S2957" i="6"/>
  <c r="R2958" i="6"/>
  <c r="S2958" i="6"/>
  <c r="R2959" i="6"/>
  <c r="S2959" i="6"/>
  <c r="R2960" i="6"/>
  <c r="S2960" i="6"/>
  <c r="R2961" i="6"/>
  <c r="S2961" i="6"/>
  <c r="R2962" i="6"/>
  <c r="S2962" i="6"/>
  <c r="R2963" i="6"/>
  <c r="S2963" i="6"/>
  <c r="R2964" i="6"/>
  <c r="S2964" i="6"/>
  <c r="R2965" i="6"/>
  <c r="S2965" i="6"/>
  <c r="R2966" i="6"/>
  <c r="S2966" i="6"/>
  <c r="R2967" i="6"/>
  <c r="S2967" i="6"/>
  <c r="R2968" i="6"/>
  <c r="S2968" i="6"/>
  <c r="R2969" i="6"/>
  <c r="S2969" i="6"/>
  <c r="R2970" i="6"/>
  <c r="S2970" i="6"/>
  <c r="R2971" i="6"/>
  <c r="S2971" i="6"/>
  <c r="R2972" i="6"/>
  <c r="S2972" i="6"/>
  <c r="R2973" i="6"/>
  <c r="S2973" i="6"/>
  <c r="R2974" i="6"/>
  <c r="S2974" i="6"/>
  <c r="R2975" i="6"/>
  <c r="S2975" i="6"/>
  <c r="R2976" i="6"/>
  <c r="S2976" i="6"/>
  <c r="R2977" i="6"/>
  <c r="S2977" i="6"/>
  <c r="R2978" i="6"/>
  <c r="S2978" i="6"/>
  <c r="R2979" i="6"/>
  <c r="S2979" i="6"/>
  <c r="R2980" i="6"/>
  <c r="S2980" i="6"/>
  <c r="R2981" i="6"/>
  <c r="S2981" i="6"/>
  <c r="R2982" i="6"/>
  <c r="S2982" i="6"/>
  <c r="R2983" i="6"/>
  <c r="S2983" i="6"/>
  <c r="R2984" i="6"/>
  <c r="S2984" i="6"/>
  <c r="R2985" i="6"/>
  <c r="S2985" i="6"/>
  <c r="R2986" i="6"/>
  <c r="S2986" i="6"/>
  <c r="R2987" i="6"/>
  <c r="S2987" i="6"/>
  <c r="R2988" i="6"/>
  <c r="S2988" i="6"/>
  <c r="R2989" i="6"/>
  <c r="S2989" i="6"/>
  <c r="R2990" i="6"/>
  <c r="S2990" i="6"/>
  <c r="R2991" i="6"/>
  <c r="S2991" i="6"/>
  <c r="R2992" i="6"/>
  <c r="S2992" i="6"/>
  <c r="R2993" i="6"/>
  <c r="S2993" i="6"/>
  <c r="R2994" i="6"/>
  <c r="S2994" i="6"/>
  <c r="R2995" i="6"/>
  <c r="S2995" i="6"/>
  <c r="R2996" i="6"/>
  <c r="S2996" i="6"/>
  <c r="R2997" i="6"/>
  <c r="S2997" i="6"/>
  <c r="R2998" i="6"/>
  <c r="S2998" i="6"/>
  <c r="R2999" i="6"/>
  <c r="S2999" i="6"/>
  <c r="R3000" i="6"/>
  <c r="S3000" i="6"/>
  <c r="R3001" i="6"/>
  <c r="S3001" i="6"/>
  <c r="R3002" i="6"/>
  <c r="S3002" i="6"/>
  <c r="R3003" i="6"/>
  <c r="S3003" i="6"/>
  <c r="R3004" i="6"/>
  <c r="S3004" i="6"/>
  <c r="R3005" i="6"/>
  <c r="S3005" i="6"/>
  <c r="R3006" i="6"/>
  <c r="S3006" i="6"/>
  <c r="R3007" i="6"/>
  <c r="S3007" i="6"/>
  <c r="R3008" i="6"/>
  <c r="S3008" i="6"/>
  <c r="R3009" i="6"/>
  <c r="S3009" i="6"/>
  <c r="R3010" i="6"/>
  <c r="S3010" i="6"/>
  <c r="R3011" i="6"/>
  <c r="S3011" i="6"/>
  <c r="R3012" i="6"/>
  <c r="S3012" i="6"/>
  <c r="R3013" i="6"/>
  <c r="S3013" i="6"/>
  <c r="R3014" i="6"/>
  <c r="S3014" i="6"/>
  <c r="R3015" i="6"/>
  <c r="S3015" i="6"/>
  <c r="R3016" i="6"/>
  <c r="S3016" i="6"/>
  <c r="R3017" i="6"/>
  <c r="S3017" i="6"/>
  <c r="R3018" i="6"/>
  <c r="S3018" i="6"/>
  <c r="R3019" i="6"/>
  <c r="S3019" i="6"/>
  <c r="R3020" i="6"/>
  <c r="S3020" i="6"/>
  <c r="R3021" i="6"/>
  <c r="S3021" i="6"/>
  <c r="R3022" i="6"/>
  <c r="S3022" i="6"/>
  <c r="R3023" i="6"/>
  <c r="S3023" i="6"/>
  <c r="R3024" i="6"/>
  <c r="S3024" i="6"/>
  <c r="R3025" i="6"/>
  <c r="S3025" i="6"/>
  <c r="R3026" i="6"/>
  <c r="S3026" i="6"/>
  <c r="R3027" i="6"/>
  <c r="S3027" i="6"/>
  <c r="R3028" i="6"/>
  <c r="S3028" i="6"/>
  <c r="R3029" i="6"/>
  <c r="S3029" i="6"/>
  <c r="R3030" i="6"/>
  <c r="S3030" i="6"/>
  <c r="R3031" i="6"/>
  <c r="S3031" i="6"/>
  <c r="R3032" i="6"/>
  <c r="S3032" i="6"/>
  <c r="R3033" i="6"/>
  <c r="S3033" i="6"/>
  <c r="R3034" i="6"/>
  <c r="S3034" i="6"/>
  <c r="R3035" i="6"/>
  <c r="S3035" i="6"/>
  <c r="R3036" i="6"/>
  <c r="S3036" i="6"/>
  <c r="R3037" i="6"/>
  <c r="S3037" i="6"/>
  <c r="R3038" i="6"/>
  <c r="S3038" i="6"/>
  <c r="R3039" i="6"/>
  <c r="S3039" i="6"/>
  <c r="R3040" i="6"/>
  <c r="S3040" i="6"/>
  <c r="R3041" i="6"/>
  <c r="S3041" i="6"/>
  <c r="R3042" i="6"/>
  <c r="S3042" i="6"/>
  <c r="R3043" i="6"/>
  <c r="S3043" i="6"/>
  <c r="R3044" i="6"/>
  <c r="S3044" i="6"/>
  <c r="R3045" i="6"/>
  <c r="S3045" i="6"/>
  <c r="R3046" i="6"/>
  <c r="S3046" i="6"/>
  <c r="R3047" i="6"/>
  <c r="S3047" i="6"/>
  <c r="R3048" i="6"/>
  <c r="S3048" i="6"/>
  <c r="R3049" i="6"/>
  <c r="S3049" i="6"/>
  <c r="R3050" i="6"/>
  <c r="S3050" i="6"/>
  <c r="R3051" i="6"/>
  <c r="S3051" i="6"/>
  <c r="R3052" i="6"/>
  <c r="S3052" i="6"/>
  <c r="R3053" i="6"/>
  <c r="S3053" i="6"/>
  <c r="R3054" i="6"/>
  <c r="S3054" i="6"/>
  <c r="R3055" i="6"/>
  <c r="S3055" i="6"/>
  <c r="R3056" i="6"/>
  <c r="S3056" i="6"/>
  <c r="R3057" i="6"/>
  <c r="S3057" i="6"/>
  <c r="R3058" i="6"/>
  <c r="S3058" i="6"/>
  <c r="R3059" i="6"/>
  <c r="S3059" i="6"/>
  <c r="R3060" i="6"/>
  <c r="S3060" i="6"/>
  <c r="R3061" i="6"/>
  <c r="S3061" i="6"/>
  <c r="R3062" i="6"/>
  <c r="S3062" i="6"/>
  <c r="R3063" i="6"/>
  <c r="S3063" i="6"/>
  <c r="R3064" i="6"/>
  <c r="S3064" i="6"/>
  <c r="R3065" i="6"/>
  <c r="S3065" i="6"/>
  <c r="R3066" i="6"/>
  <c r="S3066" i="6"/>
  <c r="R3067" i="6"/>
  <c r="S3067" i="6"/>
  <c r="R3068" i="6"/>
  <c r="S3068" i="6"/>
  <c r="R3069" i="6"/>
  <c r="S3069" i="6"/>
  <c r="R3070" i="6"/>
  <c r="S3070" i="6"/>
  <c r="R3071" i="6"/>
  <c r="S3071" i="6"/>
  <c r="R3072" i="6"/>
  <c r="S3072" i="6"/>
  <c r="R3073" i="6"/>
  <c r="S3073" i="6"/>
  <c r="R3074" i="6"/>
  <c r="S3074" i="6"/>
  <c r="R3075" i="6"/>
  <c r="S3075" i="6"/>
  <c r="R3076" i="6"/>
  <c r="S3076" i="6"/>
  <c r="R3077" i="6"/>
  <c r="S3077" i="6"/>
  <c r="R3078" i="6"/>
  <c r="S3078" i="6"/>
  <c r="R3079" i="6"/>
  <c r="S3079" i="6"/>
  <c r="R3080" i="6"/>
  <c r="S3080" i="6"/>
  <c r="R3081" i="6"/>
  <c r="S3081" i="6"/>
  <c r="R3082" i="6"/>
  <c r="S3082" i="6"/>
  <c r="R3083" i="6"/>
  <c r="S3083" i="6"/>
  <c r="R3084" i="6"/>
  <c r="S3084" i="6"/>
  <c r="R3085" i="6"/>
  <c r="S3085" i="6"/>
  <c r="R3086" i="6"/>
  <c r="S3086" i="6"/>
  <c r="R3087" i="6"/>
  <c r="S3087" i="6"/>
  <c r="R3088" i="6"/>
  <c r="S3088" i="6"/>
  <c r="R3089" i="6"/>
  <c r="S3089" i="6"/>
  <c r="R3090" i="6"/>
  <c r="S3090" i="6"/>
  <c r="R3091" i="6"/>
  <c r="S3091" i="6"/>
  <c r="R3092" i="6"/>
  <c r="S3092" i="6"/>
  <c r="R3093" i="6"/>
  <c r="S3093" i="6"/>
  <c r="R3094" i="6"/>
  <c r="S3094" i="6"/>
  <c r="R3095" i="6"/>
  <c r="S3095" i="6"/>
  <c r="R3096" i="6"/>
  <c r="S3096" i="6"/>
  <c r="R3097" i="6"/>
  <c r="S3097" i="6"/>
  <c r="R3098" i="6"/>
  <c r="S3098" i="6"/>
  <c r="R3099" i="6"/>
  <c r="S3099" i="6"/>
  <c r="R3100" i="6"/>
  <c r="S3100" i="6"/>
  <c r="R3101" i="6"/>
  <c r="S3101" i="6"/>
  <c r="R3102" i="6"/>
  <c r="S3102" i="6"/>
  <c r="R3103" i="6"/>
  <c r="S3103" i="6"/>
  <c r="R3104" i="6"/>
  <c r="S3104" i="6"/>
  <c r="R3105" i="6"/>
  <c r="S3105" i="6"/>
  <c r="R3106" i="6"/>
  <c r="S3106" i="6"/>
  <c r="R3107" i="6"/>
  <c r="S3107" i="6"/>
  <c r="R3108" i="6"/>
  <c r="S3108" i="6"/>
  <c r="R3109" i="6"/>
  <c r="S3109" i="6"/>
  <c r="R3110" i="6"/>
  <c r="S3110" i="6"/>
  <c r="R3111" i="6"/>
  <c r="S3111" i="6"/>
  <c r="R3112" i="6"/>
  <c r="S3112" i="6"/>
  <c r="R3113" i="6"/>
  <c r="S3113" i="6"/>
  <c r="R3114" i="6"/>
  <c r="S3114" i="6"/>
  <c r="R3115" i="6"/>
  <c r="S3115" i="6"/>
  <c r="R3116" i="6"/>
  <c r="S3116" i="6"/>
  <c r="R3117" i="6"/>
  <c r="S3117" i="6"/>
  <c r="R3118" i="6"/>
  <c r="S3118" i="6"/>
  <c r="R3119" i="6"/>
  <c r="S3119" i="6"/>
  <c r="R3120" i="6"/>
  <c r="S3120" i="6"/>
  <c r="R3121" i="6"/>
  <c r="S3121" i="6"/>
  <c r="R3122" i="6"/>
  <c r="S3122" i="6"/>
  <c r="R3123" i="6"/>
  <c r="S3123" i="6"/>
  <c r="R3124" i="6"/>
  <c r="S3124" i="6"/>
  <c r="R3125" i="6"/>
  <c r="S3125" i="6"/>
  <c r="R3126" i="6"/>
  <c r="S3126" i="6"/>
  <c r="R3127" i="6"/>
  <c r="S3127" i="6"/>
  <c r="R3128" i="6"/>
  <c r="S3128" i="6"/>
  <c r="R3129" i="6"/>
  <c r="S3129" i="6"/>
  <c r="R3130" i="6"/>
  <c r="S3130" i="6"/>
  <c r="R3131" i="6"/>
  <c r="S3131" i="6"/>
  <c r="R3132" i="6"/>
  <c r="S3132" i="6"/>
  <c r="R3133" i="6"/>
  <c r="S3133" i="6"/>
  <c r="R3134" i="6"/>
  <c r="S3134" i="6"/>
  <c r="R3135" i="6"/>
  <c r="S3135" i="6"/>
  <c r="R3136" i="6"/>
  <c r="S3136" i="6"/>
  <c r="R3137" i="6"/>
  <c r="S3137" i="6"/>
  <c r="R3138" i="6"/>
  <c r="S3138" i="6"/>
  <c r="R3139" i="6"/>
  <c r="S3139" i="6"/>
  <c r="R3140" i="6"/>
  <c r="S3140" i="6"/>
  <c r="R3141" i="6"/>
  <c r="S3141" i="6"/>
  <c r="R3142" i="6"/>
  <c r="S3142" i="6"/>
  <c r="R3143" i="6"/>
  <c r="S3143" i="6"/>
  <c r="R3144" i="6"/>
  <c r="S3144" i="6"/>
  <c r="R3145" i="6"/>
  <c r="S3145" i="6"/>
  <c r="R3146" i="6"/>
  <c r="S3146" i="6"/>
  <c r="R3147" i="6"/>
  <c r="S3147" i="6"/>
  <c r="R3148" i="6"/>
  <c r="S3148" i="6"/>
  <c r="R3149" i="6"/>
  <c r="S3149" i="6"/>
  <c r="R3150" i="6"/>
  <c r="S3150" i="6"/>
  <c r="R3151" i="6"/>
  <c r="S3151" i="6"/>
  <c r="R3152" i="6"/>
  <c r="S3152" i="6"/>
  <c r="R3153" i="6"/>
  <c r="S3153" i="6"/>
  <c r="R3154" i="6"/>
  <c r="S3154" i="6"/>
  <c r="R3155" i="6"/>
  <c r="S3155" i="6"/>
  <c r="R3156" i="6"/>
  <c r="S3156" i="6"/>
  <c r="R3157" i="6"/>
  <c r="S3157" i="6"/>
  <c r="R3158" i="6"/>
  <c r="S3158" i="6"/>
  <c r="R3159" i="6"/>
  <c r="S3159" i="6"/>
  <c r="R3160" i="6"/>
  <c r="S3160" i="6"/>
  <c r="R3161" i="6"/>
  <c r="S3161" i="6"/>
  <c r="R3162" i="6"/>
  <c r="S3162" i="6"/>
  <c r="R3163" i="6"/>
  <c r="S3163" i="6"/>
  <c r="R3164" i="6"/>
  <c r="S3164" i="6"/>
  <c r="R3165" i="6"/>
  <c r="S3165" i="6"/>
  <c r="R3166" i="6"/>
  <c r="S3166" i="6"/>
  <c r="R3167" i="6"/>
  <c r="S3167" i="6"/>
  <c r="R3168" i="6"/>
  <c r="S3168" i="6"/>
  <c r="R3169" i="6"/>
  <c r="S3169" i="6"/>
  <c r="R3170" i="6"/>
  <c r="S3170" i="6"/>
  <c r="R3171" i="6"/>
  <c r="S3171" i="6"/>
  <c r="R3172" i="6"/>
  <c r="S3172" i="6"/>
  <c r="R3173" i="6"/>
  <c r="S3173" i="6"/>
  <c r="R3174" i="6"/>
  <c r="S3174" i="6"/>
  <c r="R3175" i="6"/>
  <c r="S3175" i="6"/>
  <c r="R3176" i="6"/>
  <c r="S3176" i="6"/>
  <c r="R3177" i="6"/>
  <c r="S3177" i="6"/>
  <c r="R3178" i="6"/>
  <c r="S3178" i="6"/>
  <c r="R3179" i="6"/>
  <c r="S3179" i="6"/>
  <c r="R3180" i="6"/>
  <c r="S3180" i="6"/>
  <c r="R3181" i="6"/>
  <c r="S3181" i="6"/>
  <c r="R3182" i="6"/>
  <c r="S3182" i="6"/>
  <c r="R3183" i="6"/>
  <c r="S3183" i="6"/>
  <c r="R3184" i="6"/>
  <c r="S3184" i="6"/>
  <c r="R3185" i="6"/>
  <c r="S3185" i="6"/>
  <c r="R3186" i="6"/>
  <c r="S3186" i="6"/>
  <c r="R3187" i="6"/>
  <c r="S3187" i="6"/>
  <c r="R3188" i="6"/>
  <c r="S3188" i="6"/>
  <c r="R3189" i="6"/>
  <c r="S3189" i="6"/>
  <c r="R3190" i="6"/>
  <c r="S3190" i="6"/>
  <c r="R3191" i="6"/>
  <c r="S3191" i="6"/>
  <c r="R3192" i="6"/>
  <c r="S3192" i="6"/>
  <c r="R3193" i="6"/>
  <c r="S3193" i="6"/>
  <c r="R3194" i="6"/>
  <c r="S3194" i="6"/>
  <c r="R3195" i="6"/>
  <c r="S3195" i="6"/>
  <c r="R3196" i="6"/>
  <c r="S3196" i="6"/>
  <c r="R3197" i="6"/>
  <c r="S3197" i="6"/>
  <c r="R3198" i="6"/>
  <c r="S3198" i="6"/>
  <c r="R3199" i="6"/>
  <c r="S3199" i="6"/>
  <c r="R3200" i="6"/>
  <c r="S3200" i="6"/>
  <c r="R3201" i="6"/>
  <c r="S3201" i="6"/>
  <c r="R3202" i="6"/>
  <c r="S3202" i="6"/>
  <c r="R3203" i="6"/>
  <c r="S3203" i="6"/>
  <c r="R3204" i="6"/>
  <c r="S3204" i="6"/>
  <c r="R3205" i="6"/>
  <c r="S3205" i="6"/>
  <c r="R3206" i="6"/>
  <c r="S3206" i="6"/>
  <c r="R3207" i="6"/>
  <c r="S3207" i="6"/>
  <c r="R3208" i="6"/>
  <c r="S3208" i="6"/>
  <c r="R3209" i="6"/>
  <c r="S3209" i="6"/>
  <c r="R3210" i="6"/>
  <c r="S3210" i="6"/>
  <c r="R3211" i="6"/>
  <c r="S3211" i="6"/>
  <c r="R3212" i="6"/>
  <c r="S3212" i="6"/>
  <c r="R3213" i="6"/>
  <c r="S3213" i="6"/>
  <c r="R3214" i="6"/>
  <c r="S3214" i="6"/>
  <c r="R3215" i="6"/>
  <c r="S3215" i="6"/>
  <c r="R3216" i="6"/>
  <c r="S3216" i="6"/>
  <c r="R3217" i="6"/>
  <c r="S3217" i="6"/>
  <c r="R3218" i="6"/>
  <c r="S3218" i="6"/>
  <c r="R3219" i="6"/>
  <c r="S3219" i="6"/>
  <c r="R3220" i="6"/>
  <c r="S3220" i="6"/>
  <c r="R3221" i="6"/>
  <c r="S3221" i="6"/>
  <c r="R3222" i="6"/>
  <c r="S3222" i="6"/>
  <c r="R3223" i="6"/>
  <c r="S3223" i="6"/>
  <c r="R3224" i="6"/>
  <c r="S3224" i="6"/>
  <c r="R3225" i="6"/>
  <c r="S3225" i="6"/>
  <c r="R3226" i="6"/>
  <c r="S3226" i="6"/>
  <c r="R3227" i="6"/>
  <c r="S3227" i="6"/>
  <c r="R3228" i="6"/>
  <c r="S3228" i="6"/>
  <c r="R3229" i="6"/>
  <c r="S3229" i="6"/>
  <c r="R3230" i="6"/>
  <c r="S3230" i="6"/>
  <c r="R3231" i="6"/>
  <c r="S3231" i="6"/>
  <c r="R3232" i="6"/>
  <c r="S3232" i="6"/>
  <c r="R3233" i="6"/>
  <c r="S3233" i="6"/>
  <c r="R3234" i="6"/>
  <c r="S3234" i="6"/>
  <c r="R3235" i="6"/>
  <c r="S3235" i="6"/>
  <c r="R3236" i="6"/>
  <c r="S3236" i="6"/>
  <c r="R3237" i="6"/>
  <c r="S3237" i="6"/>
  <c r="R3238" i="6"/>
  <c r="S3238" i="6"/>
  <c r="R3239" i="6"/>
  <c r="S3239" i="6"/>
  <c r="R3240" i="6"/>
  <c r="S3240" i="6"/>
  <c r="R3241" i="6"/>
  <c r="S3241" i="6"/>
  <c r="R3242" i="6"/>
  <c r="S3242" i="6"/>
  <c r="R3243" i="6"/>
  <c r="S3243" i="6"/>
  <c r="R3244" i="6"/>
  <c r="S3244" i="6"/>
  <c r="R3245" i="6"/>
  <c r="S3245" i="6"/>
  <c r="R3246" i="6"/>
  <c r="S3246" i="6"/>
  <c r="R3247" i="6"/>
  <c r="S3247" i="6"/>
  <c r="R3248" i="6"/>
  <c r="S3248" i="6"/>
  <c r="R3249" i="6"/>
  <c r="S3249" i="6"/>
  <c r="R3250" i="6"/>
  <c r="S3250" i="6"/>
  <c r="R3251" i="6"/>
  <c r="S3251" i="6"/>
  <c r="R3252" i="6"/>
  <c r="S3252" i="6"/>
  <c r="R3253" i="6"/>
  <c r="S3253" i="6"/>
  <c r="R3254" i="6"/>
  <c r="S3254" i="6"/>
  <c r="R3255" i="6"/>
  <c r="S3255" i="6"/>
  <c r="R3256" i="6"/>
  <c r="S3256" i="6"/>
  <c r="R3257" i="6"/>
  <c r="S3257" i="6"/>
  <c r="R3258" i="6"/>
  <c r="S3258" i="6"/>
  <c r="R3259" i="6"/>
  <c r="S3259" i="6"/>
  <c r="R3260" i="6"/>
  <c r="S3260" i="6"/>
  <c r="R3261" i="6"/>
  <c r="S3261" i="6"/>
  <c r="R3262" i="6"/>
  <c r="S3262" i="6"/>
  <c r="R3263" i="6"/>
  <c r="S3263" i="6"/>
  <c r="R3264" i="6"/>
  <c r="S3264" i="6"/>
  <c r="R3265" i="6"/>
  <c r="S3265" i="6"/>
  <c r="R3266" i="6"/>
  <c r="S3266" i="6"/>
  <c r="R3267" i="6"/>
  <c r="S3267" i="6"/>
  <c r="R3268" i="6"/>
  <c r="S3268" i="6"/>
  <c r="R3269" i="6"/>
  <c r="S3269" i="6"/>
  <c r="R3270" i="6"/>
  <c r="S3270" i="6"/>
  <c r="R3271" i="6"/>
  <c r="S3271" i="6"/>
  <c r="R3272" i="6"/>
  <c r="S3272" i="6"/>
  <c r="R3273" i="6"/>
  <c r="S3273" i="6"/>
  <c r="R3274" i="6"/>
  <c r="S3274" i="6"/>
  <c r="R3275" i="6"/>
  <c r="S3275" i="6"/>
  <c r="R3276" i="6"/>
  <c r="S3276" i="6"/>
  <c r="R3277" i="6"/>
  <c r="S3277" i="6"/>
  <c r="R3278" i="6"/>
  <c r="S3278" i="6"/>
  <c r="R3279" i="6"/>
  <c r="S3279" i="6"/>
  <c r="R3280" i="6"/>
  <c r="S3280" i="6"/>
  <c r="R3281" i="6"/>
  <c r="S3281" i="6"/>
  <c r="R3282" i="6"/>
  <c r="S3282" i="6"/>
  <c r="R3283" i="6"/>
  <c r="S3283" i="6"/>
  <c r="R3284" i="6"/>
  <c r="S3284" i="6"/>
  <c r="R3285" i="6"/>
  <c r="S3285" i="6"/>
  <c r="R3286" i="6"/>
  <c r="S3286" i="6"/>
  <c r="R3287" i="6"/>
  <c r="S3287" i="6"/>
  <c r="R3288" i="6"/>
  <c r="S3288" i="6"/>
  <c r="R3289" i="6"/>
  <c r="S3289" i="6"/>
  <c r="R3290" i="6"/>
  <c r="S3290" i="6"/>
  <c r="R3291" i="6"/>
  <c r="S3291" i="6"/>
  <c r="R3292" i="6"/>
  <c r="S3292" i="6"/>
  <c r="R3293" i="6"/>
  <c r="S3293" i="6"/>
  <c r="R3294" i="6"/>
  <c r="S3294" i="6"/>
  <c r="R3295" i="6"/>
  <c r="S3295" i="6"/>
  <c r="R3296" i="6"/>
  <c r="S3296" i="6"/>
  <c r="R3297" i="6"/>
  <c r="S3297" i="6"/>
  <c r="R3298" i="6"/>
  <c r="S3298" i="6"/>
  <c r="R3299" i="6"/>
  <c r="S3299" i="6"/>
  <c r="R3300" i="6"/>
  <c r="S3300" i="6"/>
  <c r="R3301" i="6"/>
  <c r="S3301" i="6"/>
  <c r="R3302" i="6"/>
  <c r="S3302" i="6"/>
  <c r="R3303" i="6"/>
  <c r="S3303" i="6"/>
  <c r="R3304" i="6"/>
  <c r="S3304" i="6"/>
  <c r="R3305" i="6"/>
  <c r="S3305" i="6"/>
  <c r="R3306" i="6"/>
  <c r="S3306" i="6"/>
  <c r="R3307" i="6"/>
  <c r="S3307" i="6"/>
  <c r="R3308" i="6"/>
  <c r="S3308" i="6"/>
  <c r="R3309" i="6"/>
  <c r="S3309" i="6"/>
  <c r="R3310" i="6"/>
  <c r="S3310" i="6"/>
  <c r="R3311" i="6"/>
  <c r="S3311" i="6"/>
  <c r="R3312" i="6"/>
  <c r="S3312" i="6"/>
  <c r="R3313" i="6"/>
  <c r="S3313" i="6"/>
  <c r="R3314" i="6"/>
  <c r="S3314" i="6"/>
  <c r="R3315" i="6"/>
  <c r="S3315" i="6"/>
  <c r="R3316" i="6"/>
  <c r="S3316" i="6"/>
  <c r="R3317" i="6"/>
  <c r="S3317" i="6"/>
  <c r="R3318" i="6"/>
  <c r="S3318" i="6"/>
  <c r="R3319" i="6"/>
  <c r="S3319" i="6"/>
  <c r="R3320" i="6"/>
  <c r="S3320" i="6"/>
  <c r="R3321" i="6"/>
  <c r="S3321" i="6"/>
  <c r="R3322" i="6"/>
  <c r="S3322" i="6"/>
  <c r="R3323" i="6"/>
  <c r="S3323" i="6"/>
  <c r="R3324" i="6"/>
  <c r="S3324" i="6"/>
  <c r="R3325" i="6"/>
  <c r="S3325" i="6"/>
  <c r="R3326" i="6"/>
  <c r="S3326" i="6"/>
  <c r="R3327" i="6"/>
  <c r="S3327" i="6"/>
  <c r="R3328" i="6"/>
  <c r="S3328" i="6"/>
  <c r="R3329" i="6"/>
  <c r="S3329" i="6"/>
  <c r="R3330" i="6"/>
  <c r="S3330" i="6"/>
  <c r="R3331" i="6"/>
  <c r="S3331" i="6"/>
  <c r="R3332" i="6"/>
  <c r="S3332" i="6"/>
  <c r="R3333" i="6"/>
  <c r="S3333" i="6"/>
  <c r="R3334" i="6"/>
  <c r="S3334" i="6"/>
  <c r="R3335" i="6"/>
  <c r="S3335" i="6"/>
  <c r="R3336" i="6"/>
  <c r="S3336" i="6"/>
  <c r="R3337" i="6"/>
  <c r="S3337" i="6"/>
  <c r="R3338" i="6"/>
  <c r="S3338" i="6"/>
  <c r="R3339" i="6"/>
  <c r="S3339" i="6"/>
  <c r="R3340" i="6"/>
  <c r="S3340" i="6"/>
  <c r="R3341" i="6"/>
  <c r="S3341" i="6"/>
  <c r="R3342" i="6"/>
  <c r="S3342" i="6"/>
  <c r="R3343" i="6"/>
  <c r="S3343" i="6"/>
  <c r="R3344" i="6"/>
  <c r="S3344" i="6"/>
  <c r="R3345" i="6"/>
  <c r="S3345" i="6"/>
  <c r="R3346" i="6"/>
  <c r="S3346" i="6"/>
  <c r="R3347" i="6"/>
  <c r="S3347" i="6"/>
  <c r="R3348" i="6"/>
  <c r="S3348" i="6"/>
  <c r="R3349" i="6"/>
  <c r="S3349" i="6"/>
  <c r="R3350" i="6"/>
  <c r="S3350" i="6"/>
  <c r="R3351" i="6"/>
  <c r="S3351" i="6"/>
  <c r="R3352" i="6"/>
  <c r="S3352" i="6"/>
  <c r="R3353" i="6"/>
  <c r="S3353" i="6"/>
  <c r="R3354" i="6"/>
  <c r="S3354" i="6"/>
  <c r="R3355" i="6"/>
  <c r="S3355" i="6"/>
  <c r="R3356" i="6"/>
  <c r="S3356" i="6"/>
  <c r="R3357" i="6"/>
  <c r="S3357" i="6"/>
  <c r="R3358" i="6"/>
  <c r="S3358" i="6"/>
  <c r="R3359" i="6"/>
  <c r="S3359" i="6"/>
  <c r="R3360" i="6"/>
  <c r="S3360" i="6"/>
  <c r="R3361" i="6"/>
  <c r="S3361" i="6"/>
  <c r="R3362" i="6"/>
  <c r="S3362" i="6"/>
  <c r="R3363" i="6"/>
  <c r="S3363" i="6"/>
  <c r="R3364" i="6"/>
  <c r="S3364" i="6"/>
  <c r="R3365" i="6"/>
  <c r="S3365" i="6"/>
  <c r="R3366" i="6"/>
  <c r="S3366" i="6"/>
  <c r="R3367" i="6"/>
  <c r="S3367" i="6"/>
  <c r="R3368" i="6"/>
  <c r="S3368" i="6"/>
  <c r="R3369" i="6"/>
  <c r="S3369" i="6"/>
  <c r="R3370" i="6"/>
  <c r="S3370" i="6"/>
  <c r="R3371" i="6"/>
  <c r="S3371" i="6"/>
  <c r="R3372" i="6"/>
  <c r="S3372" i="6"/>
  <c r="R3373" i="6"/>
  <c r="S3373" i="6"/>
  <c r="R3374" i="6"/>
  <c r="S3374" i="6"/>
  <c r="R3375" i="6"/>
  <c r="S3375" i="6"/>
  <c r="R3376" i="6"/>
  <c r="S3376" i="6"/>
  <c r="R3377" i="6"/>
  <c r="S3377" i="6"/>
  <c r="R3378" i="6"/>
  <c r="S3378" i="6"/>
  <c r="R3379" i="6"/>
  <c r="S3379" i="6"/>
  <c r="R3380" i="6"/>
  <c r="S3380" i="6"/>
  <c r="R3381" i="6"/>
  <c r="S3381" i="6"/>
  <c r="R3382" i="6"/>
  <c r="S3382" i="6"/>
  <c r="R3383" i="6"/>
  <c r="S3383" i="6"/>
  <c r="R3384" i="6"/>
  <c r="S3384" i="6"/>
  <c r="R3385" i="6"/>
  <c r="S3385" i="6"/>
  <c r="R3386" i="6"/>
  <c r="S3386" i="6"/>
  <c r="R3387" i="6"/>
  <c r="S3387" i="6"/>
  <c r="R3388" i="6"/>
  <c r="S3388" i="6"/>
  <c r="R3389" i="6"/>
  <c r="S3389" i="6"/>
  <c r="R3390" i="6"/>
  <c r="S3390" i="6"/>
  <c r="R3391" i="6"/>
  <c r="S3391" i="6"/>
  <c r="R3392" i="6"/>
  <c r="S3392" i="6"/>
  <c r="R3393" i="6"/>
  <c r="S3393" i="6"/>
  <c r="R3394" i="6"/>
  <c r="S3394" i="6"/>
  <c r="R3395" i="6"/>
  <c r="S3395" i="6"/>
  <c r="R3396" i="6"/>
  <c r="S3396" i="6"/>
  <c r="R3397" i="6"/>
  <c r="S3397" i="6"/>
  <c r="R3398" i="6"/>
  <c r="S3398" i="6"/>
  <c r="R3399" i="6"/>
  <c r="S3399" i="6"/>
  <c r="R3400" i="6"/>
  <c r="S3400" i="6"/>
  <c r="R3401" i="6"/>
  <c r="S3401" i="6"/>
  <c r="R3402" i="6"/>
  <c r="S3402" i="6"/>
  <c r="R3403" i="6"/>
  <c r="S3403" i="6"/>
  <c r="R3404" i="6"/>
  <c r="S3404" i="6"/>
  <c r="R3405" i="6"/>
  <c r="S3405" i="6"/>
  <c r="R3406" i="6"/>
  <c r="S3406" i="6"/>
  <c r="R3407" i="6"/>
  <c r="S3407" i="6"/>
  <c r="R3408" i="6"/>
  <c r="S3408" i="6"/>
  <c r="R3409" i="6"/>
  <c r="S3409" i="6"/>
  <c r="R3410" i="6"/>
  <c r="S3410" i="6"/>
  <c r="R3411" i="6"/>
  <c r="S3411" i="6"/>
  <c r="R3412" i="6"/>
  <c r="S3412" i="6"/>
  <c r="R3413" i="6"/>
  <c r="S3413" i="6"/>
  <c r="R3414" i="6"/>
  <c r="S3414" i="6"/>
  <c r="R3415" i="6"/>
  <c r="S3415" i="6"/>
  <c r="R3416" i="6"/>
  <c r="S3416" i="6"/>
  <c r="R3417" i="6"/>
  <c r="S3417" i="6"/>
  <c r="R3418" i="6"/>
  <c r="S3418" i="6"/>
  <c r="R3419" i="6"/>
  <c r="S3419" i="6"/>
  <c r="R3420" i="6"/>
  <c r="S3420" i="6"/>
  <c r="R3421" i="6"/>
  <c r="S3421" i="6"/>
  <c r="R3422" i="6"/>
  <c r="S3422" i="6"/>
  <c r="R3423" i="6"/>
  <c r="S3423" i="6"/>
  <c r="R3424" i="6"/>
  <c r="S3424" i="6"/>
  <c r="R3425" i="6"/>
  <c r="S3425" i="6"/>
  <c r="R3426" i="6"/>
  <c r="S3426" i="6"/>
  <c r="R3427" i="6"/>
  <c r="S3427" i="6"/>
  <c r="R3428" i="6"/>
  <c r="S3428" i="6"/>
  <c r="R3429" i="6"/>
  <c r="S3429" i="6"/>
  <c r="R3430" i="6"/>
  <c r="S3430" i="6"/>
  <c r="R3431" i="6"/>
  <c r="S3431" i="6"/>
  <c r="R3432" i="6"/>
  <c r="S3432" i="6"/>
  <c r="R3433" i="6"/>
  <c r="S3433" i="6"/>
  <c r="R3434" i="6"/>
  <c r="S3434" i="6"/>
  <c r="R3435" i="6"/>
  <c r="S3435" i="6"/>
  <c r="R3436" i="6"/>
  <c r="S3436" i="6"/>
  <c r="R3437" i="6"/>
  <c r="S3437" i="6"/>
  <c r="R3438" i="6"/>
  <c r="S3438" i="6"/>
  <c r="R3439" i="6"/>
  <c r="S3439" i="6"/>
  <c r="R3440" i="6"/>
  <c r="S3440" i="6"/>
  <c r="R3441" i="6"/>
  <c r="S3441" i="6"/>
  <c r="R3442" i="6"/>
  <c r="S3442" i="6"/>
  <c r="R3443" i="6"/>
  <c r="S3443" i="6"/>
  <c r="R3444" i="6"/>
  <c r="S3444" i="6"/>
  <c r="R3445" i="6"/>
  <c r="S3445" i="6"/>
  <c r="R3446" i="6"/>
  <c r="S3446" i="6"/>
  <c r="R3447" i="6"/>
  <c r="S3447" i="6"/>
  <c r="R3448" i="6"/>
  <c r="S3448" i="6"/>
  <c r="R3449" i="6"/>
  <c r="S3449" i="6"/>
  <c r="R3450" i="6"/>
  <c r="S3450" i="6"/>
  <c r="R3451" i="6"/>
  <c r="S3451" i="6"/>
  <c r="R3452" i="6"/>
  <c r="S3452" i="6"/>
  <c r="R3453" i="6"/>
  <c r="S3453" i="6"/>
  <c r="R3454" i="6"/>
  <c r="S3454" i="6"/>
  <c r="R3455" i="6"/>
  <c r="S3455" i="6"/>
  <c r="R3456" i="6"/>
  <c r="S3456" i="6"/>
  <c r="R3457" i="6"/>
  <c r="S3457" i="6"/>
  <c r="R3458" i="6"/>
  <c r="S3458" i="6"/>
  <c r="R3459" i="6"/>
  <c r="S3459" i="6"/>
  <c r="R3460" i="6"/>
  <c r="S3460" i="6"/>
  <c r="R3461" i="6"/>
  <c r="S3461" i="6"/>
  <c r="R3462" i="6"/>
  <c r="S3462" i="6"/>
  <c r="R3463" i="6"/>
  <c r="S3463" i="6"/>
  <c r="R3464" i="6"/>
  <c r="S3464" i="6"/>
  <c r="R3465" i="6"/>
  <c r="S3465" i="6"/>
  <c r="R3466" i="6"/>
  <c r="S3466" i="6"/>
  <c r="R3467" i="6"/>
  <c r="S3467" i="6"/>
  <c r="R3468" i="6"/>
  <c r="S3468" i="6"/>
  <c r="R3469" i="6"/>
  <c r="S3469" i="6"/>
  <c r="R3470" i="6"/>
  <c r="S3470" i="6"/>
  <c r="R3471" i="6"/>
  <c r="S3471" i="6"/>
  <c r="R3472" i="6"/>
  <c r="S3472" i="6"/>
  <c r="R3473" i="6"/>
  <c r="S3473" i="6"/>
  <c r="R3474" i="6"/>
  <c r="S3474" i="6"/>
  <c r="R3475" i="6"/>
  <c r="S3475" i="6"/>
  <c r="R3476" i="6"/>
  <c r="S3476" i="6"/>
  <c r="R3477" i="6"/>
  <c r="S3477" i="6"/>
  <c r="R3478" i="6"/>
  <c r="S3478" i="6"/>
  <c r="R3479" i="6"/>
  <c r="S3479" i="6"/>
  <c r="R3480" i="6"/>
  <c r="S3480" i="6"/>
  <c r="R3481" i="6"/>
  <c r="S3481" i="6"/>
  <c r="R3482" i="6"/>
  <c r="S3482" i="6"/>
  <c r="R3483" i="6"/>
  <c r="S3483" i="6"/>
  <c r="R3484" i="6"/>
  <c r="S3484" i="6"/>
  <c r="R3485" i="6"/>
  <c r="S3485" i="6"/>
  <c r="R3486" i="6"/>
  <c r="S3486" i="6"/>
  <c r="R3487" i="6"/>
  <c r="S3487" i="6"/>
  <c r="R3488" i="6"/>
  <c r="S3488" i="6"/>
  <c r="R3489" i="6"/>
  <c r="S3489" i="6"/>
  <c r="R3490" i="6"/>
  <c r="S3490" i="6"/>
  <c r="R3491" i="6"/>
  <c r="S3491" i="6"/>
  <c r="R3492" i="6"/>
  <c r="S3492" i="6"/>
  <c r="R3493" i="6"/>
  <c r="S3493" i="6"/>
  <c r="R3494" i="6"/>
  <c r="S3494" i="6"/>
  <c r="R3495" i="6"/>
  <c r="S3495" i="6"/>
  <c r="R3496" i="6"/>
  <c r="S3496" i="6"/>
  <c r="R3497" i="6"/>
  <c r="S3497" i="6"/>
  <c r="R3498" i="6"/>
  <c r="S3498" i="6"/>
  <c r="R3499" i="6"/>
  <c r="S3499" i="6"/>
  <c r="R3500" i="6"/>
  <c r="S3500" i="6"/>
  <c r="R3501" i="6"/>
  <c r="S3501" i="6"/>
  <c r="R3502" i="6"/>
  <c r="S3502" i="6"/>
  <c r="R3503" i="6"/>
  <c r="S3503" i="6"/>
  <c r="R3504" i="6"/>
  <c r="S3504" i="6"/>
  <c r="R3505" i="6"/>
  <c r="S3505" i="6"/>
  <c r="R3506" i="6"/>
  <c r="S3506" i="6"/>
  <c r="R3507" i="6"/>
  <c r="S3507" i="6"/>
  <c r="R3508" i="6"/>
  <c r="S3508" i="6"/>
  <c r="R3509" i="6"/>
  <c r="S3509" i="6"/>
  <c r="R3510" i="6"/>
  <c r="S3510" i="6"/>
  <c r="R3511" i="6"/>
  <c r="S3511" i="6"/>
  <c r="R3512" i="6"/>
  <c r="S3512" i="6"/>
  <c r="R3513" i="6"/>
  <c r="S3513" i="6"/>
  <c r="R3514" i="6"/>
  <c r="S3514" i="6"/>
  <c r="R3515" i="6"/>
  <c r="S3515" i="6"/>
  <c r="R3516" i="6"/>
  <c r="S3516" i="6"/>
  <c r="R3517" i="6"/>
  <c r="S3517" i="6"/>
  <c r="R3518" i="6"/>
  <c r="S3518" i="6"/>
  <c r="R3519" i="6"/>
  <c r="S3519" i="6"/>
  <c r="R3520" i="6"/>
  <c r="S3520" i="6"/>
  <c r="R3521" i="6"/>
  <c r="S3521" i="6"/>
  <c r="R3522" i="6"/>
  <c r="S3522" i="6"/>
  <c r="R3523" i="6"/>
  <c r="S3523" i="6"/>
  <c r="R3524" i="6"/>
  <c r="S3524" i="6"/>
  <c r="R3525" i="6"/>
  <c r="S3525" i="6"/>
  <c r="R3526" i="6"/>
  <c r="S3526" i="6"/>
  <c r="R3527" i="6"/>
  <c r="S3527" i="6"/>
  <c r="R3528" i="6"/>
  <c r="S3528" i="6"/>
  <c r="R3529" i="6"/>
  <c r="S3529" i="6"/>
  <c r="R3530" i="6"/>
  <c r="S3530" i="6"/>
  <c r="R3531" i="6"/>
  <c r="S3531" i="6"/>
  <c r="R3532" i="6"/>
  <c r="S3532" i="6"/>
  <c r="R3533" i="6"/>
  <c r="S3533" i="6"/>
  <c r="R3534" i="6"/>
  <c r="S3534" i="6"/>
  <c r="R3535" i="6"/>
  <c r="S3535" i="6"/>
  <c r="R3536" i="6"/>
  <c r="S3536" i="6"/>
  <c r="R3537" i="6"/>
  <c r="S3537" i="6"/>
  <c r="R3538" i="6"/>
  <c r="S3538" i="6"/>
  <c r="R3539" i="6"/>
  <c r="S3539" i="6"/>
  <c r="R3540" i="6"/>
  <c r="S3540" i="6"/>
  <c r="R3541" i="6"/>
  <c r="S3541" i="6"/>
  <c r="R3542" i="6"/>
  <c r="S3542" i="6"/>
  <c r="R3543" i="6"/>
  <c r="S3543" i="6"/>
  <c r="R3544" i="6"/>
  <c r="S3544" i="6"/>
  <c r="R3545" i="6"/>
  <c r="S3545" i="6"/>
  <c r="R3546" i="6"/>
  <c r="S3546" i="6"/>
  <c r="R3547" i="6"/>
  <c r="S3547" i="6"/>
  <c r="R3548" i="6"/>
  <c r="S3548" i="6"/>
  <c r="R3549" i="6"/>
  <c r="S3549" i="6"/>
  <c r="R3550" i="6"/>
  <c r="S3550" i="6"/>
  <c r="R3551" i="6"/>
  <c r="S3551" i="6"/>
  <c r="R3552" i="6"/>
  <c r="S3552" i="6"/>
  <c r="R3553" i="6"/>
  <c r="S3553" i="6"/>
  <c r="R3554" i="6"/>
  <c r="S3554" i="6"/>
  <c r="R3555" i="6"/>
  <c r="S3555" i="6"/>
  <c r="R3556" i="6"/>
  <c r="S3556" i="6"/>
  <c r="R3557" i="6"/>
  <c r="S3557" i="6"/>
  <c r="R3558" i="6"/>
  <c r="S3558" i="6"/>
  <c r="R3559" i="6"/>
  <c r="S3559" i="6"/>
  <c r="R3560" i="6"/>
  <c r="S3560" i="6"/>
  <c r="R3561" i="6"/>
  <c r="S3561" i="6"/>
  <c r="R3562" i="6"/>
  <c r="S3562" i="6"/>
  <c r="R3563" i="6"/>
  <c r="S3563" i="6"/>
  <c r="R3564" i="6"/>
  <c r="S3564" i="6"/>
  <c r="R3565" i="6"/>
  <c r="S3565" i="6"/>
  <c r="R3566" i="6"/>
  <c r="S3566" i="6"/>
  <c r="R3567" i="6"/>
  <c r="S3567" i="6"/>
  <c r="R3568" i="6"/>
  <c r="S3568" i="6"/>
  <c r="R3569" i="6"/>
  <c r="S3569" i="6"/>
  <c r="R3570" i="6"/>
  <c r="S3570" i="6"/>
  <c r="R3571" i="6"/>
  <c r="S3571" i="6"/>
  <c r="R3572" i="6"/>
  <c r="S3572" i="6"/>
  <c r="R3573" i="6"/>
  <c r="S3573" i="6"/>
  <c r="R3574" i="6"/>
  <c r="S3574" i="6"/>
  <c r="R3575" i="6"/>
  <c r="S3575" i="6"/>
  <c r="R3576" i="6"/>
  <c r="S3576" i="6"/>
  <c r="R3577" i="6"/>
  <c r="S3577" i="6"/>
  <c r="R3578" i="6"/>
  <c r="S3578" i="6"/>
  <c r="R3579" i="6"/>
  <c r="S3579" i="6"/>
  <c r="R3580" i="6"/>
  <c r="S3580" i="6"/>
  <c r="R3581" i="6"/>
  <c r="S3581" i="6"/>
  <c r="R3582" i="6"/>
  <c r="S3582" i="6"/>
  <c r="R3583" i="6"/>
  <c r="S3583" i="6"/>
  <c r="R3584" i="6"/>
  <c r="S3584" i="6"/>
  <c r="R3585" i="6"/>
  <c r="S3585" i="6"/>
  <c r="R3586" i="6"/>
  <c r="S3586" i="6"/>
  <c r="R3587" i="6"/>
  <c r="S3587" i="6"/>
  <c r="R3588" i="6"/>
  <c r="S3588" i="6"/>
  <c r="R3589" i="6"/>
  <c r="S3589" i="6"/>
  <c r="R3590" i="6"/>
  <c r="S3590" i="6"/>
  <c r="R3591" i="6"/>
  <c r="S3591" i="6"/>
  <c r="R3592" i="6"/>
  <c r="S3592" i="6"/>
  <c r="R3593" i="6"/>
  <c r="S3593" i="6"/>
  <c r="R3594" i="6"/>
  <c r="S3594" i="6"/>
  <c r="R3595" i="6"/>
  <c r="S3595" i="6"/>
  <c r="R3596" i="6"/>
  <c r="S3596" i="6"/>
  <c r="R3597" i="6"/>
  <c r="S3597" i="6"/>
  <c r="R3598" i="6"/>
  <c r="S3598" i="6"/>
  <c r="R3599" i="6"/>
  <c r="S3599" i="6"/>
  <c r="R3600" i="6"/>
  <c r="S3600" i="6"/>
  <c r="R3601" i="6"/>
  <c r="S3601" i="6"/>
  <c r="R3602" i="6"/>
  <c r="S3602" i="6"/>
  <c r="R3603" i="6"/>
  <c r="S3603" i="6"/>
  <c r="R3604" i="6"/>
  <c r="S3604" i="6"/>
  <c r="R3605" i="6"/>
  <c r="S3605" i="6"/>
  <c r="R3606" i="6"/>
  <c r="S3606" i="6"/>
  <c r="R3607" i="6"/>
  <c r="S3607" i="6"/>
  <c r="R3608" i="6"/>
  <c r="S3608" i="6"/>
  <c r="R3609" i="6"/>
  <c r="S3609" i="6"/>
  <c r="R3610" i="6"/>
  <c r="S3610" i="6"/>
  <c r="R3611" i="6"/>
  <c r="S3611" i="6"/>
  <c r="R3612" i="6"/>
  <c r="S3612" i="6"/>
  <c r="R3613" i="6"/>
  <c r="S3613" i="6"/>
  <c r="R3614" i="6"/>
  <c r="S3614" i="6"/>
  <c r="R3615" i="6"/>
  <c r="S3615" i="6"/>
  <c r="R3616" i="6"/>
  <c r="S3616" i="6"/>
  <c r="R3617" i="6"/>
  <c r="S3617" i="6"/>
  <c r="R3618" i="6"/>
  <c r="S3618" i="6"/>
  <c r="R3619" i="6"/>
  <c r="S3619" i="6"/>
  <c r="R3620" i="6"/>
  <c r="S3620" i="6"/>
  <c r="R3621" i="6"/>
  <c r="S3621" i="6"/>
  <c r="R3622" i="6"/>
  <c r="S3622" i="6"/>
  <c r="R3623" i="6"/>
  <c r="S3623" i="6"/>
  <c r="R3624" i="6"/>
  <c r="S3624" i="6"/>
  <c r="R3625" i="6"/>
  <c r="S3625" i="6"/>
  <c r="R3626" i="6"/>
  <c r="S3626" i="6"/>
  <c r="R3627" i="6"/>
  <c r="S3627" i="6"/>
  <c r="R3628" i="6"/>
  <c r="S3628" i="6"/>
  <c r="R3629" i="6"/>
  <c r="S3629" i="6"/>
  <c r="R3630" i="6"/>
  <c r="S3630" i="6"/>
  <c r="R3631" i="6"/>
  <c r="S3631" i="6"/>
  <c r="R3632" i="6"/>
  <c r="S3632" i="6"/>
  <c r="R3633" i="6"/>
  <c r="S3633" i="6"/>
  <c r="R3634" i="6"/>
  <c r="S3634" i="6"/>
  <c r="R3635" i="6"/>
  <c r="S3635" i="6"/>
  <c r="R3636" i="6"/>
  <c r="S3636" i="6"/>
  <c r="R3637" i="6"/>
  <c r="S3637" i="6"/>
  <c r="R3638" i="6"/>
  <c r="S3638" i="6"/>
  <c r="R3639" i="6"/>
  <c r="S3639" i="6"/>
  <c r="R3640" i="6"/>
  <c r="S3640" i="6"/>
  <c r="R3641" i="6"/>
  <c r="S3641" i="6"/>
  <c r="R3642" i="6"/>
  <c r="S3642" i="6"/>
  <c r="R3643" i="6"/>
  <c r="S3643" i="6"/>
  <c r="R3644" i="6"/>
  <c r="S3644" i="6"/>
  <c r="R3645" i="6"/>
  <c r="S3645" i="6"/>
  <c r="R3646" i="6"/>
  <c r="S3646" i="6"/>
  <c r="R3647" i="6"/>
  <c r="S3647" i="6"/>
  <c r="R3648" i="6"/>
  <c r="S3648" i="6"/>
  <c r="R3649" i="6"/>
  <c r="S3649" i="6"/>
  <c r="R3650" i="6"/>
  <c r="S3650" i="6"/>
  <c r="R3651" i="6"/>
  <c r="S3651" i="6"/>
  <c r="R3652" i="6"/>
  <c r="S3652" i="6"/>
  <c r="R3653" i="6"/>
  <c r="S3653" i="6"/>
  <c r="R3654" i="6"/>
  <c r="S3654" i="6"/>
  <c r="R3655" i="6"/>
  <c r="S3655" i="6"/>
  <c r="R3656" i="6"/>
  <c r="S3656" i="6"/>
  <c r="R3657" i="6"/>
  <c r="S3657" i="6"/>
  <c r="R3658" i="6"/>
  <c r="S3658" i="6"/>
  <c r="R3659" i="6"/>
  <c r="S3659" i="6"/>
  <c r="R3660" i="6"/>
  <c r="S3660" i="6"/>
  <c r="R3661" i="6"/>
  <c r="S3661" i="6"/>
  <c r="R3662" i="6"/>
  <c r="S3662" i="6"/>
  <c r="R3663" i="6"/>
  <c r="S3663" i="6"/>
  <c r="R3664" i="6"/>
  <c r="S3664" i="6"/>
  <c r="R3665" i="6"/>
  <c r="S3665" i="6"/>
  <c r="R3666" i="6"/>
  <c r="S3666" i="6"/>
  <c r="R3667" i="6"/>
  <c r="S3667" i="6"/>
  <c r="R3668" i="6"/>
  <c r="S3668" i="6"/>
  <c r="R3669" i="6"/>
  <c r="S3669" i="6"/>
  <c r="R3670" i="6"/>
  <c r="S3670" i="6"/>
  <c r="R3671" i="6"/>
  <c r="S3671" i="6"/>
  <c r="R3672" i="6"/>
  <c r="S3672" i="6"/>
  <c r="R3673" i="6"/>
  <c r="S3673" i="6"/>
  <c r="R3674" i="6"/>
  <c r="S3674" i="6"/>
  <c r="R3675" i="6"/>
  <c r="S3675" i="6"/>
  <c r="R3676" i="6"/>
  <c r="S3676" i="6"/>
  <c r="R3677" i="6"/>
  <c r="S3677" i="6"/>
  <c r="R3678" i="6"/>
  <c r="S3678" i="6"/>
  <c r="R3679" i="6"/>
  <c r="S3679" i="6"/>
  <c r="R3680" i="6"/>
  <c r="S3680" i="6"/>
  <c r="R3681" i="6"/>
  <c r="S3681" i="6"/>
  <c r="R3682" i="6"/>
  <c r="S3682" i="6"/>
  <c r="R3683" i="6"/>
  <c r="S3683" i="6"/>
  <c r="R3684" i="6"/>
  <c r="S3684" i="6"/>
  <c r="R3685" i="6"/>
  <c r="S3685" i="6"/>
  <c r="R3686" i="6"/>
  <c r="S3686" i="6"/>
  <c r="R3687" i="6"/>
  <c r="S3687" i="6"/>
  <c r="R3688" i="6"/>
  <c r="S3688" i="6"/>
  <c r="R3689" i="6"/>
  <c r="S3689" i="6"/>
  <c r="R3690" i="6"/>
  <c r="S3690" i="6"/>
  <c r="R3691" i="6"/>
  <c r="S3691" i="6"/>
  <c r="R3692" i="6"/>
  <c r="S3692" i="6"/>
  <c r="R3693" i="6"/>
  <c r="S3693" i="6"/>
  <c r="R3694" i="6"/>
  <c r="S3694" i="6"/>
  <c r="R3695" i="6"/>
  <c r="S3695" i="6"/>
  <c r="R3696" i="6"/>
  <c r="S3696" i="6"/>
  <c r="R3697" i="6"/>
  <c r="S3697" i="6"/>
  <c r="R3698" i="6"/>
  <c r="S3698" i="6"/>
  <c r="R3699" i="6"/>
  <c r="S3699" i="6"/>
  <c r="R3700" i="6"/>
  <c r="S3700" i="6"/>
  <c r="R3701" i="6"/>
  <c r="S3701" i="6"/>
  <c r="R3702" i="6"/>
  <c r="S3702" i="6"/>
  <c r="R3703" i="6"/>
  <c r="S3703" i="6"/>
  <c r="R3704" i="6"/>
  <c r="S3704" i="6"/>
  <c r="R3705" i="6"/>
  <c r="S3705" i="6"/>
  <c r="R3706" i="6"/>
  <c r="S3706" i="6"/>
  <c r="R3707" i="6"/>
  <c r="S3707" i="6"/>
  <c r="R3708" i="6"/>
  <c r="S3708" i="6"/>
  <c r="R3709" i="6"/>
  <c r="S3709" i="6"/>
  <c r="R3710" i="6"/>
  <c r="S3710" i="6"/>
  <c r="R3711" i="6"/>
  <c r="S3711" i="6"/>
  <c r="R3712" i="6"/>
  <c r="S3712" i="6"/>
  <c r="R3713" i="6"/>
  <c r="S3713" i="6"/>
  <c r="R3714" i="6"/>
  <c r="S3714" i="6"/>
  <c r="R3715" i="6"/>
  <c r="S3715" i="6"/>
  <c r="R3716" i="6"/>
  <c r="S3716" i="6"/>
  <c r="R3717" i="6"/>
  <c r="S3717" i="6"/>
  <c r="R3718" i="6"/>
  <c r="S3718" i="6"/>
  <c r="R3719" i="6"/>
  <c r="S3719" i="6"/>
  <c r="R3720" i="6"/>
  <c r="S3720" i="6"/>
  <c r="R3721" i="6"/>
  <c r="S3721" i="6"/>
  <c r="R3722" i="6"/>
  <c r="S3722" i="6"/>
  <c r="R3723" i="6"/>
  <c r="S3723" i="6"/>
  <c r="R3724" i="6"/>
  <c r="S3724" i="6"/>
  <c r="R3725" i="6"/>
  <c r="S3725" i="6"/>
  <c r="R3726" i="6"/>
  <c r="S3726" i="6"/>
  <c r="R3727" i="6"/>
  <c r="S3727" i="6"/>
  <c r="R3728" i="6"/>
  <c r="S3728" i="6"/>
  <c r="R3729" i="6"/>
  <c r="S3729" i="6"/>
  <c r="R3730" i="6"/>
  <c r="S3730" i="6"/>
  <c r="R3731" i="6"/>
  <c r="S3731" i="6"/>
  <c r="R3732" i="6"/>
  <c r="S3732" i="6"/>
  <c r="R3733" i="6"/>
  <c r="S3733" i="6"/>
  <c r="R3734" i="6"/>
  <c r="S3734" i="6"/>
  <c r="R3735" i="6"/>
  <c r="S3735" i="6"/>
  <c r="R3736" i="6"/>
  <c r="S3736" i="6"/>
  <c r="R3737" i="6"/>
  <c r="S3737" i="6"/>
  <c r="R3738" i="6"/>
  <c r="S3738" i="6"/>
  <c r="R3739" i="6"/>
  <c r="S3739" i="6"/>
  <c r="R3740" i="6"/>
  <c r="S3740" i="6"/>
  <c r="R3741" i="6"/>
  <c r="S3741" i="6"/>
  <c r="R3742" i="6"/>
  <c r="S3742" i="6"/>
  <c r="R3743" i="6"/>
  <c r="S3743" i="6"/>
  <c r="R3744" i="6"/>
  <c r="S3744" i="6"/>
  <c r="R3745" i="6"/>
  <c r="S3745" i="6"/>
  <c r="R3746" i="6"/>
  <c r="S3746" i="6"/>
  <c r="R3747" i="6"/>
  <c r="S3747" i="6"/>
  <c r="R3748" i="6"/>
  <c r="S3748" i="6"/>
  <c r="R3749" i="6"/>
  <c r="S3749" i="6"/>
  <c r="R3750" i="6"/>
  <c r="S3750" i="6"/>
  <c r="R3751" i="6"/>
  <c r="S3751" i="6"/>
  <c r="R3752" i="6"/>
  <c r="S3752" i="6"/>
  <c r="R3753" i="6"/>
  <c r="S3753" i="6"/>
  <c r="R3754" i="6"/>
  <c r="S3754" i="6"/>
  <c r="R3755" i="6"/>
  <c r="S3755" i="6"/>
  <c r="R3756" i="6"/>
  <c r="S3756" i="6"/>
  <c r="R3757" i="6"/>
  <c r="S3757" i="6"/>
  <c r="R3758" i="6"/>
  <c r="S3758" i="6"/>
  <c r="R3759" i="6"/>
  <c r="S3759" i="6"/>
  <c r="R3760" i="6"/>
  <c r="S3760" i="6"/>
  <c r="R3761" i="6"/>
  <c r="S3761" i="6"/>
  <c r="R3762" i="6"/>
  <c r="S3762" i="6"/>
  <c r="R3763" i="6"/>
  <c r="S3763" i="6"/>
  <c r="R3764" i="6"/>
  <c r="S3764" i="6"/>
  <c r="R3765" i="6"/>
  <c r="S3765" i="6"/>
  <c r="R3766" i="6"/>
  <c r="S3766" i="6"/>
  <c r="R3767" i="6"/>
  <c r="S3767" i="6"/>
  <c r="R3768" i="6"/>
  <c r="S3768" i="6"/>
  <c r="R3769" i="6"/>
  <c r="S3769" i="6"/>
  <c r="R3770" i="6"/>
  <c r="S3770" i="6"/>
  <c r="R3771" i="6"/>
  <c r="S3771" i="6"/>
  <c r="R3772" i="6"/>
  <c r="S3772" i="6"/>
  <c r="R3773" i="6"/>
  <c r="S3773" i="6"/>
  <c r="R3774" i="6"/>
  <c r="S3774" i="6"/>
  <c r="R3775" i="6"/>
  <c r="S3775" i="6"/>
  <c r="R3776" i="6"/>
  <c r="S3776" i="6"/>
  <c r="R3777" i="6"/>
  <c r="S3777" i="6"/>
  <c r="R3778" i="6"/>
  <c r="S3778" i="6"/>
  <c r="R3779" i="6"/>
  <c r="S3779" i="6"/>
  <c r="R3780" i="6"/>
  <c r="S3780" i="6"/>
  <c r="R3781" i="6"/>
  <c r="S3781" i="6"/>
  <c r="R3782" i="6"/>
  <c r="S3782" i="6"/>
  <c r="R3783" i="6"/>
  <c r="S3783" i="6"/>
  <c r="R3784" i="6"/>
  <c r="S3784" i="6"/>
  <c r="R3785" i="6"/>
  <c r="S3785" i="6"/>
  <c r="R3786" i="6"/>
  <c r="S3786" i="6"/>
  <c r="R3787" i="6"/>
  <c r="S3787" i="6"/>
  <c r="R3788" i="6"/>
  <c r="S3788" i="6"/>
  <c r="R3789" i="6"/>
  <c r="S3789" i="6"/>
  <c r="R3790" i="6"/>
  <c r="S3790" i="6"/>
  <c r="R3791" i="6"/>
  <c r="S3791" i="6"/>
  <c r="R3792" i="6"/>
  <c r="S3792" i="6"/>
  <c r="R3793" i="6"/>
  <c r="S3793" i="6"/>
  <c r="R3794" i="6"/>
  <c r="S3794" i="6"/>
  <c r="R3795" i="6"/>
  <c r="S3795" i="6"/>
  <c r="R3796" i="6"/>
  <c r="S3796" i="6"/>
  <c r="R3797" i="6"/>
  <c r="S3797" i="6"/>
  <c r="R3798" i="6"/>
  <c r="S3798" i="6"/>
  <c r="R3799" i="6"/>
  <c r="S3799" i="6"/>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G14" i="1"/>
  <c r="G13" i="1"/>
  <c r="E18" i="2" l="1"/>
  <c r="E11" i="2"/>
  <c r="G6" i="1"/>
  <c r="G7" i="1"/>
  <c r="G8" i="1"/>
  <c r="G9" i="1"/>
  <c r="G10" i="1"/>
  <c r="G11" i="1"/>
  <c r="G12" i="1"/>
  <c r="G5" i="1"/>
  <c r="C43" i="7"/>
  <c r="C44" i="7"/>
  <c r="C45" i="7"/>
  <c r="C46" i="7"/>
  <c r="C47" i="7"/>
  <c r="C48" i="7"/>
  <c r="C49" i="7"/>
  <c r="C50" i="7"/>
  <c r="C51" i="7"/>
  <c r="C52" i="7"/>
  <c r="C53" i="7"/>
  <c r="C42" i="7"/>
  <c r="D41" i="7"/>
  <c r="C41" i="7"/>
  <c r="D16" i="7"/>
  <c r="C17" i="7"/>
  <c r="C16" i="7"/>
  <c r="D52" i="2"/>
  <c r="D53" i="2"/>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S201" i="6"/>
  <c r="S202" i="6"/>
  <c r="S203" i="6"/>
  <c r="S204" i="6"/>
  <c r="S205" i="6"/>
  <c r="S206" i="6"/>
  <c r="S207" i="6"/>
  <c r="S208" i="6"/>
  <c r="S209" i="6"/>
  <c r="S210" i="6"/>
  <c r="S211" i="6"/>
  <c r="S212" i="6"/>
  <c r="S213" i="6"/>
  <c r="S214" i="6"/>
  <c r="S215" i="6"/>
  <c r="S216" i="6"/>
  <c r="S217" i="6"/>
  <c r="S218" i="6"/>
  <c r="S219" i="6"/>
  <c r="S220" i="6"/>
  <c r="S221" i="6"/>
  <c r="S222" i="6"/>
  <c r="S223" i="6"/>
  <c r="S224" i="6"/>
  <c r="S225" i="6"/>
  <c r="S226" i="6"/>
  <c r="S227" i="6"/>
  <c r="S228" i="6"/>
  <c r="S229" i="6"/>
  <c r="S230" i="6"/>
  <c r="S231" i="6"/>
  <c r="S232" i="6"/>
  <c r="S233" i="6"/>
  <c r="S234" i="6"/>
  <c r="S235" i="6"/>
  <c r="S236" i="6"/>
  <c r="S237" i="6"/>
  <c r="S238" i="6"/>
  <c r="S239" i="6"/>
  <c r="S240" i="6"/>
  <c r="S241" i="6"/>
  <c r="S242" i="6"/>
  <c r="S243" i="6"/>
  <c r="S244" i="6"/>
  <c r="S245" i="6"/>
  <c r="S246" i="6"/>
  <c r="S247" i="6"/>
  <c r="S248" i="6"/>
  <c r="S249" i="6"/>
  <c r="S250" i="6"/>
  <c r="S251" i="6"/>
  <c r="S252" i="6"/>
  <c r="S253" i="6"/>
  <c r="S254" i="6"/>
  <c r="S255" i="6"/>
  <c r="S256" i="6"/>
  <c r="S257" i="6"/>
  <c r="S258" i="6"/>
  <c r="S259" i="6"/>
  <c r="S260" i="6"/>
  <c r="S261" i="6"/>
  <c r="S262" i="6"/>
  <c r="S263" i="6"/>
  <c r="S264" i="6"/>
  <c r="S265" i="6"/>
  <c r="S266" i="6"/>
  <c r="S267" i="6"/>
  <c r="S268" i="6"/>
  <c r="S269" i="6"/>
  <c r="S270" i="6"/>
  <c r="S271" i="6"/>
  <c r="S272" i="6"/>
  <c r="S273" i="6"/>
  <c r="S274" i="6"/>
  <c r="S275" i="6"/>
  <c r="S276" i="6"/>
  <c r="S277" i="6"/>
  <c r="S278" i="6"/>
  <c r="S279" i="6"/>
  <c r="S280" i="6"/>
  <c r="S281" i="6"/>
  <c r="S282" i="6"/>
  <c r="S283" i="6"/>
  <c r="S284" i="6"/>
  <c r="S285" i="6"/>
  <c r="S286" i="6"/>
  <c r="S287" i="6"/>
  <c r="S288" i="6"/>
  <c r="S289" i="6"/>
  <c r="S290" i="6"/>
  <c r="S291" i="6"/>
  <c r="S292" i="6"/>
  <c r="S293" i="6"/>
  <c r="S294" i="6"/>
  <c r="S295" i="6"/>
  <c r="S296" i="6"/>
  <c r="S297" i="6"/>
  <c r="S298" i="6"/>
  <c r="S299" i="6"/>
  <c r="S300" i="6"/>
  <c r="S301" i="6"/>
  <c r="S302" i="6"/>
  <c r="S303" i="6"/>
  <c r="S304" i="6"/>
  <c r="S305" i="6"/>
  <c r="S306" i="6"/>
  <c r="S307" i="6"/>
  <c r="S308" i="6"/>
  <c r="S309" i="6"/>
  <c r="S310" i="6"/>
  <c r="S311" i="6"/>
  <c r="S312" i="6"/>
  <c r="S313" i="6"/>
  <c r="S314" i="6"/>
  <c r="S315" i="6"/>
  <c r="S316" i="6"/>
  <c r="S317" i="6"/>
  <c r="S318" i="6"/>
  <c r="S319" i="6"/>
  <c r="S320" i="6"/>
  <c r="S321" i="6"/>
  <c r="S322" i="6"/>
  <c r="S323" i="6"/>
  <c r="S324" i="6"/>
  <c r="S325" i="6"/>
  <c r="S326" i="6"/>
  <c r="S327" i="6"/>
  <c r="S328" i="6"/>
  <c r="S329" i="6"/>
  <c r="S330" i="6"/>
  <c r="S331" i="6"/>
  <c r="S332" i="6"/>
  <c r="S333" i="6"/>
  <c r="S334" i="6"/>
  <c r="S335" i="6"/>
  <c r="S336" i="6"/>
  <c r="S337" i="6"/>
  <c r="S338" i="6"/>
  <c r="S339" i="6"/>
  <c r="S340" i="6"/>
  <c r="S341" i="6"/>
  <c r="S342" i="6"/>
  <c r="S343" i="6"/>
  <c r="S344" i="6"/>
  <c r="S345" i="6"/>
  <c r="S346" i="6"/>
  <c r="S347" i="6"/>
  <c r="S348" i="6"/>
  <c r="S349" i="6"/>
  <c r="S350" i="6"/>
  <c r="S351" i="6"/>
  <c r="S352" i="6"/>
  <c r="S353" i="6"/>
  <c r="S354" i="6"/>
  <c r="S355" i="6"/>
  <c r="S356" i="6"/>
  <c r="S357" i="6"/>
  <c r="S358" i="6"/>
  <c r="S359" i="6"/>
  <c r="S360" i="6"/>
  <c r="S361" i="6"/>
  <c r="S362" i="6"/>
  <c r="S363" i="6"/>
  <c r="S364" i="6"/>
  <c r="S365" i="6"/>
  <c r="S366" i="6"/>
  <c r="S367" i="6"/>
  <c r="S368" i="6"/>
  <c r="S369" i="6"/>
  <c r="S370" i="6"/>
  <c r="S371" i="6"/>
  <c r="S372" i="6"/>
  <c r="S373" i="6"/>
  <c r="S374" i="6"/>
  <c r="S375" i="6"/>
  <c r="S376" i="6"/>
  <c r="S377" i="6"/>
  <c r="S378" i="6"/>
  <c r="S379" i="6"/>
  <c r="S380" i="6"/>
  <c r="S381" i="6"/>
  <c r="S382" i="6"/>
  <c r="S383" i="6"/>
  <c r="S384" i="6"/>
  <c r="S385" i="6"/>
  <c r="S386" i="6"/>
  <c r="S387" i="6"/>
  <c r="S388" i="6"/>
  <c r="S389" i="6"/>
  <c r="S390" i="6"/>
  <c r="S391" i="6"/>
  <c r="S392" i="6"/>
  <c r="S393" i="6"/>
  <c r="S394" i="6"/>
  <c r="S395" i="6"/>
  <c r="S396" i="6"/>
  <c r="S397" i="6"/>
  <c r="S398" i="6"/>
  <c r="S399" i="6"/>
  <c r="S400" i="6"/>
  <c r="S401" i="6"/>
  <c r="S402" i="6"/>
  <c r="S403" i="6"/>
  <c r="S404" i="6"/>
  <c r="S405" i="6"/>
  <c r="S406" i="6"/>
  <c r="S407" i="6"/>
  <c r="S408" i="6"/>
  <c r="S409" i="6"/>
  <c r="S410" i="6"/>
  <c r="S411" i="6"/>
  <c r="S412" i="6"/>
  <c r="S413" i="6"/>
  <c r="S414" i="6"/>
  <c r="S415" i="6"/>
  <c r="S416" i="6"/>
  <c r="S417" i="6"/>
  <c r="S418" i="6"/>
  <c r="S419" i="6"/>
  <c r="S420" i="6"/>
  <c r="S421" i="6"/>
  <c r="S422" i="6"/>
  <c r="S423" i="6"/>
  <c r="S424" i="6"/>
  <c r="S425" i="6"/>
  <c r="S426" i="6"/>
  <c r="S427" i="6"/>
  <c r="S428" i="6"/>
  <c r="S429" i="6"/>
  <c r="S430" i="6"/>
  <c r="S431" i="6"/>
  <c r="S432" i="6"/>
  <c r="S433" i="6"/>
  <c r="S434" i="6"/>
  <c r="S435" i="6"/>
  <c r="S436" i="6"/>
  <c r="S437" i="6"/>
  <c r="S438" i="6"/>
  <c r="S439" i="6"/>
  <c r="S440" i="6"/>
  <c r="S441" i="6"/>
  <c r="S442" i="6"/>
  <c r="S443" i="6"/>
  <c r="S444" i="6"/>
  <c r="S445" i="6"/>
  <c r="S446" i="6"/>
  <c r="S447" i="6"/>
  <c r="S448" i="6"/>
  <c r="S449" i="6"/>
  <c r="S450" i="6"/>
  <c r="S451" i="6"/>
  <c r="S452" i="6"/>
  <c r="S453" i="6"/>
  <c r="S454" i="6"/>
  <c r="S455" i="6"/>
  <c r="S456" i="6"/>
  <c r="S457" i="6"/>
  <c r="S458" i="6"/>
  <c r="S459" i="6"/>
  <c r="S460" i="6"/>
  <c r="S461" i="6"/>
  <c r="S462" i="6"/>
  <c r="S463" i="6"/>
  <c r="S464" i="6"/>
  <c r="S465" i="6"/>
  <c r="S466" i="6"/>
  <c r="S467" i="6"/>
  <c r="S468" i="6"/>
  <c r="S469" i="6"/>
  <c r="S470" i="6"/>
  <c r="S471" i="6"/>
  <c r="S472" i="6"/>
  <c r="S473" i="6"/>
  <c r="S474" i="6"/>
  <c r="S475" i="6"/>
  <c r="S476" i="6"/>
  <c r="S477" i="6"/>
  <c r="S478" i="6"/>
  <c r="S479" i="6"/>
  <c r="S480" i="6"/>
  <c r="S481" i="6"/>
  <c r="S482" i="6"/>
  <c r="S483" i="6"/>
  <c r="S484" i="6"/>
  <c r="S485" i="6"/>
  <c r="S486" i="6"/>
  <c r="S487" i="6"/>
  <c r="S488" i="6"/>
  <c r="S489" i="6"/>
  <c r="S490" i="6"/>
  <c r="S491" i="6"/>
  <c r="S492" i="6"/>
  <c r="S493" i="6"/>
  <c r="S494" i="6"/>
  <c r="S495" i="6"/>
  <c r="S496" i="6"/>
  <c r="S497" i="6"/>
  <c r="S498" i="6"/>
  <c r="S499" i="6"/>
  <c r="S500" i="6"/>
  <c r="S501" i="6"/>
  <c r="S502" i="6"/>
  <c r="S503" i="6"/>
  <c r="S504" i="6"/>
  <c r="S505" i="6"/>
  <c r="S506" i="6"/>
  <c r="S507" i="6"/>
  <c r="S508" i="6"/>
  <c r="S509" i="6"/>
  <c r="S510" i="6"/>
  <c r="S511" i="6"/>
  <c r="S512" i="6"/>
  <c r="S513" i="6"/>
  <c r="S514" i="6"/>
  <c r="S515" i="6"/>
  <c r="S516" i="6"/>
  <c r="S517" i="6"/>
  <c r="S518" i="6"/>
  <c r="S519" i="6"/>
  <c r="S520" i="6"/>
  <c r="S521" i="6"/>
  <c r="S522" i="6"/>
  <c r="S523" i="6"/>
  <c r="S524" i="6"/>
  <c r="S525" i="6"/>
  <c r="S526" i="6"/>
  <c r="S527" i="6"/>
  <c r="S528" i="6"/>
  <c r="S529" i="6"/>
  <c r="S530" i="6"/>
  <c r="S531" i="6"/>
  <c r="S532" i="6"/>
  <c r="S533" i="6"/>
  <c r="S534" i="6"/>
  <c r="S535" i="6"/>
  <c r="S536" i="6"/>
  <c r="S537" i="6"/>
  <c r="S538" i="6"/>
  <c r="S539" i="6"/>
  <c r="S540" i="6"/>
  <c r="S541" i="6"/>
  <c r="S542" i="6"/>
  <c r="S543" i="6"/>
  <c r="S544" i="6"/>
  <c r="S545" i="6"/>
  <c r="S546" i="6"/>
  <c r="S547" i="6"/>
  <c r="S548" i="6"/>
  <c r="S549" i="6"/>
  <c r="S550" i="6"/>
  <c r="S551" i="6"/>
  <c r="S552" i="6"/>
  <c r="S553" i="6"/>
  <c r="S554" i="6"/>
  <c r="S555" i="6"/>
  <c r="S556" i="6"/>
  <c r="S557" i="6"/>
  <c r="S558" i="6"/>
  <c r="S559" i="6"/>
  <c r="S560" i="6"/>
  <c r="S561" i="6"/>
  <c r="S562" i="6"/>
  <c r="S563" i="6"/>
  <c r="S564" i="6"/>
  <c r="S565" i="6"/>
  <c r="S566" i="6"/>
  <c r="S567" i="6"/>
  <c r="S568" i="6"/>
  <c r="S569" i="6"/>
  <c r="S570" i="6"/>
  <c r="S571" i="6"/>
  <c r="S572" i="6"/>
  <c r="S573" i="6"/>
  <c r="S574" i="6"/>
  <c r="S575" i="6"/>
  <c r="S576" i="6"/>
  <c r="S577" i="6"/>
  <c r="S578" i="6"/>
  <c r="S579" i="6"/>
  <c r="S580" i="6"/>
  <c r="S581" i="6"/>
  <c r="S582" i="6"/>
  <c r="S583" i="6"/>
  <c r="S584" i="6"/>
  <c r="S585" i="6"/>
  <c r="S586" i="6"/>
  <c r="S587" i="6"/>
  <c r="S588" i="6"/>
  <c r="S589" i="6"/>
  <c r="S590" i="6"/>
  <c r="S591" i="6"/>
  <c r="S592" i="6"/>
  <c r="S593" i="6"/>
  <c r="S594" i="6"/>
  <c r="S595" i="6"/>
  <c r="S596" i="6"/>
  <c r="S597" i="6"/>
  <c r="S598" i="6"/>
  <c r="S599" i="6"/>
  <c r="S600" i="6"/>
  <c r="S601" i="6"/>
  <c r="S602" i="6"/>
  <c r="S603" i="6"/>
  <c r="S604" i="6"/>
  <c r="S605" i="6"/>
  <c r="S606" i="6"/>
  <c r="S607" i="6"/>
  <c r="S608" i="6"/>
  <c r="S609" i="6"/>
  <c r="S610" i="6"/>
  <c r="S611" i="6"/>
  <c r="S612" i="6"/>
  <c r="S613" i="6"/>
  <c r="S614" i="6"/>
  <c r="S615" i="6"/>
  <c r="S616" i="6"/>
  <c r="S617" i="6"/>
  <c r="S618" i="6"/>
  <c r="S619" i="6"/>
  <c r="S620" i="6"/>
  <c r="S621" i="6"/>
  <c r="S622" i="6"/>
  <c r="S623" i="6"/>
  <c r="S624" i="6"/>
  <c r="S625" i="6"/>
  <c r="S626" i="6"/>
  <c r="S627" i="6"/>
  <c r="S628" i="6"/>
  <c r="S629" i="6"/>
  <c r="S630" i="6"/>
  <c r="S631" i="6"/>
  <c r="S632" i="6"/>
  <c r="S633" i="6"/>
  <c r="S634" i="6"/>
  <c r="S635" i="6"/>
  <c r="S636" i="6"/>
  <c r="S637" i="6"/>
  <c r="S638" i="6"/>
  <c r="S639" i="6"/>
  <c r="S640" i="6"/>
  <c r="S641" i="6"/>
  <c r="S642" i="6"/>
  <c r="S643" i="6"/>
  <c r="S644" i="6"/>
  <c r="S645" i="6"/>
  <c r="S646" i="6"/>
  <c r="S647" i="6"/>
  <c r="S648" i="6"/>
  <c r="S649" i="6"/>
  <c r="S650" i="6"/>
  <c r="S651" i="6"/>
  <c r="S652" i="6"/>
  <c r="S653" i="6"/>
  <c r="S654" i="6"/>
  <c r="S655" i="6"/>
  <c r="S656" i="6"/>
  <c r="S657" i="6"/>
  <c r="S658" i="6"/>
  <c r="S659" i="6"/>
  <c r="S660" i="6"/>
  <c r="S661" i="6"/>
  <c r="S662" i="6"/>
  <c r="S663" i="6"/>
  <c r="S664" i="6"/>
  <c r="S665" i="6"/>
  <c r="S666" i="6"/>
  <c r="S667" i="6"/>
  <c r="S668" i="6"/>
  <c r="S669" i="6"/>
  <c r="S670" i="6"/>
  <c r="S671" i="6"/>
  <c r="S672" i="6"/>
  <c r="S673" i="6"/>
  <c r="S674" i="6"/>
  <c r="S675" i="6"/>
  <c r="S676" i="6"/>
  <c r="S677" i="6"/>
  <c r="S678" i="6"/>
  <c r="S679" i="6"/>
  <c r="S680" i="6"/>
  <c r="S681" i="6"/>
  <c r="S682" i="6"/>
  <c r="S683" i="6"/>
  <c r="S684" i="6"/>
  <c r="S685" i="6"/>
  <c r="S686" i="6"/>
  <c r="S687" i="6"/>
  <c r="S688" i="6"/>
  <c r="S689" i="6"/>
  <c r="S690" i="6"/>
  <c r="S691" i="6"/>
  <c r="S692" i="6"/>
  <c r="S693" i="6"/>
  <c r="S694" i="6"/>
  <c r="S695" i="6"/>
  <c r="S696" i="6"/>
  <c r="S697" i="6"/>
  <c r="S698" i="6"/>
  <c r="S699" i="6"/>
  <c r="S700" i="6"/>
  <c r="S701" i="6"/>
  <c r="S702" i="6"/>
  <c r="S703" i="6"/>
  <c r="S704" i="6"/>
  <c r="S705" i="6"/>
  <c r="S706" i="6"/>
  <c r="S707" i="6"/>
  <c r="S708" i="6"/>
  <c r="S709" i="6"/>
  <c r="S710" i="6"/>
  <c r="S711" i="6"/>
  <c r="S712" i="6"/>
  <c r="S713" i="6"/>
  <c r="S714" i="6"/>
  <c r="S715" i="6"/>
  <c r="S716" i="6"/>
  <c r="S717" i="6"/>
  <c r="S718" i="6"/>
  <c r="S719" i="6"/>
  <c r="S720" i="6"/>
  <c r="S721" i="6"/>
  <c r="S722" i="6"/>
  <c r="S723" i="6"/>
  <c r="S724" i="6"/>
  <c r="S725" i="6"/>
  <c r="S726" i="6"/>
  <c r="S727" i="6"/>
  <c r="S728" i="6"/>
  <c r="S729" i="6"/>
  <c r="S730" i="6"/>
  <c r="S731" i="6"/>
  <c r="S732" i="6"/>
  <c r="S733" i="6"/>
  <c r="S734" i="6"/>
  <c r="S735" i="6"/>
  <c r="S736" i="6"/>
  <c r="S737" i="6"/>
  <c r="S738" i="6"/>
  <c r="S739" i="6"/>
  <c r="S740" i="6"/>
  <c r="S741" i="6"/>
  <c r="S742" i="6"/>
  <c r="S743" i="6"/>
  <c r="S744" i="6"/>
  <c r="S745" i="6"/>
  <c r="S746" i="6"/>
  <c r="S747" i="6"/>
  <c r="S748" i="6"/>
  <c r="S749" i="6"/>
  <c r="S750" i="6"/>
  <c r="S751" i="6"/>
  <c r="S752" i="6"/>
  <c r="S753" i="6"/>
  <c r="S754" i="6"/>
  <c r="S755" i="6"/>
  <c r="S756" i="6"/>
  <c r="S757" i="6"/>
  <c r="S758" i="6"/>
  <c r="S759" i="6"/>
  <c r="S760" i="6"/>
  <c r="S761" i="6"/>
  <c r="S762" i="6"/>
  <c r="S763" i="6"/>
  <c r="S764" i="6"/>
  <c r="S765" i="6"/>
  <c r="S766" i="6"/>
  <c r="S767" i="6"/>
  <c r="S768" i="6"/>
  <c r="S769" i="6"/>
  <c r="S770" i="6"/>
  <c r="S771" i="6"/>
  <c r="S772" i="6"/>
  <c r="S773" i="6"/>
  <c r="S774" i="6"/>
  <c r="S775" i="6"/>
  <c r="E53" i="2"/>
  <c r="F52" i="2"/>
  <c r="E52" i="2"/>
  <c r="E51" i="2"/>
  <c r="S21" i="6"/>
  <c r="F50" i="2"/>
  <c r="D48" i="2"/>
  <c r="D49" i="2"/>
  <c r="D50" i="2"/>
  <c r="D51" i="2"/>
  <c r="D47" i="2"/>
  <c r="E50" i="2"/>
  <c r="E46" i="2"/>
  <c r="E49" i="2"/>
  <c r="B6" i="6"/>
  <c r="E48" i="2" s="1"/>
  <c r="B5" i="6"/>
  <c r="E47" i="2" s="1"/>
  <c r="R775" i="6"/>
  <c r="R774" i="6"/>
  <c r="R773" i="6"/>
  <c r="R772" i="6"/>
  <c r="R771" i="6"/>
  <c r="R770" i="6"/>
  <c r="R769" i="6"/>
  <c r="R768" i="6"/>
  <c r="R767" i="6"/>
  <c r="R766" i="6"/>
  <c r="R765" i="6"/>
  <c r="R764" i="6"/>
  <c r="R763" i="6"/>
  <c r="R762" i="6"/>
  <c r="R761" i="6"/>
  <c r="R760" i="6"/>
  <c r="R759" i="6"/>
  <c r="R758" i="6"/>
  <c r="R757" i="6"/>
  <c r="R756" i="6"/>
  <c r="R755" i="6"/>
  <c r="R754" i="6"/>
  <c r="R753" i="6"/>
  <c r="R752" i="6"/>
  <c r="R751" i="6"/>
  <c r="R750" i="6"/>
  <c r="R749" i="6"/>
  <c r="R748" i="6"/>
  <c r="R747" i="6"/>
  <c r="R746" i="6"/>
  <c r="R745" i="6"/>
  <c r="R744" i="6"/>
  <c r="R743" i="6"/>
  <c r="R742" i="6"/>
  <c r="R741" i="6"/>
  <c r="R740" i="6"/>
  <c r="R739" i="6"/>
  <c r="R738" i="6"/>
  <c r="R737" i="6"/>
  <c r="R736" i="6"/>
  <c r="R735" i="6"/>
  <c r="R734" i="6"/>
  <c r="R733" i="6"/>
  <c r="R732" i="6"/>
  <c r="R731" i="6"/>
  <c r="R730" i="6"/>
  <c r="R729" i="6"/>
  <c r="R728" i="6"/>
  <c r="R727" i="6"/>
  <c r="R726" i="6"/>
  <c r="R725" i="6"/>
  <c r="R724" i="6"/>
  <c r="R723" i="6"/>
  <c r="R722" i="6"/>
  <c r="R721" i="6"/>
  <c r="R720" i="6"/>
  <c r="R719" i="6"/>
  <c r="R718" i="6"/>
  <c r="R717" i="6"/>
  <c r="R716" i="6"/>
  <c r="R715" i="6"/>
  <c r="R714" i="6"/>
  <c r="R713" i="6"/>
  <c r="R712" i="6"/>
  <c r="R711" i="6"/>
  <c r="R710" i="6"/>
  <c r="R709" i="6"/>
  <c r="R708" i="6"/>
  <c r="R707" i="6"/>
  <c r="R706" i="6"/>
  <c r="R705" i="6"/>
  <c r="R704" i="6"/>
  <c r="R703" i="6"/>
  <c r="R702" i="6"/>
  <c r="R701" i="6"/>
  <c r="R700" i="6"/>
  <c r="R699" i="6"/>
  <c r="R698" i="6"/>
  <c r="R697" i="6"/>
  <c r="R696" i="6"/>
  <c r="R695" i="6"/>
  <c r="R694" i="6"/>
  <c r="R693" i="6"/>
  <c r="R692" i="6"/>
  <c r="R691" i="6"/>
  <c r="R690" i="6"/>
  <c r="R689" i="6"/>
  <c r="R688" i="6"/>
  <c r="R687" i="6"/>
  <c r="R686" i="6"/>
  <c r="R685" i="6"/>
  <c r="R684" i="6"/>
  <c r="R683" i="6"/>
  <c r="R682" i="6"/>
  <c r="R681" i="6"/>
  <c r="R680" i="6"/>
  <c r="R679" i="6"/>
  <c r="R678" i="6"/>
  <c r="R677" i="6"/>
  <c r="R676" i="6"/>
  <c r="R675" i="6"/>
  <c r="R674" i="6"/>
  <c r="R673" i="6"/>
  <c r="R672" i="6"/>
  <c r="R671" i="6"/>
  <c r="R670" i="6"/>
  <c r="R669" i="6"/>
  <c r="R668" i="6"/>
  <c r="R667" i="6"/>
  <c r="R666" i="6"/>
  <c r="R665" i="6"/>
  <c r="R664" i="6"/>
  <c r="R663" i="6"/>
  <c r="R662" i="6"/>
  <c r="R661" i="6"/>
  <c r="R660" i="6"/>
  <c r="R659" i="6"/>
  <c r="R658" i="6"/>
  <c r="R657" i="6"/>
  <c r="R656" i="6"/>
  <c r="R655" i="6"/>
  <c r="R654" i="6"/>
  <c r="R653" i="6"/>
  <c r="R652" i="6"/>
  <c r="R651" i="6"/>
  <c r="R650" i="6"/>
  <c r="R649" i="6"/>
  <c r="R648" i="6"/>
  <c r="R647" i="6"/>
  <c r="R646" i="6"/>
  <c r="R645" i="6"/>
  <c r="R644" i="6"/>
  <c r="R643" i="6"/>
  <c r="R642" i="6"/>
  <c r="R641" i="6"/>
  <c r="R640" i="6"/>
  <c r="R639" i="6"/>
  <c r="R638" i="6"/>
  <c r="R637" i="6"/>
  <c r="R636" i="6"/>
  <c r="R635" i="6"/>
  <c r="R634" i="6"/>
  <c r="R633" i="6"/>
  <c r="R632" i="6"/>
  <c r="R631" i="6"/>
  <c r="R630" i="6"/>
  <c r="R629" i="6"/>
  <c r="R628" i="6"/>
  <c r="R627" i="6"/>
  <c r="R626" i="6"/>
  <c r="R625" i="6"/>
  <c r="R624" i="6"/>
  <c r="R623" i="6"/>
  <c r="R622" i="6"/>
  <c r="R621" i="6"/>
  <c r="R620" i="6"/>
  <c r="R619" i="6"/>
  <c r="R618" i="6"/>
  <c r="R617" i="6"/>
  <c r="R616" i="6"/>
  <c r="R615" i="6"/>
  <c r="R614" i="6"/>
  <c r="R613" i="6"/>
  <c r="R612" i="6"/>
  <c r="R611" i="6"/>
  <c r="R610" i="6"/>
  <c r="R609" i="6"/>
  <c r="R608" i="6"/>
  <c r="R607" i="6"/>
  <c r="R606" i="6"/>
  <c r="R605" i="6"/>
  <c r="R604" i="6"/>
  <c r="R603" i="6"/>
  <c r="R602" i="6"/>
  <c r="R601" i="6"/>
  <c r="R600" i="6"/>
  <c r="R599" i="6"/>
  <c r="R598" i="6"/>
  <c r="R597" i="6"/>
  <c r="R596" i="6"/>
  <c r="R595" i="6"/>
  <c r="R594" i="6"/>
  <c r="R593" i="6"/>
  <c r="R592" i="6"/>
  <c r="R591" i="6"/>
  <c r="R590" i="6"/>
  <c r="R589" i="6"/>
  <c r="R588" i="6"/>
  <c r="R587" i="6"/>
  <c r="R586" i="6"/>
  <c r="R585" i="6"/>
  <c r="R584" i="6"/>
  <c r="R583" i="6"/>
  <c r="R582" i="6"/>
  <c r="R581" i="6"/>
  <c r="R580" i="6"/>
  <c r="R579" i="6"/>
  <c r="R578" i="6"/>
  <c r="R577" i="6"/>
  <c r="R576" i="6"/>
  <c r="R575" i="6"/>
  <c r="R574" i="6"/>
  <c r="R573" i="6"/>
  <c r="R572" i="6"/>
  <c r="R571" i="6"/>
  <c r="R570" i="6"/>
  <c r="R569" i="6"/>
  <c r="R568" i="6"/>
  <c r="R567" i="6"/>
  <c r="R566" i="6"/>
  <c r="R565" i="6"/>
  <c r="R564" i="6"/>
  <c r="R563" i="6"/>
  <c r="R562" i="6"/>
  <c r="R561" i="6"/>
  <c r="R560" i="6"/>
  <c r="R559" i="6"/>
  <c r="R558" i="6"/>
  <c r="R557" i="6"/>
  <c r="R556" i="6"/>
  <c r="R555" i="6"/>
  <c r="R554" i="6"/>
  <c r="R553" i="6"/>
  <c r="R552" i="6"/>
  <c r="R551" i="6"/>
  <c r="R550" i="6"/>
  <c r="R549" i="6"/>
  <c r="R548" i="6"/>
  <c r="R547" i="6"/>
  <c r="R546" i="6"/>
  <c r="R545" i="6"/>
  <c r="R544" i="6"/>
  <c r="R543" i="6"/>
  <c r="R542" i="6"/>
  <c r="R541" i="6"/>
  <c r="R540" i="6"/>
  <c r="R539" i="6"/>
  <c r="R538" i="6"/>
  <c r="R537" i="6"/>
  <c r="R536" i="6"/>
  <c r="R535" i="6"/>
  <c r="R534" i="6"/>
  <c r="R533" i="6"/>
  <c r="R532" i="6"/>
  <c r="R531" i="6"/>
  <c r="R530" i="6"/>
  <c r="R529" i="6"/>
  <c r="R528" i="6"/>
  <c r="R527" i="6"/>
  <c r="R526" i="6"/>
  <c r="R525" i="6"/>
  <c r="R524" i="6"/>
  <c r="R523" i="6"/>
  <c r="R522" i="6"/>
  <c r="R521" i="6"/>
  <c r="R520" i="6"/>
  <c r="R519" i="6"/>
  <c r="R518" i="6"/>
  <c r="R517" i="6"/>
  <c r="R516" i="6"/>
  <c r="R515" i="6"/>
  <c r="R514" i="6"/>
  <c r="R513" i="6"/>
  <c r="R512" i="6"/>
  <c r="R511" i="6"/>
  <c r="R510" i="6"/>
  <c r="R509" i="6"/>
  <c r="R508" i="6"/>
  <c r="R507" i="6"/>
  <c r="R506" i="6"/>
  <c r="R505" i="6"/>
  <c r="R504" i="6"/>
  <c r="R503" i="6"/>
  <c r="R502" i="6"/>
  <c r="R501" i="6"/>
  <c r="R500" i="6"/>
  <c r="R499" i="6"/>
  <c r="R498" i="6"/>
  <c r="R497" i="6"/>
  <c r="R496" i="6"/>
  <c r="R495" i="6"/>
  <c r="R494" i="6"/>
  <c r="R493" i="6"/>
  <c r="R492" i="6"/>
  <c r="R491" i="6"/>
  <c r="R490" i="6"/>
  <c r="R489" i="6"/>
  <c r="R488" i="6"/>
  <c r="R487" i="6"/>
  <c r="R486" i="6"/>
  <c r="R485" i="6"/>
  <c r="R484" i="6"/>
  <c r="R483" i="6"/>
  <c r="R482" i="6"/>
  <c r="R481" i="6"/>
  <c r="R480" i="6"/>
  <c r="R479" i="6"/>
  <c r="R478" i="6"/>
  <c r="R477" i="6"/>
  <c r="R476" i="6"/>
  <c r="R475" i="6"/>
  <c r="R474" i="6"/>
  <c r="R473" i="6"/>
  <c r="R472" i="6"/>
  <c r="R471" i="6"/>
  <c r="R470" i="6"/>
  <c r="R469" i="6"/>
  <c r="R468" i="6"/>
  <c r="R467" i="6"/>
  <c r="R466" i="6"/>
  <c r="R465" i="6"/>
  <c r="R464" i="6"/>
  <c r="R463" i="6"/>
  <c r="R462" i="6"/>
  <c r="R461" i="6"/>
  <c r="R460" i="6"/>
  <c r="R459" i="6"/>
  <c r="R458" i="6"/>
  <c r="R457" i="6"/>
  <c r="R456" i="6"/>
  <c r="R455" i="6"/>
  <c r="R454" i="6"/>
  <c r="R453" i="6"/>
  <c r="R452" i="6"/>
  <c r="R451" i="6"/>
  <c r="R450" i="6"/>
  <c r="R449" i="6"/>
  <c r="R448" i="6"/>
  <c r="R447" i="6"/>
  <c r="R446" i="6"/>
  <c r="R445" i="6"/>
  <c r="R444" i="6"/>
  <c r="R443" i="6"/>
  <c r="R442" i="6"/>
  <c r="R441" i="6"/>
  <c r="R440" i="6"/>
  <c r="R439" i="6"/>
  <c r="R438" i="6"/>
  <c r="R437" i="6"/>
  <c r="R436" i="6"/>
  <c r="R435" i="6"/>
  <c r="R434" i="6"/>
  <c r="R433" i="6"/>
  <c r="R432" i="6"/>
  <c r="R431" i="6"/>
  <c r="R430" i="6"/>
  <c r="R429" i="6"/>
  <c r="R428" i="6"/>
  <c r="R427" i="6"/>
  <c r="R426" i="6"/>
  <c r="R425" i="6"/>
  <c r="R424" i="6"/>
  <c r="R423" i="6"/>
  <c r="R422" i="6"/>
  <c r="R421" i="6"/>
  <c r="R420" i="6"/>
  <c r="R419" i="6"/>
  <c r="R418" i="6"/>
  <c r="R417" i="6"/>
  <c r="R416" i="6"/>
  <c r="R415" i="6"/>
  <c r="R414" i="6"/>
  <c r="R413" i="6"/>
  <c r="R412" i="6"/>
  <c r="R411" i="6"/>
  <c r="R410" i="6"/>
  <c r="R409" i="6"/>
  <c r="R408" i="6"/>
  <c r="R407" i="6"/>
  <c r="R406" i="6"/>
  <c r="R405" i="6"/>
  <c r="R404" i="6"/>
  <c r="R403" i="6"/>
  <c r="R402" i="6"/>
  <c r="R401" i="6"/>
  <c r="R400" i="6"/>
  <c r="R399" i="6"/>
  <c r="R398" i="6"/>
  <c r="R397" i="6"/>
  <c r="R396" i="6"/>
  <c r="R395" i="6"/>
  <c r="R394" i="6"/>
  <c r="R393" i="6"/>
  <c r="R392" i="6"/>
  <c r="R391" i="6"/>
  <c r="R390" i="6"/>
  <c r="R389" i="6"/>
  <c r="R388" i="6"/>
  <c r="R387" i="6"/>
  <c r="R386" i="6"/>
  <c r="R385" i="6"/>
  <c r="R384" i="6"/>
  <c r="R383" i="6"/>
  <c r="R382" i="6"/>
  <c r="R381" i="6"/>
  <c r="R380" i="6"/>
  <c r="R379" i="6"/>
  <c r="R378" i="6"/>
  <c r="R377" i="6"/>
  <c r="R376" i="6"/>
  <c r="R375" i="6"/>
  <c r="R374" i="6"/>
  <c r="R373" i="6"/>
  <c r="R372" i="6"/>
  <c r="R371" i="6"/>
  <c r="R370" i="6"/>
  <c r="R369" i="6"/>
  <c r="R368" i="6"/>
  <c r="R367" i="6"/>
  <c r="R366" i="6"/>
  <c r="R365" i="6"/>
  <c r="R364" i="6"/>
  <c r="R363" i="6"/>
  <c r="R362" i="6"/>
  <c r="R361" i="6"/>
  <c r="R360" i="6"/>
  <c r="R359" i="6"/>
  <c r="R358" i="6"/>
  <c r="R357" i="6"/>
  <c r="R356" i="6"/>
  <c r="R355" i="6"/>
  <c r="R354" i="6"/>
  <c r="R353" i="6"/>
  <c r="R352" i="6"/>
  <c r="R351" i="6"/>
  <c r="R350" i="6"/>
  <c r="R349" i="6"/>
  <c r="R348" i="6"/>
  <c r="R347" i="6"/>
  <c r="R346" i="6"/>
  <c r="R345" i="6"/>
  <c r="R344" i="6"/>
  <c r="R343" i="6"/>
  <c r="R342" i="6"/>
  <c r="R341" i="6"/>
  <c r="R340" i="6"/>
  <c r="R339" i="6"/>
  <c r="R338" i="6"/>
  <c r="R337" i="6"/>
  <c r="R336" i="6"/>
  <c r="R335" i="6"/>
  <c r="R334" i="6"/>
  <c r="R333" i="6"/>
  <c r="R332" i="6"/>
  <c r="R331" i="6"/>
  <c r="R330" i="6"/>
  <c r="R329" i="6"/>
  <c r="R328" i="6"/>
  <c r="R327" i="6"/>
  <c r="R326" i="6"/>
  <c r="R325" i="6"/>
  <c r="R324" i="6"/>
  <c r="R323" i="6"/>
  <c r="R322" i="6"/>
  <c r="R321" i="6"/>
  <c r="R320" i="6"/>
  <c r="R319" i="6"/>
  <c r="R318" i="6"/>
  <c r="R317" i="6"/>
  <c r="R316" i="6"/>
  <c r="R315" i="6"/>
  <c r="R314" i="6"/>
  <c r="R313" i="6"/>
  <c r="R312" i="6"/>
  <c r="R311" i="6"/>
  <c r="R310" i="6"/>
  <c r="R309" i="6"/>
  <c r="R308" i="6"/>
  <c r="R307" i="6"/>
  <c r="R306" i="6"/>
  <c r="R305" i="6"/>
  <c r="R304" i="6"/>
  <c r="R303" i="6"/>
  <c r="R302" i="6"/>
  <c r="R301" i="6"/>
  <c r="R300" i="6"/>
  <c r="R299" i="6"/>
  <c r="R298" i="6"/>
  <c r="R297" i="6"/>
  <c r="R296" i="6"/>
  <c r="R295" i="6"/>
  <c r="R294" i="6"/>
  <c r="R293" i="6"/>
  <c r="R292" i="6"/>
  <c r="R291" i="6"/>
  <c r="R290" i="6"/>
  <c r="R289" i="6"/>
  <c r="R288" i="6"/>
  <c r="R287" i="6"/>
  <c r="R286" i="6"/>
  <c r="R285" i="6"/>
  <c r="R284" i="6"/>
  <c r="R283" i="6"/>
  <c r="R282" i="6"/>
  <c r="R281" i="6"/>
  <c r="R280" i="6"/>
  <c r="R279" i="6"/>
  <c r="R278" i="6"/>
  <c r="R277" i="6"/>
  <c r="R276" i="6"/>
  <c r="R275" i="6"/>
  <c r="R274" i="6"/>
  <c r="R273" i="6"/>
  <c r="R272" i="6"/>
  <c r="R271" i="6"/>
  <c r="R270" i="6"/>
  <c r="R269" i="6"/>
  <c r="R268" i="6"/>
  <c r="R267" i="6"/>
  <c r="R266" i="6"/>
  <c r="R265" i="6"/>
  <c r="R264" i="6"/>
  <c r="R263" i="6"/>
  <c r="R262" i="6"/>
  <c r="R261" i="6"/>
  <c r="R260" i="6"/>
  <c r="R259" i="6"/>
  <c r="R258" i="6"/>
  <c r="R257" i="6"/>
  <c r="R256" i="6"/>
  <c r="R255" i="6"/>
  <c r="R254" i="6"/>
  <c r="R253" i="6"/>
  <c r="R252" i="6"/>
  <c r="R251" i="6"/>
  <c r="R250" i="6"/>
  <c r="R249" i="6"/>
  <c r="R248" i="6"/>
  <c r="R247" i="6"/>
  <c r="R246" i="6"/>
  <c r="R245" i="6"/>
  <c r="R244" i="6"/>
  <c r="R243" i="6"/>
  <c r="R242" i="6"/>
  <c r="R241" i="6"/>
  <c r="R240" i="6"/>
  <c r="R239" i="6"/>
  <c r="R238" i="6"/>
  <c r="R237" i="6"/>
  <c r="R236" i="6"/>
  <c r="R235" i="6"/>
  <c r="R234" i="6"/>
  <c r="R233" i="6"/>
  <c r="R232" i="6"/>
  <c r="R231" i="6"/>
  <c r="R230" i="6"/>
  <c r="R229" i="6"/>
  <c r="R228" i="6"/>
  <c r="R227" i="6"/>
  <c r="R226" i="6"/>
  <c r="R225" i="6"/>
  <c r="R224" i="6"/>
  <c r="R223" i="6"/>
  <c r="R222" i="6"/>
  <c r="R221" i="6"/>
  <c r="R220" i="6"/>
  <c r="R219" i="6"/>
  <c r="R218" i="6"/>
  <c r="R217" i="6"/>
  <c r="R216" i="6"/>
  <c r="R215" i="6"/>
  <c r="R214" i="6"/>
  <c r="R213" i="6"/>
  <c r="R212" i="6"/>
  <c r="R211" i="6"/>
  <c r="R210" i="6"/>
  <c r="R209" i="6"/>
  <c r="R208" i="6"/>
  <c r="R207" i="6"/>
  <c r="R206" i="6"/>
  <c r="R205" i="6"/>
  <c r="R204" i="6"/>
  <c r="R203" i="6"/>
  <c r="R202" i="6"/>
  <c r="R201" i="6"/>
  <c r="R200" i="6"/>
  <c r="R199" i="6"/>
  <c r="R198" i="6"/>
  <c r="R197" i="6"/>
  <c r="R196" i="6"/>
  <c r="R195" i="6"/>
  <c r="R194" i="6"/>
  <c r="R193" i="6"/>
  <c r="R192" i="6"/>
  <c r="R191" i="6"/>
  <c r="R190" i="6"/>
  <c r="R189" i="6"/>
  <c r="R188" i="6"/>
  <c r="R187" i="6"/>
  <c r="R186" i="6"/>
  <c r="R185" i="6"/>
  <c r="R184" i="6"/>
  <c r="R183" i="6"/>
  <c r="R182" i="6"/>
  <c r="R181" i="6"/>
  <c r="R180" i="6"/>
  <c r="R179" i="6"/>
  <c r="R178" i="6"/>
  <c r="R177" i="6"/>
  <c r="R176" i="6"/>
  <c r="R175" i="6"/>
  <c r="R174" i="6"/>
  <c r="R173" i="6"/>
  <c r="R172" i="6"/>
  <c r="R171" i="6"/>
  <c r="R170" i="6"/>
  <c r="R169" i="6"/>
  <c r="R168" i="6"/>
  <c r="R167" i="6"/>
  <c r="R166" i="6"/>
  <c r="R165" i="6"/>
  <c r="R164" i="6"/>
  <c r="R163" i="6"/>
  <c r="R162" i="6"/>
  <c r="R161" i="6"/>
  <c r="R160" i="6"/>
  <c r="R159" i="6"/>
  <c r="R158" i="6"/>
  <c r="R157" i="6"/>
  <c r="R156" i="6"/>
  <c r="R155" i="6"/>
  <c r="R154" i="6"/>
  <c r="R153" i="6"/>
  <c r="R152" i="6"/>
  <c r="R151" i="6"/>
  <c r="R150" i="6"/>
  <c r="R149" i="6"/>
  <c r="R148" i="6"/>
  <c r="R147" i="6"/>
  <c r="R146" i="6"/>
  <c r="R145" i="6"/>
  <c r="R144" i="6"/>
  <c r="R143" i="6"/>
  <c r="R142" i="6"/>
  <c r="R141" i="6"/>
  <c r="R140" i="6"/>
  <c r="R139" i="6"/>
  <c r="R138" i="6"/>
  <c r="R137" i="6"/>
  <c r="R136" i="6"/>
  <c r="R135" i="6"/>
  <c r="R134" i="6"/>
  <c r="R133" i="6"/>
  <c r="R132" i="6"/>
  <c r="R131" i="6"/>
  <c r="R130" i="6"/>
  <c r="R129" i="6"/>
  <c r="R128" i="6"/>
  <c r="R127" i="6"/>
  <c r="R126" i="6"/>
  <c r="R125" i="6"/>
  <c r="R124" i="6"/>
  <c r="R123" i="6"/>
  <c r="R122" i="6"/>
  <c r="R121" i="6"/>
  <c r="R120" i="6"/>
  <c r="R119" i="6"/>
  <c r="R118" i="6"/>
  <c r="R117" i="6"/>
  <c r="R116" i="6"/>
  <c r="R115" i="6"/>
  <c r="R114" i="6"/>
  <c r="R113" i="6"/>
  <c r="R112" i="6"/>
  <c r="R111" i="6"/>
  <c r="R110" i="6"/>
  <c r="R109" i="6"/>
  <c r="R108" i="6"/>
  <c r="R107" i="6"/>
  <c r="R106" i="6"/>
  <c r="R105" i="6"/>
  <c r="R104" i="6"/>
  <c r="R103" i="6"/>
  <c r="R102" i="6"/>
  <c r="R101" i="6"/>
  <c r="R100" i="6"/>
  <c r="R99" i="6"/>
  <c r="R98" i="6"/>
  <c r="R97" i="6"/>
  <c r="R96" i="6"/>
  <c r="R95" i="6"/>
  <c r="R94" i="6"/>
  <c r="R93" i="6"/>
  <c r="R92" i="6"/>
  <c r="R91" i="6"/>
  <c r="R90" i="6"/>
  <c r="R89" i="6"/>
  <c r="R88" i="6"/>
  <c r="R87" i="6"/>
  <c r="R86" i="6"/>
  <c r="R85" i="6"/>
  <c r="R84" i="6"/>
  <c r="R83" i="6"/>
  <c r="R82" i="6"/>
  <c r="R81" i="6"/>
  <c r="R80" i="6"/>
  <c r="R79" i="6"/>
  <c r="R78" i="6"/>
  <c r="R77" i="6"/>
  <c r="R76" i="6"/>
  <c r="R75" i="6"/>
  <c r="R74" i="6"/>
  <c r="R73" i="6"/>
  <c r="R72" i="6"/>
  <c r="R71" i="6"/>
  <c r="R70" i="6"/>
  <c r="R69" i="6"/>
  <c r="R68" i="6"/>
  <c r="R67" i="6"/>
  <c r="R66" i="6"/>
  <c r="R65" i="6"/>
  <c r="R64" i="6"/>
  <c r="R63" i="6"/>
  <c r="R62" i="6"/>
  <c r="R61" i="6"/>
  <c r="R60" i="6"/>
  <c r="R59" i="6"/>
  <c r="R58" i="6"/>
  <c r="R57" i="6"/>
  <c r="R56" i="6"/>
  <c r="R55" i="6"/>
  <c r="R54" i="6"/>
  <c r="R53" i="6"/>
  <c r="R52" i="6"/>
  <c r="R51" i="6"/>
  <c r="R50" i="6"/>
  <c r="R49" i="6"/>
  <c r="R48" i="6"/>
  <c r="R47" i="6"/>
  <c r="R46" i="6"/>
  <c r="R45" i="6"/>
  <c r="R44" i="6"/>
  <c r="R43" i="6"/>
  <c r="R42" i="6"/>
  <c r="R41" i="6"/>
  <c r="R40" i="6"/>
  <c r="R39" i="6"/>
  <c r="R38" i="6"/>
  <c r="R37" i="6"/>
  <c r="R36" i="6"/>
  <c r="R35" i="6"/>
  <c r="R34" i="6"/>
  <c r="R33" i="6"/>
  <c r="R32" i="6"/>
  <c r="R31" i="6"/>
  <c r="R30" i="6"/>
  <c r="R29" i="6"/>
  <c r="R28" i="6"/>
  <c r="R27" i="6"/>
  <c r="R26" i="6"/>
  <c r="R25" i="6"/>
  <c r="R24" i="6"/>
  <c r="R23" i="6"/>
  <c r="R22" i="6"/>
  <c r="R21" i="6"/>
  <c r="C5" i="9"/>
  <c r="H8" i="2" l="1"/>
  <c r="H4" i="2"/>
  <c r="F17" i="8" s="1"/>
  <c r="G17" i="8" s="1"/>
  <c r="G18" i="8" s="1"/>
  <c r="C4" i="2"/>
  <c r="C4" i="9" s="1"/>
  <c r="B48" i="2"/>
  <c r="D42" i="9" s="1"/>
  <c r="J2" i="2"/>
  <c r="J3" i="2" s="1"/>
  <c r="F53" i="2"/>
  <c r="C5" i="6"/>
  <c r="F47" i="2" s="1"/>
  <c r="H48" i="2"/>
  <c r="J6" i="6"/>
  <c r="J48" i="2" s="1"/>
  <c r="E54" i="2"/>
  <c r="H47" i="2"/>
  <c r="J5" i="6"/>
  <c r="J47" i="2" s="1"/>
  <c r="C5" i="7"/>
  <c r="F51" i="2"/>
  <c r="F49" i="2"/>
  <c r="C6" i="6"/>
  <c r="D42" i="7" l="1"/>
  <c r="C57" i="7"/>
  <c r="C57" i="9"/>
  <c r="C58" i="7"/>
  <c r="C58" i="9"/>
  <c r="F48" i="2"/>
  <c r="F54" i="2" s="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21" i="1"/>
  <c r="I20" i="2"/>
  <c r="H20" i="2"/>
  <c r="I13" i="2"/>
  <c r="H13" i="2"/>
  <c r="I14" i="2" s="1"/>
  <c r="B11" i="2" l="1"/>
  <c r="D17" i="9" s="1"/>
  <c r="I21" i="2"/>
  <c r="E10" i="2"/>
  <c r="C4" i="7"/>
  <c r="D17" i="7" l="1"/>
  <c r="D10" i="7"/>
  <c r="G11" i="7" s="1"/>
  <c r="D10" i="9"/>
  <c r="E12" i="2"/>
  <c r="G10" i="7" l="1"/>
  <c r="F10" i="7"/>
  <c r="F11" i="7" s="1"/>
  <c r="G11" i="9"/>
  <c r="G10" i="9"/>
  <c r="F10" i="9"/>
  <c r="E14" i="2"/>
  <c r="E13" i="2"/>
  <c r="C4" i="8"/>
  <c r="B5" i="8"/>
  <c r="A5" i="8"/>
  <c r="A4" i="8"/>
  <c r="F11" i="9" l="1"/>
  <c r="B49" i="2"/>
  <c r="D43" i="9" s="1"/>
  <c r="B12" i="2"/>
  <c r="D18" i="9" s="1"/>
  <c r="C5" i="8"/>
  <c r="B6" i="8"/>
  <c r="B50" i="2" l="1"/>
  <c r="B13" i="2"/>
  <c r="D18" i="7"/>
  <c r="D43" i="7"/>
  <c r="C6" i="8"/>
  <c r="B7" i="8"/>
  <c r="A6" i="8"/>
  <c r="D44" i="7" l="1"/>
  <c r="D44" i="9"/>
  <c r="D19" i="7"/>
  <c r="D19" i="9"/>
  <c r="B51" i="2"/>
  <c r="D45" i="9" s="1"/>
  <c r="B14" i="2"/>
  <c r="D20" i="9" s="1"/>
  <c r="C7" i="8"/>
  <c r="B8" i="8"/>
  <c r="A7" i="8"/>
  <c r="B52" i="2" l="1"/>
  <c r="B15" i="2"/>
  <c r="D20" i="7"/>
  <c r="D45" i="7"/>
  <c r="C8" i="8"/>
  <c r="B9" i="8"/>
  <c r="A8" i="8"/>
  <c r="D46" i="7" l="1"/>
  <c r="D46" i="9"/>
  <c r="D21" i="7"/>
  <c r="D21" i="9"/>
  <c r="B53" i="2"/>
  <c r="D47" i="9" s="1"/>
  <c r="B16" i="2"/>
  <c r="D22" i="9" s="1"/>
  <c r="C9" i="8"/>
  <c r="B10" i="8"/>
  <c r="A9" i="8"/>
  <c r="B54" i="2" l="1"/>
  <c r="B17" i="2"/>
  <c r="D22" i="7"/>
  <c r="D47" i="7"/>
  <c r="C10" i="8"/>
  <c r="B11" i="8"/>
  <c r="A10" i="8"/>
  <c r="D48" i="7" l="1"/>
  <c r="D48" i="9"/>
  <c r="D23" i="7"/>
  <c r="D23" i="9"/>
  <c r="B55" i="2"/>
  <c r="D49" i="9" s="1"/>
  <c r="B18" i="2"/>
  <c r="D24" i="9" s="1"/>
  <c r="C11" i="8"/>
  <c r="B12" i="8"/>
  <c r="A11" i="8"/>
  <c r="B56" i="2" l="1"/>
  <c r="B19" i="2"/>
  <c r="D24" i="7"/>
  <c r="D49" i="7"/>
  <c r="C12" i="8"/>
  <c r="B13" i="8"/>
  <c r="A12" i="8"/>
  <c r="D50" i="7" l="1"/>
  <c r="D50" i="9"/>
  <c r="D25" i="7"/>
  <c r="D25" i="9"/>
  <c r="B57" i="2"/>
  <c r="D51" i="9" s="1"/>
  <c r="B20" i="2"/>
  <c r="D26" i="9" s="1"/>
  <c r="C13" i="8"/>
  <c r="B14" i="8"/>
  <c r="A13" i="8"/>
  <c r="B58" i="2" l="1"/>
  <c r="B21" i="2"/>
  <c r="D26" i="7"/>
  <c r="D51" i="7"/>
  <c r="B15" i="8"/>
  <c r="A14" i="8"/>
  <c r="C14" i="8"/>
  <c r="D52" i="7" l="1"/>
  <c r="D52" i="9"/>
  <c r="D27" i="7"/>
  <c r="D27" i="9"/>
  <c r="B59" i="2"/>
  <c r="D53" i="9" s="1"/>
  <c r="B22" i="2"/>
  <c r="D28" i="9" s="1"/>
  <c r="B16" i="8"/>
  <c r="A15" i="8"/>
  <c r="C15" i="8"/>
  <c r="D29" i="9" l="1"/>
  <c r="G17" i="9" s="1"/>
  <c r="D54" i="9"/>
  <c r="G43" i="9" s="1"/>
  <c r="D28" i="7"/>
  <c r="B23" i="2"/>
  <c r="H19" i="8" s="1"/>
  <c r="H20" i="8" s="1"/>
  <c r="H22" i="8" s="1"/>
  <c r="H11" i="8" s="1"/>
  <c r="D53" i="7"/>
  <c r="D54" i="7" s="1"/>
  <c r="G43" i="7" s="1"/>
  <c r="B60" i="2"/>
  <c r="B17" i="8"/>
  <c r="A16" i="8"/>
  <c r="C16" i="8"/>
  <c r="H5" i="9" l="1"/>
  <c r="G13" i="9"/>
  <c r="G95" i="9"/>
  <c r="G96" i="9" s="1"/>
  <c r="H43" i="9"/>
  <c r="H44" i="9" s="1"/>
  <c r="G46" i="9" s="1"/>
  <c r="H13" i="8"/>
  <c r="H15" i="8" s="1"/>
  <c r="H12" i="8"/>
  <c r="H5" i="2"/>
  <c r="G19" i="8"/>
  <c r="G20" i="8" s="1"/>
  <c r="G22" i="8" s="1"/>
  <c r="G11" i="8" s="1"/>
  <c r="E19" i="2"/>
  <c r="E17" i="2"/>
  <c r="H28" i="7"/>
  <c r="H29" i="7" s="1"/>
  <c r="G27" i="7"/>
  <c r="G32" i="7"/>
  <c r="B32" i="7" s="1"/>
  <c r="D29" i="7"/>
  <c r="G31" i="7" s="1"/>
  <c r="B31" i="7" s="1"/>
  <c r="B18" i="8"/>
  <c r="A17" i="8"/>
  <c r="C17" i="8"/>
  <c r="H28" i="9" l="1"/>
  <c r="G27" i="9"/>
  <c r="G12" i="8"/>
  <c r="G13" i="8"/>
  <c r="G15" i="8" s="1"/>
  <c r="G95" i="7"/>
  <c r="G13" i="7"/>
  <c r="H43" i="7"/>
  <c r="H44" i="7" s="1"/>
  <c r="G46" i="7" s="1"/>
  <c r="G17" i="7"/>
  <c r="E21" i="2"/>
  <c r="E20" i="2"/>
  <c r="B19" i="8"/>
  <c r="A18" i="8"/>
  <c r="C18" i="8"/>
  <c r="H29" i="9" l="1"/>
  <c r="G32" i="9"/>
  <c r="B32" i="9" s="1"/>
  <c r="G96" i="7"/>
  <c r="B20" i="8"/>
  <c r="A19" i="8"/>
  <c r="C19" i="8"/>
  <c r="B21" i="8" l="1"/>
  <c r="A20" i="8"/>
  <c r="C20" i="8"/>
  <c r="B22" i="8" l="1"/>
  <c r="A21" i="8"/>
  <c r="C21" i="8"/>
  <c r="B23" i="8" l="1"/>
  <c r="A22" i="8"/>
  <c r="C22" i="8"/>
  <c r="B24" i="8" l="1"/>
  <c r="A23" i="8"/>
  <c r="C23" i="8"/>
  <c r="B25" i="8" l="1"/>
  <c r="A24" i="8"/>
  <c r="C24" i="8"/>
  <c r="B26" i="8" l="1"/>
  <c r="A25" i="8"/>
  <c r="C25" i="8"/>
  <c r="B27" i="8" l="1"/>
  <c r="A26" i="8"/>
  <c r="C26" i="8"/>
  <c r="B28" i="8" l="1"/>
  <c r="A27" i="8"/>
  <c r="C27" i="8"/>
  <c r="B29" i="8" l="1"/>
  <c r="A28" i="8"/>
  <c r="C28" i="8"/>
  <c r="B30" i="8" l="1"/>
  <c r="A29" i="8"/>
  <c r="C29" i="8"/>
  <c r="B31" i="8" l="1"/>
  <c r="A30" i="8"/>
  <c r="C30" i="8"/>
  <c r="B32" i="8" l="1"/>
  <c r="A31" i="8"/>
  <c r="C31" i="8"/>
  <c r="B33" i="8" l="1"/>
  <c r="A32" i="8"/>
  <c r="C32" i="8"/>
  <c r="B34" i="8" l="1"/>
  <c r="A33" i="8"/>
  <c r="C33" i="8"/>
  <c r="B35" i="8" l="1"/>
  <c r="A34" i="8"/>
  <c r="C34" i="8"/>
  <c r="B36" i="8" l="1"/>
  <c r="A35" i="8"/>
  <c r="C35" i="8"/>
  <c r="B37" i="8" l="1"/>
  <c r="A36" i="8"/>
  <c r="C36" i="8"/>
  <c r="B38" i="8" l="1"/>
  <c r="A37" i="8"/>
  <c r="C37" i="8"/>
  <c r="B39" i="8" l="1"/>
  <c r="A38" i="8"/>
  <c r="C38" i="8"/>
  <c r="B40" i="8" l="1"/>
  <c r="A39" i="8"/>
  <c r="C39" i="8"/>
  <c r="B41" i="8" l="1"/>
  <c r="A40" i="8"/>
  <c r="C40" i="8"/>
  <c r="B42" i="8" l="1"/>
  <c r="A41" i="8"/>
  <c r="C41" i="8"/>
  <c r="B43" i="8" l="1"/>
  <c r="A42" i="8"/>
  <c r="C42" i="8"/>
  <c r="B44" i="8" l="1"/>
  <c r="A43" i="8"/>
  <c r="C43" i="8"/>
  <c r="B45" i="8" l="1"/>
  <c r="A44" i="8"/>
  <c r="C44" i="8"/>
  <c r="B46" i="8" l="1"/>
  <c r="A45" i="8"/>
  <c r="C45" i="8"/>
  <c r="B47" i="8" l="1"/>
  <c r="A46" i="8"/>
  <c r="C46" i="8"/>
  <c r="B48" i="8" l="1"/>
  <c r="A47" i="8"/>
  <c r="C47" i="8"/>
  <c r="B49" i="8" l="1"/>
  <c r="A48" i="8"/>
  <c r="C48" i="8"/>
  <c r="B50" i="8" l="1"/>
  <c r="A49" i="8"/>
  <c r="C49" i="8"/>
  <c r="B51" i="8" l="1"/>
  <c r="A50" i="8"/>
  <c r="C50" i="8"/>
  <c r="B52" i="8" l="1"/>
  <c r="A51" i="8"/>
  <c r="C51" i="8"/>
  <c r="B53" i="8" l="1"/>
  <c r="A52" i="8"/>
  <c r="C52" i="8"/>
  <c r="B54" i="8" l="1"/>
  <c r="A53" i="8"/>
  <c r="C53" i="8"/>
  <c r="B55" i="8" l="1"/>
  <c r="A54" i="8"/>
  <c r="C54" i="8"/>
  <c r="B56" i="8" l="1"/>
  <c r="A55" i="8"/>
  <c r="C55" i="8"/>
  <c r="B57" i="8" l="1"/>
  <c r="A56" i="8"/>
  <c r="C56" i="8"/>
  <c r="B58" i="8" l="1"/>
  <c r="A57" i="8"/>
  <c r="C57" i="8"/>
  <c r="B59" i="8" l="1"/>
  <c r="A58" i="8"/>
  <c r="C58" i="8"/>
  <c r="B60" i="8" l="1"/>
  <c r="A59" i="8"/>
  <c r="C59" i="8"/>
  <c r="B61" i="8" l="1"/>
  <c r="A60" i="8"/>
  <c r="C60" i="8"/>
  <c r="B62" i="8" l="1"/>
  <c r="A61" i="8"/>
  <c r="C61" i="8"/>
  <c r="B63" i="8" l="1"/>
  <c r="A62" i="8"/>
  <c r="C62" i="8"/>
  <c r="B64" i="8" l="1"/>
  <c r="A63" i="8"/>
  <c r="C63" i="8"/>
  <c r="B65" i="8" l="1"/>
  <c r="A64" i="8"/>
  <c r="C64" i="8"/>
  <c r="B66" i="8" l="1"/>
  <c r="A65" i="8"/>
  <c r="C65" i="8"/>
  <c r="B67" i="8" l="1"/>
  <c r="A66" i="8"/>
  <c r="C66" i="8"/>
  <c r="B68" i="8" l="1"/>
  <c r="A67" i="8"/>
  <c r="C67" i="8"/>
  <c r="B69" i="8" l="1"/>
  <c r="A68" i="8"/>
  <c r="C68" i="8"/>
  <c r="B70" i="8" l="1"/>
  <c r="A69" i="8"/>
  <c r="C69" i="8"/>
  <c r="C19" i="7"/>
  <c r="C21" i="7"/>
  <c r="C23" i="7"/>
  <c r="C25" i="7"/>
  <c r="C27" i="7"/>
  <c r="A70" i="8" l="1"/>
  <c r="C70" i="8"/>
  <c r="C18" i="7"/>
  <c r="C20" i="7"/>
  <c r="C22" i="7"/>
  <c r="C24" i="7"/>
  <c r="C26" i="7"/>
  <c r="C28"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<sst xmlns="http://schemas.openxmlformats.org/spreadsheetml/2006/main" count="210" uniqueCount="164">
  <si>
    <t>Tabla de Categorías</t>
  </si>
  <si>
    <t>A</t>
  </si>
  <si>
    <t>B</t>
  </si>
  <si>
    <t>C</t>
  </si>
  <si>
    <t>D</t>
  </si>
  <si>
    <t>E</t>
  </si>
  <si>
    <t>F</t>
  </si>
  <si>
    <t>G</t>
  </si>
  <si>
    <t>H</t>
  </si>
  <si>
    <t>Nombre del Contribuyente:</t>
  </si>
  <si>
    <t>Cuit</t>
  </si>
  <si>
    <t xml:space="preserve">       S/ Mis Comprobantes</t>
  </si>
  <si>
    <t>Fecha</t>
  </si>
  <si>
    <t>Facturación</t>
  </si>
  <si>
    <t>TOTAL</t>
  </si>
  <si>
    <t>S/ Nuesta Parte</t>
  </si>
  <si>
    <t>Emitido</t>
  </si>
  <si>
    <t>Recibido</t>
  </si>
  <si>
    <t xml:space="preserve">Facturas </t>
  </si>
  <si>
    <t xml:space="preserve">Notas Cred </t>
  </si>
  <si>
    <t>Diferencia</t>
  </si>
  <si>
    <t>Total</t>
  </si>
  <si>
    <t xml:space="preserve">     Nuestra parte consumo con tarjeta de crédito</t>
  </si>
  <si>
    <t>Año</t>
  </si>
  <si>
    <t>Gastos titular</t>
  </si>
  <si>
    <t>Adicionales</t>
  </si>
  <si>
    <t>Saldos</t>
  </si>
  <si>
    <t>A Favor</t>
  </si>
  <si>
    <t>En contra</t>
  </si>
  <si>
    <t>CCMA</t>
  </si>
  <si>
    <t>IIBB</t>
  </si>
  <si>
    <t>Otros ARBA</t>
  </si>
  <si>
    <t>Facturación Total</t>
  </si>
  <si>
    <t>Cantidad total de comprobantes</t>
  </si>
  <si>
    <t>Límite de la categoría</t>
  </si>
  <si>
    <t>Margen de facturación</t>
  </si>
  <si>
    <t>Promedio Mensual:</t>
  </si>
  <si>
    <t>Nro MES</t>
  </si>
  <si>
    <t>Resumen de Categoría 2023</t>
  </si>
  <si>
    <t>Resumen de Categoría 2024</t>
  </si>
  <si>
    <t>Límite 2023</t>
  </si>
  <si>
    <t>Límite 2024</t>
  </si>
  <si>
    <t>Resumen de Comprobantes</t>
  </si>
  <si>
    <t>Nombre del Contribuyente</t>
  </si>
  <si>
    <t>Categoría</t>
  </si>
  <si>
    <t>Componentes Mono</t>
  </si>
  <si>
    <t>Tipo</t>
  </si>
  <si>
    <t>Facturas A Recibidas</t>
  </si>
  <si>
    <t>Facturas B Recibidas</t>
  </si>
  <si>
    <t>Cantidad</t>
  </si>
  <si>
    <t>Total Neto</t>
  </si>
  <si>
    <t>Componentes que aporta</t>
  </si>
  <si>
    <t xml:space="preserve">    Ventas</t>
  </si>
  <si>
    <t>Compras</t>
  </si>
  <si>
    <t>Muy buenos días,</t>
  </si>
  <si>
    <t>En el día de la fecha decidimos realizar un informe para comunicarte tu situación y que puedas conocer exactamente los parametrós de tu categoría de monotributo.</t>
  </si>
  <si>
    <t>Tal como se ve en el siguiente cuadro</t>
  </si>
  <si>
    <t>Resumen de Comprobantes Recibidos</t>
  </si>
  <si>
    <t>Monto por tipo de Factura</t>
  </si>
  <si>
    <t>Lista de proveedores mas frecuentes</t>
  </si>
  <si>
    <t>Cant. De Fcs.</t>
  </si>
  <si>
    <t>Se muestra a continuación un cuadro comparativo entre compras y ventas</t>
  </si>
  <si>
    <t>Nombre</t>
  </si>
  <si>
    <t>Análisis de Situación</t>
  </si>
  <si>
    <t>Ventas</t>
  </si>
  <si>
    <t>Agregando algun dato como que los dos proveedores principales fueron:</t>
  </si>
  <si>
    <t>-</t>
  </si>
  <si>
    <t>Diferencia:</t>
  </si>
  <si>
    <r>
      <rPr>
        <b/>
        <sz val="20"/>
        <color theme="1"/>
        <rFont val="Calibri"/>
        <family val="2"/>
        <scheme val="minor"/>
      </rPr>
      <t xml:space="preserve">      </t>
    </r>
    <r>
      <rPr>
        <b/>
        <u/>
        <sz val="20"/>
        <color theme="1"/>
        <rFont val="Calibri"/>
        <family val="2"/>
        <scheme val="minor"/>
      </rPr>
      <t>Compras y Gastos</t>
    </r>
  </si>
  <si>
    <t xml:space="preserve">        En tu caso tu categoría es la</t>
  </si>
  <si>
    <t xml:space="preserve">                    Y obteniendo un límite mensual aproximado de</t>
  </si>
  <si>
    <t xml:space="preserve"> siendo el límite anual</t>
  </si>
  <si>
    <t>contraseña</t>
  </si>
  <si>
    <t>Sistema Contable de Monotributistas</t>
  </si>
  <si>
    <t>I</t>
  </si>
  <si>
    <t>J</t>
  </si>
  <si>
    <t>K</t>
  </si>
  <si>
    <t>=INDICE(I21:I773; COINCIDIR(MAX(SI((I21:I773&lt;&gt;INDICE(I21:I773; COINCIDIR(MAX(CONTAR.SI(I21:I634; I21:I767; I21:I764)); CONTAR.SI(I21:I634; I21:I767; I21:I764); 0)))*(I21:I773&lt;&gt;INDICE(I21:I773; COINCIDIR(MAX(SI((I21:I773&lt;&gt;INDICE(I21:I773; COINCIDIR(MAX(CONTAR.SI(I21:I634; I21:I767; I21:I764)); CONTAR.SI(I21:I634; I21:I767; I21:I764); 0)); CONTAR.SI(I21:I773; I21:I773; I21:I764); 0)))))*(I21:I773&lt;&gt;INDICE(I21:I773; COINCIDIR(MAX(SI((I21:I773&lt;&gt;INDICE(I21:I773; COINCIDIR(MAX(CONTAR.SI(I21:I634; I21:I767; I21:I764)); CONTAR.SI(I21:I634; I21:I767; I21:I764); 0)); CONTAR.SI(I21:I773; I21:I773; I21:I764); 0))))))), CONTAR.SI(I21:I773; I21:I773; I21:I764)); 0))</t>
  </si>
  <si>
    <t>Cat. Correspondiente:</t>
  </si>
  <si>
    <t>Categoría Actual:</t>
  </si>
  <si>
    <t>Fecha Inicio de Análisis</t>
  </si>
  <si>
    <r>
      <rPr>
        <b/>
        <sz val="20"/>
        <color theme="1"/>
        <rFont val="Calibri"/>
        <family val="2"/>
        <scheme val="minor"/>
      </rPr>
      <t xml:space="preserve">      </t>
    </r>
    <r>
      <rPr>
        <b/>
        <u/>
        <sz val="20"/>
        <color theme="1"/>
        <rFont val="Calibri"/>
        <family val="2"/>
        <scheme val="minor"/>
      </rPr>
      <t>Resumen y Adicionales</t>
    </r>
  </si>
  <si>
    <t>Para concluir este informe, también exponemos cuanto margen disponés para alcanzar el límite de la máxima categoría</t>
  </si>
  <si>
    <t>decir que el límite de la categría mas alta en servicios es:</t>
  </si>
  <si>
    <t>Mientras que en ventas de cosas muebles</t>
  </si>
  <si>
    <t>el límite es:</t>
  </si>
  <si>
    <t>Margen en cosas muebles</t>
  </si>
  <si>
    <t>Hemos también revisado el CCMA (cuenta corriente de monotributistas), en el que aportás y en resumen hallamos lo</t>
  </si>
  <si>
    <t>siguiente:</t>
  </si>
  <si>
    <t>Capital</t>
  </si>
  <si>
    <t>Intereses</t>
  </si>
  <si>
    <t>Monto</t>
  </si>
  <si>
    <t>Ante cualquier otra duda o consulta, podés preguntarnos sin molestia. Esperamos que este profundo análisis te haya</t>
  </si>
  <si>
    <t>sido de utilidad.</t>
  </si>
  <si>
    <t>Saluda Atentamente</t>
  </si>
  <si>
    <t>Ciudad de Necochea</t>
  </si>
  <si>
    <t xml:space="preserve">               Estudio de Cs Económicas Crasso</t>
  </si>
  <si>
    <t xml:space="preserve">de monotributo, siendo que en casos eventuales se necesite facturar montos mas elevados. En este momento podemos </t>
  </si>
  <si>
    <t>Categoría A</t>
  </si>
  <si>
    <t>Categoría B</t>
  </si>
  <si>
    <t>Categoría C</t>
  </si>
  <si>
    <t>Categoría D</t>
  </si>
  <si>
    <t>Categoría E</t>
  </si>
  <si>
    <t>Categoría F</t>
  </si>
  <si>
    <t>Categoría G</t>
  </si>
  <si>
    <t>Categoría H</t>
  </si>
  <si>
    <t>Categoría I</t>
  </si>
  <si>
    <t>Categoría J</t>
  </si>
  <si>
    <t>Categoría K</t>
  </si>
  <si>
    <t>Límite de categoría</t>
  </si>
  <si>
    <t>Promedio mensual</t>
  </si>
  <si>
    <t>Tu categoría correspondiente hoy sería:</t>
  </si>
  <si>
    <t>Base para el gráfico</t>
  </si>
  <si>
    <t>Muy bajo</t>
  </si>
  <si>
    <t>Bajo</t>
  </si>
  <si>
    <t>Regular</t>
  </si>
  <si>
    <t>Bueno</t>
  </si>
  <si>
    <t>Al límite</t>
  </si>
  <si>
    <t>Antes</t>
  </si>
  <si>
    <t>Puntero</t>
  </si>
  <si>
    <t>Despues</t>
  </si>
  <si>
    <t>Valor</t>
  </si>
  <si>
    <t>Mensual</t>
  </si>
  <si>
    <t>Promedio</t>
  </si>
  <si>
    <t>Calculo</t>
  </si>
  <si>
    <t>Para texto</t>
  </si>
  <si>
    <t>(Seis millones cuatrocientos cincuenta mil pesos)</t>
  </si>
  <si>
    <t>(Nueve millones cuatrocientos cincuenta mil pesos)</t>
  </si>
  <si>
    <t>(Trece millones doscientos cincuenta mil pesos)</t>
  </si>
  <si>
    <t>(Dieciséis millones cuatrocientos cincuenta mil pesos)</t>
  </si>
  <si>
    <t>(Diecinueve millones trescientos cincuenta mil pesos)</t>
  </si>
  <si>
    <t>(Veintinueve millones de pesos)</t>
  </si>
  <si>
    <t>(Veinticuatro millones doscientos cincuenta mil pesos)</t>
  </si>
  <si>
    <t>(Cuarenta y cuatro millones de pesos)</t>
  </si>
  <si>
    <t>(Cuarenta y nueve millones doscientos cincuenta mil pesos)</t>
  </si>
  <si>
    <t>(Cincuenta y seis millones cuatrocientos mil pesos)</t>
  </si>
  <si>
    <t>(Sesenta y ocho millones de pesos)</t>
  </si>
  <si>
    <t>(setecientos ochenta y siete mil quinientos pesos)</t>
  </si>
  <si>
    <t>(Un millon ciento cuatro mil ciento sesenta y seis pesos)</t>
  </si>
  <si>
    <t>(Un millón trescientos setenta mil ochocientos treinta y tres pesos)</t>
  </si>
  <si>
    <t>(Un millon seiscientos doce mil quinientos pesos)</t>
  </si>
  <si>
    <t>(Dos millones veinte mil ochocientos treinta y tres pesos)</t>
  </si>
  <si>
    <t>(Dos millones cuatrocientos dieciséis seiscientos sesenta y seis pesos)</t>
  </si>
  <si>
    <t>(Tres millones seiscientos sesenta y seis mil seiscientos sesenta y seis pesos)</t>
  </si>
  <si>
    <t>(Cuatro millones ciento cuatro mil ciento sesenta y seis pesos)</t>
  </si>
  <si>
    <t>(Cuatro millones setecientos mil pesos)</t>
  </si>
  <si>
    <t>(Cinco millones seiscientos sesenta y seis mil seiscientos sesenta y seis pesos)</t>
  </si>
  <si>
    <t>Margen de facturación en Monotributo</t>
  </si>
  <si>
    <t>decir, el límite de la categría mas alta en monotributo es:</t>
  </si>
  <si>
    <t>Análisis de Recategorización</t>
  </si>
  <si>
    <t>Tu nueva categoría es:</t>
  </si>
  <si>
    <t xml:space="preserve">       Analizando los últimos doce meses hallamos que en total has facturado</t>
  </si>
  <si>
    <t>Agosto 2024.</t>
  </si>
  <si>
    <r>
      <t xml:space="preserve">Te envíaremos la </t>
    </r>
    <r>
      <rPr>
        <b/>
        <sz val="11"/>
        <color theme="1"/>
        <rFont val="Calibri"/>
        <family val="2"/>
        <scheme val="minor"/>
      </rPr>
      <t>nueva credencial de pago</t>
    </r>
    <r>
      <rPr>
        <sz val="11"/>
        <color theme="1"/>
        <rFont val="Calibri"/>
        <family val="2"/>
        <scheme val="minor"/>
      </rPr>
      <t xml:space="preserve"> para que sepas y conozcas los nuevos montos que se aplicarán a partir de</t>
    </r>
  </si>
  <si>
    <r>
      <t xml:space="preserve">Para concluir este informe, también exponemos cuanto </t>
    </r>
    <r>
      <rPr>
        <b/>
        <sz val="11"/>
        <color theme="1"/>
        <rFont val="Calibri"/>
        <family val="2"/>
        <scheme val="minor"/>
      </rPr>
      <t>margen disponés para alcanzar el límite de la máxima categoría</t>
    </r>
  </si>
  <si>
    <r>
      <t xml:space="preserve">Ante un periodo de </t>
    </r>
    <r>
      <rPr>
        <b/>
        <sz val="11"/>
        <color theme="1"/>
        <rFont val="Calibri"/>
        <family val="2"/>
        <scheme val="minor"/>
      </rPr>
      <t>recategorización</t>
    </r>
    <r>
      <rPr>
        <sz val="11"/>
        <color theme="1"/>
        <rFont val="Calibri"/>
        <family val="2"/>
        <scheme val="minor"/>
      </rPr>
      <t>, nos corresponde realizar un trabajo de análisis y evaluación de cada contribuyente, esto es lo que hemos obtenido de tu situación y los cambios aplicados a partir del mes de agosto:</t>
    </r>
  </si>
  <si>
    <t>En tu caso tu categoría actual es</t>
  </si>
  <si>
    <t xml:space="preserve">                  Catergoría cuyo límite mensual aproximado es de</t>
  </si>
  <si>
    <t>(Quinientos treinta y siete mil quinientos pesos)</t>
  </si>
  <si>
    <t>Dif e/ categs</t>
  </si>
  <si>
    <t xml:space="preserve">de monotributo, siendo que en casos eventuales se necesite facturar montos mas elevados. Por el momento podemos </t>
  </si>
  <si>
    <t>Estudio de Administración Emprende Simple</t>
  </si>
  <si>
    <r>
      <t xml:space="preserve">         Analizando los </t>
    </r>
    <r>
      <rPr>
        <b/>
        <sz val="11"/>
        <color theme="1"/>
        <rFont val="Calibri"/>
        <family val="2"/>
        <scheme val="minor"/>
      </rPr>
      <t>últimos doce meses</t>
    </r>
    <r>
      <rPr>
        <sz val="11"/>
        <color theme="1"/>
        <rFont val="Calibri"/>
        <family val="2"/>
        <scheme val="minor"/>
      </rPr>
      <t xml:space="preserve"> hallamos que en total has facturado</t>
    </r>
  </si>
  <si>
    <t>*Aquí deben actualizarse los parámetros correspondientes al año y mes que corresponda.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</si>
</sst>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_-[$$-2C0A]\ * #,##0.00_-;\-[$$-2C0A]\ * #,##0.00_-;_-[$$-2C0A]\ * &quot;-&quot;??_-;_-@_-"/>
    <numFmt numFmtId="166" formatCode="_ [$$-2C0A]\ * #,##0.00_ ;_ [$$-2C0A]\ * \-#,##0.00_ ;_ [$$-2C0A]\ * &quot;-&quot;??_ ;_ @_ "/>
    <numFmt numFmtId="167" formatCode="_-[$$-80A]* #,##0.00_-;\-[$$-80A]* #,##0.00_-;_-[$$-80A]* &quot;-&quot;??_-;_-@_-"/>
  </numFmts>
  <fonts count="49" x14ac:knownFonts="1">
    <font>
      <sz val="11"/>
      <color theme="1"/>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b/>
      <sz val="11"/>
      <name val="Calibri"/>
      <family val="2"/>
    </font>
    <font>
      <b/>
      <i/>
      <u/>
      <sz val="14"/>
      <color theme="1"/>
      <name val="Calibri"/>
      <family val="2"/>
      <scheme val="minor"/>
    </font>
    <font>
      <b/>
      <i/>
      <u/>
      <sz val="16"/>
      <color theme="1"/>
      <name val="Calibri"/>
      <family val="2"/>
      <scheme val="minor"/>
    </font>
    <font>
      <b/>
      <sz val="11"/>
      <name val="Calibri"/>
      <family val="2"/>
    </font>
    <font>
      <sz val="14"/>
      <color theme="1"/>
      <name val="Calibri"/>
      <family val="2"/>
      <scheme val="minor"/>
    </font>
    <font>
      <b/>
      <sz val="18"/>
      <color theme="1"/>
      <name val="Calibri"/>
      <family val="2"/>
      <scheme val="minor"/>
    </font>
    <font>
      <i/>
      <sz val="11"/>
      <color theme="1"/>
      <name val="Calibri"/>
      <family val="2"/>
      <scheme val="minor"/>
    </font>
    <font>
      <b/>
      <u/>
      <sz val="18"/>
      <color rgb="FFFF0000"/>
      <name val="Calibri"/>
      <family val="2"/>
      <scheme val="minor"/>
    </font>
    <font>
      <b/>
      <u/>
      <sz val="16"/>
      <color rgb="FFFF0000"/>
      <name val="Calibri"/>
      <family val="2"/>
      <scheme val="minor"/>
    </font>
    <font>
      <u/>
      <sz val="11"/>
      <color theme="1"/>
      <name val="Calibri"/>
      <family val="2"/>
      <scheme val="minor"/>
    </font>
    <font>
      <b/>
      <sz val="11"/>
      <color theme="0"/>
      <name val="Calibri"/>
      <family val="2"/>
      <scheme val="minor"/>
    </font>
    <font>
      <sz val="11"/>
      <color theme="0"/>
      <name val="Calibri"/>
      <family val="2"/>
      <scheme val="minor"/>
    </font>
    <font>
      <i/>
      <u/>
      <sz val="22"/>
      <color theme="0"/>
      <name val="Segoe UI Black"/>
      <family val="2"/>
    </font>
    <font>
      <b/>
      <sz val="16"/>
      <color theme="0"/>
      <name val="Calibri"/>
      <family val="2"/>
      <scheme val="minor"/>
    </font>
    <font>
      <b/>
      <i/>
      <sz val="14"/>
      <color theme="1"/>
      <name val="Calibri"/>
      <family val="2"/>
      <scheme val="minor"/>
    </font>
    <font>
      <b/>
      <sz val="14"/>
      <color theme="0"/>
      <name val="Calibri"/>
      <family val="2"/>
      <scheme val="minor"/>
    </font>
    <font>
      <i/>
      <sz val="14"/>
      <color theme="1"/>
      <name val="Segoe UI Black"/>
      <family val="2"/>
    </font>
    <font>
      <b/>
      <sz val="14"/>
      <color theme="1"/>
      <name val="Calibri"/>
      <family val="2"/>
      <scheme val="minor"/>
    </font>
    <font>
      <b/>
      <i/>
      <sz val="16"/>
      <color theme="0"/>
      <name val="Calibri"/>
      <family val="2"/>
      <scheme val="minor"/>
    </font>
    <font>
      <b/>
      <sz val="12"/>
      <color theme="0"/>
      <name val="Calibri"/>
      <family val="2"/>
      <scheme val="minor"/>
    </font>
    <font>
      <b/>
      <sz val="16"/>
      <color rgb="FFFF0000"/>
      <name val="Calibri"/>
      <family val="2"/>
      <scheme val="minor"/>
    </font>
    <font>
      <b/>
      <sz val="14"/>
      <color rgb="FFFF0000"/>
      <name val="Calibri"/>
      <family val="2"/>
      <scheme val="minor"/>
    </font>
    <font>
      <b/>
      <sz val="16"/>
      <color rgb="FF00FF00"/>
      <name val="Calibri"/>
      <family val="2"/>
      <scheme val="minor"/>
    </font>
    <font>
      <b/>
      <sz val="14"/>
      <color rgb="FF00FF00"/>
      <name val="Calibri"/>
      <family val="2"/>
      <scheme val="minor"/>
    </font>
    <font>
      <b/>
      <sz val="11"/>
      <color theme="4" tint="-0.249977111117893"/>
      <name val="Calibri"/>
      <family val="2"/>
      <scheme val="minor"/>
    </font>
    <font>
      <sz val="11"/>
      <color rgb="FF000000"/>
      <name val="Calibri"/>
      <family val="2"/>
    </font>
    <font>
      <b/>
      <i/>
      <sz val="11"/>
      <color theme="1"/>
      <name val="Calibri"/>
      <family val="2"/>
      <scheme val="minor"/>
    </font>
    <font>
      <b/>
      <i/>
      <sz val="36"/>
      <color theme="1"/>
      <name val="Calibri"/>
      <family val="2"/>
      <scheme val="minor"/>
    </font>
    <font>
      <b/>
      <i/>
      <sz val="28"/>
      <color theme="1"/>
      <name val="Calibri"/>
      <family val="2"/>
      <scheme val="minor"/>
    </font>
    <font>
      <b/>
      <sz val="14"/>
      <name val="Calibri"/>
      <family val="2"/>
      <scheme val="minor"/>
    </font>
    <font>
      <sz val="14"/>
      <name val="Calibri"/>
      <family val="2"/>
      <scheme val="minor"/>
    </font>
    <font>
      <b/>
      <i/>
      <u/>
      <sz val="26"/>
      <color theme="0"/>
      <name val="Calibri"/>
      <family val="2"/>
      <scheme val="minor"/>
    </font>
    <font>
      <b/>
      <sz val="20"/>
      <color theme="0"/>
      <name val="Calibri"/>
      <family val="2"/>
      <scheme val="minor"/>
    </font>
    <font>
      <sz val="12"/>
      <color theme="1"/>
      <name val="Calibri"/>
      <family val="2"/>
      <scheme val="minor"/>
    </font>
    <font>
      <b/>
      <sz val="12"/>
      <color theme="1"/>
      <name val="Calibri"/>
      <family val="2"/>
      <scheme val="minor"/>
    </font>
    <font>
      <sz val="11"/>
      <name val="Courier New"/>
      <family val="3"/>
    </font>
    <font>
      <u/>
      <sz val="11"/>
      <color theme="10"/>
      <name val="Calibri"/>
      <family val="2"/>
      <scheme val="minor"/>
    </font>
    <font>
      <b/>
      <i/>
      <u/>
      <sz val="26"/>
      <color theme="1"/>
      <name val="Calibri"/>
      <family val="2"/>
      <scheme val="minor"/>
    </font>
    <font>
      <b/>
      <i/>
      <sz val="16"/>
      <color theme="1"/>
      <name val="Calibri"/>
      <family val="2"/>
      <scheme val="minor"/>
    </font>
    <font>
      <b/>
      <i/>
      <sz val="20"/>
      <color theme="1"/>
      <name val="Calibri"/>
      <family val="2"/>
      <scheme val="minor"/>
    </font>
    <font>
      <b/>
      <sz val="20"/>
      <color theme="1"/>
      <name val="Calibri"/>
      <family val="2"/>
      <scheme val="minor"/>
    </font>
    <font>
      <b/>
      <u/>
      <sz val="20"/>
      <color theme="1"/>
      <name val="Calibri"/>
      <family val="2"/>
      <scheme val="minor"/>
    </font>
    <font>
      <b/>
      <sz val="13"/>
      <color theme="1"/>
      <name val="Calibri"/>
      <family val="2"/>
      <scheme val="minor"/>
    </font>
    <font>
      <sz val="8"/>
      <name val="Calibri"/>
      <family val="2"/>
      <scheme val="minor"/>
    </font>
    <font>
      <sz val="11"/>
      <color rgb="FFFF0000"/>
      <name val="Calibri"/>
      <family val="2"/>
      <scheme val="minor"/>
    </font>
  </fonts>
  <fills count="20">
    <fill>
      <patternFill patternType="none"/>
    </fill>
    <fill>
      <patternFill patternType="gray125"/>
    </fill>
    <fill>
      <patternFill patternType="solid">
        <fgColor theme="9"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rgb="FFD1F9DB"/>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AEECB8"/>
        <bgColor indexed="64"/>
      </patternFill>
    </fill>
  </fills>
  <borders count="4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indexed="64"/>
      </top>
      <bottom/>
      <diagonal/>
    </border>
    <border>
      <left/>
      <right style="thin">
        <color theme="0"/>
      </right>
      <top style="thin">
        <color indexed="64"/>
      </top>
      <bottom/>
      <diagonal/>
    </border>
    <border>
      <left style="thin">
        <color theme="0"/>
      </left>
      <right/>
      <top/>
      <bottom/>
      <diagonal/>
    </border>
    <border>
      <left/>
      <right style="thin">
        <color theme="0"/>
      </right>
      <top/>
      <bottom/>
      <diagonal/>
    </border>
    <border>
      <left style="thin">
        <color theme="0"/>
      </left>
      <right/>
      <top style="thin">
        <color indexed="64"/>
      </top>
      <bottom style="thin">
        <color indexed="64"/>
      </bottom>
      <diagonal/>
    </border>
    <border>
      <left/>
      <right style="thin">
        <color theme="0"/>
      </right>
      <top style="thin">
        <color indexed="64"/>
      </top>
      <bottom style="thin">
        <color indexed="64"/>
      </bottom>
      <diagonal/>
    </border>
    <border>
      <left style="thin">
        <color theme="0"/>
      </left>
      <right/>
      <top/>
      <bottom style="thin">
        <color theme="0"/>
      </bottom>
      <diagonal/>
    </border>
    <border>
      <left/>
      <right style="thin">
        <color theme="0"/>
      </right>
      <top/>
      <bottom style="thin">
        <color theme="0"/>
      </bottom>
      <diagonal/>
    </border>
    <border>
      <left/>
      <right style="thin">
        <color indexed="64"/>
      </right>
      <top style="thin">
        <color theme="0"/>
      </top>
      <bottom/>
      <diagonal/>
    </border>
    <border>
      <left/>
      <right style="thin">
        <color indexed="64"/>
      </right>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right/>
      <top/>
      <bottom style="thin">
        <color theme="0"/>
      </bottom>
      <diagonal/>
    </border>
    <border>
      <left/>
      <right/>
      <top style="thin">
        <color theme="1"/>
      </top>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4" tint="0.39997558519241921"/>
      </top>
      <bottom style="thin">
        <color theme="4" tint="0.39997558519241921"/>
      </bottom>
      <diagonal/>
    </border>
    <border>
      <left style="thin">
        <color theme="0"/>
      </left>
      <right/>
      <top style="thin">
        <color theme="0"/>
      </top>
      <bottom style="thin">
        <color indexed="64"/>
      </bottom>
      <diagonal/>
    </border>
    <border>
      <left style="thin">
        <color indexed="64"/>
      </left>
      <right style="thin">
        <color theme="0"/>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theme="5" tint="0.39997558519241921"/>
      </bottom>
      <diagonal/>
    </border>
    <border>
      <left style="medium">
        <color theme="5" tint="0.39997558519241921"/>
      </left>
      <right style="medium">
        <color theme="5" tint="0.39997558519241921"/>
      </right>
      <top style="medium">
        <color theme="5" tint="0.39997558519241921"/>
      </top>
      <bottom style="medium">
        <color theme="5" tint="0.39997558519241921"/>
      </bottom>
      <diagonal/>
    </border>
    <border>
      <left style="medium">
        <color theme="5" tint="0.39997558519241921"/>
      </left>
      <right/>
      <top style="medium">
        <color theme="5" tint="0.39997558519241921"/>
      </top>
      <bottom style="medium">
        <color theme="5" tint="0.39997558519241921"/>
      </bottom>
      <diagonal/>
    </border>
    <border>
      <left/>
      <right/>
      <top style="medium">
        <color theme="5" tint="0.39997558519241921"/>
      </top>
      <bottom style="medium">
        <color theme="5"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indexed="64"/>
      </left>
      <right/>
      <top style="thin">
        <color indexed="64"/>
      </top>
      <bottom style="thin">
        <color theme="4" tint="0.39997558519241921"/>
      </bottom>
      <diagonal/>
    </border>
    <border>
      <left/>
      <right/>
      <top style="thin">
        <color indexed="64"/>
      </top>
      <bottom style="thin">
        <color theme="4" tint="0.39997558519241921"/>
      </bottom>
      <diagonal/>
    </border>
    <border>
      <left style="thin">
        <color indexed="64"/>
      </left>
      <right/>
      <top style="thin">
        <color theme="4" tint="0.39997558519241921"/>
      </top>
      <bottom style="thin">
        <color theme="4" tint="0.39997558519241921"/>
      </bottom>
      <diagonal/>
    </border>
  </borders>
  <cellStyleXfs count="5">
    <xf numFmtId="0" fontId="0" fillId="0" borderId="0"/>
    <xf numFmtId="164" fontId="1" fillId="0" borderId="0" applyFont="0" applyFill="0" applyBorder="0" applyAlignment="0" applyProtection="0"/>
    <xf numFmtId="0" fontId="40"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232">
    <xf numFmtId="0" fontId="0" fillId="0" borderId="0" xfId="0"/>
    <xf numFmtId="0" fontId="0" fillId="0" borderId="0" xfId="0" applyAlignment="1">
      <alignment horizontal="center"/>
    </xf>
    <xf numFmtId="0" fontId="0" fillId="2" borderId="0" xfId="0" applyFill="1" applyAlignment="1">
      <alignment horizontal="center"/>
    </xf>
    <xf numFmtId="165" fontId="0" fillId="2" borderId="0" xfId="0" applyNumberFormat="1" applyFill="1" applyAlignment="1">
      <alignment horizontal="center" vertical="center"/>
    </xf>
    <xf numFmtId="0" fontId="0" fillId="3" borderId="0" xfId="0" applyFill="1" applyAlignment="1">
      <alignment horizontal="center"/>
    </xf>
    <xf numFmtId="165" fontId="0" fillId="3" borderId="0" xfId="0" applyNumberFormat="1" applyFill="1" applyAlignment="1">
      <alignment horizontal="center" vertical="center"/>
    </xf>
    <xf numFmtId="0" fontId="2" fillId="9" borderId="0" xfId="0" applyFont="1" applyFill="1"/>
    <xf numFmtId="165" fontId="2" fillId="10" borderId="0" xfId="0" applyNumberFormat="1" applyFont="1" applyFill="1"/>
    <xf numFmtId="0" fontId="0" fillId="11" borderId="0" xfId="0" applyFill="1"/>
    <xf numFmtId="0" fontId="4" fillId="0" borderId="0" xfId="0" applyFont="1"/>
    <xf numFmtId="1" fontId="0" fillId="0" borderId="0" xfId="0" applyNumberFormat="1"/>
    <xf numFmtId="0" fontId="6" fillId="8" borderId="0" xfId="0" applyFont="1" applyFill="1" applyAlignment="1">
      <alignment horizontal="center" wrapText="1"/>
    </xf>
    <xf numFmtId="0" fontId="7" fillId="11" borderId="0" xfId="0" applyFont="1" applyFill="1"/>
    <xf numFmtId="0" fontId="16" fillId="0" borderId="0" xfId="0" applyFont="1"/>
    <xf numFmtId="0" fontId="17" fillId="0" borderId="0" xfId="0" applyFont="1"/>
    <xf numFmtId="0" fontId="15" fillId="0" borderId="0" xfId="0" applyFont="1"/>
    <xf numFmtId="0" fontId="11" fillId="0" borderId="0" xfId="0" applyFont="1" applyAlignment="1">
      <alignment vertical="center"/>
    </xf>
    <xf numFmtId="0" fontId="12" fillId="0" borderId="0" xfId="0" applyFont="1"/>
    <xf numFmtId="0" fontId="13" fillId="0" borderId="0" xfId="0" applyFont="1"/>
    <xf numFmtId="0" fontId="5" fillId="12" borderId="8" xfId="0" applyFont="1" applyFill="1" applyBorder="1" applyAlignment="1">
      <alignment horizontal="center" vertical="center"/>
    </xf>
    <xf numFmtId="0" fontId="18" fillId="2" borderId="7" xfId="0" applyFont="1" applyFill="1" applyBorder="1" applyAlignment="1">
      <alignment horizontal="center" vertical="center"/>
    </xf>
    <xf numFmtId="0" fontId="21" fillId="4" borderId="1" xfId="0" applyFont="1" applyFill="1" applyBorder="1"/>
    <xf numFmtId="0" fontId="8" fillId="4" borderId="2" xfId="0" applyFont="1" applyFill="1" applyBorder="1"/>
    <xf numFmtId="0" fontId="8" fillId="2" borderId="3" xfId="0" applyFont="1" applyFill="1" applyBorder="1" applyAlignment="1">
      <alignment horizontal="center"/>
    </xf>
    <xf numFmtId="0" fontId="8" fillId="2" borderId="4" xfId="0" applyFont="1" applyFill="1" applyBorder="1" applyAlignment="1">
      <alignment horizontal="center"/>
    </xf>
    <xf numFmtId="17" fontId="8" fillId="5" borderId="3" xfId="0" applyNumberFormat="1" applyFont="1" applyFill="1" applyBorder="1" applyAlignment="1">
      <alignment horizontal="center"/>
    </xf>
    <xf numFmtId="0" fontId="8" fillId="6" borderId="0" xfId="0" applyFont="1" applyFill="1"/>
    <xf numFmtId="165" fontId="8" fillId="6" borderId="0" xfId="0" applyNumberFormat="1" applyFont="1" applyFill="1"/>
    <xf numFmtId="0" fontId="22" fillId="0" borderId="9" xfId="0" applyFont="1" applyBorder="1" applyAlignment="1">
      <alignment horizontal="center"/>
    </xf>
    <xf numFmtId="0" fontId="2" fillId="11" borderId="11" xfId="0" applyFont="1" applyFill="1" applyBorder="1"/>
    <xf numFmtId="165" fontId="2" fillId="8" borderId="12" xfId="0" applyNumberFormat="1" applyFont="1" applyFill="1" applyBorder="1"/>
    <xf numFmtId="0" fontId="0" fillId="11" borderId="13" xfId="0" applyFill="1" applyBorder="1"/>
    <xf numFmtId="167" fontId="0" fillId="8" borderId="14" xfId="0" applyNumberFormat="1" applyFill="1" applyBorder="1"/>
    <xf numFmtId="0" fontId="2" fillId="11" borderId="15" xfId="0" applyFont="1" applyFill="1" applyBorder="1"/>
    <xf numFmtId="167" fontId="2" fillId="8" borderId="16" xfId="0" applyNumberFormat="1" applyFont="1" applyFill="1" applyBorder="1"/>
    <xf numFmtId="0" fontId="0" fillId="11" borderId="17" xfId="0" applyFill="1" applyBorder="1"/>
    <xf numFmtId="167" fontId="10" fillId="8" borderId="18" xfId="0" applyNumberFormat="1" applyFont="1" applyFill="1" applyBorder="1"/>
    <xf numFmtId="0" fontId="0" fillId="0" borderId="10" xfId="0" applyBorder="1"/>
    <xf numFmtId="0" fontId="20" fillId="7" borderId="10" xfId="0" applyFont="1" applyFill="1" applyBorder="1" applyAlignment="1">
      <alignment horizontal="center" vertical="center"/>
    </xf>
    <xf numFmtId="0" fontId="2" fillId="0" borderId="0" xfId="0" applyFont="1" applyAlignment="1">
      <alignment horizontal="center"/>
    </xf>
    <xf numFmtId="0" fontId="2" fillId="0" borderId="0" xfId="0" applyFont="1"/>
    <xf numFmtId="165" fontId="14" fillId="0" borderId="18" xfId="0" applyNumberFormat="1" applyFont="1" applyBorder="1"/>
    <xf numFmtId="0" fontId="2" fillId="5" borderId="9" xfId="0" applyFont="1" applyFill="1" applyBorder="1" applyAlignment="1">
      <alignment horizontal="center"/>
    </xf>
    <xf numFmtId="0" fontId="2" fillId="5" borderId="23" xfId="0" applyFont="1" applyFill="1" applyBorder="1" applyAlignment="1">
      <alignment horizontal="center"/>
    </xf>
    <xf numFmtId="0" fontId="2" fillId="5" borderId="10" xfId="0" applyFont="1" applyFill="1" applyBorder="1" applyAlignment="1">
      <alignment horizontal="center"/>
    </xf>
    <xf numFmtId="165" fontId="14" fillId="6" borderId="0" xfId="0" applyNumberFormat="1" applyFont="1" applyFill="1"/>
    <xf numFmtId="165" fontId="14" fillId="13" borderId="19" xfId="0" applyNumberFormat="1" applyFont="1" applyFill="1" applyBorder="1"/>
    <xf numFmtId="165" fontId="14" fillId="13" borderId="10" xfId="0" applyNumberFormat="1" applyFont="1" applyFill="1" applyBorder="1"/>
    <xf numFmtId="165" fontId="14" fillId="13" borderId="20" xfId="0" applyNumberFormat="1" applyFont="1" applyFill="1" applyBorder="1"/>
    <xf numFmtId="165" fontId="14" fillId="13" borderId="18" xfId="0" applyNumberFormat="1" applyFont="1" applyFill="1" applyBorder="1"/>
    <xf numFmtId="0" fontId="2" fillId="13" borderId="17" xfId="0" applyFont="1" applyFill="1" applyBorder="1" applyAlignment="1">
      <alignment horizontal="center" vertical="center"/>
    </xf>
    <xf numFmtId="0" fontId="23" fillId="0" borderId="13" xfId="0" applyFont="1" applyBorder="1" applyAlignment="1">
      <alignment horizontal="center"/>
    </xf>
    <xf numFmtId="0" fontId="23" fillId="0" borderId="17" xfId="0" applyFont="1" applyBorder="1" applyAlignment="1">
      <alignment horizontal="center"/>
    </xf>
    <xf numFmtId="0" fontId="23" fillId="0" borderId="3" xfId="0" applyFont="1" applyBorder="1" applyAlignment="1">
      <alignment horizontal="center"/>
    </xf>
    <xf numFmtId="0" fontId="23" fillId="0" borderId="0" xfId="0" applyFont="1" applyAlignment="1">
      <alignment horizontal="center"/>
    </xf>
    <xf numFmtId="0" fontId="3" fillId="10" borderId="2" xfId="0" applyFont="1" applyFill="1" applyBorder="1" applyAlignment="1">
      <alignment horizontal="center"/>
    </xf>
    <xf numFmtId="165" fontId="3" fillId="10" borderId="5" xfId="0" applyNumberFormat="1" applyFont="1" applyFill="1" applyBorder="1" applyAlignment="1">
      <alignment horizontal="center"/>
    </xf>
    <xf numFmtId="0" fontId="0" fillId="0" borderId="25" xfId="0" applyBorder="1"/>
    <xf numFmtId="165" fontId="14" fillId="0" borderId="17" xfId="0" applyNumberFormat="1" applyFont="1" applyBorder="1"/>
    <xf numFmtId="0" fontId="19" fillId="0" borderId="27" xfId="0" applyFont="1" applyBorder="1" applyAlignment="1">
      <alignment horizontal="center"/>
    </xf>
    <xf numFmtId="0" fontId="19" fillId="0" borderId="28" xfId="0" applyFont="1" applyBorder="1" applyAlignment="1">
      <alignment horizontal="center"/>
    </xf>
    <xf numFmtId="0" fontId="19" fillId="0" borderId="29" xfId="0" applyFont="1" applyBorder="1" applyAlignment="1">
      <alignment horizontal="center"/>
    </xf>
    <xf numFmtId="0" fontId="17" fillId="0" borderId="21" xfId="0" applyFont="1" applyBorder="1" applyAlignment="1">
      <alignment horizontal="center"/>
    </xf>
    <xf numFmtId="0" fontId="24" fillId="0" borderId="22" xfId="0" applyFont="1" applyBorder="1" applyAlignment="1">
      <alignment horizontal="center"/>
    </xf>
    <xf numFmtId="166" fontId="25" fillId="0" borderId="14" xfId="1" applyNumberFormat="1" applyFont="1" applyBorder="1" applyAlignment="1">
      <alignment horizontal="center"/>
    </xf>
    <xf numFmtId="166" fontId="25" fillId="0" borderId="18" xfId="1" applyNumberFormat="1" applyFont="1" applyBorder="1" applyAlignment="1">
      <alignment horizontal="center"/>
    </xf>
    <xf numFmtId="0" fontId="26" fillId="0" borderId="26" xfId="0" applyFont="1" applyBorder="1" applyAlignment="1">
      <alignment horizontal="center"/>
    </xf>
    <xf numFmtId="166" fontId="27" fillId="0" borderId="0" xfId="0" applyNumberFormat="1" applyFont="1" applyAlignment="1">
      <alignment horizontal="center"/>
    </xf>
    <xf numFmtId="166" fontId="27" fillId="0" borderId="24" xfId="0" applyNumberFormat="1" applyFont="1" applyBorder="1" applyAlignment="1">
      <alignment horizontal="center"/>
    </xf>
    <xf numFmtId="0" fontId="0" fillId="0" borderId="13" xfId="0" applyBorder="1"/>
    <xf numFmtId="0" fontId="2" fillId="8" borderId="9" xfId="0" applyFont="1" applyFill="1" applyBorder="1" applyAlignment="1">
      <alignment horizontal="center"/>
    </xf>
    <xf numFmtId="0" fontId="2" fillId="8" borderId="10" xfId="0" applyFont="1" applyFill="1" applyBorder="1" applyAlignment="1">
      <alignment horizontal="center"/>
    </xf>
    <xf numFmtId="165" fontId="14" fillId="13" borderId="0" xfId="0" applyNumberFormat="1" applyFont="1" applyFill="1"/>
    <xf numFmtId="0" fontId="2" fillId="8" borderId="23" xfId="0" applyFont="1" applyFill="1" applyBorder="1" applyAlignment="1">
      <alignment horizontal="center"/>
    </xf>
    <xf numFmtId="0" fontId="2" fillId="13" borderId="13" xfId="0" applyFont="1" applyFill="1" applyBorder="1" applyAlignment="1">
      <alignment horizontal="center" vertical="center"/>
    </xf>
    <xf numFmtId="165" fontId="14" fillId="13" borderId="14" xfId="0" applyNumberFormat="1" applyFont="1" applyFill="1" applyBorder="1"/>
    <xf numFmtId="165" fontId="14" fillId="13" borderId="24" xfId="0" applyNumberFormat="1" applyFont="1" applyFill="1" applyBorder="1"/>
    <xf numFmtId="0" fontId="0" fillId="15" borderId="30" xfId="0" applyFill="1" applyBorder="1"/>
    <xf numFmtId="0" fontId="0" fillId="15" borderId="30" xfId="0" applyFill="1" applyBorder="1" applyAlignment="1">
      <alignment horizontal="center" vertical="center"/>
    </xf>
    <xf numFmtId="0" fontId="0" fillId="0" borderId="30" xfId="0" applyBorder="1"/>
    <xf numFmtId="0" fontId="0" fillId="0" borderId="30" xfId="0" applyBorder="1" applyAlignment="1">
      <alignment horizontal="center" vertical="center"/>
    </xf>
    <xf numFmtId="0" fontId="15" fillId="0" borderId="0" xfId="0" applyFont="1" applyAlignment="1">
      <alignment horizontal="left"/>
    </xf>
    <xf numFmtId="0" fontId="0" fillId="8" borderId="0" xfId="0" applyFill="1"/>
    <xf numFmtId="0" fontId="22" fillId="0" borderId="31" xfId="0" applyFont="1" applyBorder="1" applyAlignment="1">
      <alignment horizontal="center"/>
    </xf>
    <xf numFmtId="0" fontId="0" fillId="0" borderId="32" xfId="0" applyBorder="1"/>
    <xf numFmtId="49" fontId="0" fillId="15" borderId="30" xfId="0" applyNumberFormat="1" applyFill="1" applyBorder="1" applyAlignment="1">
      <alignment horizontal="center" vertical="center"/>
    </xf>
    <xf numFmtId="49" fontId="0" fillId="0" borderId="30" xfId="0" applyNumberFormat="1" applyBorder="1" applyAlignment="1">
      <alignment horizontal="center" vertical="center"/>
    </xf>
    <xf numFmtId="167" fontId="0" fillId="0" borderId="30" xfId="0" applyNumberFormat="1" applyBorder="1" applyAlignment="1">
      <alignment horizontal="center" vertical="center"/>
    </xf>
    <xf numFmtId="167" fontId="0" fillId="15" borderId="30" xfId="0" applyNumberFormat="1" applyFill="1" applyBorder="1" applyAlignment="1">
      <alignment horizontal="center" vertical="center"/>
    </xf>
    <xf numFmtId="0" fontId="0" fillId="0" borderId="3" xfId="0" applyBorder="1"/>
    <xf numFmtId="0" fontId="0" fillId="0" borderId="33" xfId="0" applyBorder="1"/>
    <xf numFmtId="0" fontId="0" fillId="2" borderId="1" xfId="0" applyFill="1" applyBorder="1"/>
    <xf numFmtId="0" fontId="0" fillId="8" borderId="3" xfId="0" applyFill="1" applyBorder="1"/>
    <xf numFmtId="0" fontId="0" fillId="2" borderId="34" xfId="0" applyFill="1" applyBorder="1" applyAlignment="1">
      <alignment horizontal="center" vertical="center"/>
    </xf>
    <xf numFmtId="0" fontId="0" fillId="0" borderId="35" xfId="0" applyBorder="1" applyAlignment="1">
      <alignment horizontal="center" vertical="center"/>
    </xf>
    <xf numFmtId="0" fontId="0" fillId="8" borderId="35" xfId="0" applyFill="1" applyBorder="1" applyAlignment="1">
      <alignment horizontal="center" vertical="center"/>
    </xf>
    <xf numFmtId="0" fontId="2" fillId="16" borderId="3" xfId="0" applyFont="1" applyFill="1" applyBorder="1"/>
    <xf numFmtId="0" fontId="2" fillId="16" borderId="36" xfId="0" applyFont="1" applyFill="1" applyBorder="1" applyAlignment="1">
      <alignment horizontal="center" vertical="center"/>
    </xf>
    <xf numFmtId="0" fontId="18" fillId="0" borderId="0" xfId="0" applyFont="1"/>
    <xf numFmtId="0" fontId="18" fillId="2" borderId="7" xfId="0" applyFont="1" applyFill="1" applyBorder="1" applyAlignment="1">
      <alignment horizontal="center" vertical="center" wrapText="1"/>
    </xf>
    <xf numFmtId="165" fontId="0" fillId="0" borderId="0" xfId="0" applyNumberFormat="1"/>
    <xf numFmtId="165" fontId="2" fillId="16" borderId="0" xfId="0" applyNumberFormat="1" applyFont="1" applyFill="1"/>
    <xf numFmtId="0" fontId="30" fillId="2" borderId="7" xfId="0" applyFont="1" applyFill="1" applyBorder="1" applyAlignment="1">
      <alignment horizontal="center"/>
    </xf>
    <xf numFmtId="0" fontId="30" fillId="2" borderId="37" xfId="0" applyFont="1" applyFill="1" applyBorder="1" applyAlignment="1">
      <alignment horizontal="center"/>
    </xf>
    <xf numFmtId="0" fontId="30" fillId="2" borderId="8" xfId="0" applyFont="1" applyFill="1" applyBorder="1" applyAlignment="1">
      <alignment horizontal="center"/>
    </xf>
    <xf numFmtId="165" fontId="0" fillId="0" borderId="4" xfId="1" applyNumberFormat="1" applyFont="1" applyBorder="1"/>
    <xf numFmtId="165" fontId="0" fillId="0" borderId="2" xfId="1" applyNumberFormat="1" applyFont="1" applyBorder="1"/>
    <xf numFmtId="0" fontId="31" fillId="8" borderId="0" xfId="0" applyFont="1" applyFill="1"/>
    <xf numFmtId="165" fontId="0" fillId="8" borderId="0" xfId="0" applyNumberFormat="1" applyFill="1"/>
    <xf numFmtId="165" fontId="33" fillId="5" borderId="0" xfId="0" applyNumberFormat="1" applyFont="1" applyFill="1"/>
    <xf numFmtId="165" fontId="34" fillId="5" borderId="0" xfId="0" applyNumberFormat="1" applyFont="1" applyFill="1"/>
    <xf numFmtId="0" fontId="35" fillId="0" borderId="0" xfId="0" applyFont="1"/>
    <xf numFmtId="0" fontId="36" fillId="0" borderId="9" xfId="0" applyFont="1" applyBorder="1" applyAlignment="1">
      <alignment vertical="center"/>
    </xf>
    <xf numFmtId="0" fontId="38" fillId="11" borderId="15" xfId="0" applyFont="1" applyFill="1" applyBorder="1"/>
    <xf numFmtId="0" fontId="37" fillId="11" borderId="13" xfId="0" applyFont="1" applyFill="1" applyBorder="1"/>
    <xf numFmtId="0" fontId="37" fillId="0" borderId="0" xfId="0" applyFont="1"/>
    <xf numFmtId="0" fontId="37" fillId="6" borderId="0" xfId="0" applyFont="1" applyFill="1" applyAlignment="1">
      <alignment horizontal="center"/>
    </xf>
    <xf numFmtId="0" fontId="38" fillId="8" borderId="37" xfId="0" applyFont="1" applyFill="1" applyBorder="1" applyAlignment="1">
      <alignment horizontal="center"/>
    </xf>
    <xf numFmtId="0" fontId="37" fillId="8" borderId="0" xfId="0" applyFont="1" applyFill="1" applyAlignment="1">
      <alignment horizontal="center" vertical="center"/>
    </xf>
    <xf numFmtId="0" fontId="0" fillId="8" borderId="39" xfId="0" applyFill="1" applyBorder="1"/>
    <xf numFmtId="0" fontId="0" fillId="5" borderId="39" xfId="0" applyFill="1" applyBorder="1"/>
    <xf numFmtId="0" fontId="0" fillId="5" borderId="35" xfId="0" applyFill="1" applyBorder="1"/>
    <xf numFmtId="0" fontId="0" fillId="5" borderId="36" xfId="0" applyFill="1" applyBorder="1"/>
    <xf numFmtId="0" fontId="39" fillId="0" borderId="0" xfId="0" applyFont="1"/>
    <xf numFmtId="0" fontId="0" fillId="5" borderId="1" xfId="0" applyFill="1" applyBorder="1"/>
    <xf numFmtId="0" fontId="0" fillId="0" borderId="6" xfId="0" applyBorder="1"/>
    <xf numFmtId="0" fontId="40" fillId="0" borderId="0" xfId="2"/>
    <xf numFmtId="0" fontId="41" fillId="0" borderId="0" xfId="0" applyFont="1"/>
    <xf numFmtId="0" fontId="0" fillId="0" borderId="0" xfId="0" applyAlignment="1">
      <alignment horizontal="right"/>
    </xf>
    <xf numFmtId="0" fontId="42" fillId="0" borderId="0" xfId="0" applyFont="1" applyAlignment="1">
      <alignment horizontal="center"/>
    </xf>
    <xf numFmtId="165" fontId="2" fillId="0" borderId="0" xfId="0" applyNumberFormat="1" applyFont="1"/>
    <xf numFmtId="0" fontId="8" fillId="4" borderId="1" xfId="0" applyFont="1" applyFill="1" applyBorder="1"/>
    <xf numFmtId="17" fontId="8" fillId="17" borderId="3" xfId="0" applyNumberFormat="1" applyFont="1" applyFill="1" applyBorder="1" applyAlignment="1">
      <alignment horizontal="center" vertical="center"/>
    </xf>
    <xf numFmtId="0" fontId="43" fillId="0" borderId="0" xfId="0" applyFont="1"/>
    <xf numFmtId="0" fontId="21" fillId="6" borderId="33" xfId="0" applyFont="1" applyFill="1" applyBorder="1"/>
    <xf numFmtId="0" fontId="8" fillId="4" borderId="1" xfId="0" applyFont="1" applyFill="1" applyBorder="1" applyAlignment="1">
      <alignment horizontal="center"/>
    </xf>
    <xf numFmtId="0" fontId="2" fillId="8" borderId="1" xfId="0" applyFont="1" applyFill="1" applyBorder="1" applyAlignment="1">
      <alignment horizontal="center"/>
    </xf>
    <xf numFmtId="165" fontId="2" fillId="0" borderId="3" xfId="0" applyNumberFormat="1" applyFont="1" applyBorder="1"/>
    <xf numFmtId="0" fontId="2" fillId="6" borderId="7" xfId="0" applyFont="1" applyFill="1" applyBorder="1" applyAlignment="1">
      <alignment horizontal="center"/>
    </xf>
    <xf numFmtId="0" fontId="2" fillId="8" borderId="34" xfId="0" applyFont="1" applyFill="1" applyBorder="1" applyAlignment="1">
      <alignment horizontal="center"/>
    </xf>
    <xf numFmtId="165" fontId="2" fillId="0" borderId="35" xfId="0" applyNumberFormat="1" applyFont="1" applyBorder="1"/>
    <xf numFmtId="165" fontId="3" fillId="6" borderId="39" xfId="0" applyNumberFormat="1" applyFont="1" applyFill="1" applyBorder="1" applyAlignment="1">
      <alignment horizontal="center"/>
    </xf>
    <xf numFmtId="0" fontId="45" fillId="0" borderId="0" xfId="0" applyFont="1" applyAlignment="1">
      <alignment horizontal="left" vertical="center"/>
    </xf>
    <xf numFmtId="0" fontId="28" fillId="14" borderId="0" xfId="0" applyFont="1" applyFill="1" applyAlignment="1">
      <alignment horizontal="center" vertical="center"/>
    </xf>
    <xf numFmtId="17" fontId="0" fillId="0" borderId="0" xfId="0" applyNumberFormat="1"/>
    <xf numFmtId="0" fontId="0" fillId="0" borderId="40" xfId="0" applyBorder="1"/>
    <xf numFmtId="0" fontId="18" fillId="8" borderId="42" xfId="0" applyFont="1" applyFill="1" applyBorder="1"/>
    <xf numFmtId="0" fontId="0" fillId="8" borderId="43" xfId="0" applyFill="1" applyBorder="1"/>
    <xf numFmtId="17" fontId="21" fillId="8" borderId="41" xfId="0" applyNumberFormat="1" applyFont="1" applyFill="1" applyBorder="1" applyAlignment="1">
      <alignment horizontal="center"/>
    </xf>
    <xf numFmtId="0" fontId="0" fillId="0" borderId="1" xfId="0" applyBorder="1"/>
    <xf numFmtId="0" fontId="0" fillId="0" borderId="38" xfId="0" applyBorder="1"/>
    <xf numFmtId="165" fontId="0" fillId="0" borderId="34" xfId="0" applyNumberFormat="1" applyBorder="1"/>
    <xf numFmtId="165" fontId="0" fillId="0" borderId="36" xfId="0" applyNumberFormat="1" applyBorder="1"/>
    <xf numFmtId="0" fontId="10" fillId="0" borderId="0" xfId="0" applyFont="1"/>
    <xf numFmtId="165" fontId="2" fillId="0" borderId="0" xfId="0" applyNumberFormat="1" applyFont="1" applyAlignment="1">
      <alignment horizontal="left"/>
    </xf>
    <xf numFmtId="0" fontId="0" fillId="0" borderId="2" xfId="0" applyBorder="1"/>
    <xf numFmtId="165" fontId="0" fillId="0" borderId="5" xfId="0" applyNumberFormat="1" applyBorder="1"/>
    <xf numFmtId="165" fontId="37" fillId="0" borderId="2" xfId="0" applyNumberFormat="1" applyFont="1" applyBorder="1"/>
    <xf numFmtId="0" fontId="46" fillId="0" borderId="39" xfId="0" applyFont="1" applyBorder="1" applyAlignment="1">
      <alignment horizontal="center"/>
    </xf>
    <xf numFmtId="0" fontId="0" fillId="0" borderId="4" xfId="0" applyBorder="1"/>
    <xf numFmtId="0" fontId="0" fillId="8" borderId="6" xfId="0" applyFill="1" applyBorder="1"/>
    <xf numFmtId="0" fontId="18" fillId="18" borderId="1" xfId="0" applyFont="1" applyFill="1" applyBorder="1" applyAlignment="1">
      <alignment horizontal="center"/>
    </xf>
    <xf numFmtId="0" fontId="18" fillId="18" borderId="2" xfId="0" applyFont="1" applyFill="1" applyBorder="1" applyAlignment="1">
      <alignment horizontal="center"/>
    </xf>
    <xf numFmtId="0" fontId="2" fillId="8" borderId="1" xfId="0" applyFont="1" applyFill="1" applyBorder="1"/>
    <xf numFmtId="165" fontId="2" fillId="0" borderId="34" xfId="0" applyNumberFormat="1" applyFont="1" applyBorder="1"/>
    <xf numFmtId="9" fontId="0" fillId="0" borderId="2" xfId="0" applyNumberFormat="1" applyBorder="1"/>
    <xf numFmtId="9" fontId="0" fillId="0" borderId="5" xfId="4" applyFont="1" applyBorder="1"/>
    <xf numFmtId="0" fontId="0" fillId="0" borderId="5" xfId="0" applyBorder="1"/>
    <xf numFmtId="167" fontId="0" fillId="0" borderId="4" xfId="0" applyNumberFormat="1" applyBorder="1"/>
    <xf numFmtId="165" fontId="0" fillId="0" borderId="4" xfId="0" applyNumberFormat="1" applyBorder="1"/>
    <xf numFmtId="0" fontId="18" fillId="0" borderId="0" xfId="0" applyFont="1" applyAlignment="1">
      <alignment horizontal="center"/>
    </xf>
    <xf numFmtId="0" fontId="41" fillId="0" borderId="0" xfId="0" applyFont="1" applyAlignment="1">
      <alignment horizontal="right" vertical="top"/>
    </xf>
    <xf numFmtId="0" fontId="21" fillId="19" borderId="1" xfId="0" applyFont="1" applyFill="1" applyBorder="1" applyAlignment="1">
      <alignment horizontal="center"/>
    </xf>
    <xf numFmtId="0" fontId="48" fillId="0" borderId="0" xfId="0" applyFont="1"/>
    <xf numFmtId="165" fontId="15" fillId="0" borderId="0" xfId="0" applyNumberFormat="1" applyFont="1"/>
    <xf numFmtId="0" fontId="10" fillId="0" borderId="0" xfId="0" applyFont="1" applyAlignment="1">
      <alignment horizontal="right"/>
    </xf>
    <xf numFmtId="0" fontId="9" fillId="12" borderId="7" xfId="0" applyFont="1" applyFill="1" applyBorder="1" applyAlignment="1">
      <alignment horizontal="center"/>
    </xf>
    <xf numFmtId="0" fontId="9" fillId="12" borderId="8" xfId="0" applyFont="1" applyFill="1" applyBorder="1" applyAlignment="1">
      <alignment horizontal="center"/>
    </xf>
    <xf numFmtId="0" fontId="8" fillId="12" borderId="1" xfId="0" applyFont="1" applyFill="1" applyBorder="1" applyAlignment="1">
      <alignment horizontal="center"/>
    </xf>
    <xf numFmtId="0" fontId="8" fillId="12" borderId="6" xfId="0" applyFont="1" applyFill="1" applyBorder="1" applyAlignment="1">
      <alignment horizontal="center"/>
    </xf>
    <xf numFmtId="0" fontId="32" fillId="8" borderId="38" xfId="0" applyFont="1" applyFill="1" applyBorder="1" applyAlignment="1">
      <alignment horizontal="center"/>
    </xf>
    <xf numFmtId="165" fontId="21" fillId="2" borderId="3" xfId="0" applyNumberFormat="1" applyFont="1" applyFill="1" applyBorder="1" applyAlignment="1">
      <alignment horizontal="center"/>
    </xf>
    <xf numFmtId="165" fontId="21" fillId="2" borderId="4" xfId="0" applyNumberFormat="1" applyFont="1" applyFill="1" applyBorder="1" applyAlignment="1">
      <alignment horizontal="center"/>
    </xf>
    <xf numFmtId="165" fontId="21" fillId="10" borderId="33" xfId="0" applyNumberFormat="1" applyFont="1" applyFill="1" applyBorder="1" applyAlignment="1">
      <alignment horizontal="center"/>
    </xf>
    <xf numFmtId="165" fontId="21" fillId="10" borderId="5" xfId="0" applyNumberFormat="1" applyFont="1" applyFill="1" applyBorder="1" applyAlignment="1">
      <alignment horizontal="center"/>
    </xf>
    <xf numFmtId="0" fontId="21" fillId="8" borderId="1" xfId="0" applyFont="1" applyFill="1" applyBorder="1" applyAlignment="1">
      <alignment horizontal="center"/>
    </xf>
    <xf numFmtId="0" fontId="21" fillId="8" borderId="2" xfId="0" applyFont="1" applyFill="1" applyBorder="1" applyAlignment="1">
      <alignment horizontal="center"/>
    </xf>
    <xf numFmtId="0" fontId="0" fillId="8" borderId="3" xfId="0" applyFill="1" applyBorder="1" applyAlignment="1">
      <alignment horizontal="center"/>
    </xf>
    <xf numFmtId="0" fontId="0" fillId="8" borderId="0" xfId="0" applyFill="1" applyAlignment="1">
      <alignment horizontal="center"/>
    </xf>
    <xf numFmtId="0" fontId="0" fillId="5" borderId="1" xfId="0" applyFill="1" applyBorder="1" applyAlignment="1">
      <alignment horizontal="left"/>
    </xf>
    <xf numFmtId="0" fontId="0" fillId="5" borderId="6" xfId="0" applyFill="1" applyBorder="1" applyAlignment="1">
      <alignment horizontal="left"/>
    </xf>
    <xf numFmtId="0" fontId="0" fillId="5" borderId="7" xfId="0" applyFill="1" applyBorder="1" applyAlignment="1">
      <alignment horizontal="left"/>
    </xf>
    <xf numFmtId="0" fontId="0" fillId="5" borderId="37" xfId="0" applyFill="1" applyBorder="1" applyAlignment="1">
      <alignment horizontal="left"/>
    </xf>
    <xf numFmtId="0" fontId="0" fillId="5" borderId="3" xfId="0" applyFill="1" applyBorder="1" applyAlignment="1">
      <alignment horizontal="left"/>
    </xf>
    <xf numFmtId="0" fontId="0" fillId="5" borderId="0" xfId="0" applyFill="1" applyAlignment="1">
      <alignment horizontal="left"/>
    </xf>
    <xf numFmtId="0" fontId="0" fillId="5" borderId="33" xfId="0" applyFill="1" applyBorder="1" applyAlignment="1">
      <alignment horizontal="left"/>
    </xf>
    <xf numFmtId="0" fontId="0" fillId="5" borderId="38" xfId="0" applyFill="1" applyBorder="1" applyAlignment="1">
      <alignment horizontal="left"/>
    </xf>
    <xf numFmtId="0" fontId="0" fillId="0" borderId="0" xfId="0" applyAlignment="1">
      <alignment horizontal="center"/>
    </xf>
    <xf numFmtId="0" fontId="0" fillId="0" borderId="0" xfId="0" applyAlignment="1">
      <alignment horizontal="center" wrapText="1"/>
    </xf>
    <xf numFmtId="165" fontId="8" fillId="0" borderId="4" xfId="0" applyNumberFormat="1" applyFont="1" applyBorder="1" applyAlignment="1">
      <alignment horizontal="center"/>
    </xf>
    <xf numFmtId="165" fontId="21" fillId="6" borderId="38" xfId="0" applyNumberFormat="1" applyFont="1" applyFill="1" applyBorder="1" applyAlignment="1">
      <alignment horizontal="center"/>
    </xf>
    <xf numFmtId="165" fontId="21" fillId="6" borderId="5" xfId="0" applyNumberFormat="1" applyFont="1" applyFill="1" applyBorder="1" applyAlignment="1">
      <alignment horizontal="center"/>
    </xf>
    <xf numFmtId="0" fontId="42" fillId="0" borderId="0" xfId="0" applyFont="1" applyAlignment="1">
      <alignment horizontal="center"/>
    </xf>
    <xf numFmtId="0" fontId="0" fillId="0" borderId="0" xfId="0" applyAlignment="1">
      <alignment horizontal="left" wrapText="1"/>
    </xf>
    <xf numFmtId="0" fontId="10" fillId="0" borderId="0" xfId="0" applyFont="1" applyAlignment="1">
      <alignment horizont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33" xfId="0" applyBorder="1" applyAlignment="1">
      <alignment horizontal="center" vertical="center" wrapText="1"/>
    </xf>
    <xf numFmtId="0" fontId="0" fillId="0" borderId="5" xfId="0" applyBorder="1" applyAlignment="1">
      <alignment horizontal="center" vertical="center" wrapText="1"/>
    </xf>
    <xf numFmtId="0" fontId="8" fillId="4" borderId="6" xfId="0" applyFont="1" applyFill="1" applyBorder="1" applyAlignment="1">
      <alignment horizontal="center"/>
    </xf>
    <xf numFmtId="0" fontId="8" fillId="4" borderId="2" xfId="0" applyFont="1" applyFill="1" applyBorder="1" applyAlignment="1">
      <alignment horizontal="center"/>
    </xf>
    <xf numFmtId="0" fontId="21" fillId="4" borderId="6" xfId="0" applyFont="1" applyFill="1" applyBorder="1" applyAlignment="1">
      <alignment horizontal="center"/>
    </xf>
    <xf numFmtId="0" fontId="21" fillId="4" borderId="2" xfId="0" applyFont="1" applyFill="1" applyBorder="1" applyAlignment="1">
      <alignment horizontal="center"/>
    </xf>
    <xf numFmtId="0" fontId="21" fillId="19" borderId="6" xfId="0" applyFont="1" applyFill="1" applyBorder="1" applyAlignment="1">
      <alignment horizontal="center"/>
    </xf>
    <xf numFmtId="0" fontId="21" fillId="19" borderId="2" xfId="0" applyFont="1" applyFill="1" applyBorder="1" applyAlignment="1">
      <alignment horizontal="center"/>
    </xf>
    <xf numFmtId="0" fontId="28" fillId="14" borderId="44" xfId="0" applyFont="1" applyFill="1" applyBorder="1" applyAlignment="1">
      <alignment horizontal="center" vertical="center"/>
    </xf>
    <xf numFmtId="0" fontId="28" fillId="14" borderId="45" xfId="0" applyFont="1" applyFill="1" applyBorder="1" applyAlignment="1">
      <alignment horizontal="center" vertical="center"/>
    </xf>
    <xf numFmtId="0" fontId="0" fillId="15" borderId="46" xfId="0" applyFill="1" applyBorder="1"/>
    <xf numFmtId="0" fontId="0" fillId="15" borderId="47" xfId="0" applyFill="1" applyBorder="1"/>
    <xf numFmtId="0" fontId="0" fillId="15" borderId="47" xfId="0" applyFill="1" applyBorder="1" applyAlignment="1">
      <alignment horizontal="center" vertical="center"/>
    </xf>
    <xf numFmtId="49" fontId="0" fillId="15" borderId="47" xfId="0" applyNumberFormat="1" applyFill="1" applyBorder="1" applyAlignment="1">
      <alignment horizontal="center" vertical="center"/>
    </xf>
    <xf numFmtId="0" fontId="0" fillId="0" borderId="48" xfId="0" applyBorder="1"/>
    <xf numFmtId="0" fontId="0" fillId="15" borderId="48" xfId="0" applyFill="1" applyBorder="1"/>
    <xf numFmtId="0" fontId="0" fillId="0" borderId="0" xfId="0" applyBorder="1"/>
    <xf numFmtId="0" fontId="0" fillId="15" borderId="3" xfId="0" applyFill="1" applyBorder="1"/>
    <xf numFmtId="0" fontId="0" fillId="15" borderId="0" xfId="0" applyFill="1" applyBorder="1"/>
    <xf numFmtId="0" fontId="0" fillId="15" borderId="0" xfId="0" applyFill="1" applyBorder="1" applyAlignment="1">
      <alignment horizontal="center" vertical="center"/>
    </xf>
    <xf numFmtId="0" fontId="0" fillId="15" borderId="33" xfId="0" applyFill="1" applyBorder="1"/>
    <xf numFmtId="0" fontId="0" fillId="15" borderId="38" xfId="0" applyFill="1" applyBorder="1"/>
    <xf numFmtId="0" fontId="0" fillId="15" borderId="38" xfId="0" applyFill="1" applyBorder="1" applyAlignment="1">
      <alignment horizontal="center" vertical="center"/>
    </xf>
  </cellXfs>
  <cellStyles count="5">
    <cellStyle name="Hipervínculo" xfId="2" builtinId="8"/>
    <cellStyle name="Moneda" xfId="1" builtinId="4"/>
    <cellStyle name="Moneda 2" xfId="3"/>
    <cellStyle name="Normal" xfId="0" builtinId="0"/>
    <cellStyle name="Porcentaje" xfId="4" builtinId="5"/>
  </cellStyles>
  <dxfs count="22">
    <dxf>
      <font>
        <b/>
        <i val="0"/>
        <color rgb="FFC00000"/>
      </font>
      <fill>
        <patternFill patternType="solid">
          <fgColor theme="0"/>
          <bgColor rgb="FFFDBFC0"/>
        </patternFill>
      </fill>
    </dxf>
    <dxf>
      <font>
        <b/>
        <i val="0"/>
        <color theme="9" tint="-0.24994659260841701"/>
      </font>
      <fill>
        <patternFill>
          <bgColor theme="9" tint="0.79998168889431442"/>
        </patternFill>
      </fill>
    </dxf>
    <dxf>
      <font>
        <b/>
        <i val="0"/>
        <color rgb="FFC00000"/>
      </font>
      <fill>
        <patternFill>
          <bgColor rgb="FFFE9CA3"/>
        </patternFill>
      </fill>
    </dxf>
    <dxf>
      <font>
        <b/>
        <i val="0"/>
        <color theme="9" tint="-0.24994659260841701"/>
      </font>
      <fill>
        <patternFill>
          <bgColor theme="9" tint="0.59996337778862885"/>
        </patternFill>
      </fill>
    </dxf>
    <dxf>
      <font>
        <color rgb="FF9C0006"/>
      </font>
    </dxf>
    <dxf>
      <font>
        <color rgb="FF9C0006"/>
      </font>
      <fill>
        <patternFill>
          <bgColor rgb="FFFFC7CE"/>
        </patternFill>
      </fill>
    </dxf>
    <dxf>
      <font>
        <color rgb="FF9C0006"/>
      </font>
      <fill>
        <patternFill>
          <bgColor rgb="FFFFC7CE"/>
        </patternFill>
      </fill>
    </dxf>
    <dxf>
      <font>
        <b/>
        <i val="0"/>
        <color rgb="FFC00000"/>
      </font>
      <fill>
        <patternFill>
          <bgColor rgb="FFFECECF"/>
        </patternFill>
      </fill>
    </dxf>
    <dxf>
      <font>
        <b/>
        <i val="0"/>
        <color theme="9" tint="-0.24994659260841701"/>
      </font>
      <fill>
        <patternFill>
          <bgColor theme="9" tint="0.79998168889431442"/>
        </patternFill>
      </fill>
    </dxf>
    <dxf>
      <font>
        <b/>
        <i val="0"/>
        <color theme="9" tint="-0.24994659260841701"/>
      </font>
      <fill>
        <patternFill>
          <bgColor theme="9" tint="0.79998168889431442"/>
        </patternFill>
      </fill>
    </dxf>
    <dxf>
      <font>
        <b/>
        <i val="0"/>
        <color theme="9" tint="-0.24994659260841701"/>
      </font>
      <fill>
        <patternFill>
          <bgColor theme="9" tint="0.79998168889431442"/>
        </patternFill>
      </fill>
    </dxf>
    <dxf>
      <font>
        <b/>
        <i val="0"/>
        <color rgb="FFC00000"/>
      </font>
      <fill>
        <patternFill>
          <bgColor rgb="FFFED2D2"/>
        </patternFill>
      </fill>
    </dxf>
    <dxf>
      <font>
        <b/>
        <i val="0"/>
        <color rgb="FFC00000"/>
      </font>
      <fill>
        <patternFill patternType="solid">
          <fgColor theme="0"/>
          <bgColor rgb="FFFDBFC0"/>
        </patternFill>
      </fill>
    </dxf>
    <dxf>
      <font>
        <b/>
        <i val="0"/>
        <color theme="9" tint="-0.24994659260841701"/>
      </font>
      <fill>
        <patternFill>
          <bgColor theme="9" tint="0.79998168889431442"/>
        </patternFill>
      </fill>
    </dxf>
    <dxf>
      <font>
        <b/>
        <i val="0"/>
        <color rgb="FFC00000"/>
      </font>
      <fill>
        <patternFill>
          <bgColor rgb="FFFE9CA3"/>
        </patternFill>
      </fill>
    </dxf>
    <dxf>
      <font>
        <b/>
        <i val="0"/>
        <color theme="9" tint="-0.24994659260841701"/>
      </font>
      <fill>
        <patternFill>
          <bgColor theme="9" tint="0.59996337778862885"/>
        </patternFill>
      </fill>
    </dxf>
    <dxf>
      <font>
        <color rgb="FF9C0006"/>
      </font>
      <fill>
        <patternFill>
          <bgColor rgb="FFFFC7CE"/>
        </patternFill>
      </fill>
    </dxf>
    <dxf>
      <font>
        <b/>
        <i val="0"/>
        <color theme="9" tint="-0.24994659260841701"/>
      </font>
      <fill>
        <patternFill>
          <bgColor theme="9" tint="0.79998168889431442"/>
        </patternFill>
      </fill>
    </dxf>
    <dxf>
      <font>
        <color rgb="FF9C0006"/>
      </font>
    </dxf>
    <dxf>
      <font>
        <color rgb="FF9C0006"/>
      </font>
      <fill>
        <patternFill>
          <bgColor rgb="FFFFC7CE"/>
        </patternFill>
      </fill>
    </dxf>
    <dxf>
      <font>
        <b/>
        <i val="0"/>
        <color rgb="FFC00000"/>
      </font>
      <fill>
        <patternFill>
          <bgColor rgb="FFFECECF"/>
        </patternFill>
      </fill>
    </dxf>
    <dxf>
      <font>
        <b/>
        <i val="0"/>
        <color theme="9" tint="-0.24994659260841701"/>
      </font>
      <fill>
        <patternFill>
          <bgColor theme="9" tint="0.79998168889431442"/>
        </patternFill>
      </fill>
    </dxf>
  </dxfs>
  <tableStyles count="0" defaultTableStyle="TableStyleMedium2" defaultPivotStyle="PivotStyleLight16"/>
  <colors>
    <mruColors>
      <color rgb="FFAEECB8"/>
      <color rgb="FFFED2D2"/>
      <color rgb="FFFDBFC0"/>
      <color rgb="FFFECECF"/>
      <color rgb="FFFEBAC0"/>
      <color rgb="FFFFFFFF"/>
      <color rgb="FFFEA4A6"/>
      <color rgb="FFFE9CA3"/>
      <color rgb="FF00FF00"/>
      <color rgb="FF2D37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Análisis</a:t>
            </a:r>
            <a:r>
              <a:rPr lang="en-US" baseline="0"/>
              <a:t> Gráfico de Facturación</a:t>
            </a:r>
          </a:p>
        </c:rich>
      </c:tx>
      <c:layout>
        <c:manualLayout>
          <c:xMode val="edge"/>
          <c:yMode val="edge"/>
          <c:x val="0.30128312185947753"/>
          <c:y val="1.726929010299703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AR"/>
        </a:p>
      </c:txPr>
    </c:title>
    <c:autoTitleDeleted val="0"/>
    <c:plotArea>
      <c:layout/>
      <c:lineChart>
        <c:grouping val="standard"/>
        <c:varyColors val="0"/>
        <c:ser>
          <c:idx val="0"/>
          <c:order val="0"/>
          <c:tx>
            <c:strRef>
              <c:f>Datos!$B$10</c:f>
              <c:strCache>
                <c:ptCount val="1"/>
                <c:pt idx="0">
                  <c:v>Facturación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Datos!$A$11:$A$22</c:f>
              <c:numCache>
                <c:formatCode>mmm\-yy</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Datos!$B$11:$B$22</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8B5-4D83-B88B-C01A2D109D2D}"/>
            </c:ext>
          </c:extLst>
        </c:ser>
        <c:dLbls>
          <c:showLegendKey val="0"/>
          <c:showVal val="0"/>
          <c:showCatName val="0"/>
          <c:showSerName val="0"/>
          <c:showPercent val="0"/>
          <c:showBubbleSize val="0"/>
        </c:dLbls>
        <c:smooth val="0"/>
        <c:axId val="1254375119"/>
        <c:axId val="1087259439"/>
      </c:lineChart>
      <c:dateAx>
        <c:axId val="1254375119"/>
        <c:scaling>
          <c:orientation val="minMax"/>
        </c:scaling>
        <c:delete val="0"/>
        <c:axPos val="b"/>
        <c:numFmt formatCode="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087259439"/>
        <c:crosses val="autoZero"/>
        <c:auto val="1"/>
        <c:lblOffset val="100"/>
        <c:baseTimeUnit val="months"/>
      </c:dateAx>
      <c:valAx>
        <c:axId val="1087259439"/>
        <c:scaling>
          <c:orientation val="minMax"/>
        </c:scaling>
        <c:delete val="0"/>
        <c:axPos val="l"/>
        <c:majorGridlines>
          <c:spPr>
            <a:ln w="9525" cap="flat" cmpd="sng" algn="ctr">
              <a:solidFill>
                <a:schemeClr val="lt1">
                  <a:lumMod val="95000"/>
                  <a:alpha val="10000"/>
                </a:schemeClr>
              </a:solidFill>
              <a:round/>
            </a:ln>
            <a:effectLst/>
          </c:spPr>
        </c:majorGridlines>
        <c:numFmt formatCode="_-[$$-2C0A]\ * #,##0.00_-;\-[$$-2C0A]\ * #,##0.00_-;_-[$$-2C0A]\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254375119"/>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D373B"/>
    </a:solidFill>
    <a:ln>
      <a:noFill/>
    </a:ln>
    <a:effectLst>
      <a:glow rad="139700">
        <a:schemeClr val="accent1">
          <a:satMod val="175000"/>
          <a:alpha val="40000"/>
        </a:schemeClr>
      </a:glow>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r>
              <a:rPr lang="en-US" sz="2800" b="1" i="1"/>
              <a:t>Compras VS Ventas</a:t>
            </a:r>
          </a:p>
        </c:rich>
      </c:tx>
      <c:overlay val="0"/>
      <c:spPr>
        <a:noFill/>
        <a:ln>
          <a:noFill/>
        </a:ln>
        <a:effectLst/>
      </c:spPr>
      <c:txPr>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lineChart>
        <c:grouping val="standard"/>
        <c:varyColors val="0"/>
        <c:ser>
          <c:idx val="1"/>
          <c:order val="0"/>
          <c:tx>
            <c:v>Compras</c:v>
          </c:tx>
          <c:spPr>
            <a:ln w="44450" cap="rnd">
              <a:solidFill>
                <a:schemeClr val="accent2"/>
              </a:solidFill>
              <a:round/>
            </a:ln>
            <a:effectLst/>
          </c:spPr>
          <c:marker>
            <c:symbol val="circle"/>
            <c:size val="5"/>
            <c:spPr>
              <a:solidFill>
                <a:schemeClr val="accent2"/>
              </a:solidFill>
              <a:ln w="25400">
                <a:solidFill>
                  <a:schemeClr val="accent2"/>
                </a:solidFill>
              </a:ln>
              <a:effectLst/>
            </c:spPr>
          </c:marker>
          <c:val>
            <c:numRef>
              <c:f>Datos!$B$48:$B$59</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CA80-4DAA-99A7-A0DA775F7B85}"/>
            </c:ext>
          </c:extLst>
        </c:ser>
        <c:ser>
          <c:idx val="2"/>
          <c:order val="1"/>
          <c:tx>
            <c:v>Ventas</c:v>
          </c:tx>
          <c:spPr>
            <a:ln w="44450" cap="rnd">
              <a:solidFill>
                <a:schemeClr val="accent3"/>
              </a:solidFill>
              <a:round/>
            </a:ln>
            <a:effectLst/>
          </c:spPr>
          <c:marker>
            <c:symbol val="circle"/>
            <c:size val="5"/>
            <c:spPr>
              <a:solidFill>
                <a:schemeClr val="accent3"/>
              </a:solidFill>
              <a:ln w="25400">
                <a:solidFill>
                  <a:schemeClr val="accent3"/>
                </a:solidFill>
              </a:ln>
              <a:effectLst/>
            </c:spPr>
          </c:marker>
          <c:val>
            <c:numRef>
              <c:f>Datos!$B$11:$B$22</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CA80-4DAA-99A7-A0DA775F7B85}"/>
            </c:ext>
          </c:extLst>
        </c:ser>
        <c:dLbls>
          <c:showLegendKey val="0"/>
          <c:showVal val="0"/>
          <c:showCatName val="0"/>
          <c:showSerName val="0"/>
          <c:showPercent val="0"/>
          <c:showBubbleSize val="0"/>
        </c:dLbls>
        <c:marker val="1"/>
        <c:smooth val="0"/>
        <c:axId val="1194063119"/>
        <c:axId val="1194067919"/>
      </c:lineChart>
      <c:catAx>
        <c:axId val="11940631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7919"/>
        <c:crosses val="autoZero"/>
        <c:auto val="1"/>
        <c:lblAlgn val="ctr"/>
        <c:lblOffset val="100"/>
        <c:noMultiLvlLbl val="0"/>
      </c:catAx>
      <c:valAx>
        <c:axId val="1194067919"/>
        <c:scaling>
          <c:orientation val="minMax"/>
        </c:scaling>
        <c:delete val="0"/>
        <c:axPos val="l"/>
        <c:majorGridlines>
          <c:spPr>
            <a:ln w="9525" cap="flat" cmpd="sng" algn="ctr">
              <a:solidFill>
                <a:schemeClr val="tx1">
                  <a:lumMod val="15000"/>
                  <a:lumOff val="85000"/>
                </a:schemeClr>
              </a:solidFill>
              <a:round/>
            </a:ln>
            <a:effectLst/>
          </c:spPr>
        </c:majorGridlines>
        <c:numFmt formatCode="_-[$$-2C0A]\ * #,##0.00_-;\-[$$-2C0A]\ * #,##0.00_-;_-[$$-2C0A]\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3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a:t>
            </a:r>
          </a:p>
        </c:rich>
      </c:tx>
      <c:layout>
        <c:manualLayout>
          <c:xMode val="edge"/>
          <c:yMode val="edge"/>
          <c:x val="0.20220943695552693"/>
          <c:y val="8.9387632997488212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manualLayout>
          <c:layoutTarget val="inner"/>
          <c:xMode val="edge"/>
          <c:yMode val="edge"/>
          <c:x val="0.21403215223097113"/>
          <c:y val="0.12286599591717699"/>
          <c:w val="0.38860258092738409"/>
          <c:h val="0.64767096821230674"/>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7133-490D-BF7C-3C195CD4BAA9}"/>
              </c:ext>
            </c:extLst>
          </c:dPt>
          <c:dPt>
            <c:idx val="1"/>
            <c:bubble3D val="0"/>
            <c:spPr>
              <a:solidFill>
                <a:srgbClr val="92D050"/>
              </a:solidFill>
              <a:ln w="19050">
                <a:noFill/>
              </a:ln>
              <a:effectLst/>
            </c:spPr>
            <c:extLst>
              <c:ext xmlns:c16="http://schemas.microsoft.com/office/drawing/2014/chart" uri="{C3380CC4-5D6E-409C-BE32-E72D297353CC}">
                <c16:uniqueId val="{00000003-7133-490D-BF7C-3C195CD4BAA9}"/>
              </c:ext>
            </c:extLst>
          </c:dPt>
          <c:dPt>
            <c:idx val="2"/>
            <c:bubble3D val="0"/>
            <c:spPr>
              <a:solidFill>
                <a:srgbClr val="FFFF00"/>
              </a:solidFill>
              <a:ln w="19050">
                <a:noFill/>
              </a:ln>
              <a:effectLst/>
            </c:spPr>
            <c:extLst>
              <c:ext xmlns:c16="http://schemas.microsoft.com/office/drawing/2014/chart" uri="{C3380CC4-5D6E-409C-BE32-E72D297353CC}">
                <c16:uniqueId val="{00000005-7133-490D-BF7C-3C195CD4BAA9}"/>
              </c:ext>
            </c:extLst>
          </c:dPt>
          <c:dPt>
            <c:idx val="3"/>
            <c:bubble3D val="0"/>
            <c:spPr>
              <a:solidFill>
                <a:schemeClr val="accent4"/>
              </a:solidFill>
              <a:ln w="19050">
                <a:noFill/>
              </a:ln>
              <a:effectLst/>
            </c:spPr>
            <c:extLst>
              <c:ext xmlns:c16="http://schemas.microsoft.com/office/drawing/2014/chart" uri="{C3380CC4-5D6E-409C-BE32-E72D297353CC}">
                <c16:uniqueId val="{00000007-7133-490D-BF7C-3C195CD4BAA9}"/>
              </c:ext>
            </c:extLst>
          </c:dPt>
          <c:dPt>
            <c:idx val="4"/>
            <c:bubble3D val="0"/>
            <c:spPr>
              <a:solidFill>
                <a:srgbClr val="FF0000"/>
              </a:solidFill>
              <a:ln w="19050">
                <a:noFill/>
              </a:ln>
              <a:effectLst/>
            </c:spPr>
            <c:extLst>
              <c:ext xmlns:c16="http://schemas.microsoft.com/office/drawing/2014/chart" uri="{C3380CC4-5D6E-409C-BE32-E72D297353CC}">
                <c16:uniqueId val="{00000009-7133-490D-BF7C-3C195CD4BAA9}"/>
              </c:ext>
            </c:extLst>
          </c:dPt>
          <c:dPt>
            <c:idx val="5"/>
            <c:bubble3D val="0"/>
            <c:spPr>
              <a:noFill/>
              <a:ln w="19050">
                <a:noFill/>
              </a:ln>
              <a:effectLst/>
            </c:spPr>
            <c:extLst>
              <c:ext xmlns:c16="http://schemas.microsoft.com/office/drawing/2014/chart" uri="{C3380CC4-5D6E-409C-BE32-E72D297353CC}">
                <c16:uniqueId val="{0000000B-7133-490D-BF7C-3C195CD4BAA9}"/>
              </c:ext>
            </c:extLst>
          </c:dPt>
          <c:val>
            <c:numRef>
              <c:f>'Base de Datos'!$G$4:$G$9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7133-490D-BF7C-3C195CD4BAA9}"/>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spPr>
            <a:ln>
              <a:noFill/>
            </a:ln>
          </c:spPr>
          <c:dPt>
            <c:idx val="0"/>
            <c:bubble3D val="0"/>
            <c:spPr>
              <a:noFill/>
              <a:ln w="19050">
                <a:noFill/>
              </a:ln>
              <a:effectLst/>
            </c:spPr>
            <c:extLst>
              <c:ext xmlns:c16="http://schemas.microsoft.com/office/drawing/2014/chart" uri="{C3380CC4-5D6E-409C-BE32-E72D297353CC}">
                <c16:uniqueId val="{0000000E-7133-490D-BF7C-3C195CD4BAA9}"/>
              </c:ext>
            </c:extLst>
          </c:dPt>
          <c:dPt>
            <c:idx val="1"/>
            <c:bubble3D val="0"/>
            <c:spPr>
              <a:solidFill>
                <a:schemeClr val="tx1"/>
              </a:solidFill>
              <a:ln w="19050">
                <a:noFill/>
              </a:ln>
              <a:effectLst/>
            </c:spPr>
            <c:extLst>
              <c:ext xmlns:c16="http://schemas.microsoft.com/office/drawing/2014/chart" uri="{C3380CC4-5D6E-409C-BE32-E72D297353CC}">
                <c16:uniqueId val="{00000010-7133-490D-BF7C-3C195CD4BAA9}"/>
              </c:ext>
            </c:extLst>
          </c:dPt>
          <c:dPt>
            <c:idx val="2"/>
            <c:bubble3D val="0"/>
            <c:spPr>
              <a:noFill/>
              <a:ln w="19050">
                <a:noFill/>
              </a:ln>
              <a:effectLst/>
            </c:spPr>
            <c:extLst>
              <c:ext xmlns:c16="http://schemas.microsoft.com/office/drawing/2014/chart" uri="{C3380CC4-5D6E-409C-BE32-E72D297353CC}">
                <c16:uniqueId val="{00000012-7133-490D-BF7C-3C195CD4BAA9}"/>
              </c:ext>
            </c:extLst>
          </c:dPt>
          <c:val>
            <c:numRef>
              <c:f>'Base de Datos'!$G$13:$G$15</c:f>
              <c:numCache>
                <c:formatCode>General</c:formatCode>
                <c:ptCount val="3"/>
                <c:pt idx="0">
                  <c:v>#N/A</c:v>
                </c:pt>
                <c:pt idx="1">
                  <c:v>3</c:v>
                </c:pt>
                <c:pt idx="2">
                  <c:v>#N/A</c:v>
                </c:pt>
              </c:numCache>
            </c:numRef>
          </c:val>
          <c:extLst>
            <c:ext xmlns:c16="http://schemas.microsoft.com/office/drawing/2014/chart" uri="{C3380CC4-5D6E-409C-BE32-E72D297353CC}">
              <c16:uniqueId val="{00000013-7133-490D-BF7C-3C195CD4BAA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Categoría</a:t>
            </a:r>
          </a:p>
        </c:rich>
      </c:tx>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2-5BED-4132-B774-5BB007767BB7}"/>
              </c:ext>
            </c:extLst>
          </c:dPt>
          <c:dPt>
            <c:idx val="1"/>
            <c:bubble3D val="0"/>
            <c:spPr>
              <a:solidFill>
                <a:srgbClr val="92D050"/>
              </a:solidFill>
              <a:ln w="19050">
                <a:noFill/>
              </a:ln>
              <a:effectLst/>
            </c:spPr>
            <c:extLst>
              <c:ext xmlns:c16="http://schemas.microsoft.com/office/drawing/2014/chart" uri="{C3380CC4-5D6E-409C-BE32-E72D297353CC}">
                <c16:uniqueId val="{00000003-5BED-4132-B774-5BB007767BB7}"/>
              </c:ext>
            </c:extLst>
          </c:dPt>
          <c:dPt>
            <c:idx val="2"/>
            <c:bubble3D val="0"/>
            <c:spPr>
              <a:solidFill>
                <a:srgbClr val="FFFF00"/>
              </a:solidFill>
              <a:ln w="19050">
                <a:noFill/>
              </a:ln>
              <a:effectLst/>
            </c:spPr>
            <c:extLst>
              <c:ext xmlns:c16="http://schemas.microsoft.com/office/drawing/2014/chart" uri="{C3380CC4-5D6E-409C-BE32-E72D297353CC}">
                <c16:uniqueId val="{00000004-5BED-4132-B774-5BB007767BB7}"/>
              </c:ext>
            </c:extLst>
          </c:dPt>
          <c:dPt>
            <c:idx val="3"/>
            <c:bubble3D val="0"/>
            <c:spPr>
              <a:solidFill>
                <a:schemeClr val="accent4"/>
              </a:solidFill>
              <a:ln w="19050">
                <a:noFill/>
              </a:ln>
              <a:effectLst/>
            </c:spPr>
            <c:extLst>
              <c:ext xmlns:c16="http://schemas.microsoft.com/office/drawing/2014/chart" uri="{C3380CC4-5D6E-409C-BE32-E72D297353CC}">
                <c16:uniqueId val="{00000007-6334-4C40-9ACF-4CDFC2A09E55}"/>
              </c:ext>
            </c:extLst>
          </c:dPt>
          <c:dPt>
            <c:idx val="4"/>
            <c:bubble3D val="0"/>
            <c:spPr>
              <a:solidFill>
                <a:srgbClr val="FF0000"/>
              </a:solidFill>
              <a:ln w="19050">
                <a:noFill/>
              </a:ln>
              <a:effectLst/>
            </c:spPr>
            <c:extLst>
              <c:ext xmlns:c16="http://schemas.microsoft.com/office/drawing/2014/chart" uri="{C3380CC4-5D6E-409C-BE32-E72D297353CC}">
                <c16:uniqueId val="{00000005-5BED-4132-B774-5BB007767BB7}"/>
              </c:ext>
            </c:extLst>
          </c:dPt>
          <c:dPt>
            <c:idx val="5"/>
            <c:bubble3D val="0"/>
            <c:spPr>
              <a:noFill/>
              <a:ln w="19050">
                <a:noFill/>
              </a:ln>
              <a:effectLst/>
            </c:spPr>
            <c:extLst>
              <c:ext xmlns:c16="http://schemas.microsoft.com/office/drawing/2014/chart" uri="{C3380CC4-5D6E-409C-BE32-E72D297353CC}">
                <c16:uniqueId val="{00000001-5BED-4132-B774-5BB007767BB7}"/>
              </c:ext>
            </c:extLst>
          </c:dPt>
          <c:val>
            <c:numRef>
              <c:f>'Base de Datos'!$G$4:$G$9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0-5BED-4132-B774-5BB007767BB7}"/>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spPr>
            <a:ln>
              <a:noFill/>
            </a:ln>
          </c:spPr>
          <c:dPt>
            <c:idx val="0"/>
            <c:bubble3D val="0"/>
            <c:spPr>
              <a:noFill/>
              <a:ln w="19050">
                <a:noFill/>
              </a:ln>
              <a:effectLst/>
            </c:spPr>
            <c:extLst>
              <c:ext xmlns:c16="http://schemas.microsoft.com/office/drawing/2014/chart" uri="{C3380CC4-5D6E-409C-BE32-E72D297353CC}">
                <c16:uniqueId val="{00000008-5BED-4132-B774-5BB007767BB7}"/>
              </c:ext>
            </c:extLst>
          </c:dPt>
          <c:dPt>
            <c:idx val="1"/>
            <c:bubble3D val="0"/>
            <c:spPr>
              <a:solidFill>
                <a:schemeClr val="tx1"/>
              </a:solidFill>
              <a:ln w="19050">
                <a:noFill/>
              </a:ln>
              <a:effectLst/>
            </c:spPr>
            <c:extLst>
              <c:ext xmlns:c16="http://schemas.microsoft.com/office/drawing/2014/chart" uri="{C3380CC4-5D6E-409C-BE32-E72D297353CC}">
                <c16:uniqueId val="{00000009-5BED-4132-B774-5BB007767BB7}"/>
              </c:ext>
            </c:extLst>
          </c:dPt>
          <c:dPt>
            <c:idx val="2"/>
            <c:bubble3D val="0"/>
            <c:spPr>
              <a:noFill/>
              <a:ln w="19050">
                <a:noFill/>
              </a:ln>
              <a:effectLst/>
            </c:spPr>
            <c:extLst>
              <c:ext xmlns:c16="http://schemas.microsoft.com/office/drawing/2014/chart" uri="{C3380CC4-5D6E-409C-BE32-E72D297353CC}">
                <c16:uniqueId val="{00000007-5BED-4132-B774-5BB007767BB7}"/>
              </c:ext>
            </c:extLst>
          </c:dPt>
          <c:val>
            <c:numRef>
              <c:f>'Base de Datos'!$G$13:$G$15</c:f>
              <c:numCache>
                <c:formatCode>General</c:formatCode>
                <c:ptCount val="3"/>
                <c:pt idx="0">
                  <c:v>#N/A</c:v>
                </c:pt>
                <c:pt idx="1">
                  <c:v>3</c:v>
                </c:pt>
                <c:pt idx="2">
                  <c:v>#N/A</c:v>
                </c:pt>
              </c:numCache>
            </c:numRef>
          </c:val>
          <c:extLst>
            <c:ext xmlns:c16="http://schemas.microsoft.com/office/drawing/2014/chart" uri="{C3380CC4-5D6E-409C-BE32-E72D297353CC}">
              <c16:uniqueId val="{00000006-5BED-4132-B774-5BB007767BB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Monotributo</a:t>
            </a:r>
          </a:p>
        </c:rich>
      </c:tx>
      <c:layout>
        <c:manualLayout>
          <c:xMode val="edge"/>
          <c:yMode val="edge"/>
          <c:x val="0.10550297229273445"/>
          <c:y val="6.0185185185185182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dPt>
            <c:idx val="0"/>
            <c:bubble3D val="0"/>
            <c:spPr>
              <a:solidFill>
                <a:srgbClr val="00B050"/>
              </a:solidFill>
              <a:ln w="19050">
                <a:noFill/>
              </a:ln>
              <a:effectLst/>
            </c:spPr>
            <c:extLst>
              <c:ext xmlns:c16="http://schemas.microsoft.com/office/drawing/2014/chart" uri="{C3380CC4-5D6E-409C-BE32-E72D297353CC}">
                <c16:uniqueId val="{00000001-0C01-4BB6-B6E4-8A1689F405F4}"/>
              </c:ext>
            </c:extLst>
          </c:dPt>
          <c:dPt>
            <c:idx val="1"/>
            <c:bubble3D val="0"/>
            <c:spPr>
              <a:solidFill>
                <a:srgbClr val="92D050"/>
              </a:solidFill>
              <a:ln w="19050">
                <a:noFill/>
              </a:ln>
              <a:effectLst/>
            </c:spPr>
            <c:extLst>
              <c:ext xmlns:c16="http://schemas.microsoft.com/office/drawing/2014/chart" uri="{C3380CC4-5D6E-409C-BE32-E72D297353CC}">
                <c16:uniqueId val="{00000003-0C01-4BB6-B6E4-8A1689F405F4}"/>
              </c:ext>
            </c:extLst>
          </c:dPt>
          <c:dPt>
            <c:idx val="2"/>
            <c:bubble3D val="0"/>
            <c:spPr>
              <a:solidFill>
                <a:srgbClr val="FFFF00"/>
              </a:solidFill>
              <a:ln w="19050">
                <a:noFill/>
              </a:ln>
              <a:effectLst/>
            </c:spPr>
            <c:extLst>
              <c:ext xmlns:c16="http://schemas.microsoft.com/office/drawing/2014/chart" uri="{C3380CC4-5D6E-409C-BE32-E72D297353CC}">
                <c16:uniqueId val="{00000005-0C01-4BB6-B6E4-8A1689F405F4}"/>
              </c:ext>
            </c:extLst>
          </c:dPt>
          <c:dPt>
            <c:idx val="3"/>
            <c:bubble3D val="0"/>
            <c:spPr>
              <a:solidFill>
                <a:srgbClr val="FFC000"/>
              </a:solidFill>
              <a:ln w="19050">
                <a:noFill/>
              </a:ln>
              <a:effectLst/>
            </c:spPr>
            <c:extLst>
              <c:ext xmlns:c16="http://schemas.microsoft.com/office/drawing/2014/chart" uri="{C3380CC4-5D6E-409C-BE32-E72D297353CC}">
                <c16:uniqueId val="{00000007-0C01-4BB6-B6E4-8A1689F405F4}"/>
              </c:ext>
            </c:extLst>
          </c:dPt>
          <c:dPt>
            <c:idx val="4"/>
            <c:bubble3D val="0"/>
            <c:spPr>
              <a:solidFill>
                <a:srgbClr val="FF0000"/>
              </a:solidFill>
              <a:ln w="19050">
                <a:noFill/>
              </a:ln>
              <a:effectLst/>
            </c:spPr>
            <c:extLst>
              <c:ext xmlns:c16="http://schemas.microsoft.com/office/drawing/2014/chart" uri="{C3380CC4-5D6E-409C-BE32-E72D297353CC}">
                <c16:uniqueId val="{00000009-0C01-4BB6-B6E4-8A1689F405F4}"/>
              </c:ext>
            </c:extLst>
          </c:dPt>
          <c:dPt>
            <c:idx val="5"/>
            <c:bubble3D val="0"/>
            <c:spPr>
              <a:noFill/>
              <a:ln w="19050">
                <a:noFill/>
              </a:ln>
              <a:effectLst/>
            </c:spPr>
            <c:extLst>
              <c:ext xmlns:c16="http://schemas.microsoft.com/office/drawing/2014/chart" uri="{C3380CC4-5D6E-409C-BE32-E72D297353CC}">
                <c16:uniqueId val="{0000000B-0C01-4BB6-B6E4-8A1689F405F4}"/>
              </c:ext>
            </c:extLst>
          </c:dPt>
          <c:val>
            <c:numRef>
              <c:f>'Base de Datos'!$H$4:$H$9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0C01-4BB6-B6E4-8A1689F405F4}"/>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dPt>
            <c:idx val="0"/>
            <c:bubble3D val="0"/>
            <c:spPr>
              <a:noFill/>
              <a:ln w="19050">
                <a:solidFill>
                  <a:schemeClr val="lt1"/>
                </a:solidFill>
              </a:ln>
              <a:effectLst/>
            </c:spPr>
            <c:extLst>
              <c:ext xmlns:c16="http://schemas.microsoft.com/office/drawing/2014/chart" uri="{C3380CC4-5D6E-409C-BE32-E72D297353CC}">
                <c16:uniqueId val="{0000000D-4D98-4CA4-9D5E-EC5A8479C0E7}"/>
              </c:ext>
            </c:extLst>
          </c:dPt>
          <c:dPt>
            <c:idx val="1"/>
            <c:bubble3D val="0"/>
            <c:spPr>
              <a:solidFill>
                <a:schemeClr val="bg2">
                  <a:lumMod val="10000"/>
                </a:schemeClr>
              </a:solidFill>
              <a:ln w="19050">
                <a:solidFill>
                  <a:schemeClr val="lt1"/>
                </a:solidFill>
              </a:ln>
              <a:effectLst/>
            </c:spPr>
            <c:extLst>
              <c:ext xmlns:c16="http://schemas.microsoft.com/office/drawing/2014/chart" uri="{C3380CC4-5D6E-409C-BE32-E72D297353CC}">
                <c16:uniqueId val="{0000000F-4D98-4CA4-9D5E-EC5A8479C0E7}"/>
              </c:ext>
            </c:extLst>
          </c:dPt>
          <c:dPt>
            <c:idx val="2"/>
            <c:bubble3D val="0"/>
            <c:spPr>
              <a:noFill/>
              <a:ln w="19050">
                <a:solidFill>
                  <a:schemeClr val="lt1"/>
                </a:solidFill>
              </a:ln>
              <a:effectLst/>
            </c:spPr>
            <c:extLst>
              <c:ext xmlns:c16="http://schemas.microsoft.com/office/drawing/2014/chart" uri="{C3380CC4-5D6E-409C-BE32-E72D297353CC}">
                <c16:uniqueId val="{00000011-4D98-4CA4-9D5E-EC5A8479C0E7}"/>
              </c:ext>
            </c:extLst>
          </c:dPt>
          <c:val>
            <c:numRef>
              <c:f>'Base de Datos'!$H$13:$H$15</c:f>
              <c:numCache>
                <c:formatCode>General</c:formatCode>
                <c:ptCount val="3"/>
                <c:pt idx="0">
                  <c:v>-1.5</c:v>
                </c:pt>
                <c:pt idx="1">
                  <c:v>3</c:v>
                </c:pt>
                <c:pt idx="2">
                  <c:v>198.5</c:v>
                </c:pt>
              </c:numCache>
            </c:numRef>
          </c:val>
          <c:extLst>
            <c:ext xmlns:c16="http://schemas.microsoft.com/office/drawing/2014/chart" uri="{C3380CC4-5D6E-409C-BE32-E72D297353CC}">
              <c16:uniqueId val="{00000016-0C01-4BB6-B6E4-8A1689F405F4}"/>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r>
              <a:rPr lang="en-US" sz="2800" b="1" i="1"/>
              <a:t>Compras VS Ventas</a:t>
            </a:r>
          </a:p>
        </c:rich>
      </c:tx>
      <c:layout/>
      <c:overlay val="0"/>
      <c:spPr>
        <a:noFill/>
        <a:ln>
          <a:noFill/>
        </a:ln>
        <a:effectLst/>
      </c:spPr>
      <c:txPr>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lineChart>
        <c:grouping val="standard"/>
        <c:varyColors val="0"/>
        <c:ser>
          <c:idx val="1"/>
          <c:order val="0"/>
          <c:tx>
            <c:v>Compras</c:v>
          </c:tx>
          <c:spPr>
            <a:ln w="44450" cap="rnd">
              <a:solidFill>
                <a:schemeClr val="accent2"/>
              </a:solidFill>
              <a:round/>
            </a:ln>
            <a:effectLst/>
          </c:spPr>
          <c:marker>
            <c:symbol val="circle"/>
            <c:size val="5"/>
            <c:spPr>
              <a:solidFill>
                <a:schemeClr val="accent2"/>
              </a:solidFill>
              <a:ln w="25400">
                <a:solidFill>
                  <a:schemeClr val="accent2"/>
                </a:solidFill>
              </a:ln>
              <a:effectLst/>
            </c:spPr>
          </c:marker>
          <c:val>
            <c:numRef>
              <c:f>Datos!$B$48:$B$59</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2B5-4171-9398-9BC970AED66A}"/>
            </c:ext>
          </c:extLst>
        </c:ser>
        <c:ser>
          <c:idx val="2"/>
          <c:order val="1"/>
          <c:tx>
            <c:v>Ventas</c:v>
          </c:tx>
          <c:spPr>
            <a:ln w="44450" cap="rnd">
              <a:solidFill>
                <a:schemeClr val="accent3"/>
              </a:solidFill>
              <a:round/>
            </a:ln>
            <a:effectLst/>
          </c:spPr>
          <c:marker>
            <c:symbol val="circle"/>
            <c:size val="5"/>
            <c:spPr>
              <a:solidFill>
                <a:schemeClr val="accent3"/>
              </a:solidFill>
              <a:ln w="25400">
                <a:solidFill>
                  <a:schemeClr val="accent3"/>
                </a:solidFill>
              </a:ln>
              <a:effectLst/>
            </c:spPr>
          </c:marker>
          <c:val>
            <c:numRef>
              <c:f>Datos!$B$11:$B$22</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52B5-4171-9398-9BC970AED66A}"/>
            </c:ext>
          </c:extLst>
        </c:ser>
        <c:dLbls>
          <c:showLegendKey val="0"/>
          <c:showVal val="0"/>
          <c:showCatName val="0"/>
          <c:showSerName val="0"/>
          <c:showPercent val="0"/>
          <c:showBubbleSize val="0"/>
        </c:dLbls>
        <c:marker val="1"/>
        <c:smooth val="0"/>
        <c:axId val="1194063119"/>
        <c:axId val="1194067919"/>
      </c:lineChart>
      <c:catAx>
        <c:axId val="11940631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7919"/>
        <c:crosses val="autoZero"/>
        <c:auto val="1"/>
        <c:lblAlgn val="ctr"/>
        <c:lblOffset val="100"/>
        <c:noMultiLvlLbl val="0"/>
      </c:catAx>
      <c:valAx>
        <c:axId val="1194067919"/>
        <c:scaling>
          <c:orientation val="minMax"/>
        </c:scaling>
        <c:delete val="0"/>
        <c:axPos val="l"/>
        <c:majorGridlines>
          <c:spPr>
            <a:ln w="9525" cap="flat" cmpd="sng" algn="ctr">
              <a:solidFill>
                <a:schemeClr val="tx1">
                  <a:lumMod val="15000"/>
                  <a:lumOff val="85000"/>
                </a:schemeClr>
              </a:solidFill>
              <a:round/>
            </a:ln>
            <a:effectLst/>
          </c:spPr>
        </c:majorGridlines>
        <c:numFmt formatCode="_-[$$-2C0A]\ * #,##0.00_-;\-[$$-2C0A]\ * #,##0.00_-;_-[$$-2C0A]\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3119"/>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en tu Categoría</a:t>
            </a:r>
          </a:p>
        </c:rich>
      </c:tx>
      <c:layout>
        <c:manualLayout>
          <c:xMode val="edge"/>
          <c:yMode val="edge"/>
          <c:x val="0.10707131807199596"/>
          <c:y val="6.9892473118279563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8882-47A0-81FB-F544D9F59A41}"/>
              </c:ext>
            </c:extLst>
          </c:dPt>
          <c:dPt>
            <c:idx val="1"/>
            <c:bubble3D val="0"/>
            <c:spPr>
              <a:solidFill>
                <a:srgbClr val="92D050"/>
              </a:solidFill>
              <a:ln w="19050">
                <a:noFill/>
              </a:ln>
              <a:effectLst/>
            </c:spPr>
            <c:extLst>
              <c:ext xmlns:c16="http://schemas.microsoft.com/office/drawing/2014/chart" uri="{C3380CC4-5D6E-409C-BE32-E72D297353CC}">
                <c16:uniqueId val="{00000003-8882-47A0-81FB-F544D9F59A41}"/>
              </c:ext>
            </c:extLst>
          </c:dPt>
          <c:dPt>
            <c:idx val="2"/>
            <c:bubble3D val="0"/>
            <c:spPr>
              <a:solidFill>
                <a:srgbClr val="FFFF00"/>
              </a:solidFill>
              <a:ln w="19050">
                <a:noFill/>
              </a:ln>
              <a:effectLst/>
            </c:spPr>
            <c:extLst>
              <c:ext xmlns:c16="http://schemas.microsoft.com/office/drawing/2014/chart" uri="{C3380CC4-5D6E-409C-BE32-E72D297353CC}">
                <c16:uniqueId val="{00000005-8882-47A0-81FB-F544D9F59A41}"/>
              </c:ext>
            </c:extLst>
          </c:dPt>
          <c:dPt>
            <c:idx val="3"/>
            <c:bubble3D val="0"/>
            <c:spPr>
              <a:solidFill>
                <a:schemeClr val="accent4"/>
              </a:solidFill>
              <a:ln w="19050">
                <a:noFill/>
              </a:ln>
              <a:effectLst/>
            </c:spPr>
            <c:extLst>
              <c:ext xmlns:c16="http://schemas.microsoft.com/office/drawing/2014/chart" uri="{C3380CC4-5D6E-409C-BE32-E72D297353CC}">
                <c16:uniqueId val="{00000007-8882-47A0-81FB-F544D9F59A41}"/>
              </c:ext>
            </c:extLst>
          </c:dPt>
          <c:dPt>
            <c:idx val="4"/>
            <c:bubble3D val="0"/>
            <c:spPr>
              <a:solidFill>
                <a:srgbClr val="FF0000"/>
              </a:solidFill>
              <a:ln w="19050">
                <a:noFill/>
              </a:ln>
              <a:effectLst/>
            </c:spPr>
            <c:extLst>
              <c:ext xmlns:c16="http://schemas.microsoft.com/office/drawing/2014/chart" uri="{C3380CC4-5D6E-409C-BE32-E72D297353CC}">
                <c16:uniqueId val="{00000009-8882-47A0-81FB-F544D9F59A41}"/>
              </c:ext>
            </c:extLst>
          </c:dPt>
          <c:dPt>
            <c:idx val="5"/>
            <c:bubble3D val="0"/>
            <c:spPr>
              <a:noFill/>
              <a:ln w="19050">
                <a:noFill/>
              </a:ln>
              <a:effectLst/>
            </c:spPr>
            <c:extLst>
              <c:ext xmlns:c16="http://schemas.microsoft.com/office/drawing/2014/chart" uri="{C3380CC4-5D6E-409C-BE32-E72D297353CC}">
                <c16:uniqueId val="{0000000B-8882-47A0-81FB-F544D9F59A41}"/>
              </c:ext>
            </c:extLst>
          </c:dPt>
          <c:val>
            <c:numRef>
              <c:f>'Base de Datos'!$G$4:$G$9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8882-47A0-81FB-F544D9F59A41}"/>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spPr>
            <a:ln>
              <a:noFill/>
            </a:ln>
          </c:spPr>
          <c:dPt>
            <c:idx val="0"/>
            <c:bubble3D val="0"/>
            <c:spPr>
              <a:noFill/>
              <a:ln w="19050">
                <a:noFill/>
              </a:ln>
              <a:effectLst/>
            </c:spPr>
            <c:extLst>
              <c:ext xmlns:c16="http://schemas.microsoft.com/office/drawing/2014/chart" uri="{C3380CC4-5D6E-409C-BE32-E72D297353CC}">
                <c16:uniqueId val="{0000000E-8882-47A0-81FB-F544D9F59A41}"/>
              </c:ext>
            </c:extLst>
          </c:dPt>
          <c:dPt>
            <c:idx val="1"/>
            <c:bubble3D val="0"/>
            <c:spPr>
              <a:solidFill>
                <a:schemeClr val="tx1"/>
              </a:solidFill>
              <a:ln w="19050">
                <a:solidFill>
                  <a:schemeClr val="bg1"/>
                </a:solidFill>
              </a:ln>
              <a:effectLst/>
            </c:spPr>
            <c:extLst>
              <c:ext xmlns:c16="http://schemas.microsoft.com/office/drawing/2014/chart" uri="{C3380CC4-5D6E-409C-BE32-E72D297353CC}">
                <c16:uniqueId val="{00000010-8882-47A0-81FB-F544D9F59A41}"/>
              </c:ext>
            </c:extLst>
          </c:dPt>
          <c:dPt>
            <c:idx val="2"/>
            <c:bubble3D val="0"/>
            <c:spPr>
              <a:noFill/>
              <a:ln w="19050">
                <a:noFill/>
              </a:ln>
              <a:effectLst/>
            </c:spPr>
            <c:extLst>
              <c:ext xmlns:c16="http://schemas.microsoft.com/office/drawing/2014/chart" uri="{C3380CC4-5D6E-409C-BE32-E72D297353CC}">
                <c16:uniqueId val="{00000012-8882-47A0-81FB-F544D9F59A41}"/>
              </c:ext>
            </c:extLst>
          </c:dPt>
          <c:val>
            <c:numRef>
              <c:f>'Base de Datos'!$G$13:$G$15</c:f>
              <c:numCache>
                <c:formatCode>General</c:formatCode>
                <c:ptCount val="3"/>
                <c:pt idx="0">
                  <c:v>#N/A</c:v>
                </c:pt>
                <c:pt idx="1">
                  <c:v>3</c:v>
                </c:pt>
                <c:pt idx="2">
                  <c:v>#N/A</c:v>
                </c:pt>
              </c:numCache>
            </c:numRef>
          </c:val>
          <c:extLst>
            <c:ext xmlns:c16="http://schemas.microsoft.com/office/drawing/2014/chart" uri="{C3380CC4-5D6E-409C-BE32-E72D297353CC}">
              <c16:uniqueId val="{00000013-8882-47A0-81FB-F544D9F59A41}"/>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en Monotributo</a:t>
            </a:r>
          </a:p>
        </c:rich>
      </c:tx>
      <c:layout>
        <c:manualLayout>
          <c:xMode val="edge"/>
          <c:yMode val="edge"/>
          <c:x val="0.12686032124148616"/>
          <c:y val="6.9380758439677795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dPt>
            <c:idx val="0"/>
            <c:bubble3D val="0"/>
            <c:spPr>
              <a:solidFill>
                <a:srgbClr val="00B050"/>
              </a:solidFill>
              <a:ln w="19050">
                <a:noFill/>
              </a:ln>
              <a:effectLst/>
            </c:spPr>
            <c:extLst>
              <c:ext xmlns:c16="http://schemas.microsoft.com/office/drawing/2014/chart" uri="{C3380CC4-5D6E-409C-BE32-E72D297353CC}">
                <c16:uniqueId val="{00000001-13DF-43CA-AF57-E2CFAC9C10BF}"/>
              </c:ext>
            </c:extLst>
          </c:dPt>
          <c:dPt>
            <c:idx val="1"/>
            <c:bubble3D val="0"/>
            <c:spPr>
              <a:solidFill>
                <a:srgbClr val="92D050"/>
              </a:solidFill>
              <a:ln w="19050">
                <a:noFill/>
              </a:ln>
              <a:effectLst/>
            </c:spPr>
            <c:extLst>
              <c:ext xmlns:c16="http://schemas.microsoft.com/office/drawing/2014/chart" uri="{C3380CC4-5D6E-409C-BE32-E72D297353CC}">
                <c16:uniqueId val="{00000003-13DF-43CA-AF57-E2CFAC9C10BF}"/>
              </c:ext>
            </c:extLst>
          </c:dPt>
          <c:dPt>
            <c:idx val="2"/>
            <c:bubble3D val="0"/>
            <c:spPr>
              <a:solidFill>
                <a:srgbClr val="FFFF00"/>
              </a:solidFill>
              <a:ln w="19050">
                <a:noFill/>
              </a:ln>
              <a:effectLst/>
            </c:spPr>
            <c:extLst>
              <c:ext xmlns:c16="http://schemas.microsoft.com/office/drawing/2014/chart" uri="{C3380CC4-5D6E-409C-BE32-E72D297353CC}">
                <c16:uniqueId val="{00000005-13DF-43CA-AF57-E2CFAC9C10BF}"/>
              </c:ext>
            </c:extLst>
          </c:dPt>
          <c:dPt>
            <c:idx val="3"/>
            <c:bubble3D val="0"/>
            <c:spPr>
              <a:solidFill>
                <a:srgbClr val="FFC000"/>
              </a:solidFill>
              <a:ln w="19050">
                <a:noFill/>
              </a:ln>
              <a:effectLst/>
            </c:spPr>
            <c:extLst>
              <c:ext xmlns:c16="http://schemas.microsoft.com/office/drawing/2014/chart" uri="{C3380CC4-5D6E-409C-BE32-E72D297353CC}">
                <c16:uniqueId val="{00000007-13DF-43CA-AF57-E2CFAC9C10BF}"/>
              </c:ext>
            </c:extLst>
          </c:dPt>
          <c:dPt>
            <c:idx val="4"/>
            <c:bubble3D val="0"/>
            <c:spPr>
              <a:solidFill>
                <a:srgbClr val="FF0000"/>
              </a:solidFill>
              <a:ln w="19050">
                <a:noFill/>
              </a:ln>
              <a:effectLst/>
            </c:spPr>
            <c:extLst>
              <c:ext xmlns:c16="http://schemas.microsoft.com/office/drawing/2014/chart" uri="{C3380CC4-5D6E-409C-BE32-E72D297353CC}">
                <c16:uniqueId val="{00000009-13DF-43CA-AF57-E2CFAC9C10BF}"/>
              </c:ext>
            </c:extLst>
          </c:dPt>
          <c:dPt>
            <c:idx val="5"/>
            <c:bubble3D val="0"/>
            <c:spPr>
              <a:noFill/>
              <a:ln w="19050">
                <a:noFill/>
              </a:ln>
              <a:effectLst/>
            </c:spPr>
            <c:extLst>
              <c:ext xmlns:c16="http://schemas.microsoft.com/office/drawing/2014/chart" uri="{C3380CC4-5D6E-409C-BE32-E72D297353CC}">
                <c16:uniqueId val="{0000000B-13DF-43CA-AF57-E2CFAC9C10BF}"/>
              </c:ext>
            </c:extLst>
          </c:dPt>
          <c:val>
            <c:numRef>
              <c:f>'Base de Datos'!$H$4:$H$9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3DF-43CA-AF57-E2CFAC9C10BF}"/>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dPt>
            <c:idx val="0"/>
            <c:bubble3D val="0"/>
            <c:spPr>
              <a:noFill/>
              <a:ln w="19050">
                <a:solidFill>
                  <a:schemeClr val="lt1"/>
                </a:solidFill>
              </a:ln>
              <a:effectLst/>
            </c:spPr>
            <c:extLst>
              <c:ext xmlns:c16="http://schemas.microsoft.com/office/drawing/2014/chart" uri="{C3380CC4-5D6E-409C-BE32-E72D297353CC}">
                <c16:uniqueId val="{0000000E-13DF-43CA-AF57-E2CFAC9C10BF}"/>
              </c:ext>
            </c:extLst>
          </c:dPt>
          <c:dPt>
            <c:idx val="1"/>
            <c:bubble3D val="0"/>
            <c:spPr>
              <a:solidFill>
                <a:schemeClr val="bg2">
                  <a:lumMod val="10000"/>
                </a:schemeClr>
              </a:solidFill>
              <a:ln w="19050">
                <a:solidFill>
                  <a:schemeClr val="lt1"/>
                </a:solidFill>
              </a:ln>
              <a:effectLst/>
            </c:spPr>
            <c:extLst>
              <c:ext xmlns:c16="http://schemas.microsoft.com/office/drawing/2014/chart" uri="{C3380CC4-5D6E-409C-BE32-E72D297353CC}">
                <c16:uniqueId val="{00000010-13DF-43CA-AF57-E2CFAC9C10BF}"/>
              </c:ext>
            </c:extLst>
          </c:dPt>
          <c:dPt>
            <c:idx val="2"/>
            <c:bubble3D val="0"/>
            <c:spPr>
              <a:noFill/>
              <a:ln w="19050">
                <a:solidFill>
                  <a:schemeClr val="lt1"/>
                </a:solidFill>
              </a:ln>
              <a:effectLst/>
            </c:spPr>
            <c:extLst>
              <c:ext xmlns:c16="http://schemas.microsoft.com/office/drawing/2014/chart" uri="{C3380CC4-5D6E-409C-BE32-E72D297353CC}">
                <c16:uniqueId val="{00000012-13DF-43CA-AF57-E2CFAC9C10BF}"/>
              </c:ext>
            </c:extLst>
          </c:dPt>
          <c:val>
            <c:numRef>
              <c:f>'Base de Datos'!$H$13:$H$15</c:f>
              <c:numCache>
                <c:formatCode>General</c:formatCode>
                <c:ptCount val="3"/>
                <c:pt idx="0">
                  <c:v>-1.5</c:v>
                </c:pt>
                <c:pt idx="1">
                  <c:v>3</c:v>
                </c:pt>
                <c:pt idx="2">
                  <c:v>198.5</c:v>
                </c:pt>
              </c:numCache>
            </c:numRef>
          </c:val>
          <c:extLst>
            <c:ext xmlns:c16="http://schemas.microsoft.com/office/drawing/2014/chart" uri="{C3380CC4-5D6E-409C-BE32-E72D297353CC}">
              <c16:uniqueId val="{00000013-13DF-43CA-AF57-E2CFAC9C10BF}"/>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r>
              <a:rPr lang="en-US" sz="2800" b="1" i="1"/>
              <a:t>Compras VS Ventas</a:t>
            </a:r>
          </a:p>
        </c:rich>
      </c:tx>
      <c:layout/>
      <c:overlay val="0"/>
      <c:spPr>
        <a:noFill/>
        <a:ln>
          <a:noFill/>
        </a:ln>
        <a:effectLst/>
      </c:spPr>
      <c:txPr>
        <a:bodyPr rot="0" spcFirstLastPara="1" vertOverflow="ellipsis" vert="horz" wrap="square" anchor="ctr" anchorCtr="1"/>
        <a:lstStyle/>
        <a:p>
          <a:pPr>
            <a:defRPr sz="2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lineChart>
        <c:grouping val="standard"/>
        <c:varyColors val="0"/>
        <c:ser>
          <c:idx val="1"/>
          <c:order val="0"/>
          <c:tx>
            <c:v>Compras</c:v>
          </c:tx>
          <c:spPr>
            <a:ln w="44450" cap="rnd">
              <a:solidFill>
                <a:schemeClr val="accent2"/>
              </a:solidFill>
              <a:round/>
            </a:ln>
            <a:effectLst/>
          </c:spPr>
          <c:marker>
            <c:symbol val="circle"/>
            <c:size val="5"/>
            <c:spPr>
              <a:solidFill>
                <a:schemeClr val="accent2"/>
              </a:solidFill>
              <a:ln w="25400">
                <a:solidFill>
                  <a:schemeClr val="accent2"/>
                </a:solidFill>
              </a:ln>
              <a:effectLst/>
            </c:spPr>
          </c:marker>
          <c:val>
            <c:numRef>
              <c:f>Datos!$B$48:$B$59</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F8E-4617-AD76-A96778B68318}"/>
            </c:ext>
          </c:extLst>
        </c:ser>
        <c:ser>
          <c:idx val="2"/>
          <c:order val="1"/>
          <c:tx>
            <c:v>Ventas</c:v>
          </c:tx>
          <c:spPr>
            <a:ln w="44450" cap="rnd">
              <a:solidFill>
                <a:schemeClr val="accent3"/>
              </a:solidFill>
              <a:round/>
            </a:ln>
            <a:effectLst/>
          </c:spPr>
          <c:marker>
            <c:symbol val="circle"/>
            <c:size val="5"/>
            <c:spPr>
              <a:solidFill>
                <a:schemeClr val="accent3"/>
              </a:solidFill>
              <a:ln w="25400">
                <a:solidFill>
                  <a:schemeClr val="accent3"/>
                </a:solidFill>
              </a:ln>
              <a:effectLst/>
            </c:spPr>
          </c:marker>
          <c:val>
            <c:numRef>
              <c:f>Datos!$B$11:$B$22</c:f>
              <c:numCache>
                <c:formatCode>_-[$$-2C0A]\ * #,##0.00_-;\-[$$-2C0A]\ * #,##0.00_-;_-[$$-2C0A]\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4F8E-4617-AD76-A96778B68318}"/>
            </c:ext>
          </c:extLst>
        </c:ser>
        <c:dLbls>
          <c:showLegendKey val="0"/>
          <c:showVal val="0"/>
          <c:showCatName val="0"/>
          <c:showSerName val="0"/>
          <c:showPercent val="0"/>
          <c:showBubbleSize val="0"/>
        </c:dLbls>
        <c:marker val="1"/>
        <c:smooth val="0"/>
        <c:axId val="1194063119"/>
        <c:axId val="1194067919"/>
      </c:lineChart>
      <c:catAx>
        <c:axId val="11940631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7919"/>
        <c:crosses val="autoZero"/>
        <c:auto val="1"/>
        <c:lblAlgn val="ctr"/>
        <c:lblOffset val="100"/>
        <c:noMultiLvlLbl val="0"/>
      </c:catAx>
      <c:valAx>
        <c:axId val="1194067919"/>
        <c:scaling>
          <c:orientation val="minMax"/>
        </c:scaling>
        <c:delete val="0"/>
        <c:axPos val="l"/>
        <c:majorGridlines>
          <c:spPr>
            <a:ln w="9525" cap="flat" cmpd="sng" algn="ctr">
              <a:solidFill>
                <a:schemeClr val="tx1">
                  <a:lumMod val="15000"/>
                  <a:lumOff val="85000"/>
                </a:schemeClr>
              </a:solidFill>
              <a:round/>
            </a:ln>
            <a:effectLst/>
          </c:spPr>
        </c:majorGridlines>
        <c:numFmt formatCode="_-[$$-2C0A]\ * #,##0.00_-;\-[$$-2C0A]\ * #,##0.00_-;_-[$$-2C0A]\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94063119"/>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en tu Categoría</a:t>
            </a:r>
          </a:p>
        </c:rich>
      </c:tx>
      <c:layout>
        <c:manualLayout>
          <c:xMode val="edge"/>
          <c:yMode val="edge"/>
          <c:x val="0.10707131807199596"/>
          <c:y val="6.9892473118279563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884C-4C98-A673-5A3C954BD0A5}"/>
              </c:ext>
            </c:extLst>
          </c:dPt>
          <c:dPt>
            <c:idx val="1"/>
            <c:bubble3D val="0"/>
            <c:spPr>
              <a:solidFill>
                <a:srgbClr val="92D050"/>
              </a:solidFill>
              <a:ln w="19050">
                <a:noFill/>
              </a:ln>
              <a:effectLst/>
            </c:spPr>
            <c:extLst>
              <c:ext xmlns:c16="http://schemas.microsoft.com/office/drawing/2014/chart" uri="{C3380CC4-5D6E-409C-BE32-E72D297353CC}">
                <c16:uniqueId val="{00000003-884C-4C98-A673-5A3C954BD0A5}"/>
              </c:ext>
            </c:extLst>
          </c:dPt>
          <c:dPt>
            <c:idx val="2"/>
            <c:bubble3D val="0"/>
            <c:spPr>
              <a:solidFill>
                <a:srgbClr val="FFFF00"/>
              </a:solidFill>
              <a:ln w="19050">
                <a:noFill/>
              </a:ln>
              <a:effectLst/>
            </c:spPr>
            <c:extLst>
              <c:ext xmlns:c16="http://schemas.microsoft.com/office/drawing/2014/chart" uri="{C3380CC4-5D6E-409C-BE32-E72D297353CC}">
                <c16:uniqueId val="{00000005-884C-4C98-A673-5A3C954BD0A5}"/>
              </c:ext>
            </c:extLst>
          </c:dPt>
          <c:dPt>
            <c:idx val="3"/>
            <c:bubble3D val="0"/>
            <c:spPr>
              <a:solidFill>
                <a:schemeClr val="accent4"/>
              </a:solidFill>
              <a:ln w="19050">
                <a:noFill/>
              </a:ln>
              <a:effectLst/>
            </c:spPr>
            <c:extLst>
              <c:ext xmlns:c16="http://schemas.microsoft.com/office/drawing/2014/chart" uri="{C3380CC4-5D6E-409C-BE32-E72D297353CC}">
                <c16:uniqueId val="{00000007-884C-4C98-A673-5A3C954BD0A5}"/>
              </c:ext>
            </c:extLst>
          </c:dPt>
          <c:dPt>
            <c:idx val="4"/>
            <c:bubble3D val="0"/>
            <c:spPr>
              <a:solidFill>
                <a:srgbClr val="FF0000"/>
              </a:solidFill>
              <a:ln w="19050">
                <a:noFill/>
              </a:ln>
              <a:effectLst/>
            </c:spPr>
            <c:extLst>
              <c:ext xmlns:c16="http://schemas.microsoft.com/office/drawing/2014/chart" uri="{C3380CC4-5D6E-409C-BE32-E72D297353CC}">
                <c16:uniqueId val="{00000009-884C-4C98-A673-5A3C954BD0A5}"/>
              </c:ext>
            </c:extLst>
          </c:dPt>
          <c:dPt>
            <c:idx val="5"/>
            <c:bubble3D val="0"/>
            <c:spPr>
              <a:noFill/>
              <a:ln w="19050">
                <a:noFill/>
              </a:ln>
              <a:effectLst/>
            </c:spPr>
            <c:extLst>
              <c:ext xmlns:c16="http://schemas.microsoft.com/office/drawing/2014/chart" uri="{C3380CC4-5D6E-409C-BE32-E72D297353CC}">
                <c16:uniqueId val="{0000000B-884C-4C98-A673-5A3C954BD0A5}"/>
              </c:ext>
            </c:extLst>
          </c:dPt>
          <c:val>
            <c:numRef>
              <c:f>'Base de Datos'!$G$4:$G$9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884C-4C98-A673-5A3C954BD0A5}"/>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spPr>
            <a:ln>
              <a:noFill/>
            </a:ln>
          </c:spPr>
          <c:dPt>
            <c:idx val="0"/>
            <c:bubble3D val="0"/>
            <c:spPr>
              <a:noFill/>
              <a:ln w="19050">
                <a:noFill/>
              </a:ln>
              <a:effectLst/>
            </c:spPr>
            <c:extLst>
              <c:ext xmlns:c16="http://schemas.microsoft.com/office/drawing/2014/chart" uri="{C3380CC4-5D6E-409C-BE32-E72D297353CC}">
                <c16:uniqueId val="{0000000E-884C-4C98-A673-5A3C954BD0A5}"/>
              </c:ext>
            </c:extLst>
          </c:dPt>
          <c:dPt>
            <c:idx val="1"/>
            <c:bubble3D val="0"/>
            <c:spPr>
              <a:solidFill>
                <a:schemeClr val="tx1"/>
              </a:solidFill>
              <a:ln w="19050">
                <a:noFill/>
              </a:ln>
              <a:effectLst/>
            </c:spPr>
            <c:extLst>
              <c:ext xmlns:c16="http://schemas.microsoft.com/office/drawing/2014/chart" uri="{C3380CC4-5D6E-409C-BE32-E72D297353CC}">
                <c16:uniqueId val="{00000010-884C-4C98-A673-5A3C954BD0A5}"/>
              </c:ext>
            </c:extLst>
          </c:dPt>
          <c:dPt>
            <c:idx val="2"/>
            <c:bubble3D val="0"/>
            <c:spPr>
              <a:noFill/>
              <a:ln w="19050">
                <a:noFill/>
              </a:ln>
              <a:effectLst/>
            </c:spPr>
            <c:extLst>
              <c:ext xmlns:c16="http://schemas.microsoft.com/office/drawing/2014/chart" uri="{C3380CC4-5D6E-409C-BE32-E72D297353CC}">
                <c16:uniqueId val="{00000012-884C-4C98-A673-5A3C954BD0A5}"/>
              </c:ext>
            </c:extLst>
          </c:dPt>
          <c:val>
            <c:numRef>
              <c:f>'Base de Datos'!$G$13:$G$15</c:f>
              <c:numCache>
                <c:formatCode>General</c:formatCode>
                <c:ptCount val="3"/>
                <c:pt idx="0">
                  <c:v>#N/A</c:v>
                </c:pt>
                <c:pt idx="1">
                  <c:v>3</c:v>
                </c:pt>
                <c:pt idx="2">
                  <c:v>#N/A</c:v>
                </c:pt>
              </c:numCache>
            </c:numRef>
          </c:val>
          <c:extLst>
            <c:ext xmlns:c16="http://schemas.microsoft.com/office/drawing/2014/chart" uri="{C3380CC4-5D6E-409C-BE32-E72D297353CC}">
              <c16:uniqueId val="{00000013-884C-4C98-A673-5A3C954BD0A5}"/>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s-AR" sz="1800" b="1" i="1"/>
              <a:t>Promedio de Facturación en Monotributo</a:t>
            </a:r>
          </a:p>
        </c:rich>
      </c:tx>
      <c:layout>
        <c:manualLayout>
          <c:xMode val="edge"/>
          <c:yMode val="edge"/>
          <c:x val="0.12686032124148616"/>
          <c:y val="6.9380758439677795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s-AR"/>
        </a:p>
      </c:txPr>
    </c:title>
    <c:autoTitleDeleted val="0"/>
    <c:plotArea>
      <c:layout/>
      <c:doughnutChart>
        <c:varyColors val="1"/>
        <c:ser>
          <c:idx val="0"/>
          <c:order val="0"/>
          <c:dPt>
            <c:idx val="0"/>
            <c:bubble3D val="0"/>
            <c:spPr>
              <a:solidFill>
                <a:srgbClr val="00B050"/>
              </a:solidFill>
              <a:ln w="19050">
                <a:noFill/>
              </a:ln>
              <a:effectLst/>
            </c:spPr>
            <c:extLst>
              <c:ext xmlns:c16="http://schemas.microsoft.com/office/drawing/2014/chart" uri="{C3380CC4-5D6E-409C-BE32-E72D297353CC}">
                <c16:uniqueId val="{00000001-4A4B-4A5B-882E-A5A500083BEF}"/>
              </c:ext>
            </c:extLst>
          </c:dPt>
          <c:dPt>
            <c:idx val="1"/>
            <c:bubble3D val="0"/>
            <c:spPr>
              <a:solidFill>
                <a:srgbClr val="92D050"/>
              </a:solidFill>
              <a:ln w="19050">
                <a:noFill/>
              </a:ln>
              <a:effectLst/>
            </c:spPr>
            <c:extLst>
              <c:ext xmlns:c16="http://schemas.microsoft.com/office/drawing/2014/chart" uri="{C3380CC4-5D6E-409C-BE32-E72D297353CC}">
                <c16:uniqueId val="{00000003-4A4B-4A5B-882E-A5A500083BEF}"/>
              </c:ext>
            </c:extLst>
          </c:dPt>
          <c:dPt>
            <c:idx val="2"/>
            <c:bubble3D val="0"/>
            <c:spPr>
              <a:solidFill>
                <a:srgbClr val="FFFF00"/>
              </a:solidFill>
              <a:ln w="19050">
                <a:noFill/>
              </a:ln>
              <a:effectLst/>
            </c:spPr>
            <c:extLst>
              <c:ext xmlns:c16="http://schemas.microsoft.com/office/drawing/2014/chart" uri="{C3380CC4-5D6E-409C-BE32-E72D297353CC}">
                <c16:uniqueId val="{00000005-4A4B-4A5B-882E-A5A500083BEF}"/>
              </c:ext>
            </c:extLst>
          </c:dPt>
          <c:dPt>
            <c:idx val="3"/>
            <c:bubble3D val="0"/>
            <c:spPr>
              <a:solidFill>
                <a:srgbClr val="FFC000"/>
              </a:solidFill>
              <a:ln w="19050">
                <a:noFill/>
              </a:ln>
              <a:effectLst/>
            </c:spPr>
            <c:extLst>
              <c:ext xmlns:c16="http://schemas.microsoft.com/office/drawing/2014/chart" uri="{C3380CC4-5D6E-409C-BE32-E72D297353CC}">
                <c16:uniqueId val="{00000007-4A4B-4A5B-882E-A5A500083BEF}"/>
              </c:ext>
            </c:extLst>
          </c:dPt>
          <c:dPt>
            <c:idx val="4"/>
            <c:bubble3D val="0"/>
            <c:spPr>
              <a:solidFill>
                <a:srgbClr val="FF0000"/>
              </a:solidFill>
              <a:ln w="19050">
                <a:noFill/>
              </a:ln>
              <a:effectLst/>
            </c:spPr>
            <c:extLst>
              <c:ext xmlns:c16="http://schemas.microsoft.com/office/drawing/2014/chart" uri="{C3380CC4-5D6E-409C-BE32-E72D297353CC}">
                <c16:uniqueId val="{00000009-4A4B-4A5B-882E-A5A500083BEF}"/>
              </c:ext>
            </c:extLst>
          </c:dPt>
          <c:dPt>
            <c:idx val="5"/>
            <c:bubble3D val="0"/>
            <c:spPr>
              <a:noFill/>
              <a:ln w="19050">
                <a:noFill/>
              </a:ln>
              <a:effectLst/>
            </c:spPr>
            <c:extLst>
              <c:ext xmlns:c16="http://schemas.microsoft.com/office/drawing/2014/chart" uri="{C3380CC4-5D6E-409C-BE32-E72D297353CC}">
                <c16:uniqueId val="{0000000B-4A4B-4A5B-882E-A5A500083BEF}"/>
              </c:ext>
            </c:extLst>
          </c:dPt>
          <c:val>
            <c:numRef>
              <c:f>'Base de Datos'!$H$4:$H$9</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4A4B-4A5B-882E-A5A500083BEF}"/>
            </c:ext>
          </c:extLst>
        </c:ser>
        <c:dLbls>
          <c:showLegendKey val="0"/>
          <c:showVal val="0"/>
          <c:showCatName val="0"/>
          <c:showSerName val="0"/>
          <c:showPercent val="0"/>
          <c:showBubbleSize val="0"/>
          <c:showLeaderLines val="1"/>
        </c:dLbls>
        <c:firstSliceAng val="270"/>
        <c:holeSize val="75"/>
      </c:doughnutChart>
      <c:pieChart>
        <c:varyColors val="1"/>
        <c:ser>
          <c:idx val="1"/>
          <c:order val="1"/>
          <c:tx>
            <c:v>puntero</c:v>
          </c:tx>
          <c:dPt>
            <c:idx val="0"/>
            <c:bubble3D val="0"/>
            <c:spPr>
              <a:noFill/>
              <a:ln w="19050">
                <a:solidFill>
                  <a:schemeClr val="lt1"/>
                </a:solidFill>
              </a:ln>
              <a:effectLst/>
            </c:spPr>
            <c:extLst>
              <c:ext xmlns:c16="http://schemas.microsoft.com/office/drawing/2014/chart" uri="{C3380CC4-5D6E-409C-BE32-E72D297353CC}">
                <c16:uniqueId val="{0000000E-4A4B-4A5B-882E-A5A500083BEF}"/>
              </c:ext>
            </c:extLst>
          </c:dPt>
          <c:dPt>
            <c:idx val="1"/>
            <c:bubble3D val="0"/>
            <c:spPr>
              <a:solidFill>
                <a:schemeClr val="bg2">
                  <a:lumMod val="10000"/>
                </a:schemeClr>
              </a:solidFill>
              <a:ln w="19050">
                <a:solidFill>
                  <a:schemeClr val="lt1"/>
                </a:solidFill>
              </a:ln>
              <a:effectLst/>
            </c:spPr>
            <c:extLst>
              <c:ext xmlns:c16="http://schemas.microsoft.com/office/drawing/2014/chart" uri="{C3380CC4-5D6E-409C-BE32-E72D297353CC}">
                <c16:uniqueId val="{00000010-4A4B-4A5B-882E-A5A500083BEF}"/>
              </c:ext>
            </c:extLst>
          </c:dPt>
          <c:dPt>
            <c:idx val="2"/>
            <c:bubble3D val="0"/>
            <c:spPr>
              <a:noFill/>
              <a:ln w="19050">
                <a:solidFill>
                  <a:schemeClr val="lt1"/>
                </a:solidFill>
              </a:ln>
              <a:effectLst/>
            </c:spPr>
            <c:extLst>
              <c:ext xmlns:c16="http://schemas.microsoft.com/office/drawing/2014/chart" uri="{C3380CC4-5D6E-409C-BE32-E72D297353CC}">
                <c16:uniqueId val="{00000012-4A4B-4A5B-882E-A5A500083BEF}"/>
              </c:ext>
            </c:extLst>
          </c:dPt>
          <c:val>
            <c:numRef>
              <c:f>'Base de Datos'!$H$13:$H$15</c:f>
              <c:numCache>
                <c:formatCode>General</c:formatCode>
                <c:ptCount val="3"/>
                <c:pt idx="0">
                  <c:v>-1.5</c:v>
                </c:pt>
                <c:pt idx="1">
                  <c:v>3</c:v>
                </c:pt>
                <c:pt idx="2">
                  <c:v>198.5</c:v>
                </c:pt>
              </c:numCache>
            </c:numRef>
          </c:val>
          <c:extLst>
            <c:ext xmlns:c16="http://schemas.microsoft.com/office/drawing/2014/chart" uri="{C3380CC4-5D6E-409C-BE32-E72D297353CC}">
              <c16:uniqueId val="{00000013-4A4B-4A5B-882E-A5A500083BEF}"/>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8</xdr:col>
      <xdr:colOff>250031</xdr:colOff>
      <xdr:row>7</xdr:row>
      <xdr:rowOff>-1</xdr:rowOff>
    </xdr:from>
    <xdr:to>
      <xdr:col>10</xdr:col>
      <xdr:colOff>654844</xdr:colOff>
      <xdr:row>8</xdr:row>
      <xdr:rowOff>154782</xdr:rowOff>
    </xdr:to>
    <xdr:sp macro="[0]!GuardarInforme" textlink="">
      <xdr:nvSpPr>
        <xdr:cNvPr id="18" name="Rectángulo 17">
          <a:extLst>
            <a:ext uri="{FF2B5EF4-FFF2-40B4-BE49-F238E27FC236}">
              <a16:creationId xmlns:a16="http://schemas.microsoft.com/office/drawing/2014/main" id="{00000000-0008-0000-0000-000012000000}"/>
            </a:ext>
          </a:extLst>
        </xdr:cNvPr>
        <xdr:cNvSpPr/>
      </xdr:nvSpPr>
      <xdr:spPr>
        <a:xfrm>
          <a:off x="11144250" y="2500312"/>
          <a:ext cx="2452688" cy="75009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b="1" i="1"/>
            <a:t>PDF Informe Reca</a:t>
          </a:r>
          <a:endParaRPr lang="es-AR" sz="2400" b="0" i="0"/>
        </a:p>
      </xdr:txBody>
    </xdr:sp>
    <xdr:clientData/>
  </xdr:twoCellAnchor>
  <xdr:twoCellAnchor>
    <xdr:from>
      <xdr:col>0</xdr:col>
      <xdr:colOff>821531</xdr:colOff>
      <xdr:row>23</xdr:row>
      <xdr:rowOff>178593</xdr:rowOff>
    </xdr:from>
    <xdr:to>
      <xdr:col>3</xdr:col>
      <xdr:colOff>202406</xdr:colOff>
      <xdr:row>35</xdr:row>
      <xdr:rowOff>83343</xdr:rowOff>
    </xdr:to>
    <xdr:sp macro="" textlink="">
      <xdr:nvSpPr>
        <xdr:cNvPr id="21" name="Rectángulo 20">
          <a:extLst>
            <a:ext uri="{FF2B5EF4-FFF2-40B4-BE49-F238E27FC236}">
              <a16:creationId xmlns:a16="http://schemas.microsoft.com/office/drawing/2014/main" id="{00000000-0008-0000-0000-000015000000}"/>
            </a:ext>
          </a:extLst>
        </xdr:cNvPr>
        <xdr:cNvSpPr/>
      </xdr:nvSpPr>
      <xdr:spPr>
        <a:xfrm>
          <a:off x="821531" y="6893718"/>
          <a:ext cx="2976563" cy="21907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0</xdr:col>
      <xdr:colOff>130969</xdr:colOff>
      <xdr:row>0</xdr:row>
      <xdr:rowOff>190500</xdr:rowOff>
    </xdr:from>
    <xdr:to>
      <xdr:col>2</xdr:col>
      <xdr:colOff>333375</xdr:colOff>
      <xdr:row>1</xdr:row>
      <xdr:rowOff>380997</xdr:rowOff>
    </xdr:to>
    <xdr:sp macro="[0]!LimpiarFormulario" textlink="">
      <xdr:nvSpPr>
        <xdr:cNvPr id="14" name="Rectángulo 13">
          <a:extLst>
            <a:ext uri="{FF2B5EF4-FFF2-40B4-BE49-F238E27FC236}">
              <a16:creationId xmlns:a16="http://schemas.microsoft.com/office/drawing/2014/main" id="{00000000-0008-0000-0000-00000E000000}"/>
            </a:ext>
          </a:extLst>
        </xdr:cNvPr>
        <xdr:cNvSpPr/>
      </xdr:nvSpPr>
      <xdr:spPr>
        <a:xfrm>
          <a:off x="130969" y="190500"/>
          <a:ext cx="2821781" cy="785810"/>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b="1" i="1"/>
            <a:t>Limpiar Formulario</a:t>
          </a:r>
        </a:p>
        <a:p>
          <a:pPr algn="l"/>
          <a:endParaRPr lang="es-AR" sz="3600"/>
        </a:p>
      </xdr:txBody>
    </xdr:sp>
    <xdr:clientData/>
  </xdr:twoCellAnchor>
  <xdr:twoCellAnchor>
    <xdr:from>
      <xdr:col>8</xdr:col>
      <xdr:colOff>247650</xdr:colOff>
      <xdr:row>2</xdr:row>
      <xdr:rowOff>402430</xdr:rowOff>
    </xdr:from>
    <xdr:to>
      <xdr:col>10</xdr:col>
      <xdr:colOff>616744</xdr:colOff>
      <xdr:row>6</xdr:row>
      <xdr:rowOff>83344</xdr:rowOff>
    </xdr:to>
    <xdr:sp macro="[0]!Módulo4.IngresarAFIP" textlink="">
      <xdr:nvSpPr>
        <xdr:cNvPr id="13" name="Rectángulo 12">
          <a:extLst>
            <a:ext uri="{FF2B5EF4-FFF2-40B4-BE49-F238E27FC236}">
              <a16:creationId xmlns:a16="http://schemas.microsoft.com/office/drawing/2014/main" id="{00000000-0008-0000-0000-00000D000000}"/>
            </a:ext>
          </a:extLst>
        </xdr:cNvPr>
        <xdr:cNvSpPr/>
      </xdr:nvSpPr>
      <xdr:spPr>
        <a:xfrm>
          <a:off x="11141869" y="1545430"/>
          <a:ext cx="2416969" cy="84772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b="1" i="1"/>
            <a:t>Abrir y descargar</a:t>
          </a:r>
          <a:endParaRPr lang="es-AR" sz="2400" b="1" i="1" baseline="0"/>
        </a:p>
      </xdr:txBody>
    </xdr:sp>
    <xdr:clientData/>
  </xdr:twoCellAnchor>
  <xdr:twoCellAnchor>
    <xdr:from>
      <xdr:col>8</xdr:col>
      <xdr:colOff>238125</xdr:colOff>
      <xdr:row>1</xdr:row>
      <xdr:rowOff>35718</xdr:rowOff>
    </xdr:from>
    <xdr:to>
      <xdr:col>10</xdr:col>
      <xdr:colOff>607219</xdr:colOff>
      <xdr:row>2</xdr:row>
      <xdr:rowOff>309560</xdr:rowOff>
    </xdr:to>
    <xdr:sp macro="[0]!Módulo2.IngresarAFIP" textlink="">
      <xdr:nvSpPr>
        <xdr:cNvPr id="12" name="Rectángulo 11">
          <a:extLst>
            <a:ext uri="{FF2B5EF4-FFF2-40B4-BE49-F238E27FC236}">
              <a16:creationId xmlns:a16="http://schemas.microsoft.com/office/drawing/2014/main" id="{00000000-0008-0000-0000-00000C000000}"/>
            </a:ext>
          </a:extLst>
        </xdr:cNvPr>
        <xdr:cNvSpPr/>
      </xdr:nvSpPr>
      <xdr:spPr>
        <a:xfrm>
          <a:off x="10894219" y="631031"/>
          <a:ext cx="2416969" cy="6905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b="1" i="1"/>
            <a:t>Ingresar al CCMA</a:t>
          </a:r>
        </a:p>
      </xdr:txBody>
    </xdr:sp>
    <xdr:clientData/>
  </xdr:twoCellAnchor>
  <xdr:twoCellAnchor>
    <xdr:from>
      <xdr:col>6</xdr:col>
      <xdr:colOff>0</xdr:colOff>
      <xdr:row>1</xdr:row>
      <xdr:rowOff>47624</xdr:rowOff>
    </xdr:from>
    <xdr:to>
      <xdr:col>7</xdr:col>
      <xdr:colOff>1369218</xdr:colOff>
      <xdr:row>2</xdr:row>
      <xdr:rowOff>285747</xdr:rowOff>
    </xdr:to>
    <xdr:sp macro="[0]!GuardarComoPDF" textlink="">
      <xdr:nvSpPr>
        <xdr:cNvPr id="11" name="Rectángulo 10">
          <a:extLst>
            <a:ext uri="{FF2B5EF4-FFF2-40B4-BE49-F238E27FC236}">
              <a16:creationId xmlns:a16="http://schemas.microsoft.com/office/drawing/2014/main" id="{00000000-0008-0000-0000-00000B000000}"/>
            </a:ext>
          </a:extLst>
        </xdr:cNvPr>
        <xdr:cNvSpPr/>
      </xdr:nvSpPr>
      <xdr:spPr>
        <a:xfrm>
          <a:off x="7822406" y="642937"/>
          <a:ext cx="2821781" cy="65484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2000" b="1" i="1"/>
            <a:t>Generar PDF de análisis de situación</a:t>
          </a:r>
        </a:p>
        <a:p>
          <a:pPr algn="l"/>
          <a:endParaRPr lang="es-AR" sz="2400"/>
        </a:p>
      </xdr:txBody>
    </xdr:sp>
    <xdr:clientData/>
  </xdr:twoCellAnchor>
  <xdr:twoCellAnchor>
    <xdr:from>
      <xdr:col>3</xdr:col>
      <xdr:colOff>857251</xdr:colOff>
      <xdr:row>22</xdr:row>
      <xdr:rowOff>52388</xdr:rowOff>
    </xdr:from>
    <xdr:to>
      <xdr:col>9</xdr:col>
      <xdr:colOff>235746</xdr:colOff>
      <xdr:row>41</xdr:row>
      <xdr:rowOff>583407</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309562</xdr:colOff>
      <xdr:row>10</xdr:row>
      <xdr:rowOff>202406</xdr:rowOff>
    </xdr:from>
    <xdr:to>
      <xdr:col>6</xdr:col>
      <xdr:colOff>47623</xdr:colOff>
      <xdr:row>17</xdr:row>
      <xdr:rowOff>178594</xdr:rowOff>
    </xdr:to>
    <xdr:sp macro="[0]!CopiarYpegar" textlink="">
      <xdr:nvSpPr>
        <xdr:cNvPr id="3" name="Rectángulo: esquinas redondeadas 2" hidden="1">
          <a:extLst>
            <a:ext uri="{FF2B5EF4-FFF2-40B4-BE49-F238E27FC236}">
              <a16:creationId xmlns:a16="http://schemas.microsoft.com/office/drawing/2014/main" id="{00000000-0008-0000-0000-000003000000}"/>
            </a:ext>
          </a:extLst>
        </xdr:cNvPr>
        <xdr:cNvSpPr/>
      </xdr:nvSpPr>
      <xdr:spPr>
        <a:xfrm>
          <a:off x="2928937" y="2869406"/>
          <a:ext cx="5083967" cy="1666876"/>
        </a:xfrm>
        <a:prstGeom prst="roundRect">
          <a:avLst/>
        </a:prstGeom>
        <a:solidFill>
          <a:srgbClr val="00FF00"/>
        </a:solidFill>
        <a:ln>
          <a:noFill/>
        </a:ln>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2400" b="1">
              <a:latin typeface="Century Gothic" panose="020B0502020202020204" pitchFamily="34" charset="0"/>
            </a:rPr>
            <a:t>Ya he adjuntado el archivo </a:t>
          </a:r>
          <a:r>
            <a:rPr lang="es-AR" sz="2400" b="1" baseline="0">
              <a:latin typeface="Century Gothic" panose="020B0502020202020204" pitchFamily="34" charset="0"/>
            </a:rPr>
            <a:t> "Mis Comprobantes"</a:t>
          </a:r>
          <a:r>
            <a:rPr lang="es-AR" sz="2800" b="1" baseline="0">
              <a:latin typeface="Century Gothic" panose="020B0502020202020204" pitchFamily="34" charset="0"/>
            </a:rPr>
            <a:t/>
          </a:r>
          <a:br>
            <a:rPr lang="es-AR" sz="2800" b="1" baseline="0">
              <a:latin typeface="Century Gothic" panose="020B0502020202020204" pitchFamily="34" charset="0"/>
            </a:rPr>
          </a:br>
          <a:r>
            <a:rPr lang="es-AR" sz="3200" b="1" baseline="0">
              <a:effectLst>
                <a:glow rad="228600">
                  <a:schemeClr val="accent5">
                    <a:satMod val="175000"/>
                    <a:alpha val="40000"/>
                  </a:schemeClr>
                </a:glow>
              </a:effectLst>
              <a:latin typeface="Century Gothic" panose="020B0502020202020204" pitchFamily="34" charset="0"/>
            </a:rPr>
            <a:t>ACTUALIZAR DATOS</a:t>
          </a:r>
          <a:endParaRPr lang="es-AR" sz="2800" b="1">
            <a:effectLst>
              <a:glow rad="228600">
                <a:schemeClr val="accent5">
                  <a:satMod val="175000"/>
                  <a:alpha val="40000"/>
                </a:schemeClr>
              </a:glow>
            </a:effectLst>
            <a:latin typeface="Century Gothic" panose="020B0502020202020204" pitchFamily="34" charset="0"/>
          </a:endParaRPr>
        </a:p>
      </xdr:txBody>
    </xdr:sp>
    <xdr:clientData/>
  </xdr:twoCellAnchor>
  <xdr:oneCellAnchor>
    <xdr:from>
      <xdr:col>3</xdr:col>
      <xdr:colOff>2413899</xdr:colOff>
      <xdr:row>11</xdr:row>
      <xdr:rowOff>195301</xdr:rowOff>
    </xdr:from>
    <xdr:ext cx="184731" cy="937629"/>
    <xdr:sp macro="" textlink="">
      <xdr:nvSpPr>
        <xdr:cNvPr id="4" name="Rectángulo 3">
          <a:extLst>
            <a:ext uri="{FF2B5EF4-FFF2-40B4-BE49-F238E27FC236}">
              <a16:creationId xmlns:a16="http://schemas.microsoft.com/office/drawing/2014/main" id="{00000000-0008-0000-0000-000004000000}"/>
            </a:ext>
          </a:extLst>
        </xdr:cNvPr>
        <xdr:cNvSpPr/>
      </xdr:nvSpPr>
      <xdr:spPr>
        <a:xfrm>
          <a:off x="6009587" y="3100426"/>
          <a:ext cx="184731" cy="937629"/>
        </a:xfrm>
        <a:prstGeom prst="rect">
          <a:avLst/>
        </a:prstGeom>
        <a:noFill/>
      </xdr:spPr>
      <xdr:txBody>
        <a:bodyPr wrap="none" lIns="91440" tIns="45720" rIns="91440" bIns="45720">
          <a:spAutoFit/>
        </a:bodyPr>
        <a:lstStyle/>
        <a:p>
          <a:pPr algn="ctr"/>
          <a:endParaRPr lang="es-AR" sz="5400" b="1" cap="none" spc="0">
            <a:ln w="22225">
              <a:solidFill>
                <a:schemeClr val="accent2"/>
              </a:solidFill>
              <a:prstDash val="solid"/>
            </a:ln>
            <a:solidFill>
              <a:schemeClr val="accent2">
                <a:lumMod val="40000"/>
                <a:lumOff val="60000"/>
              </a:schemeClr>
            </a:solidFill>
            <a:effectLst/>
          </a:endParaRPr>
        </a:p>
      </xdr:txBody>
    </xdr:sp>
    <xdr:clientData/>
  </xdr:oneCellAnchor>
  <mc:AlternateContent xmlns:mc="http://schemas.openxmlformats.org/markup-compatibility/2006">
    <mc:Choice xmlns:a14="http://schemas.microsoft.com/office/drawing/2010/main" Requires="a14">
      <xdr:twoCellAnchor>
        <xdr:from>
          <xdr:col>3</xdr:col>
          <xdr:colOff>1362075</xdr:colOff>
          <xdr:row>0</xdr:row>
          <xdr:rowOff>123825</xdr:rowOff>
        </xdr:from>
        <xdr:to>
          <xdr:col>4</xdr:col>
          <xdr:colOff>466725</xdr:colOff>
          <xdr:row>1</xdr:row>
          <xdr:rowOff>314325</xdr:rowOff>
        </xdr:to>
        <xdr:sp macro="" textlink="">
          <xdr:nvSpPr>
            <xdr:cNvPr id="1025" name="btnActualizarDato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Botón 1</a:t>
              </a:r>
            </a:p>
          </xdr:txBody>
        </xdr:sp>
        <xdr:clientData fPrintsWithSheet="0"/>
      </xdr:twoCellAnchor>
    </mc:Choice>
    <mc:Fallback/>
  </mc:AlternateContent>
  <xdr:twoCellAnchor>
    <xdr:from>
      <xdr:col>3</xdr:col>
      <xdr:colOff>17857</xdr:colOff>
      <xdr:row>54</xdr:row>
      <xdr:rowOff>164308</xdr:rowOff>
    </xdr:from>
    <xdr:to>
      <xdr:col>8</xdr:col>
      <xdr:colOff>869155</xdr:colOff>
      <xdr:row>80</xdr:row>
      <xdr:rowOff>107156</xdr:rowOff>
    </xdr:to>
    <xdr:graphicFrame macro="">
      <xdr:nvGraphicFramePr>
        <xdr:cNvPr id="5" name="Gráfico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166688</xdr:colOff>
      <xdr:row>1</xdr:row>
      <xdr:rowOff>273843</xdr:rowOff>
    </xdr:from>
    <xdr:to>
      <xdr:col>9</xdr:col>
      <xdr:colOff>166689</xdr:colOff>
      <xdr:row>18</xdr:row>
      <xdr:rowOff>230188</xdr:rowOff>
    </xdr:to>
    <xdr:sp macro="" textlink="">
      <xdr:nvSpPr>
        <xdr:cNvPr id="6" name="CuadroTexto 5">
          <a:extLst>
            <a:ext uri="{FF2B5EF4-FFF2-40B4-BE49-F238E27FC236}">
              <a16:creationId xmlns:a16="http://schemas.microsoft.com/office/drawing/2014/main" id="{00000000-0008-0000-0000-000006000000}"/>
            </a:ext>
          </a:extLst>
        </xdr:cNvPr>
        <xdr:cNvSpPr txBox="1"/>
      </xdr:nvSpPr>
      <xdr:spPr>
        <a:xfrm>
          <a:off x="1190626" y="869156"/>
          <a:ext cx="11037094" cy="4885532"/>
        </a:xfrm>
        <a:prstGeom prst="rect">
          <a:avLst/>
        </a:prstGeom>
        <a:blipFill>
          <a:blip xmlns:r="http://schemas.openxmlformats.org/officeDocument/2006/relationships" r:embed="rId3"/>
          <a:stretch>
            <a:fillRect/>
          </a:stretch>
        </a:bli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4000" b="1" i="1"/>
            <a:t>Bienvenido a la planilla</a:t>
          </a:r>
          <a:r>
            <a:rPr lang="es-AR" sz="4000" b="1" i="1" baseline="0"/>
            <a:t> de análisis de compras y ventas! </a:t>
          </a:r>
        </a:p>
        <a:p>
          <a:endParaRPr lang="es-AR" sz="1100" baseline="0"/>
        </a:p>
        <a:p>
          <a:endParaRPr lang="es-AR" sz="800" baseline="0"/>
        </a:p>
        <a:p>
          <a:r>
            <a:rPr lang="es-AR" sz="2400" b="1" i="1" baseline="0"/>
            <a:t>Por favor ingrese su Número de CUIT para acceder al sistema</a:t>
          </a:r>
        </a:p>
        <a:p>
          <a:endParaRPr lang="es-AR" sz="2000" baseline="0"/>
        </a:p>
        <a:p>
          <a:endParaRPr lang="es-AR" sz="1050" b="1" baseline="0"/>
        </a:p>
        <a:p>
          <a:endParaRPr lang="es-AR" sz="1050" b="1" baseline="0"/>
        </a:p>
        <a:p>
          <a:endParaRPr lang="es-AR" sz="1050" b="1" baseline="0"/>
        </a:p>
        <a:p>
          <a:endParaRPr lang="es-AR" sz="1050" baseline="0"/>
        </a:p>
        <a:p>
          <a:endParaRPr lang="es-AR" sz="2000" baseline="0"/>
        </a:p>
        <a:p>
          <a:r>
            <a:rPr lang="es-AR" sz="2000" b="1" baseline="0"/>
            <a:t>Que tengas un Excelente día!</a:t>
          </a:r>
        </a:p>
        <a:p>
          <a:endParaRPr lang="es-AR" sz="1800"/>
        </a:p>
        <a:p>
          <a:endParaRPr lang="es-AR" sz="1800"/>
        </a:p>
        <a:p>
          <a:endParaRPr lang="es-AR" sz="1100"/>
        </a:p>
      </xdr:txBody>
    </xdr:sp>
    <xdr:clientData/>
  </xdr:twoCellAnchor>
  <xdr:twoCellAnchor>
    <xdr:from>
      <xdr:col>3</xdr:col>
      <xdr:colOff>1774029</xdr:colOff>
      <xdr:row>15</xdr:row>
      <xdr:rowOff>201323</xdr:rowOff>
    </xdr:from>
    <xdr:to>
      <xdr:col>6</xdr:col>
      <xdr:colOff>452436</xdr:colOff>
      <xdr:row>18</xdr:row>
      <xdr:rowOff>68190</xdr:rowOff>
    </xdr:to>
    <xdr:sp macro="[0]!ThisWorkbook.BotónAceptar" textlink="">
      <xdr:nvSpPr>
        <xdr:cNvPr id="7" name="Rectángulo 6">
          <a:extLst>
            <a:ext uri="{FF2B5EF4-FFF2-40B4-BE49-F238E27FC236}">
              <a16:creationId xmlns:a16="http://schemas.microsoft.com/office/drawing/2014/main" id="{00000000-0008-0000-0000-000007000000}"/>
            </a:ext>
          </a:extLst>
        </xdr:cNvPr>
        <xdr:cNvSpPr/>
      </xdr:nvSpPr>
      <xdr:spPr>
        <a:xfrm>
          <a:off x="5367552" y="5024437"/>
          <a:ext cx="2895384" cy="620208"/>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3200" b="1"/>
            <a:t>Aceptar</a:t>
          </a:r>
        </a:p>
      </xdr:txBody>
    </xdr:sp>
    <xdr:clientData/>
  </xdr:twoCellAnchor>
  <xdr:twoCellAnchor>
    <xdr:from>
      <xdr:col>0</xdr:col>
      <xdr:colOff>580750</xdr:colOff>
      <xdr:row>4</xdr:row>
      <xdr:rowOff>130968</xdr:rowOff>
    </xdr:from>
    <xdr:to>
      <xdr:col>8</xdr:col>
      <xdr:colOff>907512</xdr:colOff>
      <xdr:row>16</xdr:row>
      <xdr:rowOff>142874</xdr:rowOff>
    </xdr:to>
    <xdr:sp macro="" textlink="">
      <xdr:nvSpPr>
        <xdr:cNvPr id="8" name="Rectángulo 7" hidden="1">
          <a:extLst>
            <a:ext uri="{FF2B5EF4-FFF2-40B4-BE49-F238E27FC236}">
              <a16:creationId xmlns:a16="http://schemas.microsoft.com/office/drawing/2014/main" id="{00000000-0008-0000-0000-000008000000}"/>
            </a:ext>
          </a:extLst>
        </xdr:cNvPr>
        <xdr:cNvSpPr/>
      </xdr:nvSpPr>
      <xdr:spPr>
        <a:xfrm>
          <a:off x="580750" y="2004218"/>
          <a:ext cx="11195845" cy="3218656"/>
        </a:xfrm>
        <a:prstGeom prst="rect">
          <a:avLst/>
        </a:prstGeom>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2000" baseline="0">
            <a:solidFill>
              <a:sysClr val="windowText" lastClr="000000"/>
            </a:solidFill>
            <a:latin typeface="+mj-lt"/>
          </a:endParaRPr>
        </a:p>
        <a:p>
          <a:pPr algn="ctr"/>
          <a:r>
            <a:rPr lang="es-AR" sz="4000" b="1" i="1">
              <a:solidFill>
                <a:sysClr val="windowText" lastClr="000000"/>
              </a:solidFill>
              <a:latin typeface="+mj-lt"/>
            </a:rPr>
            <a:t>Si</a:t>
          </a:r>
          <a:r>
            <a:rPr lang="es-AR" sz="4000" b="1" i="1" baseline="0">
              <a:solidFill>
                <a:sysClr val="windowText" lastClr="000000"/>
              </a:solidFill>
              <a:latin typeface="+mj-lt"/>
            </a:rPr>
            <a:t> no tiene los archivos, presione descargar, y luego ejecutar.</a:t>
          </a:r>
          <a:endParaRPr lang="es-AR" sz="4000" b="1" i="1">
            <a:solidFill>
              <a:sysClr val="windowText" lastClr="000000"/>
            </a:solidFill>
            <a:latin typeface="+mj-lt"/>
          </a:endParaRPr>
        </a:p>
      </xdr:txBody>
    </xdr:sp>
    <xdr:clientData/>
  </xdr:twoCellAnchor>
  <xdr:twoCellAnchor>
    <xdr:from>
      <xdr:col>3</xdr:col>
      <xdr:colOff>493432</xdr:colOff>
      <xdr:row>12</xdr:row>
      <xdr:rowOff>166688</xdr:rowOff>
    </xdr:from>
    <xdr:to>
      <xdr:col>4</xdr:col>
      <xdr:colOff>374370</xdr:colOff>
      <xdr:row>15</xdr:row>
      <xdr:rowOff>23813</xdr:rowOff>
    </xdr:to>
    <xdr:sp macro="[0]!ThisWorkbook.OcultarSegundoCuadro" textlink="">
      <xdr:nvSpPr>
        <xdr:cNvPr id="9" name="Rectángulo 8" hidden="1">
          <a:extLst>
            <a:ext uri="{FF2B5EF4-FFF2-40B4-BE49-F238E27FC236}">
              <a16:creationId xmlns:a16="http://schemas.microsoft.com/office/drawing/2014/main" id="{00000000-0008-0000-0000-000009000000}"/>
            </a:ext>
          </a:extLst>
        </xdr:cNvPr>
        <xdr:cNvSpPr/>
      </xdr:nvSpPr>
      <xdr:spPr>
        <a:xfrm>
          <a:off x="4081182" y="4273021"/>
          <a:ext cx="2304521" cy="587375"/>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800" b="1" i="1"/>
            <a:t>Cancelar</a:t>
          </a:r>
        </a:p>
      </xdr:txBody>
    </xdr:sp>
    <xdr:clientData/>
  </xdr:twoCellAnchor>
  <xdr:twoCellAnchor>
    <xdr:from>
      <xdr:col>6</xdr:col>
      <xdr:colOff>1248824</xdr:colOff>
      <xdr:row>12</xdr:row>
      <xdr:rowOff>166688</xdr:rowOff>
    </xdr:from>
    <xdr:to>
      <xdr:col>8</xdr:col>
      <xdr:colOff>681293</xdr:colOff>
      <xdr:row>15</xdr:row>
      <xdr:rowOff>23813</xdr:rowOff>
    </xdr:to>
    <xdr:sp macro="[0]!EjecutarComprasYVentas" textlink="">
      <xdr:nvSpPr>
        <xdr:cNvPr id="10" name="Rectángulo 9" hidden="1">
          <a:extLst>
            <a:ext uri="{FF2B5EF4-FFF2-40B4-BE49-F238E27FC236}">
              <a16:creationId xmlns:a16="http://schemas.microsoft.com/office/drawing/2014/main" id="{00000000-0008-0000-0000-00000A000000}"/>
            </a:ext>
          </a:extLst>
        </xdr:cNvPr>
        <xdr:cNvSpPr/>
      </xdr:nvSpPr>
      <xdr:spPr>
        <a:xfrm>
          <a:off x="9059324" y="4273021"/>
          <a:ext cx="2491052" cy="587375"/>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2800" b="1" i="1"/>
            <a:t>Ejecutar</a:t>
          </a:r>
        </a:p>
      </xdr:txBody>
    </xdr:sp>
    <xdr:clientData/>
  </xdr:twoCellAnchor>
  <xdr:twoCellAnchor>
    <xdr:from>
      <xdr:col>1</xdr:col>
      <xdr:colOff>571503</xdr:colOff>
      <xdr:row>4</xdr:row>
      <xdr:rowOff>261936</xdr:rowOff>
    </xdr:from>
    <xdr:to>
      <xdr:col>9</xdr:col>
      <xdr:colOff>190504</xdr:colOff>
      <xdr:row>13</xdr:row>
      <xdr:rowOff>130967</xdr:rowOff>
    </xdr:to>
    <xdr:sp macro="" textlink="">
      <xdr:nvSpPr>
        <xdr:cNvPr id="15" name="Rectángulo 14" hidden="1">
          <a:extLst>
            <a:ext uri="{FF2B5EF4-FFF2-40B4-BE49-F238E27FC236}">
              <a16:creationId xmlns:a16="http://schemas.microsoft.com/office/drawing/2014/main" id="{00000000-0008-0000-0000-00000F000000}"/>
            </a:ext>
          </a:extLst>
        </xdr:cNvPr>
        <xdr:cNvSpPr/>
      </xdr:nvSpPr>
      <xdr:spPr>
        <a:xfrm>
          <a:off x="1595441" y="2119311"/>
          <a:ext cx="10417969" cy="2321719"/>
        </a:xfrm>
        <a:prstGeom prst="rect">
          <a:avLst/>
        </a:prstGeom>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2000" baseline="0">
            <a:solidFill>
              <a:sysClr val="windowText" lastClr="000000"/>
            </a:solidFill>
            <a:latin typeface="+mj-lt"/>
          </a:endParaRPr>
        </a:p>
        <a:p>
          <a:pPr algn="ctr"/>
          <a:r>
            <a:rPr lang="es-AR" sz="4000" b="1" i="1">
              <a:solidFill>
                <a:sysClr val="windowText" lastClr="000000"/>
              </a:solidFill>
              <a:latin typeface="+mj-lt"/>
            </a:rPr>
            <a:t>¿Desea</a:t>
          </a:r>
          <a:r>
            <a:rPr lang="es-AR" sz="4000" b="1" i="1" baseline="0">
              <a:solidFill>
                <a:sysClr val="windowText" lastClr="000000"/>
              </a:solidFill>
              <a:latin typeface="+mj-lt"/>
            </a:rPr>
            <a:t> utilizar nuevamente el sistema?</a:t>
          </a:r>
          <a:endParaRPr lang="es-AR" sz="4000" b="1" i="1">
            <a:solidFill>
              <a:sysClr val="windowText" lastClr="000000"/>
            </a:solidFill>
            <a:latin typeface="+mj-lt"/>
          </a:endParaRPr>
        </a:p>
      </xdr:txBody>
    </xdr:sp>
    <xdr:clientData/>
  </xdr:twoCellAnchor>
  <xdr:twoCellAnchor>
    <xdr:from>
      <xdr:col>4</xdr:col>
      <xdr:colOff>762004</xdr:colOff>
      <xdr:row>10</xdr:row>
      <xdr:rowOff>107158</xdr:rowOff>
    </xdr:from>
    <xdr:to>
      <xdr:col>6</xdr:col>
      <xdr:colOff>1250160</xdr:colOff>
      <xdr:row>12</xdr:row>
      <xdr:rowOff>202408</xdr:rowOff>
    </xdr:to>
    <xdr:sp macro="[0]!MostrarCuadrosAlClic" textlink="">
      <xdr:nvSpPr>
        <xdr:cNvPr id="16" name="Rectángulo 15" hidden="1">
          <a:extLst>
            <a:ext uri="{FF2B5EF4-FFF2-40B4-BE49-F238E27FC236}">
              <a16:creationId xmlns:a16="http://schemas.microsoft.com/office/drawing/2014/main" id="{00000000-0008-0000-0000-000010000000}"/>
            </a:ext>
          </a:extLst>
        </xdr:cNvPr>
        <xdr:cNvSpPr/>
      </xdr:nvSpPr>
      <xdr:spPr>
        <a:xfrm>
          <a:off x="6774660" y="3702846"/>
          <a:ext cx="2297906" cy="571500"/>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800" b="1" i="1"/>
            <a:t>Si</a:t>
          </a:r>
        </a:p>
      </xdr:txBody>
    </xdr:sp>
    <xdr:clientData/>
  </xdr:twoCellAnchor>
  <xdr:twoCellAnchor>
    <xdr:from>
      <xdr:col>6</xdr:col>
      <xdr:colOff>1428754</xdr:colOff>
      <xdr:row>10</xdr:row>
      <xdr:rowOff>119064</xdr:rowOff>
    </xdr:from>
    <xdr:to>
      <xdr:col>9</xdr:col>
      <xdr:colOff>11910</xdr:colOff>
      <xdr:row>12</xdr:row>
      <xdr:rowOff>214314</xdr:rowOff>
    </xdr:to>
    <xdr:sp macro="[0]!CerrarExcelAlClic" textlink="">
      <xdr:nvSpPr>
        <xdr:cNvPr id="17" name="Rectángulo 16" hidden="1">
          <a:extLst>
            <a:ext uri="{FF2B5EF4-FFF2-40B4-BE49-F238E27FC236}">
              <a16:creationId xmlns:a16="http://schemas.microsoft.com/office/drawing/2014/main" id="{00000000-0008-0000-0000-000011000000}"/>
            </a:ext>
          </a:extLst>
        </xdr:cNvPr>
        <xdr:cNvSpPr/>
      </xdr:nvSpPr>
      <xdr:spPr>
        <a:xfrm>
          <a:off x="9251160" y="3714752"/>
          <a:ext cx="2583656" cy="571500"/>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2800" b="1" i="1"/>
            <a:t>No,</a:t>
          </a:r>
          <a:r>
            <a:rPr lang="es-AR" sz="2800" b="1" i="1" baseline="0"/>
            <a:t> Salir</a:t>
          </a:r>
          <a:endParaRPr lang="es-AR" sz="2800" b="1" i="1"/>
        </a:p>
      </xdr:txBody>
    </xdr:sp>
    <xdr:clientData/>
  </xdr:twoCellAnchor>
  <xdr:twoCellAnchor>
    <xdr:from>
      <xdr:col>0</xdr:col>
      <xdr:colOff>0</xdr:colOff>
      <xdr:row>22</xdr:row>
      <xdr:rowOff>119061</xdr:rowOff>
    </xdr:from>
    <xdr:to>
      <xdr:col>3</xdr:col>
      <xdr:colOff>2059780</xdr:colOff>
      <xdr:row>41</xdr:row>
      <xdr:rowOff>881061</xdr:rowOff>
    </xdr:to>
    <xdr:graphicFrame macro="">
      <xdr:nvGraphicFramePr>
        <xdr:cNvPr id="20" name="Gráfico 19">
          <a:extLst>
            <a:ext uri="{FF2B5EF4-FFF2-40B4-BE49-F238E27FC236}">
              <a16:creationId xmlns:a16="http://schemas.microsoft.com/office/drawing/2014/main" id="{00000000-0008-0000-0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838200</xdr:colOff>
          <xdr:row>7</xdr:row>
          <xdr:rowOff>428625</xdr:rowOff>
        </xdr:from>
        <xdr:to>
          <xdr:col>7</xdr:col>
          <xdr:colOff>0</xdr:colOff>
          <xdr:row>11</xdr:row>
          <xdr:rowOff>180975</xdr:rowOff>
        </xdr:to>
        <xdr:sp macro="" textlink="">
          <xdr:nvSpPr>
            <xdr:cNvPr id="1026" name="TextBox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562488</xdr:colOff>
      <xdr:row>12</xdr:row>
      <xdr:rowOff>164307</xdr:rowOff>
    </xdr:from>
    <xdr:to>
      <xdr:col>6</xdr:col>
      <xdr:colOff>1050644</xdr:colOff>
      <xdr:row>15</xdr:row>
      <xdr:rowOff>21432</xdr:rowOff>
    </xdr:to>
    <xdr:sp macro="[0]!Módulo4.IngresarAFIP" textlink="">
      <xdr:nvSpPr>
        <xdr:cNvPr id="19" name="Rectángulo 18" hidden="1">
          <a:extLst>
            <a:ext uri="{FF2B5EF4-FFF2-40B4-BE49-F238E27FC236}">
              <a16:creationId xmlns:a16="http://schemas.microsoft.com/office/drawing/2014/main" id="{00000000-0008-0000-0000-000013000000}"/>
            </a:ext>
          </a:extLst>
        </xdr:cNvPr>
        <xdr:cNvSpPr/>
      </xdr:nvSpPr>
      <xdr:spPr>
        <a:xfrm>
          <a:off x="6573821" y="4270640"/>
          <a:ext cx="2287323" cy="587375"/>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800" b="1" i="1"/>
            <a:t>Descargar</a:t>
          </a:r>
        </a:p>
      </xdr:txBody>
    </xdr:sp>
    <xdr:clientData/>
  </xdr:twoCellAnchor>
  <xdr:twoCellAnchor>
    <xdr:from>
      <xdr:col>0</xdr:col>
      <xdr:colOff>624417</xdr:colOff>
      <xdr:row>4</xdr:row>
      <xdr:rowOff>148166</xdr:rowOff>
    </xdr:from>
    <xdr:to>
      <xdr:col>8</xdr:col>
      <xdr:colOff>867834</xdr:colOff>
      <xdr:row>17</xdr:row>
      <xdr:rowOff>243416</xdr:rowOff>
    </xdr:to>
    <xdr:sp macro="" textlink="">
      <xdr:nvSpPr>
        <xdr:cNvPr id="22" name="Rectángulo 21" hidden="1">
          <a:extLst>
            <a:ext uri="{FF2B5EF4-FFF2-40B4-BE49-F238E27FC236}">
              <a16:creationId xmlns:a16="http://schemas.microsoft.com/office/drawing/2014/main" id="{00000000-0008-0000-0000-000016000000}"/>
            </a:ext>
          </a:extLst>
        </xdr:cNvPr>
        <xdr:cNvSpPr/>
      </xdr:nvSpPr>
      <xdr:spPr>
        <a:xfrm>
          <a:off x="624417" y="2021416"/>
          <a:ext cx="11112500" cy="356658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3600" i="1">
            <a:solidFill>
              <a:schemeClr val="tx1"/>
            </a:solidFill>
          </a:endParaRPr>
        </a:p>
        <a:p>
          <a:pPr algn="l"/>
          <a:r>
            <a:rPr lang="es-AR" sz="4400" b="1" i="1">
              <a:solidFill>
                <a:schemeClr val="tx1"/>
              </a:solidFill>
            </a:rPr>
            <a:t>Oh,</a:t>
          </a:r>
          <a:r>
            <a:rPr lang="es-AR" sz="4400" b="1" i="1" baseline="0">
              <a:solidFill>
                <a:schemeClr val="tx1"/>
              </a:solidFill>
            </a:rPr>
            <a:t> oh, ¡Parece que no estás registrado en el sistema! </a:t>
          </a:r>
          <a:r>
            <a:rPr lang="es-AR" sz="4400" b="1" i="0" baseline="0">
              <a:solidFill>
                <a:schemeClr val="lt1"/>
              </a:solidFill>
              <a:effectLst/>
              <a:latin typeface="+mn-lt"/>
              <a:ea typeface="+mn-ea"/>
              <a:cs typeface="+mn-cs"/>
            </a:rPr>
            <a:t>☹️</a:t>
          </a:r>
          <a:r>
            <a:rPr lang="es-AR" sz="1200" b="1" i="0" baseline="0">
              <a:solidFill>
                <a:schemeClr val="lt1"/>
              </a:solidFill>
              <a:effectLst/>
              <a:latin typeface="+mn-lt"/>
              <a:ea typeface="+mn-ea"/>
              <a:cs typeface="+mn-cs"/>
            </a:rPr>
            <a:t>   </a:t>
          </a:r>
          <a:endParaRPr lang="es-AR" sz="4400" b="1" i="0">
            <a:solidFill>
              <a:schemeClr val="tx1"/>
            </a:solidFill>
          </a:endParaRPr>
        </a:p>
      </xdr:txBody>
    </xdr:sp>
    <xdr:clientData/>
  </xdr:twoCellAnchor>
  <xdr:twoCellAnchor>
    <xdr:from>
      <xdr:col>3</xdr:col>
      <xdr:colOff>1439334</xdr:colOff>
      <xdr:row>13</xdr:row>
      <xdr:rowOff>63500</xdr:rowOff>
    </xdr:from>
    <xdr:to>
      <xdr:col>5</xdr:col>
      <xdr:colOff>412751</xdr:colOff>
      <xdr:row>16</xdr:row>
      <xdr:rowOff>42333</xdr:rowOff>
    </xdr:to>
    <xdr:sp macro="[0]!ThisWorkbook.VolveralRegistro" textlink="">
      <xdr:nvSpPr>
        <xdr:cNvPr id="23" name="Rectángulo 22" hidden="1">
          <a:extLst>
            <a:ext uri="{FF2B5EF4-FFF2-40B4-BE49-F238E27FC236}">
              <a16:creationId xmlns:a16="http://schemas.microsoft.com/office/drawing/2014/main" id="{00000000-0008-0000-0000-000017000000}"/>
            </a:ext>
          </a:extLst>
        </xdr:cNvPr>
        <xdr:cNvSpPr/>
      </xdr:nvSpPr>
      <xdr:spPr>
        <a:xfrm>
          <a:off x="5027084" y="4413250"/>
          <a:ext cx="2698750" cy="7090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b="1" i="1"/>
            <a:t>Reingresar CUIT</a:t>
          </a:r>
        </a:p>
      </xdr:txBody>
    </xdr:sp>
    <xdr:clientData/>
  </xdr:twoCellAnchor>
  <xdr:twoCellAnchor>
    <xdr:from>
      <xdr:col>6</xdr:col>
      <xdr:colOff>184151</xdr:colOff>
      <xdr:row>13</xdr:row>
      <xdr:rowOff>67732</xdr:rowOff>
    </xdr:from>
    <xdr:to>
      <xdr:col>7</xdr:col>
      <xdr:colOff>1238250</xdr:colOff>
      <xdr:row>16</xdr:row>
      <xdr:rowOff>46565</xdr:rowOff>
    </xdr:to>
    <xdr:sp macro="" textlink="">
      <xdr:nvSpPr>
        <xdr:cNvPr id="24" name="Rectángulo 23" hidden="1">
          <a:extLst>
            <a:ext uri="{FF2B5EF4-FFF2-40B4-BE49-F238E27FC236}">
              <a16:creationId xmlns:a16="http://schemas.microsoft.com/office/drawing/2014/main" id="{00000000-0008-0000-0000-000018000000}"/>
            </a:ext>
          </a:extLst>
        </xdr:cNvPr>
        <xdr:cNvSpPr/>
      </xdr:nvSpPr>
      <xdr:spPr>
        <a:xfrm>
          <a:off x="7994651" y="4417482"/>
          <a:ext cx="2821516" cy="7090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b="1" i="1"/>
            <a:t>Quiero Registrarme!</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0.35368</cdr:x>
      <cdr:y>0.42015</cdr:y>
    </cdr:from>
    <cdr:to>
      <cdr:x>0.46737</cdr:x>
      <cdr:y>0.50758</cdr:y>
    </cdr:to>
    <cdr:sp macro="" textlink="'Base de Datos'!$G$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2000250" y="1950939"/>
          <a:ext cx="642938" cy="4059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fld id="{FE5D783A-4AD1-42CC-A972-F94A9E58C825}" type="TxLink">
            <a:rPr lang="en-US" sz="1600" b="1" i="0" u="none" strike="noStrike">
              <a:solidFill>
                <a:srgbClr val="000000"/>
              </a:solidFill>
              <a:latin typeface="Calibri"/>
              <a:cs typeface="Calibri"/>
            </a:rPr>
            <a:pPr/>
            <a:t>#N/A</a:t>
          </a:fld>
          <a:endParaRPr lang="es-AR" sz="2800" b="1"/>
        </a:p>
      </cdr:txBody>
    </cdr:sp>
  </cdr:relSizeAnchor>
</c:userShapes>
</file>

<file path=xl/drawings/drawing3.xml><?xml version="1.0" encoding="utf-8"?>
<xdr:wsDr xmlns:xdr="http://schemas.openxmlformats.org/drawingml/2006/spreadsheetDrawing" xmlns:a="http://schemas.openxmlformats.org/drawingml/2006/main">
  <xdr:twoCellAnchor>
    <xdr:from>
      <xdr:col>9</xdr:col>
      <xdr:colOff>28575</xdr:colOff>
      <xdr:row>1</xdr:row>
      <xdr:rowOff>66675</xdr:rowOff>
    </xdr:from>
    <xdr:to>
      <xdr:col>15</xdr:col>
      <xdr:colOff>28575</xdr:colOff>
      <xdr:row>15</xdr:row>
      <xdr:rowOff>85725</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28574</xdr:colOff>
      <xdr:row>11</xdr:row>
      <xdr:rowOff>19050</xdr:rowOff>
    </xdr:from>
    <xdr:to>
      <xdr:col>15</xdr:col>
      <xdr:colOff>95249</xdr:colOff>
      <xdr:row>25</xdr:row>
      <xdr:rowOff>95250</xdr:rowOff>
    </xdr:to>
    <xdr:graphicFrame macro="">
      <xdr:nvGraphicFramePr>
        <xdr:cNvPr id="3" name="Gráfico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0.43958</cdr:x>
      <cdr:y>0.54861</cdr:y>
    </cdr:from>
    <cdr:to>
      <cdr:x>0.575</cdr:x>
      <cdr:y>0.69097</cdr:y>
    </cdr:to>
    <cdr:sp macro="" textlink="'Base de Datos'!$G$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2009774" y="1504950"/>
          <a:ext cx="619125" cy="3905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B488F16-69CD-4E9A-BF82-B9630C5B15D9}" type="TxLink">
            <a:rPr lang="en-US" sz="1400" b="1" i="0" u="none" strike="noStrike">
              <a:solidFill>
                <a:srgbClr val="000000"/>
              </a:solidFill>
              <a:latin typeface="Calibri"/>
              <a:cs typeface="Calibri"/>
            </a:rPr>
            <a:pPr/>
            <a:t>#N/A</a:t>
          </a:fld>
          <a:endParaRPr lang="es-AR" sz="2800" b="1"/>
        </a:p>
      </cdr:txBody>
    </cdr:sp>
  </cdr:relSizeAnchor>
</c:userShapes>
</file>

<file path=xl/drawings/drawing5.xml><?xml version="1.0" encoding="utf-8"?>
<c:userShapes xmlns:c="http://schemas.openxmlformats.org/drawingml/2006/chart">
  <cdr:relSizeAnchor xmlns:cdr="http://schemas.openxmlformats.org/drawingml/2006/chartDrawing">
    <cdr:from>
      <cdr:x>0.45208</cdr:x>
      <cdr:y>0.54861</cdr:y>
    </cdr:from>
    <cdr:to>
      <cdr:x>0.5875</cdr:x>
      <cdr:y>0.69097</cdr:y>
    </cdr:to>
    <cdr:sp macro="" textlink="'Base de Datos'!$H$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2066910" y="1504947"/>
          <a:ext cx="619140" cy="39052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91AADDE-F305-4403-A5F4-1341FF0107F7}" type="TxLink">
            <a:rPr lang="en-US" sz="1600" b="1" i="0" u="none" strike="noStrike">
              <a:solidFill>
                <a:srgbClr val="000000"/>
              </a:solidFill>
              <a:latin typeface="Calibri"/>
              <a:cs typeface="Calibri"/>
            </a:rPr>
            <a:pPr/>
            <a:t>0%</a:t>
          </a:fld>
          <a:endParaRPr lang="es-AR" sz="4000" b="1"/>
        </a:p>
      </cdr:txBody>
    </cdr:sp>
  </cdr:relSizeAnchor>
</c:userShapes>
</file>

<file path=xl/drawings/drawing6.xml><?xml version="1.0" encoding="utf-8"?>
<xdr:wsDr xmlns:xdr="http://schemas.openxmlformats.org/drawingml/2006/spreadsheetDrawing" xmlns:a="http://schemas.openxmlformats.org/drawingml/2006/main">
  <xdr:twoCellAnchor>
    <xdr:from>
      <xdr:col>1</xdr:col>
      <xdr:colOff>371476</xdr:colOff>
      <xdr:row>60</xdr:row>
      <xdr:rowOff>66675</xdr:rowOff>
    </xdr:from>
    <xdr:to>
      <xdr:col>8</xdr:col>
      <xdr:colOff>1</xdr:colOff>
      <xdr:row>79</xdr:row>
      <xdr:rowOff>104775</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209550</xdr:colOff>
      <xdr:row>96</xdr:row>
      <xdr:rowOff>9525</xdr:rowOff>
    </xdr:from>
    <xdr:to>
      <xdr:col>5</xdr:col>
      <xdr:colOff>133350</xdr:colOff>
      <xdr:row>110</xdr:row>
      <xdr:rowOff>104775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1266825</xdr:colOff>
      <xdr:row>96</xdr:row>
      <xdr:rowOff>19050</xdr:rowOff>
    </xdr:from>
    <xdr:to>
      <xdr:col>7</xdr:col>
      <xdr:colOff>904876</xdr:colOff>
      <xdr:row>110</xdr:row>
      <xdr:rowOff>114300</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0.43958</cdr:x>
      <cdr:y>0.54861</cdr:y>
    </cdr:from>
    <cdr:to>
      <cdr:x>0.59091</cdr:x>
      <cdr:y>0.69097</cdr:y>
    </cdr:to>
    <cdr:sp macro="" textlink="'Base de Datos'!$G$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1473824" y="1515398"/>
          <a:ext cx="507376" cy="3932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B488F16-69CD-4E9A-BF82-B9630C5B15D9}" type="TxLink">
            <a:rPr lang="en-US" sz="1400" b="1" i="0" u="none" strike="noStrike">
              <a:solidFill>
                <a:srgbClr val="000000"/>
              </a:solidFill>
              <a:latin typeface="Calibri"/>
              <a:cs typeface="Calibri"/>
            </a:rPr>
            <a:pPr/>
            <a:t>#N/A</a:t>
          </a:fld>
          <a:endParaRPr lang="es-AR" sz="2800" b="1"/>
        </a:p>
      </cdr:txBody>
    </cdr:sp>
  </cdr:relSizeAnchor>
</c:userShapes>
</file>

<file path=xl/drawings/drawing8.xml><?xml version="1.0" encoding="utf-8"?>
<c:userShapes xmlns:c="http://schemas.openxmlformats.org/drawingml/2006/chart">
  <cdr:relSizeAnchor xmlns:cdr="http://schemas.openxmlformats.org/drawingml/2006/chartDrawing">
    <cdr:from>
      <cdr:x>0.43478</cdr:x>
      <cdr:y>0.54861</cdr:y>
    </cdr:from>
    <cdr:to>
      <cdr:x>0.6087</cdr:x>
      <cdr:y>0.69097</cdr:y>
    </cdr:to>
    <cdr:sp macro="" textlink="'Base de Datos'!$H$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1428750" y="1515398"/>
          <a:ext cx="571500" cy="3932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91AADDE-F305-4403-A5F4-1341FF0107F7}" type="TxLink">
            <a:rPr lang="en-US" sz="1600" b="1" i="0" u="none" strike="noStrike">
              <a:solidFill>
                <a:srgbClr val="000000"/>
              </a:solidFill>
              <a:latin typeface="Calibri"/>
              <a:cs typeface="Calibri"/>
            </a:rPr>
            <a:pPr/>
            <a:t>0%</a:t>
          </a:fld>
          <a:endParaRPr lang="es-AR" sz="4000" b="1"/>
        </a:p>
      </cdr:txBody>
    </cdr:sp>
  </cdr:relSizeAnchor>
</c:userShapes>
</file>

<file path=xl/drawings/drawing9.xml><?xml version="1.0" encoding="utf-8"?>
<xdr:wsDr xmlns:xdr="http://schemas.openxmlformats.org/drawingml/2006/spreadsheetDrawing" xmlns:a="http://schemas.openxmlformats.org/drawingml/2006/main">
  <xdr:twoCellAnchor>
    <xdr:from>
      <xdr:col>1</xdr:col>
      <xdr:colOff>9526</xdr:colOff>
      <xdr:row>60</xdr:row>
      <xdr:rowOff>76200</xdr:rowOff>
    </xdr:from>
    <xdr:to>
      <xdr:col>7</xdr:col>
      <xdr:colOff>1028700</xdr:colOff>
      <xdr:row>79</xdr:row>
      <xdr:rowOff>114300</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209550</xdr:colOff>
      <xdr:row>96</xdr:row>
      <xdr:rowOff>9525</xdr:rowOff>
    </xdr:from>
    <xdr:to>
      <xdr:col>5</xdr:col>
      <xdr:colOff>133350</xdr:colOff>
      <xdr:row>110</xdr:row>
      <xdr:rowOff>104775</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1266825</xdr:colOff>
      <xdr:row>96</xdr:row>
      <xdr:rowOff>19050</xdr:rowOff>
    </xdr:from>
    <xdr:to>
      <xdr:col>7</xdr:col>
      <xdr:colOff>904876</xdr:colOff>
      <xdr:row>110</xdr:row>
      <xdr:rowOff>114300</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0.43958</cdr:x>
      <cdr:y>0.54861</cdr:y>
    </cdr:from>
    <cdr:to>
      <cdr:x>0.59091</cdr:x>
      <cdr:y>0.69097</cdr:y>
    </cdr:to>
    <cdr:sp macro="" textlink="'Base de Datos'!$G$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1473824" y="1515398"/>
          <a:ext cx="507376" cy="3932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B488F16-69CD-4E9A-BF82-B9630C5B15D9}" type="TxLink">
            <a:rPr lang="en-US" sz="1400" b="1" i="0" u="none" strike="noStrike">
              <a:solidFill>
                <a:srgbClr val="000000"/>
              </a:solidFill>
              <a:latin typeface="Calibri"/>
              <a:cs typeface="Calibri"/>
            </a:rPr>
            <a:pPr/>
            <a:t>#N/A</a:t>
          </a:fld>
          <a:endParaRPr lang="es-AR" sz="2800" b="1"/>
        </a:p>
      </cdr:txBody>
    </cdr:sp>
  </cdr:relSizeAnchor>
</c:userShapes>
</file>

<file path=xl/drawings/drawing11.xml><?xml version="1.0" encoding="utf-8"?>
<c:userShapes xmlns:c="http://schemas.openxmlformats.org/drawingml/2006/chart">
  <cdr:relSizeAnchor xmlns:cdr="http://schemas.openxmlformats.org/drawingml/2006/chartDrawing">
    <cdr:from>
      <cdr:x>0.45208</cdr:x>
      <cdr:y>0.54861</cdr:y>
    </cdr:from>
    <cdr:to>
      <cdr:x>0.5875</cdr:x>
      <cdr:y>0.69097</cdr:y>
    </cdr:to>
    <cdr:sp macro="" textlink="'Base de Datos'!$H$12">
      <cdr:nvSpPr>
        <cdr:cNvPr id="2" name="CuadroTexto 1">
          <a:extLst xmlns:a="http://schemas.openxmlformats.org/drawingml/2006/main">
            <a:ext uri="{FF2B5EF4-FFF2-40B4-BE49-F238E27FC236}">
              <a16:creationId xmlns:a16="http://schemas.microsoft.com/office/drawing/2014/main" id="{3699075A-30A7-5F1C-1366-22F1DC2F1ABD}"/>
            </a:ext>
          </a:extLst>
        </cdr:cNvPr>
        <cdr:cNvSpPr txBox="1"/>
      </cdr:nvSpPr>
      <cdr:spPr>
        <a:xfrm xmlns:a="http://schemas.openxmlformats.org/drawingml/2006/main">
          <a:off x="2066910" y="1504947"/>
          <a:ext cx="619140" cy="39052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91AADDE-F305-4403-A5F4-1341FF0107F7}" type="TxLink">
            <a:rPr lang="en-US" sz="1600" b="1" i="0" u="none" strike="noStrike">
              <a:solidFill>
                <a:srgbClr val="000000"/>
              </a:solidFill>
              <a:latin typeface="Calibri"/>
              <a:cs typeface="Calibri"/>
            </a:rPr>
            <a:pPr/>
            <a:t>0%</a:t>
          </a:fld>
          <a:endParaRPr lang="es-AR" sz="4000" b="1"/>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60"/>
  <sheetViews>
    <sheetView showGridLines="0" tabSelected="1" zoomScale="87" zoomScaleNormal="87" workbookViewId="0">
      <selection activeCell="J14" sqref="J14"/>
    </sheetView>
  </sheetViews>
  <sheetFormatPr baseColWidth="10" defaultRowHeight="15" x14ac:dyDescent="0.25"/>
  <cols>
    <col min="1" max="1" width="15.28515625" customWidth="1"/>
    <col min="2" max="2" width="23.85546875" customWidth="1"/>
    <col min="3" max="3" width="14.7109375" customWidth="1"/>
    <col min="4" max="4" width="36.28515625" customWidth="1"/>
    <col min="5" max="5" width="19.5703125" customWidth="1"/>
    <col min="6" max="6" width="7.42578125" customWidth="1"/>
    <col min="7" max="7" width="26.5703125" customWidth="1"/>
    <col min="8" max="8" width="19.42578125" customWidth="1"/>
    <col min="9" max="9" width="17.42578125" customWidth="1"/>
    <col min="10" max="10" width="13.28515625" customWidth="1"/>
  </cols>
  <sheetData>
    <row r="1" spans="1:10" ht="47.25" customHeight="1" x14ac:dyDescent="0.6">
      <c r="D1" s="13" t="s">
        <v>73</v>
      </c>
    </row>
    <row r="2" spans="1:10" ht="43.5" customHeight="1" x14ac:dyDescent="0.25">
      <c r="J2">
        <f>C5</f>
        <v>0</v>
      </c>
    </row>
    <row r="3" spans="1:10" ht="33" x14ac:dyDescent="0.6">
      <c r="A3" s="13"/>
      <c r="E3" s="16"/>
      <c r="F3" s="17"/>
      <c r="G3" s="17"/>
      <c r="H3" s="17"/>
      <c r="I3" s="18"/>
      <c r="J3" t="e">
        <f>VLOOKUP(J2,Listado!A3:E135,5,FALSE)</f>
        <v>#N/A</v>
      </c>
    </row>
    <row r="4" spans="1:10" ht="23.25" x14ac:dyDescent="0.35">
      <c r="A4" s="14" t="s">
        <v>9</v>
      </c>
      <c r="C4" s="176" t="e">
        <f>VLOOKUP(C5,Listado!A3:D188,2,FALSE)</f>
        <v>#N/A</v>
      </c>
      <c r="D4" s="177"/>
      <c r="G4" s="20" t="s">
        <v>79</v>
      </c>
      <c r="H4" s="19" t="e">
        <f>VLOOKUP(C5,Listado!A3:C188,3,FALSE)</f>
        <v>#N/A</v>
      </c>
    </row>
    <row r="5" spans="1:10" ht="21" x14ac:dyDescent="0.35">
      <c r="B5" s="14" t="s">
        <v>10</v>
      </c>
      <c r="C5" s="178"/>
      <c r="D5" s="179"/>
      <c r="G5" s="20" t="s">
        <v>78</v>
      </c>
      <c r="H5" s="19" t="str">
        <f>IF(B23&lt;Ventas!C5,("A"),(IF(B23&lt;Ventas!C6,("B"),(IF(B23&lt;Ventas!C7,("C"),(IF(B23&lt;Ventas!C8,("D"),(IF(B23&lt;Ventas!C9,("E"),(IF(B23&lt;Ventas!C10,("F"),(IF(B23&lt;Ventas!C11,("G"),(IF(B23&lt;Ventas!C12,("H"),(IF(B23&lt;Ventas!C13,("I"),(IF(B23&lt;Ventas!C14,("J"),(IF(B23&lt;Ventas!C15,("K"),(IF(B23="",(""),("Superó el límite de Monotributo"))))))))))))))))))))))))</f>
        <v>A</v>
      </c>
    </row>
    <row r="6" spans="1:10" x14ac:dyDescent="0.25">
      <c r="D6" s="81"/>
      <c r="H6" s="173"/>
    </row>
    <row r="8" spans="1:10" ht="46.5" x14ac:dyDescent="0.7">
      <c r="A8" s="107" t="s">
        <v>52</v>
      </c>
      <c r="B8" s="82"/>
      <c r="E8" s="57"/>
      <c r="G8" s="99" t="s">
        <v>51</v>
      </c>
      <c r="H8" s="19" t="e">
        <f>VLOOKUP(C5,Listado!A3:D188,4,FALSE)</f>
        <v>#N/A</v>
      </c>
    </row>
    <row r="9" spans="1:10" ht="18.75" x14ac:dyDescent="0.3">
      <c r="A9" s="21" t="s">
        <v>11</v>
      </c>
      <c r="B9" s="22"/>
      <c r="G9" s="1"/>
      <c r="H9" s="39"/>
      <c r="I9" s="39"/>
    </row>
    <row r="10" spans="1:10" ht="21" x14ac:dyDescent="0.35">
      <c r="A10" s="23" t="s">
        <v>12</v>
      </c>
      <c r="B10" s="24" t="s">
        <v>13</v>
      </c>
      <c r="C10" s="84"/>
      <c r="D10" s="83" t="s">
        <v>38</v>
      </c>
      <c r="E10" s="38" t="e">
        <f>IF(H4="",(""),(H4))</f>
        <v>#N/A</v>
      </c>
      <c r="G10" s="70" t="s">
        <v>15</v>
      </c>
      <c r="H10" s="73" t="s">
        <v>16</v>
      </c>
      <c r="I10" s="71" t="s">
        <v>17</v>
      </c>
      <c r="J10" s="40"/>
    </row>
    <row r="11" spans="1:10" ht="18.75" x14ac:dyDescent="0.3">
      <c r="A11" s="25">
        <f>VLOOKUP('Base de Datos'!C2,('Base de Datos'!B2:C71),1,FALSE)</f>
        <v>45108</v>
      </c>
      <c r="B11" s="109">
        <f>SUMIF(Ventas!$R$21:R10000,(VLOOKUP(A11,'Base de Datos'!B3:C70,2,FALSE)),(Ventas!$S$21:S10000))</f>
        <v>0</v>
      </c>
      <c r="D11" s="29" t="s">
        <v>32</v>
      </c>
      <c r="E11" s="30">
        <f>SUM(Ventas!S21:S10054)</f>
        <v>0</v>
      </c>
      <c r="G11" s="74" t="s">
        <v>18</v>
      </c>
      <c r="H11" s="72"/>
      <c r="I11" s="75"/>
      <c r="J11" s="40"/>
    </row>
    <row r="12" spans="1:10" ht="18.75" x14ac:dyDescent="0.3">
      <c r="A12" s="25">
        <f>DATE(YEAR(A11),MONTH(A11)+1,1)</f>
        <v>45139</v>
      </c>
      <c r="B12" s="109">
        <f>SUMIF(Ventas!$R$21:R10001,(VLOOKUP(A12,'Base de Datos'!B4:C71,2,FALSE)),(Ventas!$S$21:S10001))</f>
        <v>0</v>
      </c>
      <c r="D12" s="31" t="s">
        <v>34</v>
      </c>
      <c r="E12" s="32" t="e">
        <f>IF(H4="A",(Ventas!$B$5),(IF(H4="B",(Ventas!$B$6),(IF(H4="C",(Ventas!$B$7),(IF(H4="D",(Ventas!$B$8),(IF(H4="E",(Ventas!$B$9),(IF(H4="F",(Ventas!$B$10),(IF(H4="G",(Ventas!$B$11),(IF(H4="H",(Ventas!$B$12),(IF(H4="I",(Ventas!$B$13),(IF(H4="J",(Ventas!$B$14),(IF(H4="K",(Ventas!$B$15),(""))))))))))))))))))))))</f>
        <v>#N/A</v>
      </c>
      <c r="F12" s="69"/>
      <c r="G12" s="50" t="s">
        <v>19</v>
      </c>
      <c r="H12" s="76"/>
      <c r="I12" s="49"/>
    </row>
    <row r="13" spans="1:10" ht="18.75" x14ac:dyDescent="0.3">
      <c r="A13" s="25">
        <f t="shared" ref="A13:A22" si="0">DATE(YEAR(A12),MONTH(A12)+1,1)</f>
        <v>45170</v>
      </c>
      <c r="B13" s="109">
        <f>SUMIF(Ventas!$R$21:R10002,(VLOOKUP(A13,'Base de Datos'!B5:C72,2,FALSE)),(Ventas!$S$21:S10002))</f>
        <v>0</v>
      </c>
      <c r="D13" s="33" t="s">
        <v>35</v>
      </c>
      <c r="E13" s="34" t="e">
        <f>E12-E11</f>
        <v>#N/A</v>
      </c>
      <c r="G13" s="53" t="s">
        <v>21</v>
      </c>
      <c r="H13" s="58">
        <f>H11-H12</f>
        <v>0</v>
      </c>
      <c r="I13" s="41">
        <f>I11-I12</f>
        <v>0</v>
      </c>
    </row>
    <row r="14" spans="1:10" ht="18.75" x14ac:dyDescent="0.3">
      <c r="A14" s="25">
        <f t="shared" si="0"/>
        <v>45200</v>
      </c>
      <c r="B14" s="109">
        <f>SUMIF(Ventas!$R$21:R10003,(VLOOKUP(A14,'Base de Datos'!B6:C73,2,FALSE)),(Ventas!$S$21:S10003))</f>
        <v>0</v>
      </c>
      <c r="D14" s="35" t="s">
        <v>36</v>
      </c>
      <c r="E14" s="36" t="e">
        <f>E12/12</f>
        <v>#N/A</v>
      </c>
      <c r="G14" s="40"/>
      <c r="H14" s="55" t="s">
        <v>20</v>
      </c>
      <c r="I14" s="56">
        <f>H13-I13</f>
        <v>0</v>
      </c>
      <c r="J14" s="40"/>
    </row>
    <row r="15" spans="1:10" ht="18.75" x14ac:dyDescent="0.3">
      <c r="A15" s="25">
        <f t="shared" si="0"/>
        <v>45231</v>
      </c>
      <c r="B15" s="109">
        <f>SUMIF(Ventas!$R$21:R10004,(VLOOKUP(A15,'Base de Datos'!B7:C74,2,FALSE)),(Ventas!$S$21:S10004))</f>
        <v>0</v>
      </c>
      <c r="G15" s="40"/>
      <c r="H15" s="40"/>
      <c r="I15" s="40"/>
      <c r="J15" s="40"/>
    </row>
    <row r="16" spans="1:10" ht="18.75" x14ac:dyDescent="0.3">
      <c r="A16" s="25">
        <f t="shared" si="0"/>
        <v>45261</v>
      </c>
      <c r="B16" s="109">
        <f>SUMIF(Ventas!$R$21:R10005,(VLOOKUP(A16,'Base de Datos'!B8:C75,2,FALSE)),(Ventas!$S$21:S10005))</f>
        <v>0</v>
      </c>
      <c r="G16" s="6" t="s">
        <v>22</v>
      </c>
      <c r="H16" s="6"/>
      <c r="I16" s="6"/>
      <c r="J16" s="40"/>
    </row>
    <row r="17" spans="1:10" ht="21" x14ac:dyDescent="0.35">
      <c r="A17" s="25">
        <f t="shared" si="0"/>
        <v>45292</v>
      </c>
      <c r="B17" s="109">
        <f>SUMIF(Ventas!$R$21:R10006,(VLOOKUP(A17,'Base de Datos'!B9:C76,2,FALSE)),(Ventas!$S$21:S10006))</f>
        <v>0</v>
      </c>
      <c r="D17" s="28" t="s">
        <v>39</v>
      </c>
      <c r="E17" s="38" t="str">
        <f>IF(H5="",(""),(H5))</f>
        <v>A</v>
      </c>
      <c r="G17" s="42" t="s">
        <v>23</v>
      </c>
      <c r="H17" s="43" t="s">
        <v>24</v>
      </c>
      <c r="I17" s="44" t="s">
        <v>25</v>
      </c>
      <c r="J17" s="40"/>
    </row>
    <row r="18" spans="1:10" ht="18.75" x14ac:dyDescent="0.3">
      <c r="A18" s="25">
        <f t="shared" si="0"/>
        <v>45323</v>
      </c>
      <c r="B18" s="109">
        <f>SUMIF(Ventas!$R$21:R10007,(VLOOKUP(A18,'Base de Datos'!B10:C77,2,FALSE)),(Ventas!$S$21:S10007))</f>
        <v>0</v>
      </c>
      <c r="D18" s="29" t="s">
        <v>32</v>
      </c>
      <c r="E18" s="30">
        <f>SUM(Ventas!S21:S10602)</f>
        <v>0</v>
      </c>
      <c r="G18" s="51">
        <v>2022</v>
      </c>
      <c r="H18" s="46"/>
      <c r="I18" s="47"/>
      <c r="J18" s="40"/>
    </row>
    <row r="19" spans="1:10" ht="18.75" x14ac:dyDescent="0.3">
      <c r="A19" s="25">
        <f t="shared" si="0"/>
        <v>45352</v>
      </c>
      <c r="B19" s="109">
        <f>SUMIF(Ventas!$R$21:R10008,(VLOOKUP(A19,'Base de Datos'!B11:C78,2,FALSE)),(Ventas!$S$21:S10008))</f>
        <v>0</v>
      </c>
      <c r="D19" s="31" t="s">
        <v>34</v>
      </c>
      <c r="E19" s="32">
        <f>IF(H5="A",(Ventas!$C$5),(IF(H5="B",(Ventas!$C$6),(IF(H5="C",(Ventas!$C$7),(IF(H5="D",(Ventas!$C$8),(IF(H5="E",(Ventas!$C$9),(IF(H5="F",(Ventas!$C$10),(IF(H5="G",(Ventas!$C$11),(IF(H5="H",(Ventas!$C$12),(IF(H5="I",(Ventas!$C$13),(IF(H5="J",(Ventas!$C$14),(IF(H5="K",(Ventas!$C$15),(""))))))))))))))))))))))</f>
        <v>6450000</v>
      </c>
      <c r="G19" s="52">
        <v>2023</v>
      </c>
      <c r="H19" s="48"/>
      <c r="I19" s="49"/>
      <c r="J19" s="40"/>
    </row>
    <row r="20" spans="1:10" ht="18.75" x14ac:dyDescent="0.3">
      <c r="A20" s="25">
        <f t="shared" si="0"/>
        <v>45383</v>
      </c>
      <c r="B20" s="109">
        <f>SUMIF(Ventas!$R$21:R10009,(VLOOKUP(A20,'Base de Datos'!B12:C79,2,FALSE)),(Ventas!$S$21:S10009))</f>
        <v>0</v>
      </c>
      <c r="D20" s="33" t="s">
        <v>35</v>
      </c>
      <c r="E20" s="34">
        <f>E19-E18</f>
        <v>6450000</v>
      </c>
      <c r="G20" s="54"/>
      <c r="H20" s="45">
        <f>SUM(H18:H19)</f>
        <v>0</v>
      </c>
      <c r="I20" s="45">
        <f>SUM(I18:I19)</f>
        <v>0</v>
      </c>
      <c r="J20" s="40"/>
    </row>
    <row r="21" spans="1:10" ht="18.75" x14ac:dyDescent="0.3">
      <c r="A21" s="25">
        <f t="shared" si="0"/>
        <v>45413</v>
      </c>
      <c r="B21" s="109">
        <f>SUMIF(Ventas!$R$21:R10010,(VLOOKUP(A21,'Base de Datos'!B13:C80,2,FALSE)),(Ventas!$S$21:S10010))</f>
        <v>0</v>
      </c>
      <c r="D21" s="35" t="s">
        <v>36</v>
      </c>
      <c r="E21" s="36">
        <f>E19/12</f>
        <v>537500</v>
      </c>
      <c r="G21" s="40"/>
      <c r="H21" s="40"/>
      <c r="I21" s="7">
        <f>I20+H20</f>
        <v>0</v>
      </c>
      <c r="J21" s="40"/>
    </row>
    <row r="22" spans="1:10" ht="18.75" x14ac:dyDescent="0.3">
      <c r="A22" s="25">
        <f t="shared" si="0"/>
        <v>45444</v>
      </c>
      <c r="B22" s="109">
        <f>SUMIF(Ventas!$R$21:R10011,(VLOOKUP(A22,'Base de Datos'!B14:C81,2,FALSE)),(Ventas!$S$21:S10011))</f>
        <v>0</v>
      </c>
    </row>
    <row r="23" spans="1:10" ht="18.75" x14ac:dyDescent="0.3">
      <c r="A23" s="26" t="s">
        <v>14</v>
      </c>
      <c r="B23" s="27">
        <f>SUM(B11:B22)</f>
        <v>0</v>
      </c>
    </row>
    <row r="25" spans="1:10" x14ac:dyDescent="0.25">
      <c r="A25" s="15"/>
      <c r="B25" s="15"/>
      <c r="C25" s="15"/>
    </row>
    <row r="26" spans="1:10" x14ac:dyDescent="0.25">
      <c r="A26" s="15"/>
      <c r="B26" s="15"/>
      <c r="C26" s="15"/>
    </row>
    <row r="27" spans="1:10" x14ac:dyDescent="0.25">
      <c r="A27" s="15"/>
      <c r="B27" s="15"/>
      <c r="C27" s="15"/>
    </row>
    <row r="28" spans="1:10" x14ac:dyDescent="0.25">
      <c r="A28" s="15"/>
      <c r="B28" s="15"/>
      <c r="C28" s="15"/>
    </row>
    <row r="34" spans="1:11" x14ac:dyDescent="0.25">
      <c r="A34" s="15"/>
      <c r="B34" s="15"/>
      <c r="C34" s="15"/>
      <c r="D34" s="15"/>
    </row>
    <row r="35" spans="1:11" x14ac:dyDescent="0.25">
      <c r="A35" s="15"/>
      <c r="B35" s="15"/>
      <c r="C35" s="15"/>
      <c r="D35" s="15"/>
    </row>
    <row r="36" spans="1:11" x14ac:dyDescent="0.25">
      <c r="A36" s="15"/>
      <c r="B36" s="15"/>
      <c r="C36" s="15"/>
      <c r="D36" s="15"/>
    </row>
    <row r="37" spans="1:11" x14ac:dyDescent="0.25">
      <c r="A37" s="15"/>
      <c r="B37" s="15"/>
      <c r="C37" s="15"/>
      <c r="D37" s="15"/>
    </row>
    <row r="38" spans="1:11" ht="21" x14ac:dyDescent="0.35">
      <c r="A38" s="62" t="s">
        <v>26</v>
      </c>
      <c r="B38" s="66" t="s">
        <v>27</v>
      </c>
      <c r="C38" s="63" t="s">
        <v>28</v>
      </c>
    </row>
    <row r="39" spans="1:11" ht="18.75" x14ac:dyDescent="0.3">
      <c r="A39" s="59" t="s">
        <v>29</v>
      </c>
      <c r="B39" s="67"/>
      <c r="C39" s="64">
        <v>0</v>
      </c>
    </row>
    <row r="40" spans="1:11" ht="18.75" x14ac:dyDescent="0.3">
      <c r="A40" s="60" t="s">
        <v>30</v>
      </c>
      <c r="B40" s="67">
        <v>0</v>
      </c>
      <c r="C40" s="64">
        <v>0</v>
      </c>
    </row>
    <row r="41" spans="1:11" ht="18.75" x14ac:dyDescent="0.3">
      <c r="A41" s="61" t="s">
        <v>31</v>
      </c>
      <c r="B41" s="68">
        <v>0</v>
      </c>
      <c r="C41" s="65">
        <v>0</v>
      </c>
    </row>
    <row r="42" spans="1:11" ht="99.75" customHeight="1" x14ac:dyDescent="0.25"/>
    <row r="43" spans="1:11" ht="30.75" customHeight="1" x14ac:dyDescent="0.5">
      <c r="A43" s="111" t="s">
        <v>57</v>
      </c>
      <c r="C43" s="100"/>
    </row>
    <row r="44" spans="1:11" x14ac:dyDescent="0.25">
      <c r="C44" s="100"/>
    </row>
    <row r="45" spans="1:11" ht="36" x14ac:dyDescent="0.55000000000000004">
      <c r="A45" s="180" t="s">
        <v>53</v>
      </c>
      <c r="B45" s="180"/>
      <c r="C45" s="100"/>
      <c r="D45" s="112" t="s">
        <v>42</v>
      </c>
      <c r="E45" s="37"/>
    </row>
    <row r="46" spans="1:11" ht="18.75" x14ac:dyDescent="0.3">
      <c r="A46" s="21" t="s">
        <v>11</v>
      </c>
      <c r="B46" s="22"/>
      <c r="C46" s="100"/>
      <c r="D46" s="113" t="s">
        <v>33</v>
      </c>
      <c r="E46" s="117">
        <f>Compras!B12</f>
        <v>0</v>
      </c>
      <c r="F46" s="185" t="s">
        <v>58</v>
      </c>
      <c r="G46" s="186"/>
      <c r="H46" s="187" t="s">
        <v>59</v>
      </c>
      <c r="I46" s="188"/>
      <c r="J46" s="119" t="s">
        <v>60</v>
      </c>
    </row>
    <row r="47" spans="1:11" ht="18.75" x14ac:dyDescent="0.3">
      <c r="A47" s="23" t="s">
        <v>12</v>
      </c>
      <c r="B47" s="24" t="s">
        <v>53</v>
      </c>
      <c r="C47" s="100"/>
      <c r="D47" s="114" t="str">
        <f>Compras!A5</f>
        <v>Facturas A Recibidas</v>
      </c>
      <c r="E47" s="118">
        <f>Compras!B5</f>
        <v>0</v>
      </c>
      <c r="F47" s="181">
        <f ca="1">Compras!C5</f>
        <v>0</v>
      </c>
      <c r="G47" s="182"/>
      <c r="H47" s="189">
        <f>Compras!D5</f>
        <v>0</v>
      </c>
      <c r="I47" s="190"/>
      <c r="J47" s="124">
        <f>Compras!J5</f>
        <v>0</v>
      </c>
      <c r="K47" s="125"/>
    </row>
    <row r="48" spans="1:11" ht="18.75" x14ac:dyDescent="0.3">
      <c r="A48" s="25">
        <f>'Base de Datos'!C2</f>
        <v>45108</v>
      </c>
      <c r="B48" s="110">
        <f>SUMIF(Compras!$R$21:R1032,(VLOOKUP(A48,'Base de Datos'!B3:C70,2,FALSE)),(Compras!$S$21:S1032))</f>
        <v>0</v>
      </c>
      <c r="C48" s="100"/>
      <c r="D48" s="114" t="str">
        <f>Compras!A6</f>
        <v>Facturas B Recibidas</v>
      </c>
      <c r="E48" s="118">
        <f>Compras!B6</f>
        <v>0</v>
      </c>
      <c r="F48" s="181">
        <f ca="1">Compras!C6</f>
        <v>0</v>
      </c>
      <c r="G48" s="182"/>
      <c r="H48" s="189">
        <f>Compras!D6</f>
        <v>0</v>
      </c>
      <c r="I48" s="190"/>
      <c r="J48" s="124">
        <f>Compras!J6</f>
        <v>0</v>
      </c>
    </row>
    <row r="49" spans="1:10" ht="18.75" x14ac:dyDescent="0.3">
      <c r="A49" s="25">
        <f>DATE(YEAR(A48),MONTH(A48)+1,1)</f>
        <v>45139</v>
      </c>
      <c r="B49" s="110">
        <f>SUMIF(Compras!$R$21:R1033,(VLOOKUP(A49,'Base de Datos'!B4:C71,2,FALSE)),(Compras!$S$21:S1033))</f>
        <v>0</v>
      </c>
      <c r="C49" s="100"/>
      <c r="D49" s="114">
        <f>Compras!A7</f>
        <v>0</v>
      </c>
      <c r="E49" s="118">
        <f>Compras!B7</f>
        <v>0</v>
      </c>
      <c r="F49" s="181">
        <f>Compras!C7</f>
        <v>0</v>
      </c>
      <c r="G49" s="182"/>
      <c r="H49" s="191"/>
      <c r="I49" s="192"/>
      <c r="J49" s="120"/>
    </row>
    <row r="50" spans="1:10" ht="18.75" x14ac:dyDescent="0.3">
      <c r="A50" s="25">
        <f t="shared" ref="A50:A59" si="1">DATE(YEAR(A49),MONTH(A49)+1,1)</f>
        <v>45170</v>
      </c>
      <c r="B50" s="110">
        <f>SUMIF(Compras!$R$21:R1034,(VLOOKUP(A50,'Base de Datos'!B5:C72,2,FALSE)),(Compras!$S$21:S1034))</f>
        <v>0</v>
      </c>
      <c r="C50" s="100"/>
      <c r="D50" s="114">
        <f>Compras!A8</f>
        <v>0</v>
      </c>
      <c r="E50" s="118">
        <f>Compras!B8</f>
        <v>0</v>
      </c>
      <c r="F50" s="181">
        <f>Compras!C8</f>
        <v>0</v>
      </c>
      <c r="G50" s="182"/>
      <c r="H50" s="191"/>
      <c r="I50" s="192"/>
      <c r="J50" s="120"/>
    </row>
    <row r="51" spans="1:10" ht="18.75" x14ac:dyDescent="0.3">
      <c r="A51" s="25">
        <f t="shared" si="1"/>
        <v>45200</v>
      </c>
      <c r="B51" s="110">
        <f>SUMIF(Compras!$R$21:R1035,(VLOOKUP(A51,'Base de Datos'!B6:C73,2,FALSE)),(Compras!$S$21:S1035))</f>
        <v>0</v>
      </c>
      <c r="C51" s="100"/>
      <c r="D51" s="114">
        <f>Compras!A9</f>
        <v>0</v>
      </c>
      <c r="E51" s="118">
        <f>Compras!B9</f>
        <v>0</v>
      </c>
      <c r="F51" s="181">
        <f>Compras!C9</f>
        <v>0</v>
      </c>
      <c r="G51" s="182"/>
      <c r="H51" s="193"/>
      <c r="I51" s="194"/>
      <c r="J51" s="121"/>
    </row>
    <row r="52" spans="1:10" ht="18.75" x14ac:dyDescent="0.3">
      <c r="A52" s="25">
        <f t="shared" si="1"/>
        <v>45231</v>
      </c>
      <c r="B52" s="110">
        <f>SUMIF(Compras!$R$21:R1036,(VLOOKUP(A52,'Base de Datos'!B7:C74,2,FALSE)),(Compras!$S$21:S1036))</f>
        <v>0</v>
      </c>
      <c r="C52" s="100"/>
      <c r="D52" s="114">
        <f>Compras!A10</f>
        <v>0</v>
      </c>
      <c r="E52" s="118">
        <f>Compras!B10</f>
        <v>0</v>
      </c>
      <c r="F52" s="181">
        <f>Compras!C10</f>
        <v>0</v>
      </c>
      <c r="G52" s="182"/>
      <c r="H52" s="191"/>
      <c r="I52" s="192"/>
      <c r="J52" s="120"/>
    </row>
    <row r="53" spans="1:10" ht="18.75" x14ac:dyDescent="0.3">
      <c r="A53" s="25">
        <f t="shared" si="1"/>
        <v>45261</v>
      </c>
      <c r="B53" s="110">
        <f>SUMIF(Compras!$R$21:R1037,(VLOOKUP(A53,'Base de Datos'!B8:C75,2,FALSE)),(Compras!$S$21:S1037))</f>
        <v>0</v>
      </c>
      <c r="C53" s="100"/>
      <c r="D53" s="114">
        <f>Compras!A11</f>
        <v>0</v>
      </c>
      <c r="E53" s="118">
        <f>Compras!B11</f>
        <v>0</v>
      </c>
      <c r="F53" s="181">
        <f>Compras!C11</f>
        <v>0</v>
      </c>
      <c r="G53" s="182"/>
      <c r="H53" s="195"/>
      <c r="I53" s="196"/>
      <c r="J53" s="122"/>
    </row>
    <row r="54" spans="1:10" ht="18.75" x14ac:dyDescent="0.3">
      <c r="A54" s="25">
        <f t="shared" si="1"/>
        <v>45292</v>
      </c>
      <c r="B54" s="110">
        <f>SUMIF(Compras!$R$21:R1038,(VLOOKUP(A54,'Base de Datos'!B9:C76,2,FALSE)),(Compras!$S$21:S1038))</f>
        <v>0</v>
      </c>
      <c r="C54" s="100"/>
      <c r="D54" s="115"/>
      <c r="E54" s="116">
        <f>SUM(E47:E53)</f>
        <v>0</v>
      </c>
      <c r="F54" s="183">
        <f ca="1">SUM(F47:F53)</f>
        <v>0</v>
      </c>
      <c r="G54" s="184"/>
    </row>
    <row r="55" spans="1:10" ht="18.75" x14ac:dyDescent="0.3">
      <c r="A55" s="25">
        <f t="shared" si="1"/>
        <v>45323</v>
      </c>
      <c r="B55" s="110">
        <f>SUMIF(Compras!$R$21:R1039,(VLOOKUP(A55,'Base de Datos'!B10:C77,2,FALSE)),(Compras!$S$21:S1039))</f>
        <v>0</v>
      </c>
      <c r="C55" s="100"/>
    </row>
    <row r="56" spans="1:10" ht="18.75" x14ac:dyDescent="0.3">
      <c r="A56" s="25">
        <f t="shared" si="1"/>
        <v>45352</v>
      </c>
      <c r="B56" s="110">
        <f>SUMIF(Compras!$R$21:R1040,(VLOOKUP(A56,'Base de Datos'!B11:C78,2,FALSE)),(Compras!$S$21:S1040))</f>
        <v>0</v>
      </c>
    </row>
    <row r="57" spans="1:10" ht="18.75" x14ac:dyDescent="0.3">
      <c r="A57" s="25">
        <f t="shared" si="1"/>
        <v>45383</v>
      </c>
      <c r="B57" s="110">
        <f>SUMIF(Compras!$R$21:R1041,(VLOOKUP(A57,'Base de Datos'!B12:C79,2,FALSE)),(Compras!$S$21:S1041))</f>
        <v>0</v>
      </c>
    </row>
    <row r="58" spans="1:10" ht="18.75" x14ac:dyDescent="0.3">
      <c r="A58" s="25">
        <f t="shared" si="1"/>
        <v>45413</v>
      </c>
      <c r="B58" s="110">
        <f>SUMIF(Compras!$R$21:R1042,(VLOOKUP(A58,'Base de Datos'!B13:C80,2,FALSE)),(Compras!$S$21:S1042))</f>
        <v>0</v>
      </c>
    </row>
    <row r="59" spans="1:10" ht="18.75" x14ac:dyDescent="0.3">
      <c r="A59" s="25">
        <f t="shared" si="1"/>
        <v>45444</v>
      </c>
      <c r="B59" s="110">
        <f>SUMIF(Compras!$R$21:R1043,(VLOOKUP(A59,'Base de Datos'!B14:C81,2,FALSE)),(Compras!$S$21:S1043))</f>
        <v>0</v>
      </c>
    </row>
    <row r="60" spans="1:10" ht="18.75" x14ac:dyDescent="0.3">
      <c r="A60" s="26" t="s">
        <v>14</v>
      </c>
      <c r="B60" s="27">
        <f>SUM(B48:B59)</f>
        <v>0</v>
      </c>
    </row>
  </sheetData>
  <customSheetViews>
    <customSheetView guid="{D5A013E0-F144-4959-954A-48218BE88D5B}" showGridLines="0">
      <selection activeCell="C4" sqref="C4:D4"/>
      <pageMargins left="0.7" right="0.7" top="0.75" bottom="0.75" header="0.3" footer="0.3"/>
    </customSheetView>
  </customSheetViews>
  <mergeCells count="20">
    <mergeCell ref="F54:G54"/>
    <mergeCell ref="F46:G46"/>
    <mergeCell ref="H46:I46"/>
    <mergeCell ref="H47:I47"/>
    <mergeCell ref="H48:I48"/>
    <mergeCell ref="H49:I49"/>
    <mergeCell ref="H50:I50"/>
    <mergeCell ref="H51:I51"/>
    <mergeCell ref="H52:I52"/>
    <mergeCell ref="H53:I53"/>
    <mergeCell ref="F49:G49"/>
    <mergeCell ref="F50:G50"/>
    <mergeCell ref="F51:G51"/>
    <mergeCell ref="F52:G52"/>
    <mergeCell ref="F53:G53"/>
    <mergeCell ref="C4:D4"/>
    <mergeCell ref="C5:D5"/>
    <mergeCell ref="A45:B45"/>
    <mergeCell ref="F47:G47"/>
    <mergeCell ref="F48:G48"/>
  </mergeCells>
  <conditionalFormatting sqref="B48:B59">
    <cfRule type="dataBar" priority="2">
      <dataBar>
        <cfvo type="min"/>
        <cfvo type="max"/>
        <color rgb="FFFF555A"/>
      </dataBar>
      <extLst>
        <ext xmlns:x14="http://schemas.microsoft.com/office/spreadsheetml/2009/9/main" uri="{B025F937-C7B1-47D3-B67F-A62EFF666E3E}">
          <x14:id>{7B3DDE9C-11E8-4546-B4A1-71F3C7A353A5}</x14:id>
        </ext>
      </extLst>
    </cfRule>
  </conditionalFormatting>
  <conditionalFormatting sqref="B11:B22">
    <cfRule type="dataBar" priority="1">
      <dataBar>
        <cfvo type="min"/>
        <cfvo type="max"/>
        <color rgb="FF63C384"/>
      </dataBar>
      <extLst>
        <ext xmlns:x14="http://schemas.microsoft.com/office/spreadsheetml/2009/9/main" uri="{B025F937-C7B1-47D3-B67F-A62EFF666E3E}">
          <x14:id>{A910688C-027C-4861-A3FB-3D6A42E029DD}</x14:id>
        </ext>
      </extLst>
    </cfRule>
  </conditionalFormatting>
  <pageMargins left="0.7" right="0.7" top="0.75" bottom="0.75" header="0.3" footer="0.3"/>
  <pageSetup paperSize="9" orientation="portrait" r:id="rId1"/>
  <drawing r:id="rId2"/>
  <legacyDrawing r:id="rId3"/>
  <picture r:id="rId4"/>
  <controls>
    <mc:AlternateContent xmlns:mc="http://schemas.openxmlformats.org/markup-compatibility/2006">
      <mc:Choice Requires="x14">
        <control shapeId="1026" r:id="rId5" name="TextBox1">
          <controlPr locked="0" defaultSize="0" autoLine="0" r:id="rId6">
            <anchor moveWithCells="1">
              <from>
                <xdr:col>2</xdr:col>
                <xdr:colOff>838200</xdr:colOff>
                <xdr:row>7</xdr:row>
                <xdr:rowOff>428625</xdr:rowOff>
              </from>
              <to>
                <xdr:col>7</xdr:col>
                <xdr:colOff>0</xdr:colOff>
                <xdr:row>11</xdr:row>
                <xdr:rowOff>180975</xdr:rowOff>
              </to>
            </anchor>
          </controlPr>
        </control>
      </mc:Choice>
      <mc:Fallback>
        <control shapeId="1026" r:id="rId5" name="TextBox1"/>
      </mc:Fallback>
    </mc:AlternateContent>
    <mc:AlternateContent xmlns:mc="http://schemas.openxmlformats.org/markup-compatibility/2006">
      <mc:Choice Requires="x14">
        <control shapeId="1025" r:id="rId7" name="btnActualizarDatos">
          <controlPr defaultSize="0" print="0" autoFill="0" autoPict="0">
            <anchor moveWithCells="1" sizeWithCells="1">
              <from>
                <xdr:col>3</xdr:col>
                <xdr:colOff>1362075</xdr:colOff>
                <xdr:row>0</xdr:row>
                <xdr:rowOff>123825</xdr:rowOff>
              </from>
              <to>
                <xdr:col>4</xdr:col>
                <xdr:colOff>466725</xdr:colOff>
                <xdr:row>1</xdr:row>
                <xdr:rowOff>314325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dataBar" id="{7B3DDE9C-11E8-4546-B4A1-71F3C7A353A5}">
            <x14:dataBar minLength="0" maxLength="100" border="1" negativeBarBorderColorSameAsPositive="0">
              <x14:cfvo type="autoMin"/>
              <x14:cfvo type="autoMax"/>
              <x14:borderColor rgb="FFFF555A"/>
              <x14:negativeFillColor rgb="FFFF0000"/>
              <x14:negativeBorderColor rgb="FFFF0000"/>
              <x14:axisColor rgb="FF000000"/>
            </x14:dataBar>
          </x14:cfRule>
          <xm:sqref>B48:B59</xm:sqref>
        </x14:conditionalFormatting>
        <x14:conditionalFormatting xmlns:xm="http://schemas.microsoft.com/office/excel/2006/main">
          <x14:cfRule type="dataBar" id="{A910688C-027C-4861-A3FB-3D6A42E029DD}">
            <x14:dataBar minLength="0" maxLength="100" border="1" negativeBarBorderColorSameAsPositive="0">
              <x14:cfvo type="autoMin"/>
              <x14:cfvo type="autoMax"/>
              <x14:borderColor rgb="FF63C384"/>
              <x14:negativeFillColor rgb="FFFF0000"/>
              <x14:negativeBorderColor rgb="FFFF0000"/>
              <x14:axisColor rgb="FF000000"/>
            </x14:dataBar>
          </x14:cfRule>
          <xm:sqref>B11:B22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3:S3845"/>
  <sheetViews>
    <sheetView workbookViewId="0">
      <selection activeCell="C18" sqref="C18"/>
    </sheetView>
  </sheetViews>
  <sheetFormatPr baseColWidth="10" defaultColWidth="9.140625" defaultRowHeight="15" x14ac:dyDescent="0.25"/>
  <cols>
    <col min="1" max="1" width="19.28515625" customWidth="1"/>
    <col min="2" max="2" width="27.42578125" customWidth="1"/>
    <col min="3" max="3" width="16.140625" customWidth="1"/>
    <col min="4" max="4" width="8.140625" customWidth="1"/>
    <col min="6" max="6" width="16.5703125" customWidth="1"/>
    <col min="7" max="7" width="14.42578125" customWidth="1"/>
    <col min="8" max="8" width="15.5703125" customWidth="1"/>
    <col min="9" max="9" width="10.140625" customWidth="1"/>
    <col min="13" max="13" width="16.42578125" customWidth="1"/>
    <col min="17" max="17" width="13" bestFit="1" customWidth="1"/>
    <col min="19" max="19" width="10.85546875" bestFit="1" customWidth="1"/>
  </cols>
  <sheetData>
    <row r="3" spans="1:13" x14ac:dyDescent="0.25">
      <c r="A3" s="173" t="s">
        <v>163</v>
      </c>
      <c r="M3" s="100"/>
    </row>
    <row r="4" spans="1:13" x14ac:dyDescent="0.25">
      <c r="A4" t="s">
        <v>0</v>
      </c>
      <c r="B4" s="1" t="s">
        <v>40</v>
      </c>
      <c r="C4" t="s">
        <v>41</v>
      </c>
      <c r="M4" t="s">
        <v>159</v>
      </c>
    </row>
    <row r="5" spans="1:13" x14ac:dyDescent="0.25">
      <c r="A5" s="2" t="s">
        <v>1</v>
      </c>
      <c r="B5" s="3">
        <v>2108288.0099999998</v>
      </c>
      <c r="C5" s="3">
        <v>6450000</v>
      </c>
      <c r="D5" s="198" t="s">
        <v>126</v>
      </c>
      <c r="E5" s="198"/>
      <c r="F5" s="198"/>
      <c r="G5" s="100">
        <f>C5/12</f>
        <v>537500</v>
      </c>
      <c r="H5" t="s">
        <v>158</v>
      </c>
      <c r="K5" t="s">
        <v>98</v>
      </c>
      <c r="M5" s="100">
        <f>C5</f>
        <v>6450000</v>
      </c>
    </row>
    <row r="6" spans="1:13" x14ac:dyDescent="0.25">
      <c r="A6" s="2" t="s">
        <v>2</v>
      </c>
      <c r="B6" s="3">
        <v>3133941.63</v>
      </c>
      <c r="C6" s="3">
        <v>9450000</v>
      </c>
      <c r="D6" s="197" t="s">
        <v>127</v>
      </c>
      <c r="E6" s="197"/>
      <c r="F6" s="197"/>
      <c r="G6" s="100">
        <f t="shared" ref="G6:G15" si="0">C6/12</f>
        <v>787500</v>
      </c>
      <c r="H6" s="197" t="s">
        <v>137</v>
      </c>
      <c r="I6" s="197"/>
      <c r="J6" s="197"/>
      <c r="K6" t="s">
        <v>99</v>
      </c>
      <c r="M6" s="100">
        <f t="shared" ref="M6:M15" si="1">C6-C5</f>
        <v>3000000</v>
      </c>
    </row>
    <row r="7" spans="1:13" x14ac:dyDescent="0.25">
      <c r="A7" s="2" t="s">
        <v>3</v>
      </c>
      <c r="B7" s="3">
        <v>4387518.2300000004</v>
      </c>
      <c r="C7" s="3">
        <v>13250000</v>
      </c>
      <c r="D7" s="197" t="s">
        <v>128</v>
      </c>
      <c r="E7" s="197"/>
      <c r="F7" s="197"/>
      <c r="G7" s="100">
        <f t="shared" si="0"/>
        <v>1104166.6666666667</v>
      </c>
      <c r="H7" s="197" t="s">
        <v>138</v>
      </c>
      <c r="I7" s="197"/>
      <c r="J7" s="197"/>
      <c r="K7" t="s">
        <v>100</v>
      </c>
      <c r="M7" s="100">
        <f t="shared" si="1"/>
        <v>3800000</v>
      </c>
    </row>
    <row r="8" spans="1:13" x14ac:dyDescent="0.25">
      <c r="A8" s="2" t="s">
        <v>4</v>
      </c>
      <c r="B8" s="3">
        <v>5449094.5499999998</v>
      </c>
      <c r="C8" s="3">
        <v>16450000</v>
      </c>
      <c r="D8" s="197" t="s">
        <v>129</v>
      </c>
      <c r="E8" s="197"/>
      <c r="F8" s="197"/>
      <c r="G8" s="100">
        <f t="shared" si="0"/>
        <v>1370833.3333333333</v>
      </c>
      <c r="H8" s="197" t="s">
        <v>139</v>
      </c>
      <c r="I8" s="197"/>
      <c r="J8" s="197"/>
      <c r="K8" t="s">
        <v>101</v>
      </c>
      <c r="M8" s="100">
        <f t="shared" si="1"/>
        <v>3200000</v>
      </c>
    </row>
    <row r="9" spans="1:13" x14ac:dyDescent="0.25">
      <c r="A9" s="2" t="s">
        <v>5</v>
      </c>
      <c r="B9" s="3">
        <v>6416528.7199999997</v>
      </c>
      <c r="C9" s="3">
        <v>19350000</v>
      </c>
      <c r="D9" s="197" t="s">
        <v>130</v>
      </c>
      <c r="E9" s="197"/>
      <c r="F9" s="197"/>
      <c r="G9" s="100">
        <f t="shared" si="0"/>
        <v>1612500</v>
      </c>
      <c r="H9" s="197" t="s">
        <v>140</v>
      </c>
      <c r="I9" s="197"/>
      <c r="J9" s="197"/>
      <c r="K9" t="s">
        <v>102</v>
      </c>
      <c r="M9" s="100">
        <f t="shared" si="1"/>
        <v>2900000</v>
      </c>
    </row>
    <row r="10" spans="1:13" x14ac:dyDescent="0.25">
      <c r="A10" s="2" t="s">
        <v>6</v>
      </c>
      <c r="B10" s="3">
        <v>8020660.9000000004</v>
      </c>
      <c r="C10" s="3">
        <v>24250000</v>
      </c>
      <c r="D10" s="197" t="s">
        <v>132</v>
      </c>
      <c r="E10" s="197"/>
      <c r="F10" s="197"/>
      <c r="G10" s="100">
        <f t="shared" si="0"/>
        <v>2020833.3333333333</v>
      </c>
      <c r="H10" s="197" t="s">
        <v>141</v>
      </c>
      <c r="I10" s="197"/>
      <c r="J10" s="197"/>
      <c r="K10" t="s">
        <v>103</v>
      </c>
      <c r="M10" s="100">
        <f t="shared" si="1"/>
        <v>4900000</v>
      </c>
    </row>
    <row r="11" spans="1:13" x14ac:dyDescent="0.25">
      <c r="A11" s="2" t="s">
        <v>7</v>
      </c>
      <c r="B11" s="3">
        <v>9624793.0500000007</v>
      </c>
      <c r="C11" s="3">
        <v>29000000</v>
      </c>
      <c r="D11" s="197" t="s">
        <v>131</v>
      </c>
      <c r="E11" s="197"/>
      <c r="F11" s="197"/>
      <c r="G11" s="100">
        <f t="shared" si="0"/>
        <v>2416666.6666666665</v>
      </c>
      <c r="H11" s="197" t="s">
        <v>142</v>
      </c>
      <c r="I11" s="197"/>
      <c r="J11" s="197"/>
      <c r="K11" t="s">
        <v>104</v>
      </c>
      <c r="M11" s="100">
        <f t="shared" si="1"/>
        <v>4750000</v>
      </c>
    </row>
    <row r="12" spans="1:13" x14ac:dyDescent="0.25">
      <c r="A12" s="2" t="s">
        <v>8</v>
      </c>
      <c r="B12" s="3">
        <v>11916410.449999999</v>
      </c>
      <c r="C12" s="3">
        <v>44000000</v>
      </c>
      <c r="D12" s="197" t="s">
        <v>133</v>
      </c>
      <c r="E12" s="197"/>
      <c r="F12" s="197"/>
      <c r="G12" s="100">
        <f t="shared" si="0"/>
        <v>3666666.6666666665</v>
      </c>
      <c r="H12" s="197" t="s">
        <v>143</v>
      </c>
      <c r="I12" s="197"/>
      <c r="J12" s="197"/>
      <c r="K12" t="s">
        <v>105</v>
      </c>
      <c r="M12" s="100">
        <f t="shared" si="1"/>
        <v>15000000</v>
      </c>
    </row>
    <row r="13" spans="1:13" x14ac:dyDescent="0.25">
      <c r="A13" s="4" t="s">
        <v>74</v>
      </c>
      <c r="B13" s="5">
        <v>13337213.220000001</v>
      </c>
      <c r="C13" s="5">
        <v>49250000</v>
      </c>
      <c r="D13" s="197" t="s">
        <v>134</v>
      </c>
      <c r="E13" s="197"/>
      <c r="F13" s="197"/>
      <c r="G13" s="100">
        <f t="shared" si="0"/>
        <v>4104166.6666666665</v>
      </c>
      <c r="H13" s="197" t="s">
        <v>144</v>
      </c>
      <c r="I13" s="197"/>
      <c r="J13" s="197"/>
      <c r="K13" t="s">
        <v>106</v>
      </c>
      <c r="M13" s="100">
        <f t="shared" si="1"/>
        <v>5250000</v>
      </c>
    </row>
    <row r="14" spans="1:13" x14ac:dyDescent="0.25">
      <c r="A14" s="4" t="s">
        <v>75</v>
      </c>
      <c r="B14" s="5">
        <v>15285088.039999999</v>
      </c>
      <c r="C14" s="5">
        <v>56400000</v>
      </c>
      <c r="D14" s="197" t="s">
        <v>135</v>
      </c>
      <c r="E14" s="197"/>
      <c r="F14" s="197"/>
      <c r="G14" s="100">
        <f t="shared" si="0"/>
        <v>4700000</v>
      </c>
      <c r="H14" s="197" t="s">
        <v>145</v>
      </c>
      <c r="I14" s="197"/>
      <c r="J14" s="197"/>
      <c r="K14" t="s">
        <v>107</v>
      </c>
      <c r="M14" s="100">
        <f t="shared" si="1"/>
        <v>7150000</v>
      </c>
    </row>
    <row r="15" spans="1:13" x14ac:dyDescent="0.25">
      <c r="A15" s="4" t="s">
        <v>76</v>
      </c>
      <c r="B15" s="5">
        <v>16957968.710000001</v>
      </c>
      <c r="C15" s="5">
        <v>68000000</v>
      </c>
      <c r="D15" s="197" t="s">
        <v>136</v>
      </c>
      <c r="E15" s="197"/>
      <c r="F15" s="197"/>
      <c r="G15" s="100">
        <f t="shared" si="0"/>
        <v>5666666.666666667</v>
      </c>
      <c r="H15" s="197" t="s">
        <v>146</v>
      </c>
      <c r="I15" s="197"/>
      <c r="J15" s="197"/>
      <c r="K15" t="s">
        <v>108</v>
      </c>
      <c r="M15" s="100">
        <f t="shared" si="1"/>
        <v>11600000</v>
      </c>
    </row>
    <row r="16" spans="1:13" x14ac:dyDescent="0.25">
      <c r="D16" s="197"/>
      <c r="E16" s="197"/>
      <c r="F16" s="197"/>
      <c r="G16" s="100"/>
    </row>
    <row r="18" spans="1:19" ht="21" x14ac:dyDescent="0.35">
      <c r="A18" s="11"/>
    </row>
    <row r="20" spans="1:19" x14ac:dyDescent="0.25">
      <c r="A20" s="9"/>
      <c r="B20" s="9"/>
      <c r="C20" s="9"/>
      <c r="D20" s="9"/>
      <c r="E20" s="9"/>
      <c r="F20" s="9"/>
      <c r="G20" s="9"/>
      <c r="H20" s="9"/>
      <c r="I20" s="9"/>
      <c r="J20" s="9"/>
      <c r="K20" s="9"/>
      <c r="L20" s="9"/>
      <c r="M20" s="9"/>
      <c r="N20" s="9"/>
      <c r="O20" s="9"/>
      <c r="P20" s="9"/>
      <c r="Q20" s="9"/>
      <c r="R20" s="12" t="s">
        <v>37</v>
      </c>
      <c r="S20" s="82"/>
    </row>
    <row r="21" spans="1:19" x14ac:dyDescent="0.25">
      <c r="C21" s="10"/>
      <c r="D21" s="10"/>
      <c r="F21" s="10"/>
      <c r="H21" s="10"/>
      <c r="J21" s="10"/>
      <c r="O21" s="10"/>
      <c r="Q21" s="10"/>
      <c r="R21" s="8" t="str">
        <f>IF(A21="",(""),(MONTH(A21)))</f>
        <v/>
      </c>
      <c r="S21" s="82" t="str">
        <f>IF(O21&gt;0,(Q21-O21),(IF(K21="USD",(Q21*J21),((IF(B21="",(""),(SUMIF(B21,"11 - Factura C",(Q21))-SUMIF(B21,"13 - Nota de Crédito C",(Q21))+SUMIF(B21,"15 - Recibo C",(Q21))+SUMIF(B21,"109 - Tique C",(Q21)))))))))</f>
        <v/>
      </c>
    </row>
    <row r="22" spans="1:19" x14ac:dyDescent="0.25">
      <c r="C22" s="10"/>
      <c r="D22" s="10"/>
      <c r="F22" s="10"/>
      <c r="H22" s="10"/>
      <c r="J22" s="10"/>
      <c r="O22" s="10"/>
      <c r="Q22" s="10"/>
      <c r="R22" s="8" t="str">
        <f t="shared" ref="R22:R85" si="2">IF(A22="",(""),(MONTH(A22)))</f>
        <v/>
      </c>
      <c r="S22" s="82" t="str">
        <f t="shared" ref="S22:S85" si="3">IF(O22&gt;0,(Q22-O22),(IF(K22="USD",(Q22*J22),((IF(B22="",(""),(SUMIF(B22,"11 - Factura C",(Q22))-SUMIF(B22,"13 - Nota de Crédito C",(Q22))+SUMIF(B22,"15 - Recibo C",(Q22))+SUMIF(B22,"109 - Tique C",(Q22)))))))))</f>
        <v/>
      </c>
    </row>
    <row r="23" spans="1:19" x14ac:dyDescent="0.25">
      <c r="C23" s="10"/>
      <c r="D23" s="10"/>
      <c r="F23" s="10"/>
      <c r="H23" s="10"/>
      <c r="J23" s="10"/>
      <c r="O23" s="10"/>
      <c r="Q23" s="10"/>
      <c r="R23" s="8" t="str">
        <f t="shared" si="2"/>
        <v/>
      </c>
      <c r="S23" s="82" t="str">
        <f t="shared" si="3"/>
        <v/>
      </c>
    </row>
    <row r="24" spans="1:19" x14ac:dyDescent="0.25">
      <c r="C24" s="10"/>
      <c r="D24" s="10"/>
      <c r="F24" s="10"/>
      <c r="H24" s="10"/>
      <c r="J24" s="10"/>
      <c r="O24" s="10"/>
      <c r="Q24" s="10"/>
      <c r="R24" s="8" t="str">
        <f t="shared" si="2"/>
        <v/>
      </c>
      <c r="S24" s="82" t="str">
        <f t="shared" si="3"/>
        <v/>
      </c>
    </row>
    <row r="25" spans="1:19" x14ac:dyDescent="0.25">
      <c r="C25" s="10"/>
      <c r="D25" s="10"/>
      <c r="F25" s="10"/>
      <c r="H25" s="10"/>
      <c r="J25" s="10"/>
      <c r="O25" s="10"/>
      <c r="Q25" s="10"/>
      <c r="R25" s="8" t="str">
        <f t="shared" si="2"/>
        <v/>
      </c>
      <c r="S25" s="82" t="str">
        <f t="shared" si="3"/>
        <v/>
      </c>
    </row>
    <row r="26" spans="1:19" x14ac:dyDescent="0.25">
      <c r="C26" s="10"/>
      <c r="D26" s="10"/>
      <c r="F26" s="10"/>
      <c r="H26" s="10"/>
      <c r="J26" s="10"/>
      <c r="O26" s="10"/>
      <c r="Q26" s="10"/>
      <c r="R26" s="8" t="str">
        <f t="shared" si="2"/>
        <v/>
      </c>
      <c r="S26" s="82" t="str">
        <f t="shared" si="3"/>
        <v/>
      </c>
    </row>
    <row r="27" spans="1:19" x14ac:dyDescent="0.25">
      <c r="C27" s="10"/>
      <c r="D27" s="10"/>
      <c r="F27" s="10"/>
      <c r="H27" s="10"/>
      <c r="J27" s="10"/>
      <c r="O27" s="10"/>
      <c r="Q27" s="10"/>
      <c r="R27" s="8" t="str">
        <f t="shared" si="2"/>
        <v/>
      </c>
      <c r="S27" s="82" t="str">
        <f t="shared" si="3"/>
        <v/>
      </c>
    </row>
    <row r="28" spans="1:19" x14ac:dyDescent="0.25">
      <c r="C28" s="10"/>
      <c r="D28" s="10"/>
      <c r="F28" s="10"/>
      <c r="H28" s="10"/>
      <c r="J28" s="10"/>
      <c r="O28" s="10"/>
      <c r="Q28" s="10"/>
      <c r="R28" s="8" t="str">
        <f t="shared" si="2"/>
        <v/>
      </c>
      <c r="S28" s="82" t="str">
        <f t="shared" si="3"/>
        <v/>
      </c>
    </row>
    <row r="29" spans="1:19" x14ac:dyDescent="0.25">
      <c r="C29" s="10"/>
      <c r="D29" s="10"/>
      <c r="F29" s="10"/>
      <c r="H29" s="10"/>
      <c r="J29" s="10"/>
      <c r="O29" s="10"/>
      <c r="Q29" s="10"/>
      <c r="R29" s="8" t="str">
        <f t="shared" si="2"/>
        <v/>
      </c>
      <c r="S29" s="82" t="str">
        <f t="shared" si="3"/>
        <v/>
      </c>
    </row>
    <row r="30" spans="1:19" x14ac:dyDescent="0.25">
      <c r="C30" s="10"/>
      <c r="D30" s="10"/>
      <c r="F30" s="10"/>
      <c r="H30" s="10"/>
      <c r="J30" s="10"/>
      <c r="O30" s="10"/>
      <c r="Q30" s="10"/>
      <c r="R30" s="8" t="str">
        <f t="shared" si="2"/>
        <v/>
      </c>
      <c r="S30" s="82" t="str">
        <f t="shared" si="3"/>
        <v/>
      </c>
    </row>
    <row r="31" spans="1:19" x14ac:dyDescent="0.25">
      <c r="C31" s="10"/>
      <c r="D31" s="10"/>
      <c r="F31" s="10"/>
      <c r="H31" s="10"/>
      <c r="J31" s="10"/>
      <c r="O31" s="10"/>
      <c r="Q31" s="10"/>
      <c r="R31" s="8" t="str">
        <f t="shared" si="2"/>
        <v/>
      </c>
      <c r="S31" s="82" t="str">
        <f t="shared" si="3"/>
        <v/>
      </c>
    </row>
    <row r="32" spans="1:19" x14ac:dyDescent="0.25">
      <c r="C32" s="10"/>
      <c r="D32" s="10"/>
      <c r="F32" s="10"/>
      <c r="H32" s="10"/>
      <c r="J32" s="10"/>
      <c r="O32" s="10"/>
      <c r="Q32" s="10"/>
      <c r="R32" s="8" t="str">
        <f t="shared" si="2"/>
        <v/>
      </c>
      <c r="S32" s="82" t="str">
        <f t="shared" si="3"/>
        <v/>
      </c>
    </row>
    <row r="33" spans="3:19" x14ac:dyDescent="0.25">
      <c r="C33" s="10"/>
      <c r="D33" s="10"/>
      <c r="F33" s="10"/>
      <c r="H33" s="10"/>
      <c r="J33" s="10"/>
      <c r="O33" s="10"/>
      <c r="Q33" s="10"/>
      <c r="R33" s="8" t="str">
        <f t="shared" si="2"/>
        <v/>
      </c>
      <c r="S33" s="82" t="str">
        <f t="shared" si="3"/>
        <v/>
      </c>
    </row>
    <row r="34" spans="3:19" x14ac:dyDescent="0.25">
      <c r="C34" s="10"/>
      <c r="D34" s="10"/>
      <c r="F34" s="10"/>
      <c r="H34" s="10"/>
      <c r="J34" s="10"/>
      <c r="O34" s="10"/>
      <c r="Q34" s="10"/>
      <c r="R34" s="8" t="str">
        <f t="shared" si="2"/>
        <v/>
      </c>
      <c r="S34" s="82" t="str">
        <f t="shared" si="3"/>
        <v/>
      </c>
    </row>
    <row r="35" spans="3:19" x14ac:dyDescent="0.25">
      <c r="C35" s="10"/>
      <c r="D35" s="10"/>
      <c r="F35" s="10"/>
      <c r="H35" s="10"/>
      <c r="J35" s="10"/>
      <c r="O35" s="10"/>
      <c r="Q35" s="10"/>
      <c r="R35" s="8" t="str">
        <f t="shared" si="2"/>
        <v/>
      </c>
      <c r="S35" s="82" t="str">
        <f t="shared" si="3"/>
        <v/>
      </c>
    </row>
    <row r="36" spans="3:19" x14ac:dyDescent="0.25">
      <c r="C36" s="10"/>
      <c r="D36" s="10"/>
      <c r="F36" s="10"/>
      <c r="H36" s="10"/>
      <c r="J36" s="10"/>
      <c r="O36" s="10"/>
      <c r="Q36" s="10"/>
      <c r="R36" s="8" t="str">
        <f t="shared" si="2"/>
        <v/>
      </c>
      <c r="S36" s="82" t="str">
        <f t="shared" si="3"/>
        <v/>
      </c>
    </row>
    <row r="37" spans="3:19" x14ac:dyDescent="0.25">
      <c r="C37" s="10"/>
      <c r="D37" s="10"/>
      <c r="F37" s="10"/>
      <c r="H37" s="10"/>
      <c r="J37" s="10"/>
      <c r="O37" s="10"/>
      <c r="Q37" s="10"/>
      <c r="R37" s="8" t="str">
        <f t="shared" si="2"/>
        <v/>
      </c>
      <c r="S37" s="82" t="str">
        <f t="shared" si="3"/>
        <v/>
      </c>
    </row>
    <row r="38" spans="3:19" x14ac:dyDescent="0.25">
      <c r="C38" s="10"/>
      <c r="D38" s="10"/>
      <c r="F38" s="10"/>
      <c r="H38" s="10"/>
      <c r="J38" s="10"/>
      <c r="O38" s="10"/>
      <c r="Q38" s="10"/>
      <c r="R38" s="8" t="str">
        <f t="shared" si="2"/>
        <v/>
      </c>
      <c r="S38" s="82" t="str">
        <f t="shared" si="3"/>
        <v/>
      </c>
    </row>
    <row r="39" spans="3:19" x14ac:dyDescent="0.25">
      <c r="C39" s="10"/>
      <c r="D39" s="10"/>
      <c r="F39" s="10"/>
      <c r="H39" s="10"/>
      <c r="J39" s="10"/>
      <c r="O39" s="10"/>
      <c r="Q39" s="10"/>
      <c r="R39" s="8" t="str">
        <f t="shared" si="2"/>
        <v/>
      </c>
      <c r="S39" s="82" t="str">
        <f t="shared" si="3"/>
        <v/>
      </c>
    </row>
    <row r="40" spans="3:19" x14ac:dyDescent="0.25">
      <c r="C40" s="10"/>
      <c r="D40" s="10"/>
      <c r="F40" s="10"/>
      <c r="H40" s="10"/>
      <c r="J40" s="10"/>
      <c r="O40" s="10"/>
      <c r="Q40" s="10"/>
      <c r="R40" s="8" t="str">
        <f t="shared" si="2"/>
        <v/>
      </c>
      <c r="S40" s="82" t="str">
        <f t="shared" si="3"/>
        <v/>
      </c>
    </row>
    <row r="41" spans="3:19" x14ac:dyDescent="0.25">
      <c r="C41" s="10"/>
      <c r="D41" s="10"/>
      <c r="F41" s="10"/>
      <c r="H41" s="10"/>
      <c r="J41" s="10"/>
      <c r="O41" s="10"/>
      <c r="Q41" s="10"/>
      <c r="R41" s="8" t="str">
        <f t="shared" si="2"/>
        <v/>
      </c>
      <c r="S41" s="82" t="str">
        <f t="shared" si="3"/>
        <v/>
      </c>
    </row>
    <row r="42" spans="3:19" x14ac:dyDescent="0.25">
      <c r="C42" s="10"/>
      <c r="D42" s="10"/>
      <c r="F42" s="10"/>
      <c r="H42" s="10"/>
      <c r="J42" s="10"/>
      <c r="O42" s="10"/>
      <c r="Q42" s="10"/>
      <c r="R42" s="8" t="str">
        <f t="shared" si="2"/>
        <v/>
      </c>
      <c r="S42" s="82" t="str">
        <f t="shared" si="3"/>
        <v/>
      </c>
    </row>
    <row r="43" spans="3:19" x14ac:dyDescent="0.25">
      <c r="C43" s="10"/>
      <c r="D43" s="10"/>
      <c r="F43" s="10"/>
      <c r="H43" s="10"/>
      <c r="J43" s="10"/>
      <c r="O43" s="10"/>
      <c r="Q43" s="10"/>
      <c r="R43" s="8" t="str">
        <f t="shared" si="2"/>
        <v/>
      </c>
      <c r="S43" s="82" t="str">
        <f t="shared" si="3"/>
        <v/>
      </c>
    </row>
    <row r="44" spans="3:19" x14ac:dyDescent="0.25">
      <c r="C44" s="10"/>
      <c r="D44" s="10"/>
      <c r="F44" s="10"/>
      <c r="H44" s="10"/>
      <c r="J44" s="10"/>
      <c r="O44" s="10"/>
      <c r="Q44" s="10"/>
      <c r="R44" s="8" t="str">
        <f t="shared" si="2"/>
        <v/>
      </c>
      <c r="S44" s="82" t="str">
        <f t="shared" si="3"/>
        <v/>
      </c>
    </row>
    <row r="45" spans="3:19" x14ac:dyDescent="0.25">
      <c r="C45" s="10"/>
      <c r="D45" s="10"/>
      <c r="F45" s="10"/>
      <c r="H45" s="10"/>
      <c r="J45" s="10"/>
      <c r="O45" s="10"/>
      <c r="Q45" s="10"/>
      <c r="R45" s="8" t="str">
        <f t="shared" si="2"/>
        <v/>
      </c>
      <c r="S45" s="82" t="str">
        <f t="shared" si="3"/>
        <v/>
      </c>
    </row>
    <row r="46" spans="3:19" x14ac:dyDescent="0.25">
      <c r="C46" s="10"/>
      <c r="D46" s="10"/>
      <c r="F46" s="10"/>
      <c r="H46" s="10"/>
      <c r="J46" s="10"/>
      <c r="O46" s="10"/>
      <c r="Q46" s="10"/>
      <c r="R46" s="8" t="str">
        <f t="shared" si="2"/>
        <v/>
      </c>
      <c r="S46" s="82" t="str">
        <f t="shared" si="3"/>
        <v/>
      </c>
    </row>
    <row r="47" spans="3:19" x14ac:dyDescent="0.25">
      <c r="C47" s="10"/>
      <c r="D47" s="10"/>
      <c r="F47" s="10"/>
      <c r="H47" s="10"/>
      <c r="J47" s="10"/>
      <c r="O47" s="10"/>
      <c r="Q47" s="10"/>
      <c r="R47" s="8" t="str">
        <f t="shared" si="2"/>
        <v/>
      </c>
      <c r="S47" s="82" t="str">
        <f t="shared" si="3"/>
        <v/>
      </c>
    </row>
    <row r="48" spans="3:19" x14ac:dyDescent="0.25">
      <c r="C48" s="10"/>
      <c r="D48" s="10"/>
      <c r="F48" s="10"/>
      <c r="H48" s="10"/>
      <c r="J48" s="10"/>
      <c r="O48" s="10"/>
      <c r="Q48" s="10"/>
      <c r="R48" s="8" t="str">
        <f t="shared" si="2"/>
        <v/>
      </c>
      <c r="S48" s="82" t="str">
        <f t="shared" si="3"/>
        <v/>
      </c>
    </row>
    <row r="49" spans="3:19" x14ac:dyDescent="0.25">
      <c r="C49" s="10"/>
      <c r="D49" s="10"/>
      <c r="F49" s="10"/>
      <c r="H49" s="10"/>
      <c r="J49" s="10"/>
      <c r="O49" s="10"/>
      <c r="Q49" s="10"/>
      <c r="R49" s="8" t="str">
        <f t="shared" si="2"/>
        <v/>
      </c>
      <c r="S49" s="82" t="str">
        <f t="shared" si="3"/>
        <v/>
      </c>
    </row>
    <row r="50" spans="3:19" x14ac:dyDescent="0.25">
      <c r="R50" s="8" t="str">
        <f t="shared" si="2"/>
        <v/>
      </c>
      <c r="S50" s="82" t="str">
        <f t="shared" si="3"/>
        <v/>
      </c>
    </row>
    <row r="51" spans="3:19" x14ac:dyDescent="0.25">
      <c r="R51" s="8" t="str">
        <f t="shared" si="2"/>
        <v/>
      </c>
      <c r="S51" s="82" t="str">
        <f t="shared" si="3"/>
        <v/>
      </c>
    </row>
    <row r="52" spans="3:19" x14ac:dyDescent="0.25">
      <c r="R52" s="8" t="str">
        <f t="shared" si="2"/>
        <v/>
      </c>
      <c r="S52" s="82" t="str">
        <f t="shared" si="3"/>
        <v/>
      </c>
    </row>
    <row r="53" spans="3:19" x14ac:dyDescent="0.25">
      <c r="R53" s="8" t="str">
        <f t="shared" si="2"/>
        <v/>
      </c>
      <c r="S53" s="82" t="str">
        <f t="shared" si="3"/>
        <v/>
      </c>
    </row>
    <row r="54" spans="3:19" x14ac:dyDescent="0.25">
      <c r="R54" s="8" t="str">
        <f t="shared" si="2"/>
        <v/>
      </c>
      <c r="S54" s="82" t="str">
        <f t="shared" si="3"/>
        <v/>
      </c>
    </row>
    <row r="55" spans="3:19" x14ac:dyDescent="0.25">
      <c r="R55" s="8" t="str">
        <f t="shared" si="2"/>
        <v/>
      </c>
      <c r="S55" s="82" t="str">
        <f t="shared" si="3"/>
        <v/>
      </c>
    </row>
    <row r="56" spans="3:19" x14ac:dyDescent="0.25">
      <c r="R56" s="8" t="str">
        <f t="shared" si="2"/>
        <v/>
      </c>
      <c r="S56" s="82" t="str">
        <f t="shared" si="3"/>
        <v/>
      </c>
    </row>
    <row r="57" spans="3:19" x14ac:dyDescent="0.25">
      <c r="R57" s="8" t="str">
        <f t="shared" si="2"/>
        <v/>
      </c>
      <c r="S57" s="82" t="str">
        <f t="shared" si="3"/>
        <v/>
      </c>
    </row>
    <row r="58" spans="3:19" x14ac:dyDescent="0.25">
      <c r="R58" s="8" t="str">
        <f t="shared" si="2"/>
        <v/>
      </c>
      <c r="S58" s="82" t="str">
        <f t="shared" si="3"/>
        <v/>
      </c>
    </row>
    <row r="59" spans="3:19" x14ac:dyDescent="0.25">
      <c r="R59" s="8" t="str">
        <f t="shared" si="2"/>
        <v/>
      </c>
      <c r="S59" s="82" t="str">
        <f t="shared" si="3"/>
        <v/>
      </c>
    </row>
    <row r="60" spans="3:19" x14ac:dyDescent="0.25">
      <c r="R60" s="8" t="str">
        <f t="shared" si="2"/>
        <v/>
      </c>
      <c r="S60" s="82" t="str">
        <f t="shared" si="3"/>
        <v/>
      </c>
    </row>
    <row r="61" spans="3:19" x14ac:dyDescent="0.25">
      <c r="R61" s="8" t="str">
        <f t="shared" si="2"/>
        <v/>
      </c>
      <c r="S61" s="82" t="str">
        <f t="shared" si="3"/>
        <v/>
      </c>
    </row>
    <row r="62" spans="3:19" x14ac:dyDescent="0.25">
      <c r="R62" s="8" t="str">
        <f t="shared" si="2"/>
        <v/>
      </c>
      <c r="S62" s="82" t="str">
        <f t="shared" si="3"/>
        <v/>
      </c>
    </row>
    <row r="63" spans="3:19" x14ac:dyDescent="0.25">
      <c r="R63" s="8" t="str">
        <f t="shared" si="2"/>
        <v/>
      </c>
      <c r="S63" s="82" t="str">
        <f t="shared" si="3"/>
        <v/>
      </c>
    </row>
    <row r="64" spans="3:19" x14ac:dyDescent="0.25">
      <c r="R64" s="8" t="str">
        <f t="shared" si="2"/>
        <v/>
      </c>
      <c r="S64" s="82" t="str">
        <f t="shared" si="3"/>
        <v/>
      </c>
    </row>
    <row r="65" spans="18:19" x14ac:dyDescent="0.25">
      <c r="R65" s="8" t="str">
        <f t="shared" si="2"/>
        <v/>
      </c>
      <c r="S65" s="82" t="str">
        <f t="shared" si="3"/>
        <v/>
      </c>
    </row>
    <row r="66" spans="18:19" x14ac:dyDescent="0.25">
      <c r="R66" s="8" t="str">
        <f t="shared" si="2"/>
        <v/>
      </c>
      <c r="S66" s="82" t="str">
        <f t="shared" si="3"/>
        <v/>
      </c>
    </row>
    <row r="67" spans="18:19" x14ac:dyDescent="0.25">
      <c r="R67" s="8" t="str">
        <f t="shared" si="2"/>
        <v/>
      </c>
      <c r="S67" s="82" t="str">
        <f t="shared" si="3"/>
        <v/>
      </c>
    </row>
    <row r="68" spans="18:19" x14ac:dyDescent="0.25">
      <c r="R68" s="8" t="str">
        <f t="shared" si="2"/>
        <v/>
      </c>
      <c r="S68" s="82" t="str">
        <f t="shared" si="3"/>
        <v/>
      </c>
    </row>
    <row r="69" spans="18:19" x14ac:dyDescent="0.25">
      <c r="R69" s="8" t="str">
        <f t="shared" si="2"/>
        <v/>
      </c>
      <c r="S69" s="82" t="str">
        <f t="shared" si="3"/>
        <v/>
      </c>
    </row>
    <row r="70" spans="18:19" x14ac:dyDescent="0.25">
      <c r="R70" s="8" t="str">
        <f t="shared" si="2"/>
        <v/>
      </c>
      <c r="S70" s="82" t="str">
        <f t="shared" si="3"/>
        <v/>
      </c>
    </row>
    <row r="71" spans="18:19" x14ac:dyDescent="0.25">
      <c r="R71" s="8" t="str">
        <f t="shared" si="2"/>
        <v/>
      </c>
      <c r="S71" s="82" t="str">
        <f t="shared" si="3"/>
        <v/>
      </c>
    </row>
    <row r="72" spans="18:19" x14ac:dyDescent="0.25">
      <c r="R72" s="8" t="str">
        <f t="shared" si="2"/>
        <v/>
      </c>
      <c r="S72" s="82" t="str">
        <f t="shared" si="3"/>
        <v/>
      </c>
    </row>
    <row r="73" spans="18:19" x14ac:dyDescent="0.25">
      <c r="R73" s="8" t="str">
        <f t="shared" si="2"/>
        <v/>
      </c>
      <c r="S73" s="82" t="str">
        <f t="shared" si="3"/>
        <v/>
      </c>
    </row>
    <row r="74" spans="18:19" x14ac:dyDescent="0.25">
      <c r="R74" s="8" t="str">
        <f t="shared" si="2"/>
        <v/>
      </c>
      <c r="S74" s="82" t="str">
        <f t="shared" si="3"/>
        <v/>
      </c>
    </row>
    <row r="75" spans="18:19" x14ac:dyDescent="0.25">
      <c r="R75" s="8" t="str">
        <f t="shared" si="2"/>
        <v/>
      </c>
      <c r="S75" s="82" t="str">
        <f t="shared" si="3"/>
        <v/>
      </c>
    </row>
    <row r="76" spans="18:19" x14ac:dyDescent="0.25">
      <c r="R76" s="8" t="str">
        <f t="shared" si="2"/>
        <v/>
      </c>
      <c r="S76" s="82" t="str">
        <f t="shared" si="3"/>
        <v/>
      </c>
    </row>
    <row r="77" spans="18:19" x14ac:dyDescent="0.25">
      <c r="R77" s="8" t="str">
        <f t="shared" si="2"/>
        <v/>
      </c>
      <c r="S77" s="82" t="str">
        <f t="shared" si="3"/>
        <v/>
      </c>
    </row>
    <row r="78" spans="18:19" x14ac:dyDescent="0.25">
      <c r="R78" s="8" t="str">
        <f t="shared" si="2"/>
        <v/>
      </c>
      <c r="S78" s="82" t="str">
        <f t="shared" si="3"/>
        <v/>
      </c>
    </row>
    <row r="79" spans="18:19" x14ac:dyDescent="0.25">
      <c r="R79" s="8" t="str">
        <f t="shared" si="2"/>
        <v/>
      </c>
      <c r="S79" s="82" t="str">
        <f t="shared" si="3"/>
        <v/>
      </c>
    </row>
    <row r="80" spans="18:19" x14ac:dyDescent="0.25">
      <c r="R80" s="8" t="str">
        <f t="shared" si="2"/>
        <v/>
      </c>
      <c r="S80" s="82" t="str">
        <f t="shared" si="3"/>
        <v/>
      </c>
    </row>
    <row r="81" spans="18:19" x14ac:dyDescent="0.25">
      <c r="R81" s="8" t="str">
        <f t="shared" si="2"/>
        <v/>
      </c>
      <c r="S81" s="82" t="str">
        <f t="shared" si="3"/>
        <v/>
      </c>
    </row>
    <row r="82" spans="18:19" x14ac:dyDescent="0.25">
      <c r="R82" s="8" t="str">
        <f t="shared" si="2"/>
        <v/>
      </c>
      <c r="S82" s="82" t="str">
        <f t="shared" si="3"/>
        <v/>
      </c>
    </row>
    <row r="83" spans="18:19" x14ac:dyDescent="0.25">
      <c r="R83" s="8" t="str">
        <f t="shared" si="2"/>
        <v/>
      </c>
      <c r="S83" s="82" t="str">
        <f t="shared" si="3"/>
        <v/>
      </c>
    </row>
    <row r="84" spans="18:19" x14ac:dyDescent="0.25">
      <c r="R84" s="8" t="str">
        <f t="shared" si="2"/>
        <v/>
      </c>
      <c r="S84" s="82" t="str">
        <f t="shared" si="3"/>
        <v/>
      </c>
    </row>
    <row r="85" spans="18:19" x14ac:dyDescent="0.25">
      <c r="R85" s="8" t="str">
        <f t="shared" si="2"/>
        <v/>
      </c>
      <c r="S85" s="82" t="str">
        <f t="shared" si="3"/>
        <v/>
      </c>
    </row>
    <row r="86" spans="18:19" x14ac:dyDescent="0.25">
      <c r="R86" s="8" t="str">
        <f t="shared" ref="R86:R149" si="4">IF(A86="",(""),(MONTH(A86)))</f>
        <v/>
      </c>
      <c r="S86" s="82" t="str">
        <f t="shared" ref="S86:S149" si="5">IF(O86&gt;0,(Q86-O86),(IF(K86="USD",(Q86*J86),((IF(B86="",(""),(SUMIF(B86,"11 - Factura C",(Q86))-SUMIF(B86,"13 - Nota de Crédito C",(Q86))+SUMIF(B86,"15 - Recibo C",(Q86))+SUMIF(B86,"109 - Tique C",(Q86)))))))))</f>
        <v/>
      </c>
    </row>
    <row r="87" spans="18:19" x14ac:dyDescent="0.25">
      <c r="R87" s="8" t="str">
        <f t="shared" si="4"/>
        <v/>
      </c>
      <c r="S87" s="82" t="str">
        <f t="shared" si="5"/>
        <v/>
      </c>
    </row>
    <row r="88" spans="18:19" x14ac:dyDescent="0.25">
      <c r="R88" s="8" t="str">
        <f t="shared" si="4"/>
        <v/>
      </c>
      <c r="S88" s="82" t="str">
        <f t="shared" si="5"/>
        <v/>
      </c>
    </row>
    <row r="89" spans="18:19" x14ac:dyDescent="0.25">
      <c r="R89" s="8" t="str">
        <f t="shared" si="4"/>
        <v/>
      </c>
      <c r="S89" s="82" t="str">
        <f t="shared" si="5"/>
        <v/>
      </c>
    </row>
    <row r="90" spans="18:19" x14ac:dyDescent="0.25">
      <c r="R90" s="8" t="str">
        <f t="shared" si="4"/>
        <v/>
      </c>
      <c r="S90" s="82" t="str">
        <f t="shared" si="5"/>
        <v/>
      </c>
    </row>
    <row r="91" spans="18:19" x14ac:dyDescent="0.25">
      <c r="R91" s="8" t="str">
        <f t="shared" si="4"/>
        <v/>
      </c>
      <c r="S91" s="82" t="str">
        <f t="shared" si="5"/>
        <v/>
      </c>
    </row>
    <row r="92" spans="18:19" x14ac:dyDescent="0.25">
      <c r="R92" s="8" t="str">
        <f t="shared" si="4"/>
        <v/>
      </c>
      <c r="S92" s="82" t="str">
        <f t="shared" si="5"/>
        <v/>
      </c>
    </row>
    <row r="93" spans="18:19" x14ac:dyDescent="0.25">
      <c r="R93" s="8" t="str">
        <f t="shared" si="4"/>
        <v/>
      </c>
      <c r="S93" s="82" t="str">
        <f t="shared" si="5"/>
        <v/>
      </c>
    </row>
    <row r="94" spans="18:19" x14ac:dyDescent="0.25">
      <c r="R94" s="8" t="str">
        <f t="shared" si="4"/>
        <v/>
      </c>
      <c r="S94" s="82" t="str">
        <f t="shared" si="5"/>
        <v/>
      </c>
    </row>
    <row r="95" spans="18:19" x14ac:dyDescent="0.25">
      <c r="R95" s="8" t="str">
        <f t="shared" si="4"/>
        <v/>
      </c>
      <c r="S95" s="82" t="str">
        <f t="shared" si="5"/>
        <v/>
      </c>
    </row>
    <row r="96" spans="18:19" x14ac:dyDescent="0.25">
      <c r="R96" s="8" t="str">
        <f t="shared" si="4"/>
        <v/>
      </c>
      <c r="S96" s="82" t="str">
        <f t="shared" si="5"/>
        <v/>
      </c>
    </row>
    <row r="97" spans="18:19" x14ac:dyDescent="0.25">
      <c r="R97" s="8" t="str">
        <f t="shared" si="4"/>
        <v/>
      </c>
      <c r="S97" s="82" t="str">
        <f t="shared" si="5"/>
        <v/>
      </c>
    </row>
    <row r="98" spans="18:19" x14ac:dyDescent="0.25">
      <c r="R98" s="8" t="str">
        <f t="shared" si="4"/>
        <v/>
      </c>
      <c r="S98" s="82" t="str">
        <f t="shared" si="5"/>
        <v/>
      </c>
    </row>
    <row r="99" spans="18:19" x14ac:dyDescent="0.25">
      <c r="R99" s="8" t="str">
        <f t="shared" si="4"/>
        <v/>
      </c>
      <c r="S99" s="82" t="str">
        <f t="shared" si="5"/>
        <v/>
      </c>
    </row>
    <row r="100" spans="18:19" x14ac:dyDescent="0.25">
      <c r="R100" s="8" t="str">
        <f t="shared" si="4"/>
        <v/>
      </c>
      <c r="S100" s="82" t="str">
        <f t="shared" si="5"/>
        <v/>
      </c>
    </row>
    <row r="101" spans="18:19" x14ac:dyDescent="0.25">
      <c r="R101" s="8" t="str">
        <f t="shared" si="4"/>
        <v/>
      </c>
      <c r="S101" s="82" t="str">
        <f t="shared" si="5"/>
        <v/>
      </c>
    </row>
    <row r="102" spans="18:19" x14ac:dyDescent="0.25">
      <c r="R102" s="8" t="str">
        <f t="shared" si="4"/>
        <v/>
      </c>
      <c r="S102" s="82" t="str">
        <f t="shared" si="5"/>
        <v/>
      </c>
    </row>
    <row r="103" spans="18:19" x14ac:dyDescent="0.25">
      <c r="R103" s="8" t="str">
        <f t="shared" si="4"/>
        <v/>
      </c>
      <c r="S103" s="82" t="str">
        <f t="shared" si="5"/>
        <v/>
      </c>
    </row>
    <row r="104" spans="18:19" x14ac:dyDescent="0.25">
      <c r="R104" s="8" t="str">
        <f t="shared" si="4"/>
        <v/>
      </c>
      <c r="S104" s="82" t="str">
        <f t="shared" si="5"/>
        <v/>
      </c>
    </row>
    <row r="105" spans="18:19" x14ac:dyDescent="0.25">
      <c r="R105" s="8" t="str">
        <f t="shared" si="4"/>
        <v/>
      </c>
      <c r="S105" s="82" t="str">
        <f t="shared" si="5"/>
        <v/>
      </c>
    </row>
    <row r="106" spans="18:19" x14ac:dyDescent="0.25">
      <c r="R106" s="8" t="str">
        <f t="shared" si="4"/>
        <v/>
      </c>
      <c r="S106" s="82" t="str">
        <f t="shared" si="5"/>
        <v/>
      </c>
    </row>
    <row r="107" spans="18:19" x14ac:dyDescent="0.25">
      <c r="R107" s="8" t="str">
        <f t="shared" si="4"/>
        <v/>
      </c>
      <c r="S107" s="82" t="str">
        <f t="shared" si="5"/>
        <v/>
      </c>
    </row>
    <row r="108" spans="18:19" x14ac:dyDescent="0.25">
      <c r="R108" s="8" t="str">
        <f t="shared" si="4"/>
        <v/>
      </c>
      <c r="S108" s="82" t="str">
        <f t="shared" si="5"/>
        <v/>
      </c>
    </row>
    <row r="109" spans="18:19" x14ac:dyDescent="0.25">
      <c r="R109" s="8" t="str">
        <f t="shared" si="4"/>
        <v/>
      </c>
      <c r="S109" s="82" t="str">
        <f t="shared" si="5"/>
        <v/>
      </c>
    </row>
    <row r="110" spans="18:19" x14ac:dyDescent="0.25">
      <c r="R110" s="8" t="str">
        <f t="shared" si="4"/>
        <v/>
      </c>
      <c r="S110" s="82" t="str">
        <f t="shared" si="5"/>
        <v/>
      </c>
    </row>
    <row r="111" spans="18:19" x14ac:dyDescent="0.25">
      <c r="R111" s="8" t="str">
        <f t="shared" si="4"/>
        <v/>
      </c>
      <c r="S111" s="82" t="str">
        <f t="shared" si="5"/>
        <v/>
      </c>
    </row>
    <row r="112" spans="18:19" x14ac:dyDescent="0.25">
      <c r="R112" s="8" t="str">
        <f t="shared" si="4"/>
        <v/>
      </c>
      <c r="S112" s="82" t="str">
        <f t="shared" si="5"/>
        <v/>
      </c>
    </row>
    <row r="113" spans="18:19" x14ac:dyDescent="0.25">
      <c r="R113" s="8" t="str">
        <f t="shared" si="4"/>
        <v/>
      </c>
      <c r="S113" s="82" t="str">
        <f t="shared" si="5"/>
        <v/>
      </c>
    </row>
    <row r="114" spans="18:19" x14ac:dyDescent="0.25">
      <c r="R114" s="8" t="str">
        <f t="shared" si="4"/>
        <v/>
      </c>
      <c r="S114" s="82" t="str">
        <f t="shared" si="5"/>
        <v/>
      </c>
    </row>
    <row r="115" spans="18:19" x14ac:dyDescent="0.25">
      <c r="R115" s="8" t="str">
        <f t="shared" si="4"/>
        <v/>
      </c>
      <c r="S115" s="82" t="str">
        <f t="shared" si="5"/>
        <v/>
      </c>
    </row>
    <row r="116" spans="18:19" x14ac:dyDescent="0.25">
      <c r="R116" s="8" t="str">
        <f t="shared" si="4"/>
        <v/>
      </c>
      <c r="S116" s="82" t="str">
        <f t="shared" si="5"/>
        <v/>
      </c>
    </row>
    <row r="117" spans="18:19" x14ac:dyDescent="0.25">
      <c r="R117" s="8" t="str">
        <f t="shared" si="4"/>
        <v/>
      </c>
      <c r="S117" s="82" t="str">
        <f t="shared" si="5"/>
        <v/>
      </c>
    </row>
    <row r="118" spans="18:19" x14ac:dyDescent="0.25">
      <c r="R118" s="8" t="str">
        <f t="shared" si="4"/>
        <v/>
      </c>
      <c r="S118" s="82" t="str">
        <f t="shared" si="5"/>
        <v/>
      </c>
    </row>
    <row r="119" spans="18:19" x14ac:dyDescent="0.25">
      <c r="R119" s="8" t="str">
        <f t="shared" si="4"/>
        <v/>
      </c>
      <c r="S119" s="82" t="str">
        <f t="shared" si="5"/>
        <v/>
      </c>
    </row>
    <row r="120" spans="18:19" x14ac:dyDescent="0.25">
      <c r="R120" s="8" t="str">
        <f t="shared" si="4"/>
        <v/>
      </c>
      <c r="S120" s="82" t="str">
        <f t="shared" si="5"/>
        <v/>
      </c>
    </row>
    <row r="121" spans="18:19" x14ac:dyDescent="0.25">
      <c r="R121" s="8" t="str">
        <f t="shared" si="4"/>
        <v/>
      </c>
      <c r="S121" s="82" t="str">
        <f t="shared" si="5"/>
        <v/>
      </c>
    </row>
    <row r="122" spans="18:19" x14ac:dyDescent="0.25">
      <c r="R122" s="8" t="str">
        <f t="shared" si="4"/>
        <v/>
      </c>
      <c r="S122" s="82" t="str">
        <f t="shared" si="5"/>
        <v/>
      </c>
    </row>
    <row r="123" spans="18:19" x14ac:dyDescent="0.25">
      <c r="R123" s="8" t="str">
        <f t="shared" si="4"/>
        <v/>
      </c>
      <c r="S123" s="82" t="str">
        <f t="shared" si="5"/>
        <v/>
      </c>
    </row>
    <row r="124" spans="18:19" x14ac:dyDescent="0.25">
      <c r="R124" s="8" t="str">
        <f t="shared" si="4"/>
        <v/>
      </c>
      <c r="S124" s="82" t="str">
        <f t="shared" si="5"/>
        <v/>
      </c>
    </row>
    <row r="125" spans="18:19" x14ac:dyDescent="0.25">
      <c r="R125" s="8" t="str">
        <f t="shared" si="4"/>
        <v/>
      </c>
      <c r="S125" s="82" t="str">
        <f t="shared" si="5"/>
        <v/>
      </c>
    </row>
    <row r="126" spans="18:19" x14ac:dyDescent="0.25">
      <c r="R126" s="8" t="str">
        <f t="shared" si="4"/>
        <v/>
      </c>
      <c r="S126" s="82" t="str">
        <f t="shared" si="5"/>
        <v/>
      </c>
    </row>
    <row r="127" spans="18:19" x14ac:dyDescent="0.25">
      <c r="R127" s="8" t="str">
        <f t="shared" si="4"/>
        <v/>
      </c>
      <c r="S127" s="82" t="str">
        <f t="shared" si="5"/>
        <v/>
      </c>
    </row>
    <row r="128" spans="18:19" x14ac:dyDescent="0.25">
      <c r="R128" s="8" t="str">
        <f t="shared" si="4"/>
        <v/>
      </c>
      <c r="S128" s="82" t="str">
        <f t="shared" si="5"/>
        <v/>
      </c>
    </row>
    <row r="129" spans="18:19" x14ac:dyDescent="0.25">
      <c r="R129" s="8" t="str">
        <f t="shared" si="4"/>
        <v/>
      </c>
      <c r="S129" s="82" t="str">
        <f t="shared" si="5"/>
        <v/>
      </c>
    </row>
    <row r="130" spans="18:19" x14ac:dyDescent="0.25">
      <c r="R130" s="8" t="str">
        <f t="shared" si="4"/>
        <v/>
      </c>
      <c r="S130" s="82" t="str">
        <f t="shared" si="5"/>
        <v/>
      </c>
    </row>
    <row r="131" spans="18:19" x14ac:dyDescent="0.25">
      <c r="R131" s="8" t="str">
        <f t="shared" si="4"/>
        <v/>
      </c>
      <c r="S131" s="82" t="str">
        <f t="shared" si="5"/>
        <v/>
      </c>
    </row>
    <row r="132" spans="18:19" x14ac:dyDescent="0.25">
      <c r="R132" s="8" t="str">
        <f t="shared" si="4"/>
        <v/>
      </c>
      <c r="S132" s="82" t="str">
        <f t="shared" si="5"/>
        <v/>
      </c>
    </row>
    <row r="133" spans="18:19" x14ac:dyDescent="0.25">
      <c r="R133" s="8" t="str">
        <f t="shared" si="4"/>
        <v/>
      </c>
      <c r="S133" s="82" t="str">
        <f t="shared" si="5"/>
        <v/>
      </c>
    </row>
    <row r="134" spans="18:19" x14ac:dyDescent="0.25">
      <c r="R134" s="8" t="str">
        <f t="shared" si="4"/>
        <v/>
      </c>
      <c r="S134" s="82" t="str">
        <f t="shared" si="5"/>
        <v/>
      </c>
    </row>
    <row r="135" spans="18:19" x14ac:dyDescent="0.25">
      <c r="R135" s="8" t="str">
        <f t="shared" si="4"/>
        <v/>
      </c>
      <c r="S135" s="82" t="str">
        <f t="shared" si="5"/>
        <v/>
      </c>
    </row>
    <row r="136" spans="18:19" x14ac:dyDescent="0.25">
      <c r="R136" s="8" t="str">
        <f t="shared" si="4"/>
        <v/>
      </c>
      <c r="S136" s="82" t="str">
        <f t="shared" si="5"/>
        <v/>
      </c>
    </row>
    <row r="137" spans="18:19" x14ac:dyDescent="0.25">
      <c r="R137" s="8" t="str">
        <f t="shared" si="4"/>
        <v/>
      </c>
      <c r="S137" s="82" t="str">
        <f t="shared" si="5"/>
        <v/>
      </c>
    </row>
    <row r="138" spans="18:19" x14ac:dyDescent="0.25">
      <c r="R138" s="8" t="str">
        <f t="shared" si="4"/>
        <v/>
      </c>
      <c r="S138" s="82" t="str">
        <f t="shared" si="5"/>
        <v/>
      </c>
    </row>
    <row r="139" spans="18:19" x14ac:dyDescent="0.25">
      <c r="R139" s="8" t="str">
        <f t="shared" si="4"/>
        <v/>
      </c>
      <c r="S139" s="82" t="str">
        <f t="shared" si="5"/>
        <v/>
      </c>
    </row>
    <row r="140" spans="18:19" x14ac:dyDescent="0.25">
      <c r="R140" s="8" t="str">
        <f t="shared" si="4"/>
        <v/>
      </c>
      <c r="S140" s="82" t="str">
        <f t="shared" si="5"/>
        <v/>
      </c>
    </row>
    <row r="141" spans="18:19" x14ac:dyDescent="0.25">
      <c r="R141" s="8" t="str">
        <f t="shared" si="4"/>
        <v/>
      </c>
      <c r="S141" s="82" t="str">
        <f t="shared" si="5"/>
        <v/>
      </c>
    </row>
    <row r="142" spans="18:19" x14ac:dyDescent="0.25">
      <c r="R142" s="8" t="str">
        <f t="shared" si="4"/>
        <v/>
      </c>
      <c r="S142" s="82" t="str">
        <f t="shared" si="5"/>
        <v/>
      </c>
    </row>
    <row r="143" spans="18:19" x14ac:dyDescent="0.25">
      <c r="R143" s="8" t="str">
        <f t="shared" si="4"/>
        <v/>
      </c>
      <c r="S143" s="82" t="str">
        <f t="shared" si="5"/>
        <v/>
      </c>
    </row>
    <row r="144" spans="18:19" x14ac:dyDescent="0.25">
      <c r="R144" s="8" t="str">
        <f t="shared" si="4"/>
        <v/>
      </c>
      <c r="S144" s="82" t="str">
        <f t="shared" si="5"/>
        <v/>
      </c>
    </row>
    <row r="145" spans="18:19" x14ac:dyDescent="0.25">
      <c r="R145" s="8" t="str">
        <f t="shared" si="4"/>
        <v/>
      </c>
      <c r="S145" s="82" t="str">
        <f t="shared" si="5"/>
        <v/>
      </c>
    </row>
    <row r="146" spans="18:19" x14ac:dyDescent="0.25">
      <c r="R146" s="8" t="str">
        <f t="shared" si="4"/>
        <v/>
      </c>
      <c r="S146" s="82" t="str">
        <f t="shared" si="5"/>
        <v/>
      </c>
    </row>
    <row r="147" spans="18:19" x14ac:dyDescent="0.25">
      <c r="R147" s="8" t="str">
        <f t="shared" si="4"/>
        <v/>
      </c>
      <c r="S147" s="82" t="str">
        <f t="shared" si="5"/>
        <v/>
      </c>
    </row>
    <row r="148" spans="18:19" x14ac:dyDescent="0.25">
      <c r="R148" s="8" t="str">
        <f t="shared" si="4"/>
        <v/>
      </c>
      <c r="S148" s="82" t="str">
        <f t="shared" si="5"/>
        <v/>
      </c>
    </row>
    <row r="149" spans="18:19" x14ac:dyDescent="0.25">
      <c r="R149" s="8" t="str">
        <f t="shared" si="4"/>
        <v/>
      </c>
      <c r="S149" s="82" t="str">
        <f t="shared" si="5"/>
        <v/>
      </c>
    </row>
    <row r="150" spans="18:19" x14ac:dyDescent="0.25">
      <c r="R150" s="8" t="str">
        <f t="shared" ref="R150:R213" si="6">IF(A150="",(""),(MONTH(A150)))</f>
        <v/>
      </c>
      <c r="S150" s="82" t="str">
        <f t="shared" ref="S150:S213" si="7">IF(O150&gt;0,(Q150-O150),(IF(K150="USD",(Q150*J150),((IF(B150="",(""),(SUMIF(B150,"11 - Factura C",(Q150))-SUMIF(B150,"13 - Nota de Crédito C",(Q150))+SUMIF(B150,"15 - Recibo C",(Q150))+SUMIF(B150,"109 - Tique C",(Q150)))))))))</f>
        <v/>
      </c>
    </row>
    <row r="151" spans="18:19" x14ac:dyDescent="0.25">
      <c r="R151" s="8" t="str">
        <f t="shared" si="6"/>
        <v/>
      </c>
      <c r="S151" s="82" t="str">
        <f t="shared" si="7"/>
        <v/>
      </c>
    </row>
    <row r="152" spans="18:19" x14ac:dyDescent="0.25">
      <c r="R152" s="8" t="str">
        <f t="shared" si="6"/>
        <v/>
      </c>
      <c r="S152" s="82" t="str">
        <f t="shared" si="7"/>
        <v/>
      </c>
    </row>
    <row r="153" spans="18:19" x14ac:dyDescent="0.25">
      <c r="R153" s="8" t="str">
        <f t="shared" si="6"/>
        <v/>
      </c>
      <c r="S153" s="82" t="str">
        <f t="shared" si="7"/>
        <v/>
      </c>
    </row>
    <row r="154" spans="18:19" x14ac:dyDescent="0.25">
      <c r="R154" s="8" t="str">
        <f t="shared" si="6"/>
        <v/>
      </c>
      <c r="S154" s="82" t="str">
        <f t="shared" si="7"/>
        <v/>
      </c>
    </row>
    <row r="155" spans="18:19" x14ac:dyDescent="0.25">
      <c r="R155" s="8" t="str">
        <f t="shared" si="6"/>
        <v/>
      </c>
      <c r="S155" s="82" t="str">
        <f t="shared" si="7"/>
        <v/>
      </c>
    </row>
    <row r="156" spans="18:19" x14ac:dyDescent="0.25">
      <c r="R156" s="8" t="str">
        <f t="shared" si="6"/>
        <v/>
      </c>
      <c r="S156" s="82" t="str">
        <f t="shared" si="7"/>
        <v/>
      </c>
    </row>
    <row r="157" spans="18:19" x14ac:dyDescent="0.25">
      <c r="R157" s="8" t="str">
        <f t="shared" si="6"/>
        <v/>
      </c>
      <c r="S157" s="82" t="str">
        <f t="shared" si="7"/>
        <v/>
      </c>
    </row>
    <row r="158" spans="18:19" x14ac:dyDescent="0.25">
      <c r="R158" s="8" t="str">
        <f t="shared" si="6"/>
        <v/>
      </c>
      <c r="S158" s="82" t="str">
        <f t="shared" si="7"/>
        <v/>
      </c>
    </row>
    <row r="159" spans="18:19" x14ac:dyDescent="0.25">
      <c r="R159" s="8" t="str">
        <f t="shared" si="6"/>
        <v/>
      </c>
      <c r="S159" s="82" t="str">
        <f t="shared" si="7"/>
        <v/>
      </c>
    </row>
    <row r="160" spans="18:19" x14ac:dyDescent="0.25">
      <c r="R160" s="8" t="str">
        <f t="shared" si="6"/>
        <v/>
      </c>
      <c r="S160" s="82" t="str">
        <f t="shared" si="7"/>
        <v/>
      </c>
    </row>
    <row r="161" spans="18:19" x14ac:dyDescent="0.25">
      <c r="R161" s="8" t="str">
        <f t="shared" si="6"/>
        <v/>
      </c>
      <c r="S161" s="82" t="str">
        <f t="shared" si="7"/>
        <v/>
      </c>
    </row>
    <row r="162" spans="18:19" x14ac:dyDescent="0.25">
      <c r="R162" s="8" t="str">
        <f t="shared" si="6"/>
        <v/>
      </c>
      <c r="S162" s="82" t="str">
        <f t="shared" si="7"/>
        <v/>
      </c>
    </row>
    <row r="163" spans="18:19" x14ac:dyDescent="0.25">
      <c r="R163" s="8" t="str">
        <f t="shared" si="6"/>
        <v/>
      </c>
      <c r="S163" s="82" t="str">
        <f t="shared" si="7"/>
        <v/>
      </c>
    </row>
    <row r="164" spans="18:19" x14ac:dyDescent="0.25">
      <c r="R164" s="8" t="str">
        <f t="shared" si="6"/>
        <v/>
      </c>
      <c r="S164" s="82" t="str">
        <f t="shared" si="7"/>
        <v/>
      </c>
    </row>
    <row r="165" spans="18:19" x14ac:dyDescent="0.25">
      <c r="R165" s="8" t="str">
        <f t="shared" si="6"/>
        <v/>
      </c>
      <c r="S165" s="82" t="str">
        <f t="shared" si="7"/>
        <v/>
      </c>
    </row>
    <row r="166" spans="18:19" x14ac:dyDescent="0.25">
      <c r="R166" s="8" t="str">
        <f t="shared" si="6"/>
        <v/>
      </c>
      <c r="S166" s="82" t="str">
        <f t="shared" si="7"/>
        <v/>
      </c>
    </row>
    <row r="167" spans="18:19" x14ac:dyDescent="0.25">
      <c r="R167" s="8" t="str">
        <f t="shared" si="6"/>
        <v/>
      </c>
      <c r="S167" s="82" t="str">
        <f t="shared" si="7"/>
        <v/>
      </c>
    </row>
    <row r="168" spans="18:19" x14ac:dyDescent="0.25">
      <c r="R168" s="8" t="str">
        <f t="shared" si="6"/>
        <v/>
      </c>
      <c r="S168" s="82" t="str">
        <f t="shared" si="7"/>
        <v/>
      </c>
    </row>
    <row r="169" spans="18:19" x14ac:dyDescent="0.25">
      <c r="R169" s="8" t="str">
        <f t="shared" si="6"/>
        <v/>
      </c>
      <c r="S169" s="82" t="str">
        <f t="shared" si="7"/>
        <v/>
      </c>
    </row>
    <row r="170" spans="18:19" x14ac:dyDescent="0.25">
      <c r="R170" s="8" t="str">
        <f t="shared" si="6"/>
        <v/>
      </c>
      <c r="S170" s="82" t="str">
        <f t="shared" si="7"/>
        <v/>
      </c>
    </row>
    <row r="171" spans="18:19" x14ac:dyDescent="0.25">
      <c r="R171" s="8" t="str">
        <f t="shared" si="6"/>
        <v/>
      </c>
      <c r="S171" s="82" t="str">
        <f t="shared" si="7"/>
        <v/>
      </c>
    </row>
    <row r="172" spans="18:19" x14ac:dyDescent="0.25">
      <c r="R172" s="8" t="str">
        <f t="shared" si="6"/>
        <v/>
      </c>
      <c r="S172" s="82" t="str">
        <f t="shared" si="7"/>
        <v/>
      </c>
    </row>
    <row r="173" spans="18:19" x14ac:dyDescent="0.25">
      <c r="R173" s="8" t="str">
        <f t="shared" si="6"/>
        <v/>
      </c>
      <c r="S173" s="82" t="str">
        <f t="shared" si="7"/>
        <v/>
      </c>
    </row>
    <row r="174" spans="18:19" x14ac:dyDescent="0.25">
      <c r="R174" s="8" t="str">
        <f t="shared" si="6"/>
        <v/>
      </c>
      <c r="S174" s="82" t="str">
        <f t="shared" si="7"/>
        <v/>
      </c>
    </row>
    <row r="175" spans="18:19" x14ac:dyDescent="0.25">
      <c r="R175" s="8" t="str">
        <f t="shared" si="6"/>
        <v/>
      </c>
      <c r="S175" s="82" t="str">
        <f t="shared" si="7"/>
        <v/>
      </c>
    </row>
    <row r="176" spans="18:19" x14ac:dyDescent="0.25">
      <c r="R176" s="8" t="str">
        <f t="shared" si="6"/>
        <v/>
      </c>
      <c r="S176" s="82" t="str">
        <f t="shared" si="7"/>
        <v/>
      </c>
    </row>
    <row r="177" spans="18:19" x14ac:dyDescent="0.25">
      <c r="R177" s="8" t="str">
        <f t="shared" si="6"/>
        <v/>
      </c>
      <c r="S177" s="82" t="str">
        <f t="shared" si="7"/>
        <v/>
      </c>
    </row>
    <row r="178" spans="18:19" x14ac:dyDescent="0.25">
      <c r="R178" s="8" t="str">
        <f t="shared" si="6"/>
        <v/>
      </c>
      <c r="S178" s="82" t="str">
        <f t="shared" si="7"/>
        <v/>
      </c>
    </row>
    <row r="179" spans="18:19" x14ac:dyDescent="0.25">
      <c r="R179" s="8" t="str">
        <f t="shared" si="6"/>
        <v/>
      </c>
      <c r="S179" s="82" t="str">
        <f t="shared" si="7"/>
        <v/>
      </c>
    </row>
    <row r="180" spans="18:19" x14ac:dyDescent="0.25">
      <c r="R180" s="8" t="str">
        <f t="shared" si="6"/>
        <v/>
      </c>
      <c r="S180" s="82" t="str">
        <f t="shared" si="7"/>
        <v/>
      </c>
    </row>
    <row r="181" spans="18:19" x14ac:dyDescent="0.25">
      <c r="R181" s="8" t="str">
        <f t="shared" si="6"/>
        <v/>
      </c>
      <c r="S181" s="82" t="str">
        <f t="shared" si="7"/>
        <v/>
      </c>
    </row>
    <row r="182" spans="18:19" x14ac:dyDescent="0.25">
      <c r="R182" s="8" t="str">
        <f t="shared" si="6"/>
        <v/>
      </c>
      <c r="S182" s="82" t="str">
        <f t="shared" si="7"/>
        <v/>
      </c>
    </row>
    <row r="183" spans="18:19" x14ac:dyDescent="0.25">
      <c r="R183" s="8" t="str">
        <f t="shared" si="6"/>
        <v/>
      </c>
      <c r="S183" s="82" t="str">
        <f t="shared" si="7"/>
        <v/>
      </c>
    </row>
    <row r="184" spans="18:19" x14ac:dyDescent="0.25">
      <c r="R184" s="8" t="str">
        <f t="shared" si="6"/>
        <v/>
      </c>
      <c r="S184" s="82" t="str">
        <f t="shared" si="7"/>
        <v/>
      </c>
    </row>
    <row r="185" spans="18:19" x14ac:dyDescent="0.25">
      <c r="R185" s="8" t="str">
        <f t="shared" si="6"/>
        <v/>
      </c>
      <c r="S185" s="82" t="str">
        <f t="shared" si="7"/>
        <v/>
      </c>
    </row>
    <row r="186" spans="18:19" x14ac:dyDescent="0.25">
      <c r="R186" s="8" t="str">
        <f t="shared" si="6"/>
        <v/>
      </c>
      <c r="S186" s="82" t="str">
        <f t="shared" si="7"/>
        <v/>
      </c>
    </row>
    <row r="187" spans="18:19" x14ac:dyDescent="0.25">
      <c r="R187" s="8" t="str">
        <f t="shared" si="6"/>
        <v/>
      </c>
      <c r="S187" s="82" t="str">
        <f t="shared" si="7"/>
        <v/>
      </c>
    </row>
    <row r="188" spans="18:19" x14ac:dyDescent="0.25">
      <c r="R188" s="8" t="str">
        <f t="shared" si="6"/>
        <v/>
      </c>
      <c r="S188" s="82" t="str">
        <f t="shared" si="7"/>
        <v/>
      </c>
    </row>
    <row r="189" spans="18:19" x14ac:dyDescent="0.25">
      <c r="R189" s="8" t="str">
        <f t="shared" si="6"/>
        <v/>
      </c>
      <c r="S189" s="82" t="str">
        <f t="shared" si="7"/>
        <v/>
      </c>
    </row>
    <row r="190" spans="18:19" x14ac:dyDescent="0.25">
      <c r="R190" s="8" t="str">
        <f t="shared" si="6"/>
        <v/>
      </c>
      <c r="S190" s="82" t="str">
        <f t="shared" si="7"/>
        <v/>
      </c>
    </row>
    <row r="191" spans="18:19" x14ac:dyDescent="0.25">
      <c r="R191" s="8" t="str">
        <f t="shared" si="6"/>
        <v/>
      </c>
      <c r="S191" s="82" t="str">
        <f t="shared" si="7"/>
        <v/>
      </c>
    </row>
    <row r="192" spans="18:19" x14ac:dyDescent="0.25">
      <c r="R192" s="8" t="str">
        <f t="shared" si="6"/>
        <v/>
      </c>
      <c r="S192" s="82" t="str">
        <f t="shared" si="7"/>
        <v/>
      </c>
    </row>
    <row r="193" spans="18:19" x14ac:dyDescent="0.25">
      <c r="R193" s="8" t="str">
        <f t="shared" si="6"/>
        <v/>
      </c>
      <c r="S193" s="82" t="str">
        <f t="shared" si="7"/>
        <v/>
      </c>
    </row>
    <row r="194" spans="18:19" x14ac:dyDescent="0.25">
      <c r="R194" s="8" t="str">
        <f t="shared" si="6"/>
        <v/>
      </c>
      <c r="S194" s="82" t="str">
        <f t="shared" si="7"/>
        <v/>
      </c>
    </row>
    <row r="195" spans="18:19" x14ac:dyDescent="0.25">
      <c r="R195" s="8" t="str">
        <f t="shared" si="6"/>
        <v/>
      </c>
      <c r="S195" s="82" t="str">
        <f t="shared" si="7"/>
        <v/>
      </c>
    </row>
    <row r="196" spans="18:19" x14ac:dyDescent="0.25">
      <c r="R196" s="8" t="str">
        <f t="shared" si="6"/>
        <v/>
      </c>
      <c r="S196" s="82" t="str">
        <f t="shared" si="7"/>
        <v/>
      </c>
    </row>
    <row r="197" spans="18:19" x14ac:dyDescent="0.25">
      <c r="R197" s="8" t="str">
        <f t="shared" si="6"/>
        <v/>
      </c>
      <c r="S197" s="82" t="str">
        <f t="shared" si="7"/>
        <v/>
      </c>
    </row>
    <row r="198" spans="18:19" x14ac:dyDescent="0.25">
      <c r="R198" s="8" t="str">
        <f t="shared" si="6"/>
        <v/>
      </c>
      <c r="S198" s="82" t="str">
        <f t="shared" si="7"/>
        <v/>
      </c>
    </row>
    <row r="199" spans="18:19" x14ac:dyDescent="0.25">
      <c r="R199" s="8" t="str">
        <f t="shared" si="6"/>
        <v/>
      </c>
      <c r="S199" s="82" t="str">
        <f t="shared" si="7"/>
        <v/>
      </c>
    </row>
    <row r="200" spans="18:19" x14ac:dyDescent="0.25">
      <c r="R200" s="8" t="str">
        <f t="shared" si="6"/>
        <v/>
      </c>
      <c r="S200" s="82" t="str">
        <f t="shared" si="7"/>
        <v/>
      </c>
    </row>
    <row r="201" spans="18:19" x14ac:dyDescent="0.25">
      <c r="R201" s="8" t="str">
        <f t="shared" si="6"/>
        <v/>
      </c>
      <c r="S201" s="82" t="str">
        <f t="shared" si="7"/>
        <v/>
      </c>
    </row>
    <row r="202" spans="18:19" x14ac:dyDescent="0.25">
      <c r="R202" s="8" t="str">
        <f t="shared" si="6"/>
        <v/>
      </c>
      <c r="S202" s="82" t="str">
        <f t="shared" si="7"/>
        <v/>
      </c>
    </row>
    <row r="203" spans="18:19" x14ac:dyDescent="0.25">
      <c r="R203" s="8" t="str">
        <f t="shared" si="6"/>
        <v/>
      </c>
      <c r="S203" s="82" t="str">
        <f t="shared" si="7"/>
        <v/>
      </c>
    </row>
    <row r="204" spans="18:19" x14ac:dyDescent="0.25">
      <c r="R204" s="8" t="str">
        <f t="shared" si="6"/>
        <v/>
      </c>
      <c r="S204" s="82" t="str">
        <f t="shared" si="7"/>
        <v/>
      </c>
    </row>
    <row r="205" spans="18:19" x14ac:dyDescent="0.25">
      <c r="R205" s="8" t="str">
        <f t="shared" si="6"/>
        <v/>
      </c>
      <c r="S205" s="82" t="str">
        <f t="shared" si="7"/>
        <v/>
      </c>
    </row>
    <row r="206" spans="18:19" x14ac:dyDescent="0.25">
      <c r="R206" s="8" t="str">
        <f t="shared" si="6"/>
        <v/>
      </c>
      <c r="S206" s="82" t="str">
        <f t="shared" si="7"/>
        <v/>
      </c>
    </row>
    <row r="207" spans="18:19" x14ac:dyDescent="0.25">
      <c r="R207" s="8" t="str">
        <f t="shared" si="6"/>
        <v/>
      </c>
      <c r="S207" s="82" t="str">
        <f t="shared" si="7"/>
        <v/>
      </c>
    </row>
    <row r="208" spans="18:19" x14ac:dyDescent="0.25">
      <c r="R208" s="8" t="str">
        <f t="shared" si="6"/>
        <v/>
      </c>
      <c r="S208" s="82" t="str">
        <f t="shared" si="7"/>
        <v/>
      </c>
    </row>
    <row r="209" spans="18:19" x14ac:dyDescent="0.25">
      <c r="R209" s="8" t="str">
        <f t="shared" si="6"/>
        <v/>
      </c>
      <c r="S209" s="82" t="str">
        <f t="shared" si="7"/>
        <v/>
      </c>
    </row>
    <row r="210" spans="18:19" x14ac:dyDescent="0.25">
      <c r="R210" s="8" t="str">
        <f t="shared" si="6"/>
        <v/>
      </c>
      <c r="S210" s="82" t="str">
        <f t="shared" si="7"/>
        <v/>
      </c>
    </row>
    <row r="211" spans="18:19" x14ac:dyDescent="0.25">
      <c r="R211" s="8" t="str">
        <f t="shared" si="6"/>
        <v/>
      </c>
      <c r="S211" s="82" t="str">
        <f t="shared" si="7"/>
        <v/>
      </c>
    </row>
    <row r="212" spans="18:19" x14ac:dyDescent="0.25">
      <c r="R212" s="8" t="str">
        <f t="shared" si="6"/>
        <v/>
      </c>
      <c r="S212" s="82" t="str">
        <f t="shared" si="7"/>
        <v/>
      </c>
    </row>
    <row r="213" spans="18:19" x14ac:dyDescent="0.25">
      <c r="R213" s="8" t="str">
        <f t="shared" si="6"/>
        <v/>
      </c>
      <c r="S213" s="82" t="str">
        <f t="shared" si="7"/>
        <v/>
      </c>
    </row>
    <row r="214" spans="18:19" x14ac:dyDescent="0.25">
      <c r="R214" s="8" t="str">
        <f t="shared" ref="R214:R277" si="8">IF(A214="",(""),(MONTH(A214)))</f>
        <v/>
      </c>
      <c r="S214" s="82" t="str">
        <f t="shared" ref="S214:S277" si="9">IF(O214&gt;0,(Q214-O214),(IF(K214="USD",(Q214*J214),((IF(B214="",(""),(SUMIF(B214,"11 - Factura C",(Q214))-SUMIF(B214,"13 - Nota de Crédito C",(Q214))+SUMIF(B214,"15 - Recibo C",(Q214))+SUMIF(B214,"109 - Tique C",(Q214)))))))))</f>
        <v/>
      </c>
    </row>
    <row r="215" spans="18:19" x14ac:dyDescent="0.25">
      <c r="R215" s="8" t="str">
        <f t="shared" si="8"/>
        <v/>
      </c>
      <c r="S215" s="82" t="str">
        <f t="shared" si="9"/>
        <v/>
      </c>
    </row>
    <row r="216" spans="18:19" x14ac:dyDescent="0.25">
      <c r="R216" s="8" t="str">
        <f t="shared" si="8"/>
        <v/>
      </c>
      <c r="S216" s="82" t="str">
        <f t="shared" si="9"/>
        <v/>
      </c>
    </row>
    <row r="217" spans="18:19" x14ac:dyDescent="0.25">
      <c r="R217" s="8" t="str">
        <f t="shared" si="8"/>
        <v/>
      </c>
      <c r="S217" s="82" t="str">
        <f t="shared" si="9"/>
        <v/>
      </c>
    </row>
    <row r="218" spans="18:19" x14ac:dyDescent="0.25">
      <c r="R218" s="8" t="str">
        <f t="shared" si="8"/>
        <v/>
      </c>
      <c r="S218" s="82" t="str">
        <f t="shared" si="9"/>
        <v/>
      </c>
    </row>
    <row r="219" spans="18:19" x14ac:dyDescent="0.25">
      <c r="R219" s="8" t="str">
        <f t="shared" si="8"/>
        <v/>
      </c>
      <c r="S219" s="82" t="str">
        <f t="shared" si="9"/>
        <v/>
      </c>
    </row>
    <row r="220" spans="18:19" x14ac:dyDescent="0.25">
      <c r="R220" s="8" t="str">
        <f t="shared" si="8"/>
        <v/>
      </c>
      <c r="S220" s="82" t="str">
        <f t="shared" si="9"/>
        <v/>
      </c>
    </row>
    <row r="221" spans="18:19" x14ac:dyDescent="0.25">
      <c r="R221" s="8" t="str">
        <f t="shared" si="8"/>
        <v/>
      </c>
      <c r="S221" s="82" t="str">
        <f t="shared" si="9"/>
        <v/>
      </c>
    </row>
    <row r="222" spans="18:19" x14ac:dyDescent="0.25">
      <c r="R222" s="8" t="str">
        <f t="shared" si="8"/>
        <v/>
      </c>
      <c r="S222" s="82" t="str">
        <f t="shared" si="9"/>
        <v/>
      </c>
    </row>
    <row r="223" spans="18:19" x14ac:dyDescent="0.25">
      <c r="R223" s="8" t="str">
        <f t="shared" si="8"/>
        <v/>
      </c>
      <c r="S223" s="82" t="str">
        <f t="shared" si="9"/>
        <v/>
      </c>
    </row>
    <row r="224" spans="18:19" x14ac:dyDescent="0.25">
      <c r="R224" s="8" t="str">
        <f t="shared" si="8"/>
        <v/>
      </c>
      <c r="S224" s="82" t="str">
        <f t="shared" si="9"/>
        <v/>
      </c>
    </row>
    <row r="225" spans="18:19" x14ac:dyDescent="0.25">
      <c r="R225" s="8" t="str">
        <f t="shared" si="8"/>
        <v/>
      </c>
      <c r="S225" s="82" t="str">
        <f t="shared" si="9"/>
        <v/>
      </c>
    </row>
    <row r="226" spans="18:19" x14ac:dyDescent="0.25">
      <c r="R226" s="8" t="str">
        <f t="shared" si="8"/>
        <v/>
      </c>
      <c r="S226" s="82" t="str">
        <f t="shared" si="9"/>
        <v/>
      </c>
    </row>
    <row r="227" spans="18:19" x14ac:dyDescent="0.25">
      <c r="R227" s="8" t="str">
        <f t="shared" si="8"/>
        <v/>
      </c>
      <c r="S227" s="82" t="str">
        <f t="shared" si="9"/>
        <v/>
      </c>
    </row>
    <row r="228" spans="18:19" x14ac:dyDescent="0.25">
      <c r="R228" s="8" t="str">
        <f t="shared" si="8"/>
        <v/>
      </c>
      <c r="S228" s="82" t="str">
        <f t="shared" si="9"/>
        <v/>
      </c>
    </row>
    <row r="229" spans="18:19" x14ac:dyDescent="0.25">
      <c r="R229" s="8" t="str">
        <f t="shared" si="8"/>
        <v/>
      </c>
      <c r="S229" s="82" t="str">
        <f t="shared" si="9"/>
        <v/>
      </c>
    </row>
    <row r="230" spans="18:19" x14ac:dyDescent="0.25">
      <c r="R230" s="8" t="str">
        <f t="shared" si="8"/>
        <v/>
      </c>
      <c r="S230" s="82" t="str">
        <f t="shared" si="9"/>
        <v/>
      </c>
    </row>
    <row r="231" spans="18:19" x14ac:dyDescent="0.25">
      <c r="R231" s="8" t="str">
        <f t="shared" si="8"/>
        <v/>
      </c>
      <c r="S231" s="82" t="str">
        <f t="shared" si="9"/>
        <v/>
      </c>
    </row>
    <row r="232" spans="18:19" x14ac:dyDescent="0.25">
      <c r="R232" s="8" t="str">
        <f t="shared" si="8"/>
        <v/>
      </c>
      <c r="S232" s="82" t="str">
        <f t="shared" si="9"/>
        <v/>
      </c>
    </row>
    <row r="233" spans="18:19" x14ac:dyDescent="0.25">
      <c r="R233" s="8" t="str">
        <f t="shared" si="8"/>
        <v/>
      </c>
      <c r="S233" s="82" t="str">
        <f t="shared" si="9"/>
        <v/>
      </c>
    </row>
    <row r="234" spans="18:19" x14ac:dyDescent="0.25">
      <c r="R234" s="8" t="str">
        <f t="shared" si="8"/>
        <v/>
      </c>
      <c r="S234" s="82" t="str">
        <f t="shared" si="9"/>
        <v/>
      </c>
    </row>
    <row r="235" spans="18:19" x14ac:dyDescent="0.25">
      <c r="R235" s="8" t="str">
        <f t="shared" si="8"/>
        <v/>
      </c>
      <c r="S235" s="82" t="str">
        <f t="shared" si="9"/>
        <v/>
      </c>
    </row>
    <row r="236" spans="18:19" x14ac:dyDescent="0.25">
      <c r="R236" s="8" t="str">
        <f t="shared" si="8"/>
        <v/>
      </c>
      <c r="S236" s="82" t="str">
        <f t="shared" si="9"/>
        <v/>
      </c>
    </row>
    <row r="237" spans="18:19" x14ac:dyDescent="0.25">
      <c r="R237" s="8" t="str">
        <f t="shared" si="8"/>
        <v/>
      </c>
      <c r="S237" s="82" t="str">
        <f t="shared" si="9"/>
        <v/>
      </c>
    </row>
    <row r="238" spans="18:19" x14ac:dyDescent="0.25">
      <c r="R238" s="8" t="str">
        <f t="shared" si="8"/>
        <v/>
      </c>
      <c r="S238" s="82" t="str">
        <f t="shared" si="9"/>
        <v/>
      </c>
    </row>
    <row r="239" spans="18:19" x14ac:dyDescent="0.25">
      <c r="R239" s="8" t="str">
        <f t="shared" si="8"/>
        <v/>
      </c>
      <c r="S239" s="82" t="str">
        <f t="shared" si="9"/>
        <v/>
      </c>
    </row>
    <row r="240" spans="18:19" x14ac:dyDescent="0.25">
      <c r="R240" s="8" t="str">
        <f t="shared" si="8"/>
        <v/>
      </c>
      <c r="S240" s="82" t="str">
        <f t="shared" si="9"/>
        <v/>
      </c>
    </row>
    <row r="241" spans="18:19" x14ac:dyDescent="0.25">
      <c r="R241" s="8" t="str">
        <f t="shared" si="8"/>
        <v/>
      </c>
      <c r="S241" s="82" t="str">
        <f t="shared" si="9"/>
        <v/>
      </c>
    </row>
    <row r="242" spans="18:19" x14ac:dyDescent="0.25">
      <c r="R242" s="8" t="str">
        <f t="shared" si="8"/>
        <v/>
      </c>
      <c r="S242" s="82" t="str">
        <f t="shared" si="9"/>
        <v/>
      </c>
    </row>
    <row r="243" spans="18:19" x14ac:dyDescent="0.25">
      <c r="R243" s="8" t="str">
        <f t="shared" si="8"/>
        <v/>
      </c>
      <c r="S243" s="82" t="str">
        <f t="shared" si="9"/>
        <v/>
      </c>
    </row>
    <row r="244" spans="18:19" x14ac:dyDescent="0.25">
      <c r="R244" s="8" t="str">
        <f t="shared" si="8"/>
        <v/>
      </c>
      <c r="S244" s="82" t="str">
        <f t="shared" si="9"/>
        <v/>
      </c>
    </row>
    <row r="245" spans="18:19" x14ac:dyDescent="0.25">
      <c r="R245" s="8" t="str">
        <f t="shared" si="8"/>
        <v/>
      </c>
      <c r="S245" s="82" t="str">
        <f t="shared" si="9"/>
        <v/>
      </c>
    </row>
    <row r="246" spans="18:19" x14ac:dyDescent="0.25">
      <c r="R246" s="8" t="str">
        <f t="shared" si="8"/>
        <v/>
      </c>
      <c r="S246" s="82" t="str">
        <f t="shared" si="9"/>
        <v/>
      </c>
    </row>
    <row r="247" spans="18:19" x14ac:dyDescent="0.25">
      <c r="R247" s="8" t="str">
        <f t="shared" si="8"/>
        <v/>
      </c>
      <c r="S247" s="82" t="str">
        <f t="shared" si="9"/>
        <v/>
      </c>
    </row>
    <row r="248" spans="18:19" x14ac:dyDescent="0.25">
      <c r="R248" s="8" t="str">
        <f t="shared" si="8"/>
        <v/>
      </c>
      <c r="S248" s="82" t="str">
        <f t="shared" si="9"/>
        <v/>
      </c>
    </row>
    <row r="249" spans="18:19" x14ac:dyDescent="0.25">
      <c r="R249" s="8" t="str">
        <f t="shared" si="8"/>
        <v/>
      </c>
      <c r="S249" s="82" t="str">
        <f t="shared" si="9"/>
        <v/>
      </c>
    </row>
    <row r="250" spans="18:19" x14ac:dyDescent="0.25">
      <c r="R250" s="8" t="str">
        <f t="shared" si="8"/>
        <v/>
      </c>
      <c r="S250" s="82" t="str">
        <f t="shared" si="9"/>
        <v/>
      </c>
    </row>
    <row r="251" spans="18:19" x14ac:dyDescent="0.25">
      <c r="R251" s="8" t="str">
        <f t="shared" si="8"/>
        <v/>
      </c>
      <c r="S251" s="82" t="str">
        <f t="shared" si="9"/>
        <v/>
      </c>
    </row>
    <row r="252" spans="18:19" x14ac:dyDescent="0.25">
      <c r="R252" s="8" t="str">
        <f t="shared" si="8"/>
        <v/>
      </c>
      <c r="S252" s="82" t="str">
        <f t="shared" si="9"/>
        <v/>
      </c>
    </row>
    <row r="253" spans="18:19" x14ac:dyDescent="0.25">
      <c r="R253" s="8" t="str">
        <f t="shared" si="8"/>
        <v/>
      </c>
      <c r="S253" s="82" t="str">
        <f t="shared" si="9"/>
        <v/>
      </c>
    </row>
    <row r="254" spans="18:19" x14ac:dyDescent="0.25">
      <c r="R254" s="8" t="str">
        <f t="shared" si="8"/>
        <v/>
      </c>
      <c r="S254" s="82" t="str">
        <f t="shared" si="9"/>
        <v/>
      </c>
    </row>
    <row r="255" spans="18:19" x14ac:dyDescent="0.25">
      <c r="R255" s="8" t="str">
        <f t="shared" si="8"/>
        <v/>
      </c>
      <c r="S255" s="82" t="str">
        <f t="shared" si="9"/>
        <v/>
      </c>
    </row>
    <row r="256" spans="18:19" x14ac:dyDescent="0.25">
      <c r="R256" s="8" t="str">
        <f t="shared" si="8"/>
        <v/>
      </c>
      <c r="S256" s="82" t="str">
        <f t="shared" si="9"/>
        <v/>
      </c>
    </row>
    <row r="257" spans="18:19" x14ac:dyDescent="0.25">
      <c r="R257" s="8" t="str">
        <f t="shared" si="8"/>
        <v/>
      </c>
      <c r="S257" s="82" t="str">
        <f t="shared" si="9"/>
        <v/>
      </c>
    </row>
    <row r="258" spans="18:19" x14ac:dyDescent="0.25">
      <c r="R258" s="8" t="str">
        <f t="shared" si="8"/>
        <v/>
      </c>
      <c r="S258" s="82" t="str">
        <f t="shared" si="9"/>
        <v/>
      </c>
    </row>
    <row r="259" spans="18:19" x14ac:dyDescent="0.25">
      <c r="R259" s="8" t="str">
        <f t="shared" si="8"/>
        <v/>
      </c>
      <c r="S259" s="82" t="str">
        <f t="shared" si="9"/>
        <v/>
      </c>
    </row>
    <row r="260" spans="18:19" x14ac:dyDescent="0.25">
      <c r="R260" s="8" t="str">
        <f t="shared" si="8"/>
        <v/>
      </c>
      <c r="S260" s="82" t="str">
        <f t="shared" si="9"/>
        <v/>
      </c>
    </row>
    <row r="261" spans="18:19" x14ac:dyDescent="0.25">
      <c r="R261" s="8" t="str">
        <f t="shared" si="8"/>
        <v/>
      </c>
      <c r="S261" s="82" t="str">
        <f t="shared" si="9"/>
        <v/>
      </c>
    </row>
    <row r="262" spans="18:19" x14ac:dyDescent="0.25">
      <c r="R262" s="8" t="str">
        <f t="shared" si="8"/>
        <v/>
      </c>
      <c r="S262" s="82" t="str">
        <f t="shared" si="9"/>
        <v/>
      </c>
    </row>
    <row r="263" spans="18:19" x14ac:dyDescent="0.25">
      <c r="R263" s="8" t="str">
        <f t="shared" si="8"/>
        <v/>
      </c>
      <c r="S263" s="82" t="str">
        <f t="shared" si="9"/>
        <v/>
      </c>
    </row>
    <row r="264" spans="18:19" x14ac:dyDescent="0.25">
      <c r="R264" s="8" t="str">
        <f t="shared" si="8"/>
        <v/>
      </c>
      <c r="S264" s="82" t="str">
        <f t="shared" si="9"/>
        <v/>
      </c>
    </row>
    <row r="265" spans="18:19" x14ac:dyDescent="0.25">
      <c r="R265" s="8" t="str">
        <f t="shared" si="8"/>
        <v/>
      </c>
      <c r="S265" s="82" t="str">
        <f t="shared" si="9"/>
        <v/>
      </c>
    </row>
    <row r="266" spans="18:19" x14ac:dyDescent="0.25">
      <c r="R266" s="8" t="str">
        <f t="shared" si="8"/>
        <v/>
      </c>
      <c r="S266" s="82" t="str">
        <f t="shared" si="9"/>
        <v/>
      </c>
    </row>
    <row r="267" spans="18:19" x14ac:dyDescent="0.25">
      <c r="R267" s="8" t="str">
        <f t="shared" si="8"/>
        <v/>
      </c>
      <c r="S267" s="82" t="str">
        <f t="shared" si="9"/>
        <v/>
      </c>
    </row>
    <row r="268" spans="18:19" x14ac:dyDescent="0.25">
      <c r="R268" s="8" t="str">
        <f t="shared" si="8"/>
        <v/>
      </c>
      <c r="S268" s="82" t="str">
        <f t="shared" si="9"/>
        <v/>
      </c>
    </row>
    <row r="269" spans="18:19" x14ac:dyDescent="0.25">
      <c r="R269" s="8" t="str">
        <f t="shared" si="8"/>
        <v/>
      </c>
      <c r="S269" s="82" t="str">
        <f t="shared" si="9"/>
        <v/>
      </c>
    </row>
    <row r="270" spans="18:19" x14ac:dyDescent="0.25">
      <c r="R270" s="8" t="str">
        <f t="shared" si="8"/>
        <v/>
      </c>
      <c r="S270" s="82" t="str">
        <f t="shared" si="9"/>
        <v/>
      </c>
    </row>
    <row r="271" spans="18:19" x14ac:dyDescent="0.25">
      <c r="R271" s="8" t="str">
        <f t="shared" si="8"/>
        <v/>
      </c>
      <c r="S271" s="82" t="str">
        <f t="shared" si="9"/>
        <v/>
      </c>
    </row>
    <row r="272" spans="18:19" x14ac:dyDescent="0.25">
      <c r="R272" s="8" t="str">
        <f t="shared" si="8"/>
        <v/>
      </c>
      <c r="S272" s="82" t="str">
        <f t="shared" si="9"/>
        <v/>
      </c>
    </row>
    <row r="273" spans="18:19" x14ac:dyDescent="0.25">
      <c r="R273" s="8" t="str">
        <f t="shared" si="8"/>
        <v/>
      </c>
      <c r="S273" s="82" t="str">
        <f t="shared" si="9"/>
        <v/>
      </c>
    </row>
    <row r="274" spans="18:19" x14ac:dyDescent="0.25">
      <c r="R274" s="8" t="str">
        <f t="shared" si="8"/>
        <v/>
      </c>
      <c r="S274" s="82" t="str">
        <f t="shared" si="9"/>
        <v/>
      </c>
    </row>
    <row r="275" spans="18:19" x14ac:dyDescent="0.25">
      <c r="R275" s="8" t="str">
        <f t="shared" si="8"/>
        <v/>
      </c>
      <c r="S275" s="82" t="str">
        <f t="shared" si="9"/>
        <v/>
      </c>
    </row>
    <row r="276" spans="18:19" x14ac:dyDescent="0.25">
      <c r="R276" s="8" t="str">
        <f t="shared" si="8"/>
        <v/>
      </c>
      <c r="S276" s="82" t="str">
        <f t="shared" si="9"/>
        <v/>
      </c>
    </row>
    <row r="277" spans="18:19" x14ac:dyDescent="0.25">
      <c r="R277" s="8" t="str">
        <f t="shared" si="8"/>
        <v/>
      </c>
      <c r="S277" s="82" t="str">
        <f t="shared" si="9"/>
        <v/>
      </c>
    </row>
    <row r="278" spans="18:19" x14ac:dyDescent="0.25">
      <c r="R278" s="8" t="str">
        <f t="shared" ref="R278:R341" si="10">IF(A278="",(""),(MONTH(A278)))</f>
        <v/>
      </c>
      <c r="S278" s="82" t="str">
        <f t="shared" ref="S278:S341" si="11">IF(O278&gt;0,(Q278-O278),(IF(K278="USD",(Q278*J278),((IF(B278="",(""),(SUMIF(B278,"11 - Factura C",(Q278))-SUMIF(B278,"13 - Nota de Crédito C",(Q278))+SUMIF(B278,"15 - Recibo C",(Q278))+SUMIF(B278,"109 - Tique C",(Q278)))))))))</f>
        <v/>
      </c>
    </row>
    <row r="279" spans="18:19" x14ac:dyDescent="0.25">
      <c r="R279" s="8" t="str">
        <f t="shared" si="10"/>
        <v/>
      </c>
      <c r="S279" s="82" t="str">
        <f t="shared" si="11"/>
        <v/>
      </c>
    </row>
    <row r="280" spans="18:19" x14ac:dyDescent="0.25">
      <c r="R280" s="8" t="str">
        <f t="shared" si="10"/>
        <v/>
      </c>
      <c r="S280" s="82" t="str">
        <f t="shared" si="11"/>
        <v/>
      </c>
    </row>
    <row r="281" spans="18:19" x14ac:dyDescent="0.25">
      <c r="R281" s="8" t="str">
        <f t="shared" si="10"/>
        <v/>
      </c>
      <c r="S281" s="82" t="str">
        <f t="shared" si="11"/>
        <v/>
      </c>
    </row>
    <row r="282" spans="18:19" x14ac:dyDescent="0.25">
      <c r="R282" s="8" t="str">
        <f t="shared" si="10"/>
        <v/>
      </c>
      <c r="S282" s="82" t="str">
        <f t="shared" si="11"/>
        <v/>
      </c>
    </row>
    <row r="283" spans="18:19" x14ac:dyDescent="0.25">
      <c r="R283" s="8" t="str">
        <f t="shared" si="10"/>
        <v/>
      </c>
      <c r="S283" s="82" t="str">
        <f t="shared" si="11"/>
        <v/>
      </c>
    </row>
    <row r="284" spans="18:19" x14ac:dyDescent="0.25">
      <c r="R284" s="8" t="str">
        <f t="shared" si="10"/>
        <v/>
      </c>
      <c r="S284" s="82" t="str">
        <f t="shared" si="11"/>
        <v/>
      </c>
    </row>
    <row r="285" spans="18:19" x14ac:dyDescent="0.25">
      <c r="R285" s="8" t="str">
        <f t="shared" si="10"/>
        <v/>
      </c>
      <c r="S285" s="82" t="str">
        <f t="shared" si="11"/>
        <v/>
      </c>
    </row>
    <row r="286" spans="18:19" x14ac:dyDescent="0.25">
      <c r="R286" s="8" t="str">
        <f t="shared" si="10"/>
        <v/>
      </c>
      <c r="S286" s="82" t="str">
        <f t="shared" si="11"/>
        <v/>
      </c>
    </row>
    <row r="287" spans="18:19" x14ac:dyDescent="0.25">
      <c r="R287" s="8" t="str">
        <f t="shared" si="10"/>
        <v/>
      </c>
      <c r="S287" s="82" t="str">
        <f t="shared" si="11"/>
        <v/>
      </c>
    </row>
    <row r="288" spans="18:19" x14ac:dyDescent="0.25">
      <c r="R288" s="8" t="str">
        <f t="shared" si="10"/>
        <v/>
      </c>
      <c r="S288" s="82" t="str">
        <f t="shared" si="11"/>
        <v/>
      </c>
    </row>
    <row r="289" spans="18:19" x14ac:dyDescent="0.25">
      <c r="R289" s="8" t="str">
        <f t="shared" si="10"/>
        <v/>
      </c>
      <c r="S289" s="82" t="str">
        <f t="shared" si="11"/>
        <v/>
      </c>
    </row>
    <row r="290" spans="18:19" x14ac:dyDescent="0.25">
      <c r="R290" s="8" t="str">
        <f t="shared" si="10"/>
        <v/>
      </c>
      <c r="S290" s="82" t="str">
        <f t="shared" si="11"/>
        <v/>
      </c>
    </row>
    <row r="291" spans="18:19" x14ac:dyDescent="0.25">
      <c r="R291" s="8" t="str">
        <f t="shared" si="10"/>
        <v/>
      </c>
      <c r="S291" s="82" t="str">
        <f t="shared" si="11"/>
        <v/>
      </c>
    </row>
    <row r="292" spans="18:19" x14ac:dyDescent="0.25">
      <c r="R292" s="8" t="str">
        <f t="shared" si="10"/>
        <v/>
      </c>
      <c r="S292" s="82" t="str">
        <f t="shared" si="11"/>
        <v/>
      </c>
    </row>
    <row r="293" spans="18:19" x14ac:dyDescent="0.25">
      <c r="R293" s="8" t="str">
        <f t="shared" si="10"/>
        <v/>
      </c>
      <c r="S293" s="82" t="str">
        <f t="shared" si="11"/>
        <v/>
      </c>
    </row>
    <row r="294" spans="18:19" x14ac:dyDescent="0.25">
      <c r="R294" s="8" t="str">
        <f t="shared" si="10"/>
        <v/>
      </c>
      <c r="S294" s="82" t="str">
        <f t="shared" si="11"/>
        <v/>
      </c>
    </row>
    <row r="295" spans="18:19" x14ac:dyDescent="0.25">
      <c r="R295" s="8" t="str">
        <f t="shared" si="10"/>
        <v/>
      </c>
      <c r="S295" s="82" t="str">
        <f t="shared" si="11"/>
        <v/>
      </c>
    </row>
    <row r="296" spans="18:19" x14ac:dyDescent="0.25">
      <c r="R296" s="8" t="str">
        <f t="shared" si="10"/>
        <v/>
      </c>
      <c r="S296" s="82" t="str">
        <f t="shared" si="11"/>
        <v/>
      </c>
    </row>
    <row r="297" spans="18:19" x14ac:dyDescent="0.25">
      <c r="R297" s="8" t="str">
        <f t="shared" si="10"/>
        <v/>
      </c>
      <c r="S297" s="82" t="str">
        <f t="shared" si="11"/>
        <v/>
      </c>
    </row>
    <row r="298" spans="18:19" x14ac:dyDescent="0.25">
      <c r="R298" s="8" t="str">
        <f t="shared" si="10"/>
        <v/>
      </c>
      <c r="S298" s="82" t="str">
        <f t="shared" si="11"/>
        <v/>
      </c>
    </row>
    <row r="299" spans="18:19" x14ac:dyDescent="0.25">
      <c r="R299" s="8" t="str">
        <f t="shared" si="10"/>
        <v/>
      </c>
      <c r="S299" s="82" t="str">
        <f t="shared" si="11"/>
        <v/>
      </c>
    </row>
    <row r="300" spans="18:19" x14ac:dyDescent="0.25">
      <c r="R300" s="8" t="str">
        <f t="shared" si="10"/>
        <v/>
      </c>
      <c r="S300" s="82" t="str">
        <f t="shared" si="11"/>
        <v/>
      </c>
    </row>
    <row r="301" spans="18:19" x14ac:dyDescent="0.25">
      <c r="R301" s="8" t="str">
        <f t="shared" si="10"/>
        <v/>
      </c>
      <c r="S301" s="82" t="str">
        <f t="shared" si="11"/>
        <v/>
      </c>
    </row>
    <row r="302" spans="18:19" x14ac:dyDescent="0.25">
      <c r="R302" s="8" t="str">
        <f t="shared" si="10"/>
        <v/>
      </c>
      <c r="S302" s="82" t="str">
        <f t="shared" si="11"/>
        <v/>
      </c>
    </row>
    <row r="303" spans="18:19" x14ac:dyDescent="0.25">
      <c r="R303" s="8" t="str">
        <f t="shared" si="10"/>
        <v/>
      </c>
      <c r="S303" s="82" t="str">
        <f t="shared" si="11"/>
        <v/>
      </c>
    </row>
    <row r="304" spans="18:19" x14ac:dyDescent="0.25">
      <c r="R304" s="8" t="str">
        <f t="shared" si="10"/>
        <v/>
      </c>
      <c r="S304" s="82" t="str">
        <f t="shared" si="11"/>
        <v/>
      </c>
    </row>
    <row r="305" spans="18:19" x14ac:dyDescent="0.25">
      <c r="R305" s="8" t="str">
        <f t="shared" si="10"/>
        <v/>
      </c>
      <c r="S305" s="82" t="str">
        <f t="shared" si="11"/>
        <v/>
      </c>
    </row>
    <row r="306" spans="18:19" x14ac:dyDescent="0.25">
      <c r="R306" s="8" t="str">
        <f t="shared" si="10"/>
        <v/>
      </c>
      <c r="S306" s="82" t="str">
        <f t="shared" si="11"/>
        <v/>
      </c>
    </row>
    <row r="307" spans="18:19" x14ac:dyDescent="0.25">
      <c r="R307" s="8" t="str">
        <f t="shared" si="10"/>
        <v/>
      </c>
      <c r="S307" s="82" t="str">
        <f t="shared" si="11"/>
        <v/>
      </c>
    </row>
    <row r="308" spans="18:19" x14ac:dyDescent="0.25">
      <c r="R308" s="8" t="str">
        <f t="shared" si="10"/>
        <v/>
      </c>
      <c r="S308" s="82" t="str">
        <f t="shared" si="11"/>
        <v/>
      </c>
    </row>
    <row r="309" spans="18:19" x14ac:dyDescent="0.25">
      <c r="R309" s="8" t="str">
        <f t="shared" si="10"/>
        <v/>
      </c>
      <c r="S309" s="82" t="str">
        <f t="shared" si="11"/>
        <v/>
      </c>
    </row>
    <row r="310" spans="18:19" x14ac:dyDescent="0.25">
      <c r="R310" s="8" t="str">
        <f t="shared" si="10"/>
        <v/>
      </c>
      <c r="S310" s="82" t="str">
        <f t="shared" si="11"/>
        <v/>
      </c>
    </row>
    <row r="311" spans="18:19" x14ac:dyDescent="0.25">
      <c r="R311" s="8" t="str">
        <f t="shared" si="10"/>
        <v/>
      </c>
      <c r="S311" s="82" t="str">
        <f t="shared" si="11"/>
        <v/>
      </c>
    </row>
    <row r="312" spans="18:19" x14ac:dyDescent="0.25">
      <c r="R312" s="8" t="str">
        <f t="shared" si="10"/>
        <v/>
      </c>
      <c r="S312" s="82" t="str">
        <f t="shared" si="11"/>
        <v/>
      </c>
    </row>
    <row r="313" spans="18:19" x14ac:dyDescent="0.25">
      <c r="R313" s="8" t="str">
        <f t="shared" si="10"/>
        <v/>
      </c>
      <c r="S313" s="82" t="str">
        <f t="shared" si="11"/>
        <v/>
      </c>
    </row>
    <row r="314" spans="18:19" x14ac:dyDescent="0.25">
      <c r="R314" s="8" t="str">
        <f t="shared" si="10"/>
        <v/>
      </c>
      <c r="S314" s="82" t="str">
        <f t="shared" si="11"/>
        <v/>
      </c>
    </row>
    <row r="315" spans="18:19" x14ac:dyDescent="0.25">
      <c r="R315" s="8" t="str">
        <f t="shared" si="10"/>
        <v/>
      </c>
      <c r="S315" s="82" t="str">
        <f t="shared" si="11"/>
        <v/>
      </c>
    </row>
    <row r="316" spans="18:19" x14ac:dyDescent="0.25">
      <c r="R316" s="8" t="str">
        <f t="shared" si="10"/>
        <v/>
      </c>
      <c r="S316" s="82" t="str">
        <f t="shared" si="11"/>
        <v/>
      </c>
    </row>
    <row r="317" spans="18:19" x14ac:dyDescent="0.25">
      <c r="R317" s="8" t="str">
        <f t="shared" si="10"/>
        <v/>
      </c>
      <c r="S317" s="82" t="str">
        <f t="shared" si="11"/>
        <v/>
      </c>
    </row>
    <row r="318" spans="18:19" x14ac:dyDescent="0.25">
      <c r="R318" s="8" t="str">
        <f t="shared" si="10"/>
        <v/>
      </c>
      <c r="S318" s="82" t="str">
        <f t="shared" si="11"/>
        <v/>
      </c>
    </row>
    <row r="319" spans="18:19" x14ac:dyDescent="0.25">
      <c r="R319" s="8" t="str">
        <f t="shared" si="10"/>
        <v/>
      </c>
      <c r="S319" s="82" t="str">
        <f t="shared" si="11"/>
        <v/>
      </c>
    </row>
    <row r="320" spans="18:19" x14ac:dyDescent="0.25">
      <c r="R320" s="8" t="str">
        <f t="shared" si="10"/>
        <v/>
      </c>
      <c r="S320" s="82" t="str">
        <f t="shared" si="11"/>
        <v/>
      </c>
    </row>
    <row r="321" spans="18:19" x14ac:dyDescent="0.25">
      <c r="R321" s="8" t="str">
        <f t="shared" si="10"/>
        <v/>
      </c>
      <c r="S321" s="82" t="str">
        <f t="shared" si="11"/>
        <v/>
      </c>
    </row>
    <row r="322" spans="18:19" x14ac:dyDescent="0.25">
      <c r="R322" s="8" t="str">
        <f t="shared" si="10"/>
        <v/>
      </c>
      <c r="S322" s="82" t="str">
        <f t="shared" si="11"/>
        <v/>
      </c>
    </row>
    <row r="323" spans="18:19" x14ac:dyDescent="0.25">
      <c r="R323" s="8" t="str">
        <f t="shared" si="10"/>
        <v/>
      </c>
      <c r="S323" s="82" t="str">
        <f t="shared" si="11"/>
        <v/>
      </c>
    </row>
    <row r="324" spans="18:19" x14ac:dyDescent="0.25">
      <c r="R324" s="8" t="str">
        <f t="shared" si="10"/>
        <v/>
      </c>
      <c r="S324" s="82" t="str">
        <f t="shared" si="11"/>
        <v/>
      </c>
    </row>
    <row r="325" spans="18:19" x14ac:dyDescent="0.25">
      <c r="R325" s="8" t="str">
        <f t="shared" si="10"/>
        <v/>
      </c>
      <c r="S325" s="82" t="str">
        <f t="shared" si="11"/>
        <v/>
      </c>
    </row>
    <row r="326" spans="18:19" x14ac:dyDescent="0.25">
      <c r="R326" s="8" t="str">
        <f t="shared" si="10"/>
        <v/>
      </c>
      <c r="S326" s="82" t="str">
        <f t="shared" si="11"/>
        <v/>
      </c>
    </row>
    <row r="327" spans="18:19" x14ac:dyDescent="0.25">
      <c r="R327" s="8" t="str">
        <f t="shared" si="10"/>
        <v/>
      </c>
      <c r="S327" s="82" t="str">
        <f t="shared" si="11"/>
        <v/>
      </c>
    </row>
    <row r="328" spans="18:19" x14ac:dyDescent="0.25">
      <c r="R328" s="8" t="str">
        <f t="shared" si="10"/>
        <v/>
      </c>
      <c r="S328" s="82" t="str">
        <f t="shared" si="11"/>
        <v/>
      </c>
    </row>
    <row r="329" spans="18:19" x14ac:dyDescent="0.25">
      <c r="R329" s="8" t="str">
        <f t="shared" si="10"/>
        <v/>
      </c>
      <c r="S329" s="82" t="str">
        <f t="shared" si="11"/>
        <v/>
      </c>
    </row>
    <row r="330" spans="18:19" x14ac:dyDescent="0.25">
      <c r="R330" s="8" t="str">
        <f t="shared" si="10"/>
        <v/>
      </c>
      <c r="S330" s="82" t="str">
        <f t="shared" si="11"/>
        <v/>
      </c>
    </row>
    <row r="331" spans="18:19" x14ac:dyDescent="0.25">
      <c r="R331" s="8" t="str">
        <f t="shared" si="10"/>
        <v/>
      </c>
      <c r="S331" s="82" t="str">
        <f t="shared" si="11"/>
        <v/>
      </c>
    </row>
    <row r="332" spans="18:19" x14ac:dyDescent="0.25">
      <c r="R332" s="8" t="str">
        <f t="shared" si="10"/>
        <v/>
      </c>
      <c r="S332" s="82" t="str">
        <f t="shared" si="11"/>
        <v/>
      </c>
    </row>
    <row r="333" spans="18:19" x14ac:dyDescent="0.25">
      <c r="R333" s="8" t="str">
        <f t="shared" si="10"/>
        <v/>
      </c>
      <c r="S333" s="82" t="str">
        <f t="shared" si="11"/>
        <v/>
      </c>
    </row>
    <row r="334" spans="18:19" x14ac:dyDescent="0.25">
      <c r="R334" s="8" t="str">
        <f t="shared" si="10"/>
        <v/>
      </c>
      <c r="S334" s="82" t="str">
        <f t="shared" si="11"/>
        <v/>
      </c>
    </row>
    <row r="335" spans="18:19" x14ac:dyDescent="0.25">
      <c r="R335" s="8" t="str">
        <f t="shared" si="10"/>
        <v/>
      </c>
      <c r="S335" s="82" t="str">
        <f t="shared" si="11"/>
        <v/>
      </c>
    </row>
    <row r="336" spans="18:19" x14ac:dyDescent="0.25">
      <c r="R336" s="8" t="str">
        <f t="shared" si="10"/>
        <v/>
      </c>
      <c r="S336" s="82" t="str">
        <f t="shared" si="11"/>
        <v/>
      </c>
    </row>
    <row r="337" spans="18:19" x14ac:dyDescent="0.25">
      <c r="R337" s="8" t="str">
        <f t="shared" si="10"/>
        <v/>
      </c>
      <c r="S337" s="82" t="str">
        <f t="shared" si="11"/>
        <v/>
      </c>
    </row>
    <row r="338" spans="18:19" x14ac:dyDescent="0.25">
      <c r="R338" s="8" t="str">
        <f t="shared" si="10"/>
        <v/>
      </c>
      <c r="S338" s="82" t="str">
        <f t="shared" si="11"/>
        <v/>
      </c>
    </row>
    <row r="339" spans="18:19" x14ac:dyDescent="0.25">
      <c r="R339" s="8" t="str">
        <f t="shared" si="10"/>
        <v/>
      </c>
      <c r="S339" s="82" t="str">
        <f t="shared" si="11"/>
        <v/>
      </c>
    </row>
    <row r="340" spans="18:19" x14ac:dyDescent="0.25">
      <c r="R340" s="8" t="str">
        <f t="shared" si="10"/>
        <v/>
      </c>
      <c r="S340" s="82" t="str">
        <f t="shared" si="11"/>
        <v/>
      </c>
    </row>
    <row r="341" spans="18:19" x14ac:dyDescent="0.25">
      <c r="R341" s="8" t="str">
        <f t="shared" si="10"/>
        <v/>
      </c>
      <c r="S341" s="82" t="str">
        <f t="shared" si="11"/>
        <v/>
      </c>
    </row>
    <row r="342" spans="18:19" x14ac:dyDescent="0.25">
      <c r="R342" s="8" t="str">
        <f t="shared" ref="R342:R405" si="12">IF(A342="",(""),(MONTH(A342)))</f>
        <v/>
      </c>
      <c r="S342" s="82" t="str">
        <f t="shared" ref="S342:S405" si="13">IF(O342&gt;0,(Q342-O342),(IF(K342="USD",(Q342*J342),((IF(B342="",(""),(SUMIF(B342,"11 - Factura C",(Q342))-SUMIF(B342,"13 - Nota de Crédito C",(Q342))+SUMIF(B342,"15 - Recibo C",(Q342))+SUMIF(B342,"109 - Tique C",(Q342)))))))))</f>
        <v/>
      </c>
    </row>
    <row r="343" spans="18:19" x14ac:dyDescent="0.25">
      <c r="R343" s="8" t="str">
        <f t="shared" si="12"/>
        <v/>
      </c>
      <c r="S343" s="82" t="str">
        <f t="shared" si="13"/>
        <v/>
      </c>
    </row>
    <row r="344" spans="18:19" x14ac:dyDescent="0.25">
      <c r="R344" s="8" t="str">
        <f t="shared" si="12"/>
        <v/>
      </c>
      <c r="S344" s="82" t="str">
        <f t="shared" si="13"/>
        <v/>
      </c>
    </row>
    <row r="345" spans="18:19" x14ac:dyDescent="0.25">
      <c r="R345" s="8" t="str">
        <f t="shared" si="12"/>
        <v/>
      </c>
      <c r="S345" s="82" t="str">
        <f t="shared" si="13"/>
        <v/>
      </c>
    </row>
    <row r="346" spans="18:19" x14ac:dyDescent="0.25">
      <c r="R346" s="8" t="str">
        <f t="shared" si="12"/>
        <v/>
      </c>
      <c r="S346" s="82" t="str">
        <f t="shared" si="13"/>
        <v/>
      </c>
    </row>
    <row r="347" spans="18:19" x14ac:dyDescent="0.25">
      <c r="R347" s="8" t="str">
        <f t="shared" si="12"/>
        <v/>
      </c>
      <c r="S347" s="82" t="str">
        <f t="shared" si="13"/>
        <v/>
      </c>
    </row>
    <row r="348" spans="18:19" x14ac:dyDescent="0.25">
      <c r="R348" s="8" t="str">
        <f t="shared" si="12"/>
        <v/>
      </c>
      <c r="S348" s="82" t="str">
        <f t="shared" si="13"/>
        <v/>
      </c>
    </row>
    <row r="349" spans="18:19" x14ac:dyDescent="0.25">
      <c r="R349" s="8" t="str">
        <f t="shared" si="12"/>
        <v/>
      </c>
      <c r="S349" s="82" t="str">
        <f t="shared" si="13"/>
        <v/>
      </c>
    </row>
    <row r="350" spans="18:19" x14ac:dyDescent="0.25">
      <c r="R350" s="8" t="str">
        <f t="shared" si="12"/>
        <v/>
      </c>
      <c r="S350" s="82" t="str">
        <f t="shared" si="13"/>
        <v/>
      </c>
    </row>
    <row r="351" spans="18:19" x14ac:dyDescent="0.25">
      <c r="R351" s="8" t="str">
        <f t="shared" si="12"/>
        <v/>
      </c>
      <c r="S351" s="82" t="str">
        <f t="shared" si="13"/>
        <v/>
      </c>
    </row>
    <row r="352" spans="18:19" x14ac:dyDescent="0.25">
      <c r="R352" s="8" t="str">
        <f t="shared" si="12"/>
        <v/>
      </c>
      <c r="S352" s="82" t="str">
        <f t="shared" si="13"/>
        <v/>
      </c>
    </row>
    <row r="353" spans="18:19" x14ac:dyDescent="0.25">
      <c r="R353" s="8" t="str">
        <f t="shared" si="12"/>
        <v/>
      </c>
      <c r="S353" s="82" t="str">
        <f t="shared" si="13"/>
        <v/>
      </c>
    </row>
    <row r="354" spans="18:19" x14ac:dyDescent="0.25">
      <c r="R354" s="8" t="str">
        <f t="shared" si="12"/>
        <v/>
      </c>
      <c r="S354" s="82" t="str">
        <f t="shared" si="13"/>
        <v/>
      </c>
    </row>
    <row r="355" spans="18:19" x14ac:dyDescent="0.25">
      <c r="R355" s="8" t="str">
        <f t="shared" si="12"/>
        <v/>
      </c>
      <c r="S355" s="82" t="str">
        <f t="shared" si="13"/>
        <v/>
      </c>
    </row>
    <row r="356" spans="18:19" x14ac:dyDescent="0.25">
      <c r="R356" s="8" t="str">
        <f t="shared" si="12"/>
        <v/>
      </c>
      <c r="S356" s="82" t="str">
        <f t="shared" si="13"/>
        <v/>
      </c>
    </row>
    <row r="357" spans="18:19" x14ac:dyDescent="0.25">
      <c r="R357" s="8" t="str">
        <f t="shared" si="12"/>
        <v/>
      </c>
      <c r="S357" s="82" t="str">
        <f t="shared" si="13"/>
        <v/>
      </c>
    </row>
    <row r="358" spans="18:19" x14ac:dyDescent="0.25">
      <c r="R358" s="8" t="str">
        <f t="shared" si="12"/>
        <v/>
      </c>
      <c r="S358" s="82" t="str">
        <f t="shared" si="13"/>
        <v/>
      </c>
    </row>
    <row r="359" spans="18:19" x14ac:dyDescent="0.25">
      <c r="R359" s="8" t="str">
        <f t="shared" si="12"/>
        <v/>
      </c>
      <c r="S359" s="82" t="str">
        <f t="shared" si="13"/>
        <v/>
      </c>
    </row>
    <row r="360" spans="18:19" x14ac:dyDescent="0.25">
      <c r="R360" s="8" t="str">
        <f t="shared" si="12"/>
        <v/>
      </c>
      <c r="S360" s="82" t="str">
        <f t="shared" si="13"/>
        <v/>
      </c>
    </row>
    <row r="361" spans="18:19" x14ac:dyDescent="0.25">
      <c r="R361" s="8" t="str">
        <f t="shared" si="12"/>
        <v/>
      </c>
      <c r="S361" s="82" t="str">
        <f t="shared" si="13"/>
        <v/>
      </c>
    </row>
    <row r="362" spans="18:19" x14ac:dyDescent="0.25">
      <c r="R362" s="8" t="str">
        <f t="shared" si="12"/>
        <v/>
      </c>
      <c r="S362" s="82" t="str">
        <f t="shared" si="13"/>
        <v/>
      </c>
    </row>
    <row r="363" spans="18:19" x14ac:dyDescent="0.25">
      <c r="R363" s="8" t="str">
        <f t="shared" si="12"/>
        <v/>
      </c>
      <c r="S363" s="82" t="str">
        <f t="shared" si="13"/>
        <v/>
      </c>
    </row>
    <row r="364" spans="18:19" x14ac:dyDescent="0.25">
      <c r="R364" s="8" t="str">
        <f t="shared" si="12"/>
        <v/>
      </c>
      <c r="S364" s="82" t="str">
        <f t="shared" si="13"/>
        <v/>
      </c>
    </row>
    <row r="365" spans="18:19" x14ac:dyDescent="0.25">
      <c r="R365" s="8" t="str">
        <f t="shared" si="12"/>
        <v/>
      </c>
      <c r="S365" s="82" t="str">
        <f t="shared" si="13"/>
        <v/>
      </c>
    </row>
    <row r="366" spans="18:19" x14ac:dyDescent="0.25">
      <c r="R366" s="8" t="str">
        <f t="shared" si="12"/>
        <v/>
      </c>
      <c r="S366" s="82" t="str">
        <f t="shared" si="13"/>
        <v/>
      </c>
    </row>
    <row r="367" spans="18:19" x14ac:dyDescent="0.25">
      <c r="R367" s="8" t="str">
        <f t="shared" si="12"/>
        <v/>
      </c>
      <c r="S367" s="82" t="str">
        <f t="shared" si="13"/>
        <v/>
      </c>
    </row>
    <row r="368" spans="18:19" x14ac:dyDescent="0.25">
      <c r="R368" s="8" t="str">
        <f t="shared" si="12"/>
        <v/>
      </c>
      <c r="S368" s="82" t="str">
        <f t="shared" si="13"/>
        <v/>
      </c>
    </row>
    <row r="369" spans="18:19" x14ac:dyDescent="0.25">
      <c r="R369" s="8" t="str">
        <f t="shared" si="12"/>
        <v/>
      </c>
      <c r="S369" s="82" t="str">
        <f t="shared" si="13"/>
        <v/>
      </c>
    </row>
    <row r="370" spans="18:19" x14ac:dyDescent="0.25">
      <c r="R370" s="8" t="str">
        <f t="shared" si="12"/>
        <v/>
      </c>
      <c r="S370" s="82" t="str">
        <f t="shared" si="13"/>
        <v/>
      </c>
    </row>
    <row r="371" spans="18:19" x14ac:dyDescent="0.25">
      <c r="R371" s="8" t="str">
        <f t="shared" si="12"/>
        <v/>
      </c>
      <c r="S371" s="82" t="str">
        <f t="shared" si="13"/>
        <v/>
      </c>
    </row>
    <row r="372" spans="18:19" x14ac:dyDescent="0.25">
      <c r="R372" s="8" t="str">
        <f t="shared" si="12"/>
        <v/>
      </c>
      <c r="S372" s="82" t="str">
        <f t="shared" si="13"/>
        <v/>
      </c>
    </row>
    <row r="373" spans="18:19" x14ac:dyDescent="0.25">
      <c r="R373" s="8" t="str">
        <f t="shared" si="12"/>
        <v/>
      </c>
      <c r="S373" s="82" t="str">
        <f t="shared" si="13"/>
        <v/>
      </c>
    </row>
    <row r="374" spans="18:19" x14ac:dyDescent="0.25">
      <c r="R374" s="8" t="str">
        <f t="shared" si="12"/>
        <v/>
      </c>
      <c r="S374" s="82" t="str">
        <f t="shared" si="13"/>
        <v/>
      </c>
    </row>
    <row r="375" spans="18:19" x14ac:dyDescent="0.25">
      <c r="R375" s="8" t="str">
        <f t="shared" si="12"/>
        <v/>
      </c>
      <c r="S375" s="82" t="str">
        <f t="shared" si="13"/>
        <v/>
      </c>
    </row>
    <row r="376" spans="18:19" x14ac:dyDescent="0.25">
      <c r="R376" s="8" t="str">
        <f t="shared" si="12"/>
        <v/>
      </c>
      <c r="S376" s="82" t="str">
        <f t="shared" si="13"/>
        <v/>
      </c>
    </row>
    <row r="377" spans="18:19" x14ac:dyDescent="0.25">
      <c r="R377" s="8" t="str">
        <f t="shared" si="12"/>
        <v/>
      </c>
      <c r="S377" s="82" t="str">
        <f t="shared" si="13"/>
        <v/>
      </c>
    </row>
    <row r="378" spans="18:19" x14ac:dyDescent="0.25">
      <c r="R378" s="8" t="str">
        <f t="shared" si="12"/>
        <v/>
      </c>
      <c r="S378" s="82" t="str">
        <f t="shared" si="13"/>
        <v/>
      </c>
    </row>
    <row r="379" spans="18:19" x14ac:dyDescent="0.25">
      <c r="R379" s="8" t="str">
        <f t="shared" si="12"/>
        <v/>
      </c>
      <c r="S379" s="82" t="str">
        <f t="shared" si="13"/>
        <v/>
      </c>
    </row>
    <row r="380" spans="18:19" x14ac:dyDescent="0.25">
      <c r="R380" s="8" t="str">
        <f t="shared" si="12"/>
        <v/>
      </c>
      <c r="S380" s="82" t="str">
        <f t="shared" si="13"/>
        <v/>
      </c>
    </row>
    <row r="381" spans="18:19" x14ac:dyDescent="0.25">
      <c r="R381" s="8" t="str">
        <f t="shared" si="12"/>
        <v/>
      </c>
      <c r="S381" s="82" t="str">
        <f t="shared" si="13"/>
        <v/>
      </c>
    </row>
    <row r="382" spans="18:19" x14ac:dyDescent="0.25">
      <c r="R382" s="8" t="str">
        <f t="shared" si="12"/>
        <v/>
      </c>
      <c r="S382" s="82" t="str">
        <f t="shared" si="13"/>
        <v/>
      </c>
    </row>
    <row r="383" spans="18:19" x14ac:dyDescent="0.25">
      <c r="R383" s="8" t="str">
        <f t="shared" si="12"/>
        <v/>
      </c>
      <c r="S383" s="82" t="str">
        <f t="shared" si="13"/>
        <v/>
      </c>
    </row>
    <row r="384" spans="18:19" x14ac:dyDescent="0.25">
      <c r="R384" s="8" t="str">
        <f t="shared" si="12"/>
        <v/>
      </c>
      <c r="S384" s="82" t="str">
        <f t="shared" si="13"/>
        <v/>
      </c>
    </row>
    <row r="385" spans="18:19" x14ac:dyDescent="0.25">
      <c r="R385" s="8" t="str">
        <f t="shared" si="12"/>
        <v/>
      </c>
      <c r="S385" s="82" t="str">
        <f t="shared" si="13"/>
        <v/>
      </c>
    </row>
    <row r="386" spans="18:19" x14ac:dyDescent="0.25">
      <c r="R386" s="8" t="str">
        <f t="shared" si="12"/>
        <v/>
      </c>
      <c r="S386" s="82" t="str">
        <f t="shared" si="13"/>
        <v/>
      </c>
    </row>
    <row r="387" spans="18:19" x14ac:dyDescent="0.25">
      <c r="R387" s="8" t="str">
        <f t="shared" si="12"/>
        <v/>
      </c>
      <c r="S387" s="82" t="str">
        <f t="shared" si="13"/>
        <v/>
      </c>
    </row>
    <row r="388" spans="18:19" x14ac:dyDescent="0.25">
      <c r="R388" s="8" t="str">
        <f t="shared" si="12"/>
        <v/>
      </c>
      <c r="S388" s="82" t="str">
        <f t="shared" si="13"/>
        <v/>
      </c>
    </row>
    <row r="389" spans="18:19" x14ac:dyDescent="0.25">
      <c r="R389" s="8" t="str">
        <f t="shared" si="12"/>
        <v/>
      </c>
      <c r="S389" s="82" t="str">
        <f t="shared" si="13"/>
        <v/>
      </c>
    </row>
    <row r="390" spans="18:19" x14ac:dyDescent="0.25">
      <c r="R390" s="8" t="str">
        <f t="shared" si="12"/>
        <v/>
      </c>
      <c r="S390" s="82" t="str">
        <f t="shared" si="13"/>
        <v/>
      </c>
    </row>
    <row r="391" spans="18:19" x14ac:dyDescent="0.25">
      <c r="R391" s="8" t="str">
        <f t="shared" si="12"/>
        <v/>
      </c>
      <c r="S391" s="82" t="str">
        <f t="shared" si="13"/>
        <v/>
      </c>
    </row>
    <row r="392" spans="18:19" x14ac:dyDescent="0.25">
      <c r="R392" s="8" t="str">
        <f t="shared" si="12"/>
        <v/>
      </c>
      <c r="S392" s="82" t="str">
        <f t="shared" si="13"/>
        <v/>
      </c>
    </row>
    <row r="393" spans="18:19" x14ac:dyDescent="0.25">
      <c r="R393" s="8" t="str">
        <f t="shared" si="12"/>
        <v/>
      </c>
      <c r="S393" s="82" t="str">
        <f t="shared" si="13"/>
        <v/>
      </c>
    </row>
    <row r="394" spans="18:19" x14ac:dyDescent="0.25">
      <c r="R394" s="8" t="str">
        <f t="shared" si="12"/>
        <v/>
      </c>
      <c r="S394" s="82" t="str">
        <f t="shared" si="13"/>
        <v/>
      </c>
    </row>
    <row r="395" spans="18:19" x14ac:dyDescent="0.25">
      <c r="R395" s="8" t="str">
        <f t="shared" si="12"/>
        <v/>
      </c>
      <c r="S395" s="82" t="str">
        <f t="shared" si="13"/>
        <v/>
      </c>
    </row>
    <row r="396" spans="18:19" x14ac:dyDescent="0.25">
      <c r="R396" s="8" t="str">
        <f t="shared" si="12"/>
        <v/>
      </c>
      <c r="S396" s="82" t="str">
        <f t="shared" si="13"/>
        <v/>
      </c>
    </row>
    <row r="397" spans="18:19" x14ac:dyDescent="0.25">
      <c r="R397" s="8" t="str">
        <f t="shared" si="12"/>
        <v/>
      </c>
      <c r="S397" s="82" t="str">
        <f t="shared" si="13"/>
        <v/>
      </c>
    </row>
    <row r="398" spans="18:19" x14ac:dyDescent="0.25">
      <c r="R398" s="8" t="str">
        <f t="shared" si="12"/>
        <v/>
      </c>
      <c r="S398" s="82" t="str">
        <f t="shared" si="13"/>
        <v/>
      </c>
    </row>
    <row r="399" spans="18:19" x14ac:dyDescent="0.25">
      <c r="R399" s="8" t="str">
        <f t="shared" si="12"/>
        <v/>
      </c>
      <c r="S399" s="82" t="str">
        <f t="shared" si="13"/>
        <v/>
      </c>
    </row>
    <row r="400" spans="18:19" x14ac:dyDescent="0.25">
      <c r="R400" s="8" t="str">
        <f t="shared" si="12"/>
        <v/>
      </c>
      <c r="S400" s="82" t="str">
        <f t="shared" si="13"/>
        <v/>
      </c>
    </row>
    <row r="401" spans="18:19" x14ac:dyDescent="0.25">
      <c r="R401" s="8" t="str">
        <f t="shared" si="12"/>
        <v/>
      </c>
      <c r="S401" s="82" t="str">
        <f t="shared" si="13"/>
        <v/>
      </c>
    </row>
    <row r="402" spans="18:19" x14ac:dyDescent="0.25">
      <c r="R402" s="8" t="str">
        <f t="shared" si="12"/>
        <v/>
      </c>
      <c r="S402" s="82" t="str">
        <f t="shared" si="13"/>
        <v/>
      </c>
    </row>
    <row r="403" spans="18:19" x14ac:dyDescent="0.25">
      <c r="R403" s="8" t="str">
        <f t="shared" si="12"/>
        <v/>
      </c>
      <c r="S403" s="82" t="str">
        <f t="shared" si="13"/>
        <v/>
      </c>
    </row>
    <row r="404" spans="18:19" x14ac:dyDescent="0.25">
      <c r="R404" s="8" t="str">
        <f t="shared" si="12"/>
        <v/>
      </c>
      <c r="S404" s="82" t="str">
        <f t="shared" si="13"/>
        <v/>
      </c>
    </row>
    <row r="405" spans="18:19" x14ac:dyDescent="0.25">
      <c r="R405" s="8" t="str">
        <f t="shared" si="12"/>
        <v/>
      </c>
      <c r="S405" s="82" t="str">
        <f t="shared" si="13"/>
        <v/>
      </c>
    </row>
    <row r="406" spans="18:19" x14ac:dyDescent="0.25">
      <c r="R406" s="8" t="str">
        <f t="shared" ref="R406:R469" si="14">IF(A406="",(""),(MONTH(A406)))</f>
        <v/>
      </c>
      <c r="S406" s="82" t="str">
        <f t="shared" ref="S406:S469" si="15">IF(O406&gt;0,(Q406-O406),(IF(K406="USD",(Q406*J406),((IF(B406="",(""),(SUMIF(B406,"11 - Factura C",(Q406))-SUMIF(B406,"13 - Nota de Crédito C",(Q406))+SUMIF(B406,"15 - Recibo C",(Q406))+SUMIF(B406,"109 - Tique C",(Q406)))))))))</f>
        <v/>
      </c>
    </row>
    <row r="407" spans="18:19" x14ac:dyDescent="0.25">
      <c r="R407" s="8" t="str">
        <f t="shared" si="14"/>
        <v/>
      </c>
      <c r="S407" s="82" t="str">
        <f t="shared" si="15"/>
        <v/>
      </c>
    </row>
    <row r="408" spans="18:19" x14ac:dyDescent="0.25">
      <c r="R408" s="8" t="str">
        <f t="shared" si="14"/>
        <v/>
      </c>
      <c r="S408" s="82" t="str">
        <f t="shared" si="15"/>
        <v/>
      </c>
    </row>
    <row r="409" spans="18:19" x14ac:dyDescent="0.25">
      <c r="R409" s="8" t="str">
        <f t="shared" si="14"/>
        <v/>
      </c>
      <c r="S409" s="82" t="str">
        <f t="shared" si="15"/>
        <v/>
      </c>
    </row>
    <row r="410" spans="18:19" x14ac:dyDescent="0.25">
      <c r="R410" s="8" t="str">
        <f t="shared" si="14"/>
        <v/>
      </c>
      <c r="S410" s="82" t="str">
        <f t="shared" si="15"/>
        <v/>
      </c>
    </row>
    <row r="411" spans="18:19" x14ac:dyDescent="0.25">
      <c r="R411" s="8" t="str">
        <f t="shared" si="14"/>
        <v/>
      </c>
      <c r="S411" s="82" t="str">
        <f t="shared" si="15"/>
        <v/>
      </c>
    </row>
    <row r="412" spans="18:19" x14ac:dyDescent="0.25">
      <c r="R412" s="8" t="str">
        <f t="shared" si="14"/>
        <v/>
      </c>
      <c r="S412" s="82" t="str">
        <f t="shared" si="15"/>
        <v/>
      </c>
    </row>
    <row r="413" spans="18:19" x14ac:dyDescent="0.25">
      <c r="R413" s="8" t="str">
        <f t="shared" si="14"/>
        <v/>
      </c>
      <c r="S413" s="82" t="str">
        <f t="shared" si="15"/>
        <v/>
      </c>
    </row>
    <row r="414" spans="18:19" x14ac:dyDescent="0.25">
      <c r="R414" s="8" t="str">
        <f t="shared" si="14"/>
        <v/>
      </c>
      <c r="S414" s="82" t="str">
        <f t="shared" si="15"/>
        <v/>
      </c>
    </row>
    <row r="415" spans="18:19" x14ac:dyDescent="0.25">
      <c r="R415" s="8" t="str">
        <f t="shared" si="14"/>
        <v/>
      </c>
      <c r="S415" s="82" t="str">
        <f t="shared" si="15"/>
        <v/>
      </c>
    </row>
    <row r="416" spans="18:19" x14ac:dyDescent="0.25">
      <c r="R416" s="8" t="str">
        <f t="shared" si="14"/>
        <v/>
      </c>
      <c r="S416" s="82" t="str">
        <f t="shared" si="15"/>
        <v/>
      </c>
    </row>
    <row r="417" spans="18:19" x14ac:dyDescent="0.25">
      <c r="R417" s="8" t="str">
        <f t="shared" si="14"/>
        <v/>
      </c>
      <c r="S417" s="82" t="str">
        <f t="shared" si="15"/>
        <v/>
      </c>
    </row>
    <row r="418" spans="18:19" x14ac:dyDescent="0.25">
      <c r="R418" s="8" t="str">
        <f t="shared" si="14"/>
        <v/>
      </c>
      <c r="S418" s="82" t="str">
        <f t="shared" si="15"/>
        <v/>
      </c>
    </row>
    <row r="419" spans="18:19" x14ac:dyDescent="0.25">
      <c r="R419" s="8" t="str">
        <f t="shared" si="14"/>
        <v/>
      </c>
      <c r="S419" s="82" t="str">
        <f t="shared" si="15"/>
        <v/>
      </c>
    </row>
    <row r="420" spans="18:19" x14ac:dyDescent="0.25">
      <c r="R420" s="8" t="str">
        <f t="shared" si="14"/>
        <v/>
      </c>
      <c r="S420" s="82" t="str">
        <f t="shared" si="15"/>
        <v/>
      </c>
    </row>
    <row r="421" spans="18:19" x14ac:dyDescent="0.25">
      <c r="R421" s="8" t="str">
        <f t="shared" si="14"/>
        <v/>
      </c>
      <c r="S421" s="82" t="str">
        <f t="shared" si="15"/>
        <v/>
      </c>
    </row>
    <row r="422" spans="18:19" x14ac:dyDescent="0.25">
      <c r="R422" s="8" t="str">
        <f t="shared" si="14"/>
        <v/>
      </c>
      <c r="S422" s="82" t="str">
        <f t="shared" si="15"/>
        <v/>
      </c>
    </row>
    <row r="423" spans="18:19" x14ac:dyDescent="0.25">
      <c r="R423" s="8" t="str">
        <f t="shared" si="14"/>
        <v/>
      </c>
      <c r="S423" s="82" t="str">
        <f t="shared" si="15"/>
        <v/>
      </c>
    </row>
    <row r="424" spans="18:19" x14ac:dyDescent="0.25">
      <c r="R424" s="8" t="str">
        <f t="shared" si="14"/>
        <v/>
      </c>
      <c r="S424" s="82" t="str">
        <f t="shared" si="15"/>
        <v/>
      </c>
    </row>
    <row r="425" spans="18:19" x14ac:dyDescent="0.25">
      <c r="R425" s="8" t="str">
        <f t="shared" si="14"/>
        <v/>
      </c>
      <c r="S425" s="82" t="str">
        <f t="shared" si="15"/>
        <v/>
      </c>
    </row>
    <row r="426" spans="18:19" x14ac:dyDescent="0.25">
      <c r="R426" s="8" t="str">
        <f t="shared" si="14"/>
        <v/>
      </c>
      <c r="S426" s="82" t="str">
        <f t="shared" si="15"/>
        <v/>
      </c>
    </row>
    <row r="427" spans="18:19" x14ac:dyDescent="0.25">
      <c r="R427" s="8" t="str">
        <f t="shared" si="14"/>
        <v/>
      </c>
      <c r="S427" s="82" t="str">
        <f t="shared" si="15"/>
        <v/>
      </c>
    </row>
    <row r="428" spans="18:19" x14ac:dyDescent="0.25">
      <c r="R428" s="8" t="str">
        <f t="shared" si="14"/>
        <v/>
      </c>
      <c r="S428" s="82" t="str">
        <f t="shared" si="15"/>
        <v/>
      </c>
    </row>
    <row r="429" spans="18:19" x14ac:dyDescent="0.25">
      <c r="R429" s="8" t="str">
        <f t="shared" si="14"/>
        <v/>
      </c>
      <c r="S429" s="82" t="str">
        <f t="shared" si="15"/>
        <v/>
      </c>
    </row>
    <row r="430" spans="18:19" x14ac:dyDescent="0.25">
      <c r="R430" s="8" t="str">
        <f t="shared" si="14"/>
        <v/>
      </c>
      <c r="S430" s="82" t="str">
        <f t="shared" si="15"/>
        <v/>
      </c>
    </row>
    <row r="431" spans="18:19" x14ac:dyDescent="0.25">
      <c r="R431" s="8" t="str">
        <f t="shared" si="14"/>
        <v/>
      </c>
      <c r="S431" s="82" t="str">
        <f t="shared" si="15"/>
        <v/>
      </c>
    </row>
    <row r="432" spans="18:19" x14ac:dyDescent="0.25">
      <c r="R432" s="8" t="str">
        <f t="shared" si="14"/>
        <v/>
      </c>
      <c r="S432" s="82" t="str">
        <f t="shared" si="15"/>
        <v/>
      </c>
    </row>
    <row r="433" spans="18:19" x14ac:dyDescent="0.25">
      <c r="R433" s="8" t="str">
        <f t="shared" si="14"/>
        <v/>
      </c>
      <c r="S433" s="82" t="str">
        <f t="shared" si="15"/>
        <v/>
      </c>
    </row>
    <row r="434" spans="18:19" x14ac:dyDescent="0.25">
      <c r="R434" s="8" t="str">
        <f t="shared" si="14"/>
        <v/>
      </c>
      <c r="S434" s="82" t="str">
        <f t="shared" si="15"/>
        <v/>
      </c>
    </row>
    <row r="435" spans="18:19" x14ac:dyDescent="0.25">
      <c r="R435" s="8" t="str">
        <f t="shared" si="14"/>
        <v/>
      </c>
      <c r="S435" s="82" t="str">
        <f t="shared" si="15"/>
        <v/>
      </c>
    </row>
    <row r="436" spans="18:19" x14ac:dyDescent="0.25">
      <c r="R436" s="8" t="str">
        <f t="shared" si="14"/>
        <v/>
      </c>
      <c r="S436" s="82" t="str">
        <f t="shared" si="15"/>
        <v/>
      </c>
    </row>
    <row r="437" spans="18:19" x14ac:dyDescent="0.25">
      <c r="R437" s="8" t="str">
        <f t="shared" si="14"/>
        <v/>
      </c>
      <c r="S437" s="82" t="str">
        <f t="shared" si="15"/>
        <v/>
      </c>
    </row>
    <row r="438" spans="18:19" x14ac:dyDescent="0.25">
      <c r="R438" s="8" t="str">
        <f t="shared" si="14"/>
        <v/>
      </c>
      <c r="S438" s="82" t="str">
        <f t="shared" si="15"/>
        <v/>
      </c>
    </row>
    <row r="439" spans="18:19" x14ac:dyDescent="0.25">
      <c r="R439" s="8" t="str">
        <f t="shared" si="14"/>
        <v/>
      </c>
      <c r="S439" s="82" t="str">
        <f t="shared" si="15"/>
        <v/>
      </c>
    </row>
    <row r="440" spans="18:19" x14ac:dyDescent="0.25">
      <c r="R440" s="8" t="str">
        <f t="shared" si="14"/>
        <v/>
      </c>
      <c r="S440" s="82" t="str">
        <f t="shared" si="15"/>
        <v/>
      </c>
    </row>
    <row r="441" spans="18:19" x14ac:dyDescent="0.25">
      <c r="R441" s="8" t="str">
        <f t="shared" si="14"/>
        <v/>
      </c>
      <c r="S441" s="82" t="str">
        <f t="shared" si="15"/>
        <v/>
      </c>
    </row>
    <row r="442" spans="18:19" x14ac:dyDescent="0.25">
      <c r="R442" s="8" t="str">
        <f t="shared" si="14"/>
        <v/>
      </c>
      <c r="S442" s="82" t="str">
        <f t="shared" si="15"/>
        <v/>
      </c>
    </row>
    <row r="443" spans="18:19" x14ac:dyDescent="0.25">
      <c r="R443" s="8" t="str">
        <f t="shared" si="14"/>
        <v/>
      </c>
      <c r="S443" s="82" t="str">
        <f t="shared" si="15"/>
        <v/>
      </c>
    </row>
    <row r="444" spans="18:19" x14ac:dyDescent="0.25">
      <c r="R444" s="8" t="str">
        <f t="shared" si="14"/>
        <v/>
      </c>
      <c r="S444" s="82" t="str">
        <f t="shared" si="15"/>
        <v/>
      </c>
    </row>
    <row r="445" spans="18:19" x14ac:dyDescent="0.25">
      <c r="R445" s="8" t="str">
        <f t="shared" si="14"/>
        <v/>
      </c>
      <c r="S445" s="82" t="str">
        <f t="shared" si="15"/>
        <v/>
      </c>
    </row>
    <row r="446" spans="18:19" x14ac:dyDescent="0.25">
      <c r="R446" s="8" t="str">
        <f t="shared" si="14"/>
        <v/>
      </c>
      <c r="S446" s="82" t="str">
        <f t="shared" si="15"/>
        <v/>
      </c>
    </row>
    <row r="447" spans="18:19" x14ac:dyDescent="0.25">
      <c r="R447" s="8" t="str">
        <f t="shared" si="14"/>
        <v/>
      </c>
      <c r="S447" s="82" t="str">
        <f t="shared" si="15"/>
        <v/>
      </c>
    </row>
    <row r="448" spans="18:19" x14ac:dyDescent="0.25">
      <c r="R448" s="8" t="str">
        <f t="shared" si="14"/>
        <v/>
      </c>
      <c r="S448" s="82" t="str">
        <f t="shared" si="15"/>
        <v/>
      </c>
    </row>
    <row r="449" spans="18:19" x14ac:dyDescent="0.25">
      <c r="R449" s="8" t="str">
        <f t="shared" si="14"/>
        <v/>
      </c>
      <c r="S449" s="82" t="str">
        <f t="shared" si="15"/>
        <v/>
      </c>
    </row>
    <row r="450" spans="18:19" x14ac:dyDescent="0.25">
      <c r="R450" s="8" t="str">
        <f t="shared" si="14"/>
        <v/>
      </c>
      <c r="S450" s="82" t="str">
        <f t="shared" si="15"/>
        <v/>
      </c>
    </row>
    <row r="451" spans="18:19" x14ac:dyDescent="0.25">
      <c r="R451" s="8" t="str">
        <f t="shared" si="14"/>
        <v/>
      </c>
      <c r="S451" s="82" t="str">
        <f t="shared" si="15"/>
        <v/>
      </c>
    </row>
    <row r="452" spans="18:19" x14ac:dyDescent="0.25">
      <c r="R452" s="8" t="str">
        <f t="shared" si="14"/>
        <v/>
      </c>
      <c r="S452" s="82" t="str">
        <f t="shared" si="15"/>
        <v/>
      </c>
    </row>
    <row r="453" spans="18:19" x14ac:dyDescent="0.25">
      <c r="R453" s="8" t="str">
        <f t="shared" si="14"/>
        <v/>
      </c>
      <c r="S453" s="82" t="str">
        <f t="shared" si="15"/>
        <v/>
      </c>
    </row>
    <row r="454" spans="18:19" x14ac:dyDescent="0.25">
      <c r="R454" s="8" t="str">
        <f t="shared" si="14"/>
        <v/>
      </c>
      <c r="S454" s="82" t="str">
        <f t="shared" si="15"/>
        <v/>
      </c>
    </row>
    <row r="455" spans="18:19" x14ac:dyDescent="0.25">
      <c r="R455" s="8" t="str">
        <f t="shared" si="14"/>
        <v/>
      </c>
      <c r="S455" s="82" t="str">
        <f t="shared" si="15"/>
        <v/>
      </c>
    </row>
    <row r="456" spans="18:19" x14ac:dyDescent="0.25">
      <c r="R456" s="8" t="str">
        <f t="shared" si="14"/>
        <v/>
      </c>
      <c r="S456" s="82" t="str">
        <f t="shared" si="15"/>
        <v/>
      </c>
    </row>
    <row r="457" spans="18:19" x14ac:dyDescent="0.25">
      <c r="R457" s="8" t="str">
        <f t="shared" si="14"/>
        <v/>
      </c>
      <c r="S457" s="82" t="str">
        <f t="shared" si="15"/>
        <v/>
      </c>
    </row>
    <row r="458" spans="18:19" x14ac:dyDescent="0.25">
      <c r="R458" s="8" t="str">
        <f t="shared" si="14"/>
        <v/>
      </c>
      <c r="S458" s="82" t="str">
        <f t="shared" si="15"/>
        <v/>
      </c>
    </row>
    <row r="459" spans="18:19" x14ac:dyDescent="0.25">
      <c r="R459" s="8" t="str">
        <f t="shared" si="14"/>
        <v/>
      </c>
      <c r="S459" s="82" t="str">
        <f t="shared" si="15"/>
        <v/>
      </c>
    </row>
    <row r="460" spans="18:19" x14ac:dyDescent="0.25">
      <c r="R460" s="8" t="str">
        <f t="shared" si="14"/>
        <v/>
      </c>
      <c r="S460" s="82" t="str">
        <f t="shared" si="15"/>
        <v/>
      </c>
    </row>
    <row r="461" spans="18:19" x14ac:dyDescent="0.25">
      <c r="R461" s="8" t="str">
        <f t="shared" si="14"/>
        <v/>
      </c>
      <c r="S461" s="82" t="str">
        <f t="shared" si="15"/>
        <v/>
      </c>
    </row>
    <row r="462" spans="18:19" x14ac:dyDescent="0.25">
      <c r="R462" s="8" t="str">
        <f t="shared" si="14"/>
        <v/>
      </c>
      <c r="S462" s="82" t="str">
        <f t="shared" si="15"/>
        <v/>
      </c>
    </row>
    <row r="463" spans="18:19" x14ac:dyDescent="0.25">
      <c r="R463" s="8" t="str">
        <f t="shared" si="14"/>
        <v/>
      </c>
      <c r="S463" s="82" t="str">
        <f t="shared" si="15"/>
        <v/>
      </c>
    </row>
    <row r="464" spans="18:19" x14ac:dyDescent="0.25">
      <c r="R464" s="8" t="str">
        <f t="shared" si="14"/>
        <v/>
      </c>
      <c r="S464" s="82" t="str">
        <f t="shared" si="15"/>
        <v/>
      </c>
    </row>
    <row r="465" spans="18:19" x14ac:dyDescent="0.25">
      <c r="R465" s="8" t="str">
        <f t="shared" si="14"/>
        <v/>
      </c>
      <c r="S465" s="82" t="str">
        <f t="shared" si="15"/>
        <v/>
      </c>
    </row>
    <row r="466" spans="18:19" x14ac:dyDescent="0.25">
      <c r="R466" s="8" t="str">
        <f t="shared" si="14"/>
        <v/>
      </c>
      <c r="S466" s="82" t="str">
        <f t="shared" si="15"/>
        <v/>
      </c>
    </row>
    <row r="467" spans="18:19" x14ac:dyDescent="0.25">
      <c r="R467" s="8" t="str">
        <f t="shared" si="14"/>
        <v/>
      </c>
      <c r="S467" s="82" t="str">
        <f t="shared" si="15"/>
        <v/>
      </c>
    </row>
    <row r="468" spans="18:19" x14ac:dyDescent="0.25">
      <c r="R468" s="8" t="str">
        <f t="shared" si="14"/>
        <v/>
      </c>
      <c r="S468" s="82" t="str">
        <f t="shared" si="15"/>
        <v/>
      </c>
    </row>
    <row r="469" spans="18:19" x14ac:dyDescent="0.25">
      <c r="R469" s="8" t="str">
        <f t="shared" si="14"/>
        <v/>
      </c>
      <c r="S469" s="82" t="str">
        <f t="shared" si="15"/>
        <v/>
      </c>
    </row>
    <row r="470" spans="18:19" x14ac:dyDescent="0.25">
      <c r="R470" s="8" t="str">
        <f t="shared" ref="R470:R533" si="16">IF(A470="",(""),(MONTH(A470)))</f>
        <v/>
      </c>
      <c r="S470" s="82" t="str">
        <f t="shared" ref="S470:S533" si="17">IF(O470&gt;0,(Q470-O470),(IF(K470="USD",(Q470*J470),((IF(B470="",(""),(SUMIF(B470,"11 - Factura C",(Q470))-SUMIF(B470,"13 - Nota de Crédito C",(Q470))+SUMIF(B470,"15 - Recibo C",(Q470))+SUMIF(B470,"109 - Tique C",(Q470)))))))))</f>
        <v/>
      </c>
    </row>
    <row r="471" spans="18:19" x14ac:dyDescent="0.25">
      <c r="R471" s="8" t="str">
        <f t="shared" si="16"/>
        <v/>
      </c>
      <c r="S471" s="82" t="str">
        <f t="shared" si="17"/>
        <v/>
      </c>
    </row>
    <row r="472" spans="18:19" x14ac:dyDescent="0.25">
      <c r="R472" s="8" t="str">
        <f t="shared" si="16"/>
        <v/>
      </c>
      <c r="S472" s="82" t="str">
        <f t="shared" si="17"/>
        <v/>
      </c>
    </row>
    <row r="473" spans="18:19" x14ac:dyDescent="0.25">
      <c r="R473" s="8" t="str">
        <f t="shared" si="16"/>
        <v/>
      </c>
      <c r="S473" s="82" t="str">
        <f t="shared" si="17"/>
        <v/>
      </c>
    </row>
    <row r="474" spans="18:19" x14ac:dyDescent="0.25">
      <c r="R474" s="8" t="str">
        <f t="shared" si="16"/>
        <v/>
      </c>
      <c r="S474" s="82" t="str">
        <f t="shared" si="17"/>
        <v/>
      </c>
    </row>
    <row r="475" spans="18:19" x14ac:dyDescent="0.25">
      <c r="R475" s="8" t="str">
        <f t="shared" si="16"/>
        <v/>
      </c>
      <c r="S475" s="82" t="str">
        <f t="shared" si="17"/>
        <v/>
      </c>
    </row>
    <row r="476" spans="18:19" x14ac:dyDescent="0.25">
      <c r="R476" s="8" t="str">
        <f t="shared" si="16"/>
        <v/>
      </c>
      <c r="S476" s="82" t="str">
        <f t="shared" si="17"/>
        <v/>
      </c>
    </row>
    <row r="477" spans="18:19" x14ac:dyDescent="0.25">
      <c r="R477" s="8" t="str">
        <f t="shared" si="16"/>
        <v/>
      </c>
      <c r="S477" s="82" t="str">
        <f t="shared" si="17"/>
        <v/>
      </c>
    </row>
    <row r="478" spans="18:19" x14ac:dyDescent="0.25">
      <c r="R478" s="8" t="str">
        <f t="shared" si="16"/>
        <v/>
      </c>
      <c r="S478" s="82" t="str">
        <f t="shared" si="17"/>
        <v/>
      </c>
    </row>
    <row r="479" spans="18:19" x14ac:dyDescent="0.25">
      <c r="R479" s="8" t="str">
        <f t="shared" si="16"/>
        <v/>
      </c>
      <c r="S479" s="82" t="str">
        <f t="shared" si="17"/>
        <v/>
      </c>
    </row>
    <row r="480" spans="18:19" x14ac:dyDescent="0.25">
      <c r="R480" s="8" t="str">
        <f t="shared" si="16"/>
        <v/>
      </c>
      <c r="S480" s="82" t="str">
        <f t="shared" si="17"/>
        <v/>
      </c>
    </row>
    <row r="481" spans="18:19" x14ac:dyDescent="0.25">
      <c r="R481" s="8" t="str">
        <f t="shared" si="16"/>
        <v/>
      </c>
      <c r="S481" s="82" t="str">
        <f t="shared" si="17"/>
        <v/>
      </c>
    </row>
    <row r="482" spans="18:19" x14ac:dyDescent="0.25">
      <c r="R482" s="8" t="str">
        <f t="shared" si="16"/>
        <v/>
      </c>
      <c r="S482" s="82" t="str">
        <f t="shared" si="17"/>
        <v/>
      </c>
    </row>
    <row r="483" spans="18:19" x14ac:dyDescent="0.25">
      <c r="R483" s="8" t="str">
        <f t="shared" si="16"/>
        <v/>
      </c>
      <c r="S483" s="82" t="str">
        <f t="shared" si="17"/>
        <v/>
      </c>
    </row>
    <row r="484" spans="18:19" x14ac:dyDescent="0.25">
      <c r="R484" s="8" t="str">
        <f t="shared" si="16"/>
        <v/>
      </c>
      <c r="S484" s="82" t="str">
        <f t="shared" si="17"/>
        <v/>
      </c>
    </row>
    <row r="485" spans="18:19" x14ac:dyDescent="0.25">
      <c r="R485" s="8" t="str">
        <f t="shared" si="16"/>
        <v/>
      </c>
      <c r="S485" s="82" t="str">
        <f t="shared" si="17"/>
        <v/>
      </c>
    </row>
    <row r="486" spans="18:19" x14ac:dyDescent="0.25">
      <c r="R486" s="8" t="str">
        <f t="shared" si="16"/>
        <v/>
      </c>
      <c r="S486" s="82" t="str">
        <f t="shared" si="17"/>
        <v/>
      </c>
    </row>
    <row r="487" spans="18:19" x14ac:dyDescent="0.25">
      <c r="R487" s="8" t="str">
        <f t="shared" si="16"/>
        <v/>
      </c>
      <c r="S487" s="82" t="str">
        <f t="shared" si="17"/>
        <v/>
      </c>
    </row>
    <row r="488" spans="18:19" x14ac:dyDescent="0.25">
      <c r="R488" s="8" t="str">
        <f t="shared" si="16"/>
        <v/>
      </c>
      <c r="S488" s="82" t="str">
        <f t="shared" si="17"/>
        <v/>
      </c>
    </row>
    <row r="489" spans="18:19" x14ac:dyDescent="0.25">
      <c r="R489" s="8" t="str">
        <f t="shared" si="16"/>
        <v/>
      </c>
      <c r="S489" s="82" t="str">
        <f t="shared" si="17"/>
        <v/>
      </c>
    </row>
    <row r="490" spans="18:19" x14ac:dyDescent="0.25">
      <c r="R490" s="8" t="str">
        <f t="shared" si="16"/>
        <v/>
      </c>
      <c r="S490" s="82" t="str">
        <f t="shared" si="17"/>
        <v/>
      </c>
    </row>
    <row r="491" spans="18:19" x14ac:dyDescent="0.25">
      <c r="R491" s="8" t="str">
        <f t="shared" si="16"/>
        <v/>
      </c>
      <c r="S491" s="82" t="str">
        <f t="shared" si="17"/>
        <v/>
      </c>
    </row>
    <row r="492" spans="18:19" x14ac:dyDescent="0.25">
      <c r="R492" s="8" t="str">
        <f t="shared" si="16"/>
        <v/>
      </c>
      <c r="S492" s="82" t="str">
        <f t="shared" si="17"/>
        <v/>
      </c>
    </row>
    <row r="493" spans="18:19" x14ac:dyDescent="0.25">
      <c r="R493" s="8" t="str">
        <f t="shared" si="16"/>
        <v/>
      </c>
      <c r="S493" s="82" t="str">
        <f t="shared" si="17"/>
        <v/>
      </c>
    </row>
    <row r="494" spans="18:19" x14ac:dyDescent="0.25">
      <c r="R494" s="8" t="str">
        <f t="shared" si="16"/>
        <v/>
      </c>
      <c r="S494" s="82" t="str">
        <f t="shared" si="17"/>
        <v/>
      </c>
    </row>
    <row r="495" spans="18:19" x14ac:dyDescent="0.25">
      <c r="R495" s="8" t="str">
        <f t="shared" si="16"/>
        <v/>
      </c>
      <c r="S495" s="82" t="str">
        <f t="shared" si="17"/>
        <v/>
      </c>
    </row>
    <row r="496" spans="18:19" x14ac:dyDescent="0.25">
      <c r="R496" s="8" t="str">
        <f t="shared" si="16"/>
        <v/>
      </c>
      <c r="S496" s="82" t="str">
        <f t="shared" si="17"/>
        <v/>
      </c>
    </row>
    <row r="497" spans="18:19" x14ac:dyDescent="0.25">
      <c r="R497" s="8" t="str">
        <f t="shared" si="16"/>
        <v/>
      </c>
      <c r="S497" s="82" t="str">
        <f t="shared" si="17"/>
        <v/>
      </c>
    </row>
    <row r="498" spans="18:19" x14ac:dyDescent="0.25">
      <c r="R498" s="8" t="str">
        <f t="shared" si="16"/>
        <v/>
      </c>
      <c r="S498" s="82" t="str">
        <f t="shared" si="17"/>
        <v/>
      </c>
    </row>
    <row r="499" spans="18:19" x14ac:dyDescent="0.25">
      <c r="R499" s="8" t="str">
        <f t="shared" si="16"/>
        <v/>
      </c>
      <c r="S499" s="82" t="str">
        <f t="shared" si="17"/>
        <v/>
      </c>
    </row>
    <row r="500" spans="18:19" x14ac:dyDescent="0.25">
      <c r="R500" s="8" t="str">
        <f t="shared" si="16"/>
        <v/>
      </c>
      <c r="S500" s="82" t="str">
        <f t="shared" si="17"/>
        <v/>
      </c>
    </row>
    <row r="501" spans="18:19" x14ac:dyDescent="0.25">
      <c r="R501" s="8" t="str">
        <f t="shared" si="16"/>
        <v/>
      </c>
      <c r="S501" s="82" t="str">
        <f t="shared" si="17"/>
        <v/>
      </c>
    </row>
    <row r="502" spans="18:19" x14ac:dyDescent="0.25">
      <c r="R502" s="8" t="str">
        <f t="shared" si="16"/>
        <v/>
      </c>
      <c r="S502" s="82" t="str">
        <f t="shared" si="17"/>
        <v/>
      </c>
    </row>
    <row r="503" spans="18:19" x14ac:dyDescent="0.25">
      <c r="R503" s="8" t="str">
        <f t="shared" si="16"/>
        <v/>
      </c>
      <c r="S503" s="82" t="str">
        <f t="shared" si="17"/>
        <v/>
      </c>
    </row>
    <row r="504" spans="18:19" x14ac:dyDescent="0.25">
      <c r="R504" s="8" t="str">
        <f t="shared" si="16"/>
        <v/>
      </c>
      <c r="S504" s="82" t="str">
        <f t="shared" si="17"/>
        <v/>
      </c>
    </row>
    <row r="505" spans="18:19" x14ac:dyDescent="0.25">
      <c r="R505" s="8" t="str">
        <f t="shared" si="16"/>
        <v/>
      </c>
      <c r="S505" s="82" t="str">
        <f t="shared" si="17"/>
        <v/>
      </c>
    </row>
    <row r="506" spans="18:19" x14ac:dyDescent="0.25">
      <c r="R506" s="8" t="str">
        <f t="shared" si="16"/>
        <v/>
      </c>
      <c r="S506" s="82" t="str">
        <f t="shared" si="17"/>
        <v/>
      </c>
    </row>
    <row r="507" spans="18:19" x14ac:dyDescent="0.25">
      <c r="R507" s="8" t="str">
        <f t="shared" si="16"/>
        <v/>
      </c>
      <c r="S507" s="82" t="str">
        <f t="shared" si="17"/>
        <v/>
      </c>
    </row>
    <row r="508" spans="18:19" x14ac:dyDescent="0.25">
      <c r="R508" s="8" t="str">
        <f t="shared" si="16"/>
        <v/>
      </c>
      <c r="S508" s="82" t="str">
        <f t="shared" si="17"/>
        <v/>
      </c>
    </row>
    <row r="509" spans="18:19" x14ac:dyDescent="0.25">
      <c r="R509" s="8" t="str">
        <f t="shared" si="16"/>
        <v/>
      </c>
      <c r="S509" s="82" t="str">
        <f t="shared" si="17"/>
        <v/>
      </c>
    </row>
    <row r="510" spans="18:19" x14ac:dyDescent="0.25">
      <c r="R510" s="8" t="str">
        <f t="shared" si="16"/>
        <v/>
      </c>
      <c r="S510" s="82" t="str">
        <f t="shared" si="17"/>
        <v/>
      </c>
    </row>
    <row r="511" spans="18:19" x14ac:dyDescent="0.25">
      <c r="R511" s="8" t="str">
        <f t="shared" si="16"/>
        <v/>
      </c>
      <c r="S511" s="82" t="str">
        <f t="shared" si="17"/>
        <v/>
      </c>
    </row>
    <row r="512" spans="18:19" x14ac:dyDescent="0.25">
      <c r="R512" s="8" t="str">
        <f t="shared" si="16"/>
        <v/>
      </c>
      <c r="S512" s="82" t="str">
        <f t="shared" si="17"/>
        <v/>
      </c>
    </row>
    <row r="513" spans="18:19" x14ac:dyDescent="0.25">
      <c r="R513" s="8" t="str">
        <f t="shared" si="16"/>
        <v/>
      </c>
      <c r="S513" s="82" t="str">
        <f t="shared" si="17"/>
        <v/>
      </c>
    </row>
    <row r="514" spans="18:19" x14ac:dyDescent="0.25">
      <c r="R514" s="8" t="str">
        <f t="shared" si="16"/>
        <v/>
      </c>
      <c r="S514" s="82" t="str">
        <f t="shared" si="17"/>
        <v/>
      </c>
    </row>
    <row r="515" spans="18:19" x14ac:dyDescent="0.25">
      <c r="R515" s="8" t="str">
        <f t="shared" si="16"/>
        <v/>
      </c>
      <c r="S515" s="82" t="str">
        <f t="shared" si="17"/>
        <v/>
      </c>
    </row>
    <row r="516" spans="18:19" x14ac:dyDescent="0.25">
      <c r="R516" s="8" t="str">
        <f t="shared" si="16"/>
        <v/>
      </c>
      <c r="S516" s="82" t="str">
        <f t="shared" si="17"/>
        <v/>
      </c>
    </row>
    <row r="517" spans="18:19" x14ac:dyDescent="0.25">
      <c r="R517" s="8" t="str">
        <f t="shared" si="16"/>
        <v/>
      </c>
      <c r="S517" s="82" t="str">
        <f t="shared" si="17"/>
        <v/>
      </c>
    </row>
    <row r="518" spans="18:19" x14ac:dyDescent="0.25">
      <c r="R518" s="8" t="str">
        <f t="shared" si="16"/>
        <v/>
      </c>
      <c r="S518" s="82" t="str">
        <f t="shared" si="17"/>
        <v/>
      </c>
    </row>
    <row r="519" spans="18:19" x14ac:dyDescent="0.25">
      <c r="R519" s="8" t="str">
        <f t="shared" si="16"/>
        <v/>
      </c>
      <c r="S519" s="82" t="str">
        <f t="shared" si="17"/>
        <v/>
      </c>
    </row>
    <row r="520" spans="18:19" x14ac:dyDescent="0.25">
      <c r="R520" s="8" t="str">
        <f t="shared" si="16"/>
        <v/>
      </c>
      <c r="S520" s="82" t="str">
        <f t="shared" si="17"/>
        <v/>
      </c>
    </row>
    <row r="521" spans="18:19" x14ac:dyDescent="0.25">
      <c r="R521" s="8" t="str">
        <f t="shared" si="16"/>
        <v/>
      </c>
      <c r="S521" s="82" t="str">
        <f t="shared" si="17"/>
        <v/>
      </c>
    </row>
    <row r="522" spans="18:19" x14ac:dyDescent="0.25">
      <c r="R522" s="8" t="str">
        <f t="shared" si="16"/>
        <v/>
      </c>
      <c r="S522" s="82" t="str">
        <f t="shared" si="17"/>
        <v/>
      </c>
    </row>
    <row r="523" spans="18:19" x14ac:dyDescent="0.25">
      <c r="R523" s="8" t="str">
        <f t="shared" si="16"/>
        <v/>
      </c>
      <c r="S523" s="82" t="str">
        <f t="shared" si="17"/>
        <v/>
      </c>
    </row>
    <row r="524" spans="18:19" x14ac:dyDescent="0.25">
      <c r="R524" s="8" t="str">
        <f t="shared" si="16"/>
        <v/>
      </c>
      <c r="S524" s="82" t="str">
        <f t="shared" si="17"/>
        <v/>
      </c>
    </row>
    <row r="525" spans="18:19" x14ac:dyDescent="0.25">
      <c r="R525" s="8" t="str">
        <f t="shared" si="16"/>
        <v/>
      </c>
      <c r="S525" s="82" t="str">
        <f t="shared" si="17"/>
        <v/>
      </c>
    </row>
    <row r="526" spans="18:19" x14ac:dyDescent="0.25">
      <c r="R526" s="8" t="str">
        <f t="shared" si="16"/>
        <v/>
      </c>
      <c r="S526" s="82" t="str">
        <f t="shared" si="17"/>
        <v/>
      </c>
    </row>
    <row r="527" spans="18:19" x14ac:dyDescent="0.25">
      <c r="R527" s="8" t="str">
        <f t="shared" si="16"/>
        <v/>
      </c>
      <c r="S527" s="82" t="str">
        <f t="shared" si="17"/>
        <v/>
      </c>
    </row>
    <row r="528" spans="18:19" x14ac:dyDescent="0.25">
      <c r="R528" s="8" t="str">
        <f t="shared" si="16"/>
        <v/>
      </c>
      <c r="S528" s="82" t="str">
        <f t="shared" si="17"/>
        <v/>
      </c>
    </row>
    <row r="529" spans="18:19" x14ac:dyDescent="0.25">
      <c r="R529" s="8" t="str">
        <f t="shared" si="16"/>
        <v/>
      </c>
      <c r="S529" s="82" t="str">
        <f t="shared" si="17"/>
        <v/>
      </c>
    </row>
    <row r="530" spans="18:19" x14ac:dyDescent="0.25">
      <c r="R530" s="8" t="str">
        <f t="shared" si="16"/>
        <v/>
      </c>
      <c r="S530" s="82" t="str">
        <f t="shared" si="17"/>
        <v/>
      </c>
    </row>
    <row r="531" spans="18:19" x14ac:dyDescent="0.25">
      <c r="R531" s="8" t="str">
        <f t="shared" si="16"/>
        <v/>
      </c>
      <c r="S531" s="82" t="str">
        <f t="shared" si="17"/>
        <v/>
      </c>
    </row>
    <row r="532" spans="18:19" x14ac:dyDescent="0.25">
      <c r="R532" s="8" t="str">
        <f t="shared" si="16"/>
        <v/>
      </c>
      <c r="S532" s="82" t="str">
        <f t="shared" si="17"/>
        <v/>
      </c>
    </row>
    <row r="533" spans="18:19" x14ac:dyDescent="0.25">
      <c r="R533" s="8" t="str">
        <f t="shared" si="16"/>
        <v/>
      </c>
      <c r="S533" s="82" t="str">
        <f t="shared" si="17"/>
        <v/>
      </c>
    </row>
    <row r="534" spans="18:19" x14ac:dyDescent="0.25">
      <c r="R534" s="8" t="str">
        <f t="shared" ref="R534:R597" si="18">IF(A534="",(""),(MONTH(A534)))</f>
        <v/>
      </c>
      <c r="S534" s="82" t="str">
        <f t="shared" ref="S534:S597" si="19">IF(O534&gt;0,(Q534-O534),(IF(K534="USD",(Q534*J534),((IF(B534="",(""),(SUMIF(B534,"11 - Factura C",(Q534))-SUMIF(B534,"13 - Nota de Crédito C",(Q534))+SUMIF(B534,"15 - Recibo C",(Q534))+SUMIF(B534,"109 - Tique C",(Q534)))))))))</f>
        <v/>
      </c>
    </row>
    <row r="535" spans="18:19" x14ac:dyDescent="0.25">
      <c r="R535" s="8" t="str">
        <f t="shared" si="18"/>
        <v/>
      </c>
      <c r="S535" s="82" t="str">
        <f t="shared" si="19"/>
        <v/>
      </c>
    </row>
    <row r="536" spans="18:19" x14ac:dyDescent="0.25">
      <c r="R536" s="8" t="str">
        <f t="shared" si="18"/>
        <v/>
      </c>
      <c r="S536" s="82" t="str">
        <f t="shared" si="19"/>
        <v/>
      </c>
    </row>
    <row r="537" spans="18:19" x14ac:dyDescent="0.25">
      <c r="R537" s="8" t="str">
        <f t="shared" si="18"/>
        <v/>
      </c>
      <c r="S537" s="82" t="str">
        <f t="shared" si="19"/>
        <v/>
      </c>
    </row>
    <row r="538" spans="18:19" x14ac:dyDescent="0.25">
      <c r="R538" s="8" t="str">
        <f t="shared" si="18"/>
        <v/>
      </c>
      <c r="S538" s="82" t="str">
        <f t="shared" si="19"/>
        <v/>
      </c>
    </row>
    <row r="539" spans="18:19" x14ac:dyDescent="0.25">
      <c r="R539" s="8" t="str">
        <f t="shared" si="18"/>
        <v/>
      </c>
      <c r="S539" s="82" t="str">
        <f t="shared" si="19"/>
        <v/>
      </c>
    </row>
    <row r="540" spans="18:19" x14ac:dyDescent="0.25">
      <c r="R540" s="8" t="str">
        <f t="shared" si="18"/>
        <v/>
      </c>
      <c r="S540" s="82" t="str">
        <f t="shared" si="19"/>
        <v/>
      </c>
    </row>
    <row r="541" spans="18:19" x14ac:dyDescent="0.25">
      <c r="R541" s="8" t="str">
        <f t="shared" si="18"/>
        <v/>
      </c>
      <c r="S541" s="82" t="str">
        <f t="shared" si="19"/>
        <v/>
      </c>
    </row>
    <row r="542" spans="18:19" x14ac:dyDescent="0.25">
      <c r="R542" s="8" t="str">
        <f t="shared" si="18"/>
        <v/>
      </c>
      <c r="S542" s="82" t="str">
        <f t="shared" si="19"/>
        <v/>
      </c>
    </row>
    <row r="543" spans="18:19" x14ac:dyDescent="0.25">
      <c r="R543" s="8" t="str">
        <f t="shared" si="18"/>
        <v/>
      </c>
      <c r="S543" s="82" t="str">
        <f t="shared" si="19"/>
        <v/>
      </c>
    </row>
    <row r="544" spans="18:19" x14ac:dyDescent="0.25">
      <c r="R544" s="8" t="str">
        <f t="shared" si="18"/>
        <v/>
      </c>
      <c r="S544" s="82" t="str">
        <f t="shared" si="19"/>
        <v/>
      </c>
    </row>
    <row r="545" spans="18:19" x14ac:dyDescent="0.25">
      <c r="R545" s="8" t="str">
        <f t="shared" si="18"/>
        <v/>
      </c>
      <c r="S545" s="82" t="str">
        <f t="shared" si="19"/>
        <v/>
      </c>
    </row>
    <row r="546" spans="18:19" x14ac:dyDescent="0.25">
      <c r="R546" s="8" t="str">
        <f t="shared" si="18"/>
        <v/>
      </c>
      <c r="S546" s="82" t="str">
        <f t="shared" si="19"/>
        <v/>
      </c>
    </row>
    <row r="547" spans="18:19" x14ac:dyDescent="0.25">
      <c r="R547" s="8" t="str">
        <f t="shared" si="18"/>
        <v/>
      </c>
      <c r="S547" s="82" t="str">
        <f t="shared" si="19"/>
        <v/>
      </c>
    </row>
    <row r="548" spans="18:19" x14ac:dyDescent="0.25">
      <c r="R548" s="8" t="str">
        <f t="shared" si="18"/>
        <v/>
      </c>
      <c r="S548" s="82" t="str">
        <f t="shared" si="19"/>
        <v/>
      </c>
    </row>
    <row r="549" spans="18:19" x14ac:dyDescent="0.25">
      <c r="R549" s="8" t="str">
        <f t="shared" si="18"/>
        <v/>
      </c>
      <c r="S549" s="82" t="str">
        <f t="shared" si="19"/>
        <v/>
      </c>
    </row>
    <row r="550" spans="18:19" x14ac:dyDescent="0.25">
      <c r="R550" s="8" t="str">
        <f t="shared" si="18"/>
        <v/>
      </c>
      <c r="S550" s="82" t="str">
        <f t="shared" si="19"/>
        <v/>
      </c>
    </row>
    <row r="551" spans="18:19" x14ac:dyDescent="0.25">
      <c r="R551" s="8" t="str">
        <f t="shared" si="18"/>
        <v/>
      </c>
      <c r="S551" s="82" t="str">
        <f t="shared" si="19"/>
        <v/>
      </c>
    </row>
    <row r="552" spans="18:19" x14ac:dyDescent="0.25">
      <c r="R552" s="8" t="str">
        <f t="shared" si="18"/>
        <v/>
      </c>
      <c r="S552" s="82" t="str">
        <f t="shared" si="19"/>
        <v/>
      </c>
    </row>
    <row r="553" spans="18:19" x14ac:dyDescent="0.25">
      <c r="R553" s="8" t="str">
        <f t="shared" si="18"/>
        <v/>
      </c>
      <c r="S553" s="82" t="str">
        <f t="shared" si="19"/>
        <v/>
      </c>
    </row>
    <row r="554" spans="18:19" x14ac:dyDescent="0.25">
      <c r="R554" s="8" t="str">
        <f t="shared" si="18"/>
        <v/>
      </c>
      <c r="S554" s="82" t="str">
        <f t="shared" si="19"/>
        <v/>
      </c>
    </row>
    <row r="555" spans="18:19" x14ac:dyDescent="0.25">
      <c r="R555" s="8" t="str">
        <f t="shared" si="18"/>
        <v/>
      </c>
      <c r="S555" s="82" t="str">
        <f t="shared" si="19"/>
        <v/>
      </c>
    </row>
    <row r="556" spans="18:19" x14ac:dyDescent="0.25">
      <c r="R556" s="8" t="str">
        <f t="shared" si="18"/>
        <v/>
      </c>
      <c r="S556" s="82" t="str">
        <f t="shared" si="19"/>
        <v/>
      </c>
    </row>
    <row r="557" spans="18:19" x14ac:dyDescent="0.25">
      <c r="R557" s="8" t="str">
        <f t="shared" si="18"/>
        <v/>
      </c>
      <c r="S557" s="82" t="str">
        <f t="shared" si="19"/>
        <v/>
      </c>
    </row>
    <row r="558" spans="18:19" x14ac:dyDescent="0.25">
      <c r="R558" s="8" t="str">
        <f t="shared" si="18"/>
        <v/>
      </c>
      <c r="S558" s="82" t="str">
        <f t="shared" si="19"/>
        <v/>
      </c>
    </row>
    <row r="559" spans="18:19" x14ac:dyDescent="0.25">
      <c r="R559" s="8" t="str">
        <f t="shared" si="18"/>
        <v/>
      </c>
      <c r="S559" s="82" t="str">
        <f t="shared" si="19"/>
        <v/>
      </c>
    </row>
    <row r="560" spans="18:19" x14ac:dyDescent="0.25">
      <c r="R560" s="8" t="str">
        <f t="shared" si="18"/>
        <v/>
      </c>
      <c r="S560" s="82" t="str">
        <f t="shared" si="19"/>
        <v/>
      </c>
    </row>
    <row r="561" spans="18:19" x14ac:dyDescent="0.25">
      <c r="R561" s="8" t="str">
        <f t="shared" si="18"/>
        <v/>
      </c>
      <c r="S561" s="82" t="str">
        <f t="shared" si="19"/>
        <v/>
      </c>
    </row>
    <row r="562" spans="18:19" x14ac:dyDescent="0.25">
      <c r="R562" s="8" t="str">
        <f t="shared" si="18"/>
        <v/>
      </c>
      <c r="S562" s="82" t="str">
        <f t="shared" si="19"/>
        <v/>
      </c>
    </row>
    <row r="563" spans="18:19" x14ac:dyDescent="0.25">
      <c r="R563" s="8" t="str">
        <f t="shared" si="18"/>
        <v/>
      </c>
      <c r="S563" s="82" t="str">
        <f t="shared" si="19"/>
        <v/>
      </c>
    </row>
    <row r="564" spans="18:19" x14ac:dyDescent="0.25">
      <c r="R564" s="8" t="str">
        <f t="shared" si="18"/>
        <v/>
      </c>
      <c r="S564" s="82" t="str">
        <f t="shared" si="19"/>
        <v/>
      </c>
    </row>
    <row r="565" spans="18:19" x14ac:dyDescent="0.25">
      <c r="R565" s="8" t="str">
        <f t="shared" si="18"/>
        <v/>
      </c>
      <c r="S565" s="82" t="str">
        <f t="shared" si="19"/>
        <v/>
      </c>
    </row>
    <row r="566" spans="18:19" x14ac:dyDescent="0.25">
      <c r="R566" s="8" t="str">
        <f t="shared" si="18"/>
        <v/>
      </c>
      <c r="S566" s="82" t="str">
        <f t="shared" si="19"/>
        <v/>
      </c>
    </row>
    <row r="567" spans="18:19" x14ac:dyDescent="0.25">
      <c r="R567" s="8" t="str">
        <f t="shared" si="18"/>
        <v/>
      </c>
      <c r="S567" s="82" t="str">
        <f t="shared" si="19"/>
        <v/>
      </c>
    </row>
    <row r="568" spans="18:19" x14ac:dyDescent="0.25">
      <c r="R568" s="8" t="str">
        <f t="shared" si="18"/>
        <v/>
      </c>
      <c r="S568" s="82" t="str">
        <f t="shared" si="19"/>
        <v/>
      </c>
    </row>
    <row r="569" spans="18:19" x14ac:dyDescent="0.25">
      <c r="R569" s="8" t="str">
        <f t="shared" si="18"/>
        <v/>
      </c>
      <c r="S569" s="82" t="str">
        <f t="shared" si="19"/>
        <v/>
      </c>
    </row>
    <row r="570" spans="18:19" x14ac:dyDescent="0.25">
      <c r="R570" s="8" t="str">
        <f t="shared" si="18"/>
        <v/>
      </c>
      <c r="S570" s="82" t="str">
        <f t="shared" si="19"/>
        <v/>
      </c>
    </row>
    <row r="571" spans="18:19" x14ac:dyDescent="0.25">
      <c r="R571" s="8" t="str">
        <f t="shared" si="18"/>
        <v/>
      </c>
      <c r="S571" s="82" t="str">
        <f t="shared" si="19"/>
        <v/>
      </c>
    </row>
    <row r="572" spans="18:19" x14ac:dyDescent="0.25">
      <c r="R572" s="8" t="str">
        <f t="shared" si="18"/>
        <v/>
      </c>
      <c r="S572" s="82" t="str">
        <f t="shared" si="19"/>
        <v/>
      </c>
    </row>
    <row r="573" spans="18:19" x14ac:dyDescent="0.25">
      <c r="R573" s="8" t="str">
        <f t="shared" si="18"/>
        <v/>
      </c>
      <c r="S573" s="82" t="str">
        <f t="shared" si="19"/>
        <v/>
      </c>
    </row>
    <row r="574" spans="18:19" x14ac:dyDescent="0.25">
      <c r="R574" s="8" t="str">
        <f t="shared" si="18"/>
        <v/>
      </c>
      <c r="S574" s="82" t="str">
        <f t="shared" si="19"/>
        <v/>
      </c>
    </row>
    <row r="575" spans="18:19" x14ac:dyDescent="0.25">
      <c r="R575" s="8" t="str">
        <f t="shared" si="18"/>
        <v/>
      </c>
      <c r="S575" s="82" t="str">
        <f t="shared" si="19"/>
        <v/>
      </c>
    </row>
    <row r="576" spans="18:19" x14ac:dyDescent="0.25">
      <c r="R576" s="8" t="str">
        <f t="shared" si="18"/>
        <v/>
      </c>
      <c r="S576" s="82" t="str">
        <f t="shared" si="19"/>
        <v/>
      </c>
    </row>
    <row r="577" spans="18:19" x14ac:dyDescent="0.25">
      <c r="R577" s="8" t="str">
        <f t="shared" si="18"/>
        <v/>
      </c>
      <c r="S577" s="82" t="str">
        <f t="shared" si="19"/>
        <v/>
      </c>
    </row>
    <row r="578" spans="18:19" x14ac:dyDescent="0.25">
      <c r="R578" s="8" t="str">
        <f t="shared" si="18"/>
        <v/>
      </c>
      <c r="S578" s="82" t="str">
        <f t="shared" si="19"/>
        <v/>
      </c>
    </row>
    <row r="579" spans="18:19" x14ac:dyDescent="0.25">
      <c r="R579" s="8" t="str">
        <f t="shared" si="18"/>
        <v/>
      </c>
      <c r="S579" s="82" t="str">
        <f t="shared" si="19"/>
        <v/>
      </c>
    </row>
    <row r="580" spans="18:19" x14ac:dyDescent="0.25">
      <c r="R580" s="8" t="str">
        <f t="shared" si="18"/>
        <v/>
      </c>
      <c r="S580" s="82" t="str">
        <f t="shared" si="19"/>
        <v/>
      </c>
    </row>
    <row r="581" spans="18:19" x14ac:dyDescent="0.25">
      <c r="R581" s="8" t="str">
        <f t="shared" si="18"/>
        <v/>
      </c>
      <c r="S581" s="82" t="str">
        <f t="shared" si="19"/>
        <v/>
      </c>
    </row>
    <row r="582" spans="18:19" x14ac:dyDescent="0.25">
      <c r="R582" s="8" t="str">
        <f t="shared" si="18"/>
        <v/>
      </c>
      <c r="S582" s="82" t="str">
        <f t="shared" si="19"/>
        <v/>
      </c>
    </row>
    <row r="583" spans="18:19" x14ac:dyDescent="0.25">
      <c r="R583" s="8" t="str">
        <f t="shared" si="18"/>
        <v/>
      </c>
      <c r="S583" s="82" t="str">
        <f t="shared" si="19"/>
        <v/>
      </c>
    </row>
    <row r="584" spans="18:19" x14ac:dyDescent="0.25">
      <c r="R584" s="8" t="str">
        <f t="shared" si="18"/>
        <v/>
      </c>
      <c r="S584" s="82" t="str">
        <f t="shared" si="19"/>
        <v/>
      </c>
    </row>
    <row r="585" spans="18:19" x14ac:dyDescent="0.25">
      <c r="R585" s="8" t="str">
        <f t="shared" si="18"/>
        <v/>
      </c>
      <c r="S585" s="82" t="str">
        <f t="shared" si="19"/>
        <v/>
      </c>
    </row>
    <row r="586" spans="18:19" x14ac:dyDescent="0.25">
      <c r="R586" s="8" t="str">
        <f t="shared" si="18"/>
        <v/>
      </c>
      <c r="S586" s="82" t="str">
        <f t="shared" si="19"/>
        <v/>
      </c>
    </row>
    <row r="587" spans="18:19" x14ac:dyDescent="0.25">
      <c r="R587" s="8" t="str">
        <f t="shared" si="18"/>
        <v/>
      </c>
      <c r="S587" s="82" t="str">
        <f t="shared" si="19"/>
        <v/>
      </c>
    </row>
    <row r="588" spans="18:19" x14ac:dyDescent="0.25">
      <c r="R588" s="8" t="str">
        <f t="shared" si="18"/>
        <v/>
      </c>
      <c r="S588" s="82" t="str">
        <f t="shared" si="19"/>
        <v/>
      </c>
    </row>
    <row r="589" spans="18:19" x14ac:dyDescent="0.25">
      <c r="R589" s="8" t="str">
        <f t="shared" si="18"/>
        <v/>
      </c>
      <c r="S589" s="82" t="str">
        <f t="shared" si="19"/>
        <v/>
      </c>
    </row>
    <row r="590" spans="18:19" x14ac:dyDescent="0.25">
      <c r="R590" s="8" t="str">
        <f t="shared" si="18"/>
        <v/>
      </c>
      <c r="S590" s="82" t="str">
        <f t="shared" si="19"/>
        <v/>
      </c>
    </row>
    <row r="591" spans="18:19" x14ac:dyDescent="0.25">
      <c r="R591" s="8" t="str">
        <f t="shared" si="18"/>
        <v/>
      </c>
      <c r="S591" s="82" t="str">
        <f t="shared" si="19"/>
        <v/>
      </c>
    </row>
    <row r="592" spans="18:19" x14ac:dyDescent="0.25">
      <c r="R592" s="8" t="str">
        <f t="shared" si="18"/>
        <v/>
      </c>
      <c r="S592" s="82" t="str">
        <f t="shared" si="19"/>
        <v/>
      </c>
    </row>
    <row r="593" spans="18:19" x14ac:dyDescent="0.25">
      <c r="R593" s="8" t="str">
        <f t="shared" si="18"/>
        <v/>
      </c>
      <c r="S593" s="82" t="str">
        <f t="shared" si="19"/>
        <v/>
      </c>
    </row>
    <row r="594" spans="18:19" x14ac:dyDescent="0.25">
      <c r="R594" s="8" t="str">
        <f t="shared" si="18"/>
        <v/>
      </c>
      <c r="S594" s="82" t="str">
        <f t="shared" si="19"/>
        <v/>
      </c>
    </row>
    <row r="595" spans="18:19" x14ac:dyDescent="0.25">
      <c r="R595" s="8" t="str">
        <f t="shared" si="18"/>
        <v/>
      </c>
      <c r="S595" s="82" t="str">
        <f t="shared" si="19"/>
        <v/>
      </c>
    </row>
    <row r="596" spans="18:19" x14ac:dyDescent="0.25">
      <c r="R596" s="8" t="str">
        <f t="shared" si="18"/>
        <v/>
      </c>
      <c r="S596" s="82" t="str">
        <f t="shared" si="19"/>
        <v/>
      </c>
    </row>
    <row r="597" spans="18:19" x14ac:dyDescent="0.25">
      <c r="R597" s="8" t="str">
        <f t="shared" si="18"/>
        <v/>
      </c>
      <c r="S597" s="82" t="str">
        <f t="shared" si="19"/>
        <v/>
      </c>
    </row>
    <row r="598" spans="18:19" x14ac:dyDescent="0.25">
      <c r="R598" s="8" t="str">
        <f t="shared" ref="R598:R661" si="20">IF(A598="",(""),(MONTH(A598)))</f>
        <v/>
      </c>
      <c r="S598" s="82" t="str">
        <f t="shared" ref="S598:S661" si="21">IF(O598&gt;0,(Q598-O598),(IF(K598="USD",(Q598*J598),((IF(B598="",(""),(SUMIF(B598,"11 - Factura C",(Q598))-SUMIF(B598,"13 - Nota de Crédito C",(Q598))+SUMIF(B598,"15 - Recibo C",(Q598))+SUMIF(B598,"109 - Tique C",(Q598)))))))))</f>
        <v/>
      </c>
    </row>
    <row r="599" spans="18:19" x14ac:dyDescent="0.25">
      <c r="R599" s="8" t="str">
        <f t="shared" si="20"/>
        <v/>
      </c>
      <c r="S599" s="82" t="str">
        <f t="shared" si="21"/>
        <v/>
      </c>
    </row>
    <row r="600" spans="18:19" x14ac:dyDescent="0.25">
      <c r="R600" s="8" t="str">
        <f t="shared" si="20"/>
        <v/>
      </c>
      <c r="S600" s="82" t="str">
        <f t="shared" si="21"/>
        <v/>
      </c>
    </row>
    <row r="601" spans="18:19" x14ac:dyDescent="0.25">
      <c r="R601" s="8" t="str">
        <f t="shared" si="20"/>
        <v/>
      </c>
      <c r="S601" s="82" t="str">
        <f t="shared" si="21"/>
        <v/>
      </c>
    </row>
    <row r="602" spans="18:19" x14ac:dyDescent="0.25">
      <c r="R602" s="8" t="str">
        <f t="shared" si="20"/>
        <v/>
      </c>
      <c r="S602" s="82" t="str">
        <f t="shared" si="21"/>
        <v/>
      </c>
    </row>
    <row r="603" spans="18:19" x14ac:dyDescent="0.25">
      <c r="R603" s="8" t="str">
        <f t="shared" si="20"/>
        <v/>
      </c>
      <c r="S603" s="82" t="str">
        <f t="shared" si="21"/>
        <v/>
      </c>
    </row>
    <row r="604" spans="18:19" x14ac:dyDescent="0.25">
      <c r="R604" s="8" t="str">
        <f t="shared" si="20"/>
        <v/>
      </c>
      <c r="S604" s="82" t="str">
        <f t="shared" si="21"/>
        <v/>
      </c>
    </row>
    <row r="605" spans="18:19" x14ac:dyDescent="0.25">
      <c r="R605" s="8" t="str">
        <f t="shared" si="20"/>
        <v/>
      </c>
      <c r="S605" s="82" t="str">
        <f t="shared" si="21"/>
        <v/>
      </c>
    </row>
    <row r="606" spans="18:19" x14ac:dyDescent="0.25">
      <c r="R606" s="8" t="str">
        <f t="shared" si="20"/>
        <v/>
      </c>
      <c r="S606" s="82" t="str">
        <f t="shared" si="21"/>
        <v/>
      </c>
    </row>
    <row r="607" spans="18:19" x14ac:dyDescent="0.25">
      <c r="R607" s="8" t="str">
        <f t="shared" si="20"/>
        <v/>
      </c>
      <c r="S607" s="82" t="str">
        <f t="shared" si="21"/>
        <v/>
      </c>
    </row>
    <row r="608" spans="18:19" x14ac:dyDescent="0.25">
      <c r="R608" s="8" t="str">
        <f t="shared" si="20"/>
        <v/>
      </c>
      <c r="S608" s="82" t="str">
        <f t="shared" si="21"/>
        <v/>
      </c>
    </row>
    <row r="609" spans="18:19" x14ac:dyDescent="0.25">
      <c r="R609" s="8" t="str">
        <f t="shared" si="20"/>
        <v/>
      </c>
      <c r="S609" s="82" t="str">
        <f t="shared" si="21"/>
        <v/>
      </c>
    </row>
    <row r="610" spans="18:19" x14ac:dyDescent="0.25">
      <c r="R610" s="8" t="str">
        <f t="shared" si="20"/>
        <v/>
      </c>
      <c r="S610" s="82" t="str">
        <f t="shared" si="21"/>
        <v/>
      </c>
    </row>
    <row r="611" spans="18:19" x14ac:dyDescent="0.25">
      <c r="R611" s="8" t="str">
        <f t="shared" si="20"/>
        <v/>
      </c>
      <c r="S611" s="82" t="str">
        <f t="shared" si="21"/>
        <v/>
      </c>
    </row>
    <row r="612" spans="18:19" x14ac:dyDescent="0.25">
      <c r="R612" s="8" t="str">
        <f t="shared" si="20"/>
        <v/>
      </c>
      <c r="S612" s="82" t="str">
        <f t="shared" si="21"/>
        <v/>
      </c>
    </row>
    <row r="613" spans="18:19" x14ac:dyDescent="0.25">
      <c r="R613" s="8" t="str">
        <f t="shared" si="20"/>
        <v/>
      </c>
      <c r="S613" s="82" t="str">
        <f t="shared" si="21"/>
        <v/>
      </c>
    </row>
    <row r="614" spans="18:19" x14ac:dyDescent="0.25">
      <c r="R614" s="8" t="str">
        <f t="shared" si="20"/>
        <v/>
      </c>
      <c r="S614" s="82" t="str">
        <f t="shared" si="21"/>
        <v/>
      </c>
    </row>
    <row r="615" spans="18:19" x14ac:dyDescent="0.25">
      <c r="R615" s="8" t="str">
        <f t="shared" si="20"/>
        <v/>
      </c>
      <c r="S615" s="82" t="str">
        <f t="shared" si="21"/>
        <v/>
      </c>
    </row>
    <row r="616" spans="18:19" x14ac:dyDescent="0.25">
      <c r="R616" s="8" t="str">
        <f t="shared" si="20"/>
        <v/>
      </c>
      <c r="S616" s="82" t="str">
        <f t="shared" si="21"/>
        <v/>
      </c>
    </row>
    <row r="617" spans="18:19" x14ac:dyDescent="0.25">
      <c r="R617" s="8" t="str">
        <f t="shared" si="20"/>
        <v/>
      </c>
      <c r="S617" s="82" t="str">
        <f t="shared" si="21"/>
        <v/>
      </c>
    </row>
    <row r="618" spans="18:19" x14ac:dyDescent="0.25">
      <c r="R618" s="8" t="str">
        <f t="shared" si="20"/>
        <v/>
      </c>
      <c r="S618" s="82" t="str">
        <f t="shared" si="21"/>
        <v/>
      </c>
    </row>
    <row r="619" spans="18:19" x14ac:dyDescent="0.25">
      <c r="R619" s="8" t="str">
        <f t="shared" si="20"/>
        <v/>
      </c>
      <c r="S619" s="82" t="str">
        <f t="shared" si="21"/>
        <v/>
      </c>
    </row>
    <row r="620" spans="18:19" x14ac:dyDescent="0.25">
      <c r="R620" s="8" t="str">
        <f t="shared" si="20"/>
        <v/>
      </c>
      <c r="S620" s="82" t="str">
        <f t="shared" si="21"/>
        <v/>
      </c>
    </row>
    <row r="621" spans="18:19" x14ac:dyDescent="0.25">
      <c r="R621" s="8" t="str">
        <f t="shared" si="20"/>
        <v/>
      </c>
      <c r="S621" s="82" t="str">
        <f t="shared" si="21"/>
        <v/>
      </c>
    </row>
    <row r="622" spans="18:19" x14ac:dyDescent="0.25">
      <c r="R622" s="8" t="str">
        <f t="shared" si="20"/>
        <v/>
      </c>
      <c r="S622" s="82" t="str">
        <f t="shared" si="21"/>
        <v/>
      </c>
    </row>
    <row r="623" spans="18:19" x14ac:dyDescent="0.25">
      <c r="R623" s="8" t="str">
        <f t="shared" si="20"/>
        <v/>
      </c>
      <c r="S623" s="82" t="str">
        <f t="shared" si="21"/>
        <v/>
      </c>
    </row>
    <row r="624" spans="18:19" x14ac:dyDescent="0.25">
      <c r="R624" s="8" t="str">
        <f t="shared" si="20"/>
        <v/>
      </c>
      <c r="S624" s="82" t="str">
        <f t="shared" si="21"/>
        <v/>
      </c>
    </row>
    <row r="625" spans="18:19" x14ac:dyDescent="0.25">
      <c r="R625" s="8" t="str">
        <f t="shared" si="20"/>
        <v/>
      </c>
      <c r="S625" s="82" t="str">
        <f t="shared" si="21"/>
        <v/>
      </c>
    </row>
    <row r="626" spans="18:19" x14ac:dyDescent="0.25">
      <c r="R626" s="8" t="str">
        <f t="shared" si="20"/>
        <v/>
      </c>
      <c r="S626" s="82" t="str">
        <f t="shared" si="21"/>
        <v/>
      </c>
    </row>
    <row r="627" spans="18:19" x14ac:dyDescent="0.25">
      <c r="R627" s="8" t="str">
        <f t="shared" si="20"/>
        <v/>
      </c>
      <c r="S627" s="82" t="str">
        <f t="shared" si="21"/>
        <v/>
      </c>
    </row>
    <row r="628" spans="18:19" x14ac:dyDescent="0.25">
      <c r="R628" s="8" t="str">
        <f t="shared" si="20"/>
        <v/>
      </c>
      <c r="S628" s="82" t="str">
        <f t="shared" si="21"/>
        <v/>
      </c>
    </row>
    <row r="629" spans="18:19" x14ac:dyDescent="0.25">
      <c r="R629" s="8" t="str">
        <f t="shared" si="20"/>
        <v/>
      </c>
      <c r="S629" s="82" t="str">
        <f t="shared" si="21"/>
        <v/>
      </c>
    </row>
    <row r="630" spans="18:19" x14ac:dyDescent="0.25">
      <c r="R630" s="8" t="str">
        <f t="shared" si="20"/>
        <v/>
      </c>
      <c r="S630" s="82" t="str">
        <f t="shared" si="21"/>
        <v/>
      </c>
    </row>
    <row r="631" spans="18:19" x14ac:dyDescent="0.25">
      <c r="R631" s="8" t="str">
        <f t="shared" si="20"/>
        <v/>
      </c>
      <c r="S631" s="82" t="str">
        <f t="shared" si="21"/>
        <v/>
      </c>
    </row>
    <row r="632" spans="18:19" x14ac:dyDescent="0.25">
      <c r="R632" s="8" t="str">
        <f t="shared" si="20"/>
        <v/>
      </c>
      <c r="S632" s="82" t="str">
        <f t="shared" si="21"/>
        <v/>
      </c>
    </row>
    <row r="633" spans="18:19" x14ac:dyDescent="0.25">
      <c r="R633" s="8" t="str">
        <f t="shared" si="20"/>
        <v/>
      </c>
      <c r="S633" s="82" t="str">
        <f t="shared" si="21"/>
        <v/>
      </c>
    </row>
    <row r="634" spans="18:19" x14ac:dyDescent="0.25">
      <c r="R634" s="8" t="str">
        <f t="shared" si="20"/>
        <v/>
      </c>
      <c r="S634" s="82" t="str">
        <f t="shared" si="21"/>
        <v/>
      </c>
    </row>
    <row r="635" spans="18:19" x14ac:dyDescent="0.25">
      <c r="R635" s="8" t="str">
        <f t="shared" si="20"/>
        <v/>
      </c>
      <c r="S635" s="82" t="str">
        <f t="shared" si="21"/>
        <v/>
      </c>
    </row>
    <row r="636" spans="18:19" x14ac:dyDescent="0.25">
      <c r="R636" s="8" t="str">
        <f t="shared" si="20"/>
        <v/>
      </c>
      <c r="S636" s="82" t="str">
        <f t="shared" si="21"/>
        <v/>
      </c>
    </row>
    <row r="637" spans="18:19" x14ac:dyDescent="0.25">
      <c r="R637" s="8" t="str">
        <f t="shared" si="20"/>
        <v/>
      </c>
      <c r="S637" s="82" t="str">
        <f t="shared" si="21"/>
        <v/>
      </c>
    </row>
    <row r="638" spans="18:19" x14ac:dyDescent="0.25">
      <c r="R638" s="8" t="str">
        <f t="shared" si="20"/>
        <v/>
      </c>
      <c r="S638" s="82" t="str">
        <f t="shared" si="21"/>
        <v/>
      </c>
    </row>
    <row r="639" spans="18:19" x14ac:dyDescent="0.25">
      <c r="R639" s="8" t="str">
        <f t="shared" si="20"/>
        <v/>
      </c>
      <c r="S639" s="82" t="str">
        <f t="shared" si="21"/>
        <v/>
      </c>
    </row>
    <row r="640" spans="18:19" x14ac:dyDescent="0.25">
      <c r="R640" s="8" t="str">
        <f t="shared" si="20"/>
        <v/>
      </c>
      <c r="S640" s="82" t="str">
        <f t="shared" si="21"/>
        <v/>
      </c>
    </row>
    <row r="641" spans="18:19" x14ac:dyDescent="0.25">
      <c r="R641" s="8" t="str">
        <f t="shared" si="20"/>
        <v/>
      </c>
      <c r="S641" s="82" t="str">
        <f t="shared" si="21"/>
        <v/>
      </c>
    </row>
    <row r="642" spans="18:19" x14ac:dyDescent="0.25">
      <c r="R642" s="8" t="str">
        <f t="shared" si="20"/>
        <v/>
      </c>
      <c r="S642" s="82" t="str">
        <f t="shared" si="21"/>
        <v/>
      </c>
    </row>
    <row r="643" spans="18:19" x14ac:dyDescent="0.25">
      <c r="R643" s="8" t="str">
        <f t="shared" si="20"/>
        <v/>
      </c>
      <c r="S643" s="82" t="str">
        <f t="shared" si="21"/>
        <v/>
      </c>
    </row>
    <row r="644" spans="18:19" x14ac:dyDescent="0.25">
      <c r="R644" s="8" t="str">
        <f t="shared" si="20"/>
        <v/>
      </c>
      <c r="S644" s="82" t="str">
        <f t="shared" si="21"/>
        <v/>
      </c>
    </row>
    <row r="645" spans="18:19" x14ac:dyDescent="0.25">
      <c r="R645" s="8" t="str">
        <f t="shared" si="20"/>
        <v/>
      </c>
      <c r="S645" s="82" t="str">
        <f t="shared" si="21"/>
        <v/>
      </c>
    </row>
    <row r="646" spans="18:19" x14ac:dyDescent="0.25">
      <c r="R646" s="8" t="str">
        <f t="shared" si="20"/>
        <v/>
      </c>
      <c r="S646" s="82" t="str">
        <f t="shared" si="21"/>
        <v/>
      </c>
    </row>
    <row r="647" spans="18:19" x14ac:dyDescent="0.25">
      <c r="R647" s="8" t="str">
        <f t="shared" si="20"/>
        <v/>
      </c>
      <c r="S647" s="82" t="str">
        <f t="shared" si="21"/>
        <v/>
      </c>
    </row>
    <row r="648" spans="18:19" x14ac:dyDescent="0.25">
      <c r="R648" s="8" t="str">
        <f t="shared" si="20"/>
        <v/>
      </c>
      <c r="S648" s="82" t="str">
        <f t="shared" si="21"/>
        <v/>
      </c>
    </row>
    <row r="649" spans="18:19" x14ac:dyDescent="0.25">
      <c r="R649" s="8" t="str">
        <f t="shared" si="20"/>
        <v/>
      </c>
      <c r="S649" s="82" t="str">
        <f t="shared" si="21"/>
        <v/>
      </c>
    </row>
    <row r="650" spans="18:19" x14ac:dyDescent="0.25">
      <c r="R650" s="8" t="str">
        <f t="shared" si="20"/>
        <v/>
      </c>
      <c r="S650" s="82" t="str">
        <f t="shared" si="21"/>
        <v/>
      </c>
    </row>
    <row r="651" spans="18:19" x14ac:dyDescent="0.25">
      <c r="R651" s="8" t="str">
        <f t="shared" si="20"/>
        <v/>
      </c>
      <c r="S651" s="82" t="str">
        <f t="shared" si="21"/>
        <v/>
      </c>
    </row>
    <row r="652" spans="18:19" x14ac:dyDescent="0.25">
      <c r="R652" s="8" t="str">
        <f t="shared" si="20"/>
        <v/>
      </c>
      <c r="S652" s="82" t="str">
        <f t="shared" si="21"/>
        <v/>
      </c>
    </row>
    <row r="653" spans="18:19" x14ac:dyDescent="0.25">
      <c r="R653" s="8" t="str">
        <f t="shared" si="20"/>
        <v/>
      </c>
      <c r="S653" s="82" t="str">
        <f t="shared" si="21"/>
        <v/>
      </c>
    </row>
    <row r="654" spans="18:19" x14ac:dyDescent="0.25">
      <c r="R654" s="8" t="str">
        <f t="shared" si="20"/>
        <v/>
      </c>
      <c r="S654" s="82" t="str">
        <f t="shared" si="21"/>
        <v/>
      </c>
    </row>
    <row r="655" spans="18:19" x14ac:dyDescent="0.25">
      <c r="R655" s="8" t="str">
        <f t="shared" si="20"/>
        <v/>
      </c>
      <c r="S655" s="82" t="str">
        <f t="shared" si="21"/>
        <v/>
      </c>
    </row>
    <row r="656" spans="18:19" x14ac:dyDescent="0.25">
      <c r="R656" s="8" t="str">
        <f t="shared" si="20"/>
        <v/>
      </c>
      <c r="S656" s="82" t="str">
        <f t="shared" si="21"/>
        <v/>
      </c>
    </row>
    <row r="657" spans="18:19" x14ac:dyDescent="0.25">
      <c r="R657" s="8" t="str">
        <f t="shared" si="20"/>
        <v/>
      </c>
      <c r="S657" s="82" t="str">
        <f t="shared" si="21"/>
        <v/>
      </c>
    </row>
    <row r="658" spans="18:19" x14ac:dyDescent="0.25">
      <c r="R658" s="8" t="str">
        <f t="shared" si="20"/>
        <v/>
      </c>
      <c r="S658" s="82" t="str">
        <f t="shared" si="21"/>
        <v/>
      </c>
    </row>
    <row r="659" spans="18:19" x14ac:dyDescent="0.25">
      <c r="R659" s="8" t="str">
        <f t="shared" si="20"/>
        <v/>
      </c>
      <c r="S659" s="82" t="str">
        <f t="shared" si="21"/>
        <v/>
      </c>
    </row>
    <row r="660" spans="18:19" x14ac:dyDescent="0.25">
      <c r="R660" s="8" t="str">
        <f t="shared" si="20"/>
        <v/>
      </c>
      <c r="S660" s="82" t="str">
        <f t="shared" si="21"/>
        <v/>
      </c>
    </row>
    <row r="661" spans="18:19" x14ac:dyDescent="0.25">
      <c r="R661" s="8" t="str">
        <f t="shared" si="20"/>
        <v/>
      </c>
      <c r="S661" s="82" t="str">
        <f t="shared" si="21"/>
        <v/>
      </c>
    </row>
    <row r="662" spans="18:19" x14ac:dyDescent="0.25">
      <c r="R662" s="8" t="str">
        <f t="shared" ref="R662:R725" si="22">IF(A662="",(""),(MONTH(A662)))</f>
        <v/>
      </c>
      <c r="S662" s="82" t="str">
        <f t="shared" ref="S662:S725" si="23">IF(O662&gt;0,(Q662-O662),(IF(K662="USD",(Q662*J662),((IF(B662="",(""),(SUMIF(B662,"11 - Factura C",(Q662))-SUMIF(B662,"13 - Nota de Crédito C",(Q662))+SUMIF(B662,"15 - Recibo C",(Q662))+SUMIF(B662,"109 - Tique C",(Q662)))))))))</f>
        <v/>
      </c>
    </row>
    <row r="663" spans="18:19" x14ac:dyDescent="0.25">
      <c r="R663" s="8" t="str">
        <f t="shared" si="22"/>
        <v/>
      </c>
      <c r="S663" s="82" t="str">
        <f t="shared" si="23"/>
        <v/>
      </c>
    </row>
    <row r="664" spans="18:19" x14ac:dyDescent="0.25">
      <c r="R664" s="8" t="str">
        <f t="shared" si="22"/>
        <v/>
      </c>
      <c r="S664" s="82" t="str">
        <f t="shared" si="23"/>
        <v/>
      </c>
    </row>
    <row r="665" spans="18:19" x14ac:dyDescent="0.25">
      <c r="R665" s="8" t="str">
        <f t="shared" si="22"/>
        <v/>
      </c>
      <c r="S665" s="82" t="str">
        <f t="shared" si="23"/>
        <v/>
      </c>
    </row>
    <row r="666" spans="18:19" x14ac:dyDescent="0.25">
      <c r="R666" s="8" t="str">
        <f t="shared" si="22"/>
        <v/>
      </c>
      <c r="S666" s="82" t="str">
        <f t="shared" si="23"/>
        <v/>
      </c>
    </row>
    <row r="667" spans="18:19" x14ac:dyDescent="0.25">
      <c r="R667" s="8" t="str">
        <f t="shared" si="22"/>
        <v/>
      </c>
      <c r="S667" s="82" t="str">
        <f t="shared" si="23"/>
        <v/>
      </c>
    </row>
    <row r="668" spans="18:19" x14ac:dyDescent="0.25">
      <c r="R668" s="8" t="str">
        <f t="shared" si="22"/>
        <v/>
      </c>
      <c r="S668" s="82" t="str">
        <f t="shared" si="23"/>
        <v/>
      </c>
    </row>
    <row r="669" spans="18:19" x14ac:dyDescent="0.25">
      <c r="R669" s="8" t="str">
        <f t="shared" si="22"/>
        <v/>
      </c>
      <c r="S669" s="82" t="str">
        <f t="shared" si="23"/>
        <v/>
      </c>
    </row>
    <row r="670" spans="18:19" x14ac:dyDescent="0.25">
      <c r="R670" s="8" t="str">
        <f t="shared" si="22"/>
        <v/>
      </c>
      <c r="S670" s="82" t="str">
        <f t="shared" si="23"/>
        <v/>
      </c>
    </row>
    <row r="671" spans="18:19" x14ac:dyDescent="0.25">
      <c r="R671" s="8" t="str">
        <f t="shared" si="22"/>
        <v/>
      </c>
      <c r="S671" s="82" t="str">
        <f t="shared" si="23"/>
        <v/>
      </c>
    </row>
    <row r="672" spans="18:19" x14ac:dyDescent="0.25">
      <c r="R672" s="8" t="str">
        <f t="shared" si="22"/>
        <v/>
      </c>
      <c r="S672" s="82" t="str">
        <f t="shared" si="23"/>
        <v/>
      </c>
    </row>
    <row r="673" spans="18:19" x14ac:dyDescent="0.25">
      <c r="R673" s="8" t="str">
        <f t="shared" si="22"/>
        <v/>
      </c>
      <c r="S673" s="82" t="str">
        <f t="shared" si="23"/>
        <v/>
      </c>
    </row>
    <row r="674" spans="18:19" x14ac:dyDescent="0.25">
      <c r="R674" s="8" t="str">
        <f t="shared" si="22"/>
        <v/>
      </c>
      <c r="S674" s="82" t="str">
        <f t="shared" si="23"/>
        <v/>
      </c>
    </row>
    <row r="675" spans="18:19" x14ac:dyDescent="0.25">
      <c r="R675" s="8" t="str">
        <f t="shared" si="22"/>
        <v/>
      </c>
      <c r="S675" s="82" t="str">
        <f t="shared" si="23"/>
        <v/>
      </c>
    </row>
    <row r="676" spans="18:19" x14ac:dyDescent="0.25">
      <c r="R676" s="8" t="str">
        <f t="shared" si="22"/>
        <v/>
      </c>
      <c r="S676" s="82" t="str">
        <f t="shared" si="23"/>
        <v/>
      </c>
    </row>
    <row r="677" spans="18:19" x14ac:dyDescent="0.25">
      <c r="R677" s="8" t="str">
        <f t="shared" si="22"/>
        <v/>
      </c>
      <c r="S677" s="82" t="str">
        <f t="shared" si="23"/>
        <v/>
      </c>
    </row>
    <row r="678" spans="18:19" x14ac:dyDescent="0.25">
      <c r="R678" s="8" t="str">
        <f t="shared" si="22"/>
        <v/>
      </c>
      <c r="S678" s="82" t="str">
        <f t="shared" si="23"/>
        <v/>
      </c>
    </row>
    <row r="679" spans="18:19" x14ac:dyDescent="0.25">
      <c r="R679" s="8" t="str">
        <f t="shared" si="22"/>
        <v/>
      </c>
      <c r="S679" s="82" t="str">
        <f t="shared" si="23"/>
        <v/>
      </c>
    </row>
    <row r="680" spans="18:19" x14ac:dyDescent="0.25">
      <c r="R680" s="8" t="str">
        <f t="shared" si="22"/>
        <v/>
      </c>
      <c r="S680" s="82" t="str">
        <f t="shared" si="23"/>
        <v/>
      </c>
    </row>
    <row r="681" spans="18:19" x14ac:dyDescent="0.25">
      <c r="R681" s="8" t="str">
        <f t="shared" si="22"/>
        <v/>
      </c>
      <c r="S681" s="82" t="str">
        <f t="shared" si="23"/>
        <v/>
      </c>
    </row>
    <row r="682" spans="18:19" x14ac:dyDescent="0.25">
      <c r="R682" s="8" t="str">
        <f t="shared" si="22"/>
        <v/>
      </c>
      <c r="S682" s="82" t="str">
        <f t="shared" si="23"/>
        <v/>
      </c>
    </row>
    <row r="683" spans="18:19" x14ac:dyDescent="0.25">
      <c r="R683" s="8" t="str">
        <f t="shared" si="22"/>
        <v/>
      </c>
      <c r="S683" s="82" t="str">
        <f t="shared" si="23"/>
        <v/>
      </c>
    </row>
    <row r="684" spans="18:19" x14ac:dyDescent="0.25">
      <c r="R684" s="8" t="str">
        <f t="shared" si="22"/>
        <v/>
      </c>
      <c r="S684" s="82" t="str">
        <f t="shared" si="23"/>
        <v/>
      </c>
    </row>
    <row r="685" spans="18:19" x14ac:dyDescent="0.25">
      <c r="R685" s="8" t="str">
        <f t="shared" si="22"/>
        <v/>
      </c>
      <c r="S685" s="82" t="str">
        <f t="shared" si="23"/>
        <v/>
      </c>
    </row>
    <row r="686" spans="18:19" x14ac:dyDescent="0.25">
      <c r="R686" s="8" t="str">
        <f t="shared" si="22"/>
        <v/>
      </c>
      <c r="S686" s="82" t="str">
        <f t="shared" si="23"/>
        <v/>
      </c>
    </row>
    <row r="687" spans="18:19" x14ac:dyDescent="0.25">
      <c r="R687" s="8" t="str">
        <f t="shared" si="22"/>
        <v/>
      </c>
      <c r="S687" s="82" t="str">
        <f t="shared" si="23"/>
        <v/>
      </c>
    </row>
    <row r="688" spans="18:19" x14ac:dyDescent="0.25">
      <c r="R688" s="8" t="str">
        <f t="shared" si="22"/>
        <v/>
      </c>
      <c r="S688" s="82" t="str">
        <f t="shared" si="23"/>
        <v/>
      </c>
    </row>
    <row r="689" spans="18:19" x14ac:dyDescent="0.25">
      <c r="R689" s="8" t="str">
        <f t="shared" si="22"/>
        <v/>
      </c>
      <c r="S689" s="82" t="str">
        <f t="shared" si="23"/>
        <v/>
      </c>
    </row>
    <row r="690" spans="18:19" x14ac:dyDescent="0.25">
      <c r="R690" s="8" t="str">
        <f t="shared" si="22"/>
        <v/>
      </c>
      <c r="S690" s="82" t="str">
        <f t="shared" si="23"/>
        <v/>
      </c>
    </row>
    <row r="691" spans="18:19" x14ac:dyDescent="0.25">
      <c r="R691" s="8" t="str">
        <f t="shared" si="22"/>
        <v/>
      </c>
      <c r="S691" s="82" t="str">
        <f t="shared" si="23"/>
        <v/>
      </c>
    </row>
    <row r="692" spans="18:19" x14ac:dyDescent="0.25">
      <c r="R692" s="8" t="str">
        <f t="shared" si="22"/>
        <v/>
      </c>
      <c r="S692" s="82" t="str">
        <f t="shared" si="23"/>
        <v/>
      </c>
    </row>
    <row r="693" spans="18:19" x14ac:dyDescent="0.25">
      <c r="R693" s="8" t="str">
        <f t="shared" si="22"/>
        <v/>
      </c>
      <c r="S693" s="82" t="str">
        <f t="shared" si="23"/>
        <v/>
      </c>
    </row>
    <row r="694" spans="18:19" x14ac:dyDescent="0.25">
      <c r="R694" s="8" t="str">
        <f t="shared" si="22"/>
        <v/>
      </c>
      <c r="S694" s="82" t="str">
        <f t="shared" si="23"/>
        <v/>
      </c>
    </row>
    <row r="695" spans="18:19" x14ac:dyDescent="0.25">
      <c r="R695" s="8" t="str">
        <f t="shared" si="22"/>
        <v/>
      </c>
      <c r="S695" s="82" t="str">
        <f t="shared" si="23"/>
        <v/>
      </c>
    </row>
    <row r="696" spans="18:19" x14ac:dyDescent="0.25">
      <c r="R696" s="8" t="str">
        <f t="shared" si="22"/>
        <v/>
      </c>
      <c r="S696" s="82" t="str">
        <f t="shared" si="23"/>
        <v/>
      </c>
    </row>
    <row r="697" spans="18:19" x14ac:dyDescent="0.25">
      <c r="R697" s="8" t="str">
        <f t="shared" si="22"/>
        <v/>
      </c>
      <c r="S697" s="82" t="str">
        <f t="shared" si="23"/>
        <v/>
      </c>
    </row>
    <row r="698" spans="18:19" x14ac:dyDescent="0.25">
      <c r="R698" s="8" t="str">
        <f t="shared" si="22"/>
        <v/>
      </c>
      <c r="S698" s="82" t="str">
        <f t="shared" si="23"/>
        <v/>
      </c>
    </row>
    <row r="699" spans="18:19" x14ac:dyDescent="0.25">
      <c r="R699" s="8" t="str">
        <f t="shared" si="22"/>
        <v/>
      </c>
      <c r="S699" s="82" t="str">
        <f t="shared" si="23"/>
        <v/>
      </c>
    </row>
    <row r="700" spans="18:19" x14ac:dyDescent="0.25">
      <c r="R700" s="8" t="str">
        <f t="shared" si="22"/>
        <v/>
      </c>
      <c r="S700" s="82" t="str">
        <f t="shared" si="23"/>
        <v/>
      </c>
    </row>
    <row r="701" spans="18:19" x14ac:dyDescent="0.25">
      <c r="R701" s="8" t="str">
        <f t="shared" si="22"/>
        <v/>
      </c>
      <c r="S701" s="82" t="str">
        <f t="shared" si="23"/>
        <v/>
      </c>
    </row>
    <row r="702" spans="18:19" x14ac:dyDescent="0.25">
      <c r="R702" s="8" t="str">
        <f t="shared" si="22"/>
        <v/>
      </c>
      <c r="S702" s="82" t="str">
        <f t="shared" si="23"/>
        <v/>
      </c>
    </row>
    <row r="703" spans="18:19" x14ac:dyDescent="0.25">
      <c r="R703" s="8" t="str">
        <f t="shared" si="22"/>
        <v/>
      </c>
      <c r="S703" s="82" t="str">
        <f t="shared" si="23"/>
        <v/>
      </c>
    </row>
    <row r="704" spans="18:19" x14ac:dyDescent="0.25">
      <c r="R704" s="8" t="str">
        <f t="shared" si="22"/>
        <v/>
      </c>
      <c r="S704" s="82" t="str">
        <f t="shared" si="23"/>
        <v/>
      </c>
    </row>
    <row r="705" spans="18:19" x14ac:dyDescent="0.25">
      <c r="R705" s="8" t="str">
        <f t="shared" si="22"/>
        <v/>
      </c>
      <c r="S705" s="82" t="str">
        <f t="shared" si="23"/>
        <v/>
      </c>
    </row>
    <row r="706" spans="18:19" x14ac:dyDescent="0.25">
      <c r="R706" s="8" t="str">
        <f t="shared" si="22"/>
        <v/>
      </c>
      <c r="S706" s="82" t="str">
        <f t="shared" si="23"/>
        <v/>
      </c>
    </row>
    <row r="707" spans="18:19" x14ac:dyDescent="0.25">
      <c r="R707" s="8" t="str">
        <f t="shared" si="22"/>
        <v/>
      </c>
      <c r="S707" s="82" t="str">
        <f t="shared" si="23"/>
        <v/>
      </c>
    </row>
    <row r="708" spans="18:19" x14ac:dyDescent="0.25">
      <c r="R708" s="8" t="str">
        <f t="shared" si="22"/>
        <v/>
      </c>
      <c r="S708" s="82" t="str">
        <f t="shared" si="23"/>
        <v/>
      </c>
    </row>
    <row r="709" spans="18:19" x14ac:dyDescent="0.25">
      <c r="R709" s="8" t="str">
        <f t="shared" si="22"/>
        <v/>
      </c>
      <c r="S709" s="82" t="str">
        <f t="shared" si="23"/>
        <v/>
      </c>
    </row>
    <row r="710" spans="18:19" x14ac:dyDescent="0.25">
      <c r="R710" s="8" t="str">
        <f t="shared" si="22"/>
        <v/>
      </c>
      <c r="S710" s="82" t="str">
        <f t="shared" si="23"/>
        <v/>
      </c>
    </row>
    <row r="711" spans="18:19" x14ac:dyDescent="0.25">
      <c r="R711" s="8" t="str">
        <f t="shared" si="22"/>
        <v/>
      </c>
      <c r="S711" s="82" t="str">
        <f t="shared" si="23"/>
        <v/>
      </c>
    </row>
    <row r="712" spans="18:19" x14ac:dyDescent="0.25">
      <c r="R712" s="8" t="str">
        <f t="shared" si="22"/>
        <v/>
      </c>
      <c r="S712" s="82" t="str">
        <f t="shared" si="23"/>
        <v/>
      </c>
    </row>
    <row r="713" spans="18:19" x14ac:dyDescent="0.25">
      <c r="R713" s="8" t="str">
        <f t="shared" si="22"/>
        <v/>
      </c>
      <c r="S713" s="82" t="str">
        <f t="shared" si="23"/>
        <v/>
      </c>
    </row>
    <row r="714" spans="18:19" x14ac:dyDescent="0.25">
      <c r="R714" s="8" t="str">
        <f t="shared" si="22"/>
        <v/>
      </c>
      <c r="S714" s="82" t="str">
        <f t="shared" si="23"/>
        <v/>
      </c>
    </row>
    <row r="715" spans="18:19" x14ac:dyDescent="0.25">
      <c r="R715" s="8" t="str">
        <f t="shared" si="22"/>
        <v/>
      </c>
      <c r="S715" s="82" t="str">
        <f t="shared" si="23"/>
        <v/>
      </c>
    </row>
    <row r="716" spans="18:19" x14ac:dyDescent="0.25">
      <c r="R716" s="8" t="str">
        <f t="shared" si="22"/>
        <v/>
      </c>
      <c r="S716" s="82" t="str">
        <f t="shared" si="23"/>
        <v/>
      </c>
    </row>
    <row r="717" spans="18:19" x14ac:dyDescent="0.25">
      <c r="R717" s="8" t="str">
        <f t="shared" si="22"/>
        <v/>
      </c>
      <c r="S717" s="82" t="str">
        <f t="shared" si="23"/>
        <v/>
      </c>
    </row>
    <row r="718" spans="18:19" x14ac:dyDescent="0.25">
      <c r="R718" s="8" t="str">
        <f t="shared" si="22"/>
        <v/>
      </c>
      <c r="S718" s="82" t="str">
        <f t="shared" si="23"/>
        <v/>
      </c>
    </row>
    <row r="719" spans="18:19" x14ac:dyDescent="0.25">
      <c r="R719" s="8" t="str">
        <f t="shared" si="22"/>
        <v/>
      </c>
      <c r="S719" s="82" t="str">
        <f t="shared" si="23"/>
        <v/>
      </c>
    </row>
    <row r="720" spans="18:19" x14ac:dyDescent="0.25">
      <c r="R720" s="8" t="str">
        <f t="shared" si="22"/>
        <v/>
      </c>
      <c r="S720" s="82" t="str">
        <f t="shared" si="23"/>
        <v/>
      </c>
    </row>
    <row r="721" spans="18:19" x14ac:dyDescent="0.25">
      <c r="R721" s="8" t="str">
        <f t="shared" si="22"/>
        <v/>
      </c>
      <c r="S721" s="82" t="str">
        <f t="shared" si="23"/>
        <v/>
      </c>
    </row>
    <row r="722" spans="18:19" x14ac:dyDescent="0.25">
      <c r="R722" s="8" t="str">
        <f t="shared" si="22"/>
        <v/>
      </c>
      <c r="S722" s="82" t="str">
        <f t="shared" si="23"/>
        <v/>
      </c>
    </row>
    <row r="723" spans="18:19" x14ac:dyDescent="0.25">
      <c r="R723" s="8" t="str">
        <f t="shared" si="22"/>
        <v/>
      </c>
      <c r="S723" s="82" t="str">
        <f t="shared" si="23"/>
        <v/>
      </c>
    </row>
    <row r="724" spans="18:19" x14ac:dyDescent="0.25">
      <c r="R724" s="8" t="str">
        <f t="shared" si="22"/>
        <v/>
      </c>
      <c r="S724" s="82" t="str">
        <f t="shared" si="23"/>
        <v/>
      </c>
    </row>
    <row r="725" spans="18:19" x14ac:dyDescent="0.25">
      <c r="R725" s="8" t="str">
        <f t="shared" si="22"/>
        <v/>
      </c>
      <c r="S725" s="82" t="str">
        <f t="shared" si="23"/>
        <v/>
      </c>
    </row>
    <row r="726" spans="18:19" x14ac:dyDescent="0.25">
      <c r="R726" s="8" t="str">
        <f t="shared" ref="R726:R775" si="24">IF(A726="",(""),(MONTH(A726)))</f>
        <v/>
      </c>
      <c r="S726" s="82" t="str">
        <f t="shared" ref="S726:S789" si="25">IF(O726&gt;0,(Q726-O726),(IF(K726="USD",(Q726*J726),((IF(B726="",(""),(SUMIF(B726,"11 - Factura C",(Q726))-SUMIF(B726,"13 - Nota de Crédito C",(Q726))+SUMIF(B726,"15 - Recibo C",(Q726))+SUMIF(B726,"109 - Tique C",(Q726)))))))))</f>
        <v/>
      </c>
    </row>
    <row r="727" spans="18:19" x14ac:dyDescent="0.25">
      <c r="R727" s="8" t="str">
        <f t="shared" si="24"/>
        <v/>
      </c>
      <c r="S727" s="82" t="str">
        <f t="shared" si="25"/>
        <v/>
      </c>
    </row>
    <row r="728" spans="18:19" x14ac:dyDescent="0.25">
      <c r="R728" s="8" t="str">
        <f t="shared" si="24"/>
        <v/>
      </c>
      <c r="S728" s="82" t="str">
        <f t="shared" si="25"/>
        <v/>
      </c>
    </row>
    <row r="729" spans="18:19" x14ac:dyDescent="0.25">
      <c r="R729" s="8" t="str">
        <f t="shared" si="24"/>
        <v/>
      </c>
      <c r="S729" s="82" t="str">
        <f t="shared" si="25"/>
        <v/>
      </c>
    </row>
    <row r="730" spans="18:19" x14ac:dyDescent="0.25">
      <c r="R730" s="8" t="str">
        <f t="shared" si="24"/>
        <v/>
      </c>
      <c r="S730" s="82" t="str">
        <f t="shared" si="25"/>
        <v/>
      </c>
    </row>
    <row r="731" spans="18:19" x14ac:dyDescent="0.25">
      <c r="R731" s="8" t="str">
        <f t="shared" si="24"/>
        <v/>
      </c>
      <c r="S731" s="82" t="str">
        <f t="shared" si="25"/>
        <v/>
      </c>
    </row>
    <row r="732" spans="18:19" x14ac:dyDescent="0.25">
      <c r="R732" s="8" t="str">
        <f t="shared" si="24"/>
        <v/>
      </c>
      <c r="S732" s="82" t="str">
        <f t="shared" si="25"/>
        <v/>
      </c>
    </row>
    <row r="733" spans="18:19" x14ac:dyDescent="0.25">
      <c r="R733" s="8" t="str">
        <f t="shared" si="24"/>
        <v/>
      </c>
      <c r="S733" s="82" t="str">
        <f t="shared" si="25"/>
        <v/>
      </c>
    </row>
    <row r="734" spans="18:19" x14ac:dyDescent="0.25">
      <c r="R734" s="8" t="str">
        <f t="shared" si="24"/>
        <v/>
      </c>
      <c r="S734" s="82" t="str">
        <f t="shared" si="25"/>
        <v/>
      </c>
    </row>
    <row r="735" spans="18:19" x14ac:dyDescent="0.25">
      <c r="R735" s="8" t="str">
        <f t="shared" si="24"/>
        <v/>
      </c>
      <c r="S735" s="82" t="str">
        <f t="shared" si="25"/>
        <v/>
      </c>
    </row>
    <row r="736" spans="18:19" x14ac:dyDescent="0.25">
      <c r="R736" s="8" t="str">
        <f t="shared" si="24"/>
        <v/>
      </c>
      <c r="S736" s="82" t="str">
        <f t="shared" si="25"/>
        <v/>
      </c>
    </row>
    <row r="737" spans="18:19" x14ac:dyDescent="0.25">
      <c r="R737" s="8" t="str">
        <f t="shared" si="24"/>
        <v/>
      </c>
      <c r="S737" s="82" t="str">
        <f t="shared" si="25"/>
        <v/>
      </c>
    </row>
    <row r="738" spans="18:19" x14ac:dyDescent="0.25">
      <c r="R738" s="8" t="str">
        <f t="shared" si="24"/>
        <v/>
      </c>
      <c r="S738" s="82" t="str">
        <f t="shared" si="25"/>
        <v/>
      </c>
    </row>
    <row r="739" spans="18:19" x14ac:dyDescent="0.25">
      <c r="R739" s="8" t="str">
        <f t="shared" si="24"/>
        <v/>
      </c>
      <c r="S739" s="82" t="str">
        <f t="shared" si="25"/>
        <v/>
      </c>
    </row>
    <row r="740" spans="18:19" x14ac:dyDescent="0.25">
      <c r="R740" s="8" t="str">
        <f t="shared" si="24"/>
        <v/>
      </c>
      <c r="S740" s="82" t="str">
        <f t="shared" si="25"/>
        <v/>
      </c>
    </row>
    <row r="741" spans="18:19" x14ac:dyDescent="0.25">
      <c r="R741" s="8" t="str">
        <f t="shared" si="24"/>
        <v/>
      </c>
      <c r="S741" s="82" t="str">
        <f t="shared" si="25"/>
        <v/>
      </c>
    </row>
    <row r="742" spans="18:19" x14ac:dyDescent="0.25">
      <c r="R742" s="8" t="str">
        <f t="shared" si="24"/>
        <v/>
      </c>
      <c r="S742" s="82" t="str">
        <f t="shared" si="25"/>
        <v/>
      </c>
    </row>
    <row r="743" spans="18:19" x14ac:dyDescent="0.25">
      <c r="R743" s="8" t="str">
        <f t="shared" si="24"/>
        <v/>
      </c>
      <c r="S743" s="82" t="str">
        <f t="shared" si="25"/>
        <v/>
      </c>
    </row>
    <row r="744" spans="18:19" x14ac:dyDescent="0.25">
      <c r="R744" s="8" t="str">
        <f t="shared" si="24"/>
        <v/>
      </c>
      <c r="S744" s="82" t="str">
        <f t="shared" si="25"/>
        <v/>
      </c>
    </row>
    <row r="745" spans="18:19" x14ac:dyDescent="0.25">
      <c r="R745" s="8" t="str">
        <f t="shared" si="24"/>
        <v/>
      </c>
      <c r="S745" s="82" t="str">
        <f t="shared" si="25"/>
        <v/>
      </c>
    </row>
    <row r="746" spans="18:19" x14ac:dyDescent="0.25">
      <c r="R746" s="8" t="str">
        <f t="shared" si="24"/>
        <v/>
      </c>
      <c r="S746" s="82" t="str">
        <f t="shared" si="25"/>
        <v/>
      </c>
    </row>
    <row r="747" spans="18:19" x14ac:dyDescent="0.25">
      <c r="R747" s="8" t="str">
        <f t="shared" si="24"/>
        <v/>
      </c>
      <c r="S747" s="82" t="str">
        <f t="shared" si="25"/>
        <v/>
      </c>
    </row>
    <row r="748" spans="18:19" x14ac:dyDescent="0.25">
      <c r="R748" s="8" t="str">
        <f t="shared" si="24"/>
        <v/>
      </c>
      <c r="S748" s="82" t="str">
        <f t="shared" si="25"/>
        <v/>
      </c>
    </row>
    <row r="749" spans="18:19" x14ac:dyDescent="0.25">
      <c r="R749" s="8" t="str">
        <f t="shared" si="24"/>
        <v/>
      </c>
      <c r="S749" s="82" t="str">
        <f t="shared" si="25"/>
        <v/>
      </c>
    </row>
    <row r="750" spans="18:19" x14ac:dyDescent="0.25">
      <c r="R750" s="8" t="str">
        <f t="shared" si="24"/>
        <v/>
      </c>
      <c r="S750" s="82" t="str">
        <f t="shared" si="25"/>
        <v/>
      </c>
    </row>
    <row r="751" spans="18:19" x14ac:dyDescent="0.25">
      <c r="R751" s="8" t="str">
        <f t="shared" si="24"/>
        <v/>
      </c>
      <c r="S751" s="82" t="str">
        <f t="shared" si="25"/>
        <v/>
      </c>
    </row>
    <row r="752" spans="18:19" x14ac:dyDescent="0.25">
      <c r="R752" s="8" t="str">
        <f t="shared" si="24"/>
        <v/>
      </c>
      <c r="S752" s="82" t="str">
        <f t="shared" si="25"/>
        <v/>
      </c>
    </row>
    <row r="753" spans="18:19" x14ac:dyDescent="0.25">
      <c r="R753" s="8" t="str">
        <f t="shared" si="24"/>
        <v/>
      </c>
      <c r="S753" s="82" t="str">
        <f t="shared" si="25"/>
        <v/>
      </c>
    </row>
    <row r="754" spans="18:19" x14ac:dyDescent="0.25">
      <c r="R754" s="8" t="str">
        <f t="shared" si="24"/>
        <v/>
      </c>
      <c r="S754" s="82" t="str">
        <f t="shared" si="25"/>
        <v/>
      </c>
    </row>
    <row r="755" spans="18:19" x14ac:dyDescent="0.25">
      <c r="R755" s="8" t="str">
        <f t="shared" si="24"/>
        <v/>
      </c>
      <c r="S755" s="82" t="str">
        <f t="shared" si="25"/>
        <v/>
      </c>
    </row>
    <row r="756" spans="18:19" x14ac:dyDescent="0.25">
      <c r="R756" s="8" t="str">
        <f t="shared" si="24"/>
        <v/>
      </c>
      <c r="S756" s="82" t="str">
        <f t="shared" si="25"/>
        <v/>
      </c>
    </row>
    <row r="757" spans="18:19" x14ac:dyDescent="0.25">
      <c r="R757" s="8" t="str">
        <f t="shared" si="24"/>
        <v/>
      </c>
      <c r="S757" s="82" t="str">
        <f t="shared" si="25"/>
        <v/>
      </c>
    </row>
    <row r="758" spans="18:19" x14ac:dyDescent="0.25">
      <c r="R758" s="8" t="str">
        <f t="shared" si="24"/>
        <v/>
      </c>
      <c r="S758" s="82" t="str">
        <f t="shared" si="25"/>
        <v/>
      </c>
    </row>
    <row r="759" spans="18:19" x14ac:dyDescent="0.25">
      <c r="R759" s="8" t="str">
        <f t="shared" si="24"/>
        <v/>
      </c>
      <c r="S759" s="82" t="str">
        <f t="shared" si="25"/>
        <v/>
      </c>
    </row>
    <row r="760" spans="18:19" x14ac:dyDescent="0.25">
      <c r="R760" s="8" t="str">
        <f t="shared" si="24"/>
        <v/>
      </c>
      <c r="S760" s="82" t="str">
        <f t="shared" si="25"/>
        <v/>
      </c>
    </row>
    <row r="761" spans="18:19" x14ac:dyDescent="0.25">
      <c r="R761" s="8" t="str">
        <f t="shared" si="24"/>
        <v/>
      </c>
      <c r="S761" s="82" t="str">
        <f t="shared" si="25"/>
        <v/>
      </c>
    </row>
    <row r="762" spans="18:19" x14ac:dyDescent="0.25">
      <c r="R762" s="8" t="str">
        <f t="shared" si="24"/>
        <v/>
      </c>
      <c r="S762" s="82" t="str">
        <f t="shared" si="25"/>
        <v/>
      </c>
    </row>
    <row r="763" spans="18:19" x14ac:dyDescent="0.25">
      <c r="R763" s="8" t="str">
        <f t="shared" si="24"/>
        <v/>
      </c>
      <c r="S763" s="82" t="str">
        <f t="shared" si="25"/>
        <v/>
      </c>
    </row>
    <row r="764" spans="18:19" x14ac:dyDescent="0.25">
      <c r="R764" s="8" t="str">
        <f t="shared" si="24"/>
        <v/>
      </c>
      <c r="S764" s="82" t="str">
        <f t="shared" si="25"/>
        <v/>
      </c>
    </row>
    <row r="765" spans="18:19" x14ac:dyDescent="0.25">
      <c r="R765" s="8" t="str">
        <f t="shared" si="24"/>
        <v/>
      </c>
      <c r="S765" s="82" t="str">
        <f t="shared" si="25"/>
        <v/>
      </c>
    </row>
    <row r="766" spans="18:19" x14ac:dyDescent="0.25">
      <c r="R766" s="8" t="str">
        <f t="shared" si="24"/>
        <v/>
      </c>
      <c r="S766" s="82" t="str">
        <f t="shared" si="25"/>
        <v/>
      </c>
    </row>
    <row r="767" spans="18:19" x14ac:dyDescent="0.25">
      <c r="R767" s="8" t="str">
        <f t="shared" si="24"/>
        <v/>
      </c>
      <c r="S767" s="82" t="str">
        <f t="shared" si="25"/>
        <v/>
      </c>
    </row>
    <row r="768" spans="18:19" x14ac:dyDescent="0.25">
      <c r="R768" s="8" t="str">
        <f t="shared" si="24"/>
        <v/>
      </c>
      <c r="S768" s="82" t="str">
        <f t="shared" si="25"/>
        <v/>
      </c>
    </row>
    <row r="769" spans="18:19" x14ac:dyDescent="0.25">
      <c r="R769" s="8" t="str">
        <f t="shared" si="24"/>
        <v/>
      </c>
      <c r="S769" s="82" t="str">
        <f t="shared" si="25"/>
        <v/>
      </c>
    </row>
    <row r="770" spans="18:19" x14ac:dyDescent="0.25">
      <c r="R770" s="8" t="str">
        <f t="shared" si="24"/>
        <v/>
      </c>
      <c r="S770" s="82" t="str">
        <f t="shared" si="25"/>
        <v/>
      </c>
    </row>
    <row r="771" spans="18:19" x14ac:dyDescent="0.25">
      <c r="R771" s="8" t="str">
        <f t="shared" si="24"/>
        <v/>
      </c>
      <c r="S771" s="82" t="str">
        <f t="shared" si="25"/>
        <v/>
      </c>
    </row>
    <row r="772" spans="18:19" x14ac:dyDescent="0.25">
      <c r="R772" s="8" t="str">
        <f t="shared" si="24"/>
        <v/>
      </c>
      <c r="S772" s="82" t="str">
        <f t="shared" si="25"/>
        <v/>
      </c>
    </row>
    <row r="773" spans="18:19" x14ac:dyDescent="0.25">
      <c r="R773" s="8" t="str">
        <f t="shared" si="24"/>
        <v/>
      </c>
      <c r="S773" s="82" t="str">
        <f t="shared" si="25"/>
        <v/>
      </c>
    </row>
    <row r="774" spans="18:19" x14ac:dyDescent="0.25">
      <c r="R774" s="8" t="str">
        <f t="shared" si="24"/>
        <v/>
      </c>
      <c r="S774" s="82" t="str">
        <f t="shared" si="25"/>
        <v/>
      </c>
    </row>
    <row r="775" spans="18:19" x14ac:dyDescent="0.25">
      <c r="R775" s="8" t="str">
        <f t="shared" si="24"/>
        <v/>
      </c>
      <c r="S775" s="82" t="str">
        <f t="shared" si="25"/>
        <v/>
      </c>
    </row>
    <row r="776" spans="18:19" x14ac:dyDescent="0.25">
      <c r="R776" s="8" t="str">
        <f t="shared" ref="R776:R839" si="26">IF(A776="",(""),(MONTH(A776)))</f>
        <v/>
      </c>
      <c r="S776" s="82" t="str">
        <f t="shared" si="25"/>
        <v/>
      </c>
    </row>
    <row r="777" spans="18:19" x14ac:dyDescent="0.25">
      <c r="R777" s="8" t="str">
        <f t="shared" si="26"/>
        <v/>
      </c>
      <c r="S777" s="82" t="str">
        <f t="shared" si="25"/>
        <v/>
      </c>
    </row>
    <row r="778" spans="18:19" x14ac:dyDescent="0.25">
      <c r="R778" s="8" t="str">
        <f t="shared" si="26"/>
        <v/>
      </c>
      <c r="S778" s="82" t="str">
        <f t="shared" si="25"/>
        <v/>
      </c>
    </row>
    <row r="779" spans="18:19" x14ac:dyDescent="0.25">
      <c r="R779" s="8" t="str">
        <f t="shared" si="26"/>
        <v/>
      </c>
      <c r="S779" s="82" t="str">
        <f t="shared" si="25"/>
        <v/>
      </c>
    </row>
    <row r="780" spans="18:19" x14ac:dyDescent="0.25">
      <c r="R780" s="8" t="str">
        <f t="shared" si="26"/>
        <v/>
      </c>
      <c r="S780" s="82" t="str">
        <f t="shared" si="25"/>
        <v/>
      </c>
    </row>
    <row r="781" spans="18:19" x14ac:dyDescent="0.25">
      <c r="R781" s="8" t="str">
        <f t="shared" si="26"/>
        <v/>
      </c>
      <c r="S781" s="82" t="str">
        <f t="shared" si="25"/>
        <v/>
      </c>
    </row>
    <row r="782" spans="18:19" x14ac:dyDescent="0.25">
      <c r="R782" s="8" t="str">
        <f t="shared" si="26"/>
        <v/>
      </c>
      <c r="S782" s="82" t="str">
        <f t="shared" si="25"/>
        <v/>
      </c>
    </row>
    <row r="783" spans="18:19" x14ac:dyDescent="0.25">
      <c r="R783" s="8" t="str">
        <f t="shared" si="26"/>
        <v/>
      </c>
      <c r="S783" s="82" t="str">
        <f t="shared" si="25"/>
        <v/>
      </c>
    </row>
    <row r="784" spans="18:19" x14ac:dyDescent="0.25">
      <c r="R784" s="8" t="str">
        <f t="shared" si="26"/>
        <v/>
      </c>
      <c r="S784" s="82" t="str">
        <f t="shared" si="25"/>
        <v/>
      </c>
    </row>
    <row r="785" spans="18:19" x14ac:dyDescent="0.25">
      <c r="R785" s="8" t="str">
        <f t="shared" si="26"/>
        <v/>
      </c>
      <c r="S785" s="82" t="str">
        <f t="shared" si="25"/>
        <v/>
      </c>
    </row>
    <row r="786" spans="18:19" x14ac:dyDescent="0.25">
      <c r="R786" s="8" t="str">
        <f t="shared" si="26"/>
        <v/>
      </c>
      <c r="S786" s="82" t="str">
        <f t="shared" si="25"/>
        <v/>
      </c>
    </row>
    <row r="787" spans="18:19" x14ac:dyDescent="0.25">
      <c r="R787" s="8" t="str">
        <f t="shared" si="26"/>
        <v/>
      </c>
      <c r="S787" s="82" t="str">
        <f t="shared" si="25"/>
        <v/>
      </c>
    </row>
    <row r="788" spans="18:19" x14ac:dyDescent="0.25">
      <c r="R788" s="8" t="str">
        <f t="shared" si="26"/>
        <v/>
      </c>
      <c r="S788" s="82" t="str">
        <f t="shared" si="25"/>
        <v/>
      </c>
    </row>
    <row r="789" spans="18:19" x14ac:dyDescent="0.25">
      <c r="R789" s="8" t="str">
        <f t="shared" si="26"/>
        <v/>
      </c>
      <c r="S789" s="82" t="str">
        <f t="shared" si="25"/>
        <v/>
      </c>
    </row>
    <row r="790" spans="18:19" x14ac:dyDescent="0.25">
      <c r="R790" s="8" t="str">
        <f t="shared" si="26"/>
        <v/>
      </c>
      <c r="S790" s="82" t="str">
        <f t="shared" ref="S790:S853" si="27">IF(O790&gt;0,(Q790-O790),(IF(K790="USD",(Q790*J790),((IF(B790="",(""),(SUMIF(B790,"11 - Factura C",(Q790))-SUMIF(B790,"13 - Nota de Crédito C",(Q790))+SUMIF(B790,"15 - Recibo C",(Q790))+SUMIF(B790,"109 - Tique C",(Q790)))))))))</f>
        <v/>
      </c>
    </row>
    <row r="791" spans="18:19" x14ac:dyDescent="0.25">
      <c r="R791" s="8" t="str">
        <f t="shared" si="26"/>
        <v/>
      </c>
      <c r="S791" s="82" t="str">
        <f t="shared" si="27"/>
        <v/>
      </c>
    </row>
    <row r="792" spans="18:19" x14ac:dyDescent="0.25">
      <c r="R792" s="8" t="str">
        <f t="shared" si="26"/>
        <v/>
      </c>
      <c r="S792" s="82" t="str">
        <f t="shared" si="27"/>
        <v/>
      </c>
    </row>
    <row r="793" spans="18:19" x14ac:dyDescent="0.25">
      <c r="R793" s="8" t="str">
        <f t="shared" si="26"/>
        <v/>
      </c>
      <c r="S793" s="82" t="str">
        <f t="shared" si="27"/>
        <v/>
      </c>
    </row>
    <row r="794" spans="18:19" x14ac:dyDescent="0.25">
      <c r="R794" s="8" t="str">
        <f t="shared" si="26"/>
        <v/>
      </c>
      <c r="S794" s="82" t="str">
        <f t="shared" si="27"/>
        <v/>
      </c>
    </row>
    <row r="795" spans="18:19" x14ac:dyDescent="0.25">
      <c r="R795" s="8" t="str">
        <f t="shared" si="26"/>
        <v/>
      </c>
      <c r="S795" s="82" t="str">
        <f t="shared" si="27"/>
        <v/>
      </c>
    </row>
    <row r="796" spans="18:19" x14ac:dyDescent="0.25">
      <c r="R796" s="8" t="str">
        <f t="shared" si="26"/>
        <v/>
      </c>
      <c r="S796" s="82" t="str">
        <f t="shared" si="27"/>
        <v/>
      </c>
    </row>
    <row r="797" spans="18:19" x14ac:dyDescent="0.25">
      <c r="R797" s="8" t="str">
        <f t="shared" si="26"/>
        <v/>
      </c>
      <c r="S797" s="82" t="str">
        <f t="shared" si="27"/>
        <v/>
      </c>
    </row>
    <row r="798" spans="18:19" x14ac:dyDescent="0.25">
      <c r="R798" s="8" t="str">
        <f t="shared" si="26"/>
        <v/>
      </c>
      <c r="S798" s="82" t="str">
        <f t="shared" si="27"/>
        <v/>
      </c>
    </row>
    <row r="799" spans="18:19" x14ac:dyDescent="0.25">
      <c r="R799" s="8" t="str">
        <f t="shared" si="26"/>
        <v/>
      </c>
      <c r="S799" s="82" t="str">
        <f t="shared" si="27"/>
        <v/>
      </c>
    </row>
    <row r="800" spans="18:19" x14ac:dyDescent="0.25">
      <c r="R800" s="8" t="str">
        <f t="shared" si="26"/>
        <v/>
      </c>
      <c r="S800" s="82" t="str">
        <f t="shared" si="27"/>
        <v/>
      </c>
    </row>
    <row r="801" spans="18:19" x14ac:dyDescent="0.25">
      <c r="R801" s="8" t="str">
        <f t="shared" si="26"/>
        <v/>
      </c>
      <c r="S801" s="82" t="str">
        <f t="shared" si="27"/>
        <v/>
      </c>
    </row>
    <row r="802" spans="18:19" x14ac:dyDescent="0.25">
      <c r="R802" s="8" t="str">
        <f t="shared" si="26"/>
        <v/>
      </c>
      <c r="S802" s="82" t="str">
        <f t="shared" si="27"/>
        <v/>
      </c>
    </row>
    <row r="803" spans="18:19" x14ac:dyDescent="0.25">
      <c r="R803" s="8" t="str">
        <f t="shared" si="26"/>
        <v/>
      </c>
      <c r="S803" s="82" t="str">
        <f t="shared" si="27"/>
        <v/>
      </c>
    </row>
    <row r="804" spans="18:19" x14ac:dyDescent="0.25">
      <c r="R804" s="8" t="str">
        <f t="shared" si="26"/>
        <v/>
      </c>
      <c r="S804" s="82" t="str">
        <f t="shared" si="27"/>
        <v/>
      </c>
    </row>
    <row r="805" spans="18:19" x14ac:dyDescent="0.25">
      <c r="R805" s="8" t="str">
        <f t="shared" si="26"/>
        <v/>
      </c>
      <c r="S805" s="82" t="str">
        <f t="shared" si="27"/>
        <v/>
      </c>
    </row>
    <row r="806" spans="18:19" x14ac:dyDescent="0.25">
      <c r="R806" s="8" t="str">
        <f t="shared" si="26"/>
        <v/>
      </c>
      <c r="S806" s="82" t="str">
        <f t="shared" si="27"/>
        <v/>
      </c>
    </row>
    <row r="807" spans="18:19" x14ac:dyDescent="0.25">
      <c r="R807" s="8" t="str">
        <f t="shared" si="26"/>
        <v/>
      </c>
      <c r="S807" s="82" t="str">
        <f t="shared" si="27"/>
        <v/>
      </c>
    </row>
    <row r="808" spans="18:19" x14ac:dyDescent="0.25">
      <c r="R808" s="8" t="str">
        <f t="shared" si="26"/>
        <v/>
      </c>
      <c r="S808" s="82" t="str">
        <f t="shared" si="27"/>
        <v/>
      </c>
    </row>
    <row r="809" spans="18:19" x14ac:dyDescent="0.25">
      <c r="R809" s="8" t="str">
        <f t="shared" si="26"/>
        <v/>
      </c>
      <c r="S809" s="82" t="str">
        <f t="shared" si="27"/>
        <v/>
      </c>
    </row>
    <row r="810" spans="18:19" x14ac:dyDescent="0.25">
      <c r="R810" s="8" t="str">
        <f t="shared" si="26"/>
        <v/>
      </c>
      <c r="S810" s="82" t="str">
        <f t="shared" si="27"/>
        <v/>
      </c>
    </row>
    <row r="811" spans="18:19" x14ac:dyDescent="0.25">
      <c r="R811" s="8" t="str">
        <f t="shared" si="26"/>
        <v/>
      </c>
      <c r="S811" s="82" t="str">
        <f t="shared" si="27"/>
        <v/>
      </c>
    </row>
    <row r="812" spans="18:19" x14ac:dyDescent="0.25">
      <c r="R812" s="8" t="str">
        <f t="shared" si="26"/>
        <v/>
      </c>
      <c r="S812" s="82" t="str">
        <f t="shared" si="27"/>
        <v/>
      </c>
    </row>
    <row r="813" spans="18:19" x14ac:dyDescent="0.25">
      <c r="R813" s="8" t="str">
        <f t="shared" si="26"/>
        <v/>
      </c>
      <c r="S813" s="82" t="str">
        <f t="shared" si="27"/>
        <v/>
      </c>
    </row>
    <row r="814" spans="18:19" x14ac:dyDescent="0.25">
      <c r="R814" s="8" t="str">
        <f t="shared" si="26"/>
        <v/>
      </c>
      <c r="S814" s="82" t="str">
        <f t="shared" si="27"/>
        <v/>
      </c>
    </row>
    <row r="815" spans="18:19" x14ac:dyDescent="0.25">
      <c r="R815" s="8" t="str">
        <f t="shared" si="26"/>
        <v/>
      </c>
      <c r="S815" s="82" t="str">
        <f t="shared" si="27"/>
        <v/>
      </c>
    </row>
    <row r="816" spans="18:19" x14ac:dyDescent="0.25">
      <c r="R816" s="8" t="str">
        <f t="shared" si="26"/>
        <v/>
      </c>
      <c r="S816" s="82" t="str">
        <f t="shared" si="27"/>
        <v/>
      </c>
    </row>
    <row r="817" spans="18:19" x14ac:dyDescent="0.25">
      <c r="R817" s="8" t="str">
        <f t="shared" si="26"/>
        <v/>
      </c>
      <c r="S817" s="82" t="str">
        <f t="shared" si="27"/>
        <v/>
      </c>
    </row>
    <row r="818" spans="18:19" x14ac:dyDescent="0.25">
      <c r="R818" s="8" t="str">
        <f t="shared" si="26"/>
        <v/>
      </c>
      <c r="S818" s="82" t="str">
        <f t="shared" si="27"/>
        <v/>
      </c>
    </row>
    <row r="819" spans="18:19" x14ac:dyDescent="0.25">
      <c r="R819" s="8" t="str">
        <f t="shared" si="26"/>
        <v/>
      </c>
      <c r="S819" s="82" t="str">
        <f t="shared" si="27"/>
        <v/>
      </c>
    </row>
    <row r="820" spans="18:19" x14ac:dyDescent="0.25">
      <c r="R820" s="8" t="str">
        <f t="shared" si="26"/>
        <v/>
      </c>
      <c r="S820" s="82" t="str">
        <f t="shared" si="27"/>
        <v/>
      </c>
    </row>
    <row r="821" spans="18:19" x14ac:dyDescent="0.25">
      <c r="R821" s="8" t="str">
        <f t="shared" si="26"/>
        <v/>
      </c>
      <c r="S821" s="82" t="str">
        <f t="shared" si="27"/>
        <v/>
      </c>
    </row>
    <row r="822" spans="18:19" x14ac:dyDescent="0.25">
      <c r="R822" s="8" t="str">
        <f t="shared" si="26"/>
        <v/>
      </c>
      <c r="S822" s="82" t="str">
        <f t="shared" si="27"/>
        <v/>
      </c>
    </row>
    <row r="823" spans="18:19" x14ac:dyDescent="0.25">
      <c r="R823" s="8" t="str">
        <f t="shared" si="26"/>
        <v/>
      </c>
      <c r="S823" s="82" t="str">
        <f t="shared" si="27"/>
        <v/>
      </c>
    </row>
    <row r="824" spans="18:19" x14ac:dyDescent="0.25">
      <c r="R824" s="8" t="str">
        <f t="shared" si="26"/>
        <v/>
      </c>
      <c r="S824" s="82" t="str">
        <f t="shared" si="27"/>
        <v/>
      </c>
    </row>
    <row r="825" spans="18:19" x14ac:dyDescent="0.25">
      <c r="R825" s="8" t="str">
        <f t="shared" si="26"/>
        <v/>
      </c>
      <c r="S825" s="82" t="str">
        <f t="shared" si="27"/>
        <v/>
      </c>
    </row>
    <row r="826" spans="18:19" x14ac:dyDescent="0.25">
      <c r="R826" s="8" t="str">
        <f t="shared" si="26"/>
        <v/>
      </c>
      <c r="S826" s="82" t="str">
        <f t="shared" si="27"/>
        <v/>
      </c>
    </row>
    <row r="827" spans="18:19" x14ac:dyDescent="0.25">
      <c r="R827" s="8" t="str">
        <f t="shared" si="26"/>
        <v/>
      </c>
      <c r="S827" s="82" t="str">
        <f t="shared" si="27"/>
        <v/>
      </c>
    </row>
    <row r="828" spans="18:19" x14ac:dyDescent="0.25">
      <c r="R828" s="8" t="str">
        <f t="shared" si="26"/>
        <v/>
      </c>
      <c r="S828" s="82" t="str">
        <f t="shared" si="27"/>
        <v/>
      </c>
    </row>
    <row r="829" spans="18:19" x14ac:dyDescent="0.25">
      <c r="R829" s="8" t="str">
        <f t="shared" si="26"/>
        <v/>
      </c>
      <c r="S829" s="82" t="str">
        <f t="shared" si="27"/>
        <v/>
      </c>
    </row>
    <row r="830" spans="18:19" x14ac:dyDescent="0.25">
      <c r="R830" s="8" t="str">
        <f t="shared" si="26"/>
        <v/>
      </c>
      <c r="S830" s="82" t="str">
        <f t="shared" si="27"/>
        <v/>
      </c>
    </row>
    <row r="831" spans="18:19" x14ac:dyDescent="0.25">
      <c r="R831" s="8" t="str">
        <f t="shared" si="26"/>
        <v/>
      </c>
      <c r="S831" s="82" t="str">
        <f t="shared" si="27"/>
        <v/>
      </c>
    </row>
    <row r="832" spans="18:19" x14ac:dyDescent="0.25">
      <c r="R832" s="8" t="str">
        <f t="shared" si="26"/>
        <v/>
      </c>
      <c r="S832" s="82" t="str">
        <f t="shared" si="27"/>
        <v/>
      </c>
    </row>
    <row r="833" spans="18:19" x14ac:dyDescent="0.25">
      <c r="R833" s="8" t="str">
        <f t="shared" si="26"/>
        <v/>
      </c>
      <c r="S833" s="82" t="str">
        <f t="shared" si="27"/>
        <v/>
      </c>
    </row>
    <row r="834" spans="18:19" x14ac:dyDescent="0.25">
      <c r="R834" s="8" t="str">
        <f t="shared" si="26"/>
        <v/>
      </c>
      <c r="S834" s="82" t="str">
        <f t="shared" si="27"/>
        <v/>
      </c>
    </row>
    <row r="835" spans="18:19" x14ac:dyDescent="0.25">
      <c r="R835" s="8" t="str">
        <f t="shared" si="26"/>
        <v/>
      </c>
      <c r="S835" s="82" t="str">
        <f t="shared" si="27"/>
        <v/>
      </c>
    </row>
    <row r="836" spans="18:19" x14ac:dyDescent="0.25">
      <c r="R836" s="8" t="str">
        <f t="shared" si="26"/>
        <v/>
      </c>
      <c r="S836" s="82" t="str">
        <f t="shared" si="27"/>
        <v/>
      </c>
    </row>
    <row r="837" spans="18:19" x14ac:dyDescent="0.25">
      <c r="R837" s="8" t="str">
        <f t="shared" si="26"/>
        <v/>
      </c>
      <c r="S837" s="82" t="str">
        <f t="shared" si="27"/>
        <v/>
      </c>
    </row>
    <row r="838" spans="18:19" x14ac:dyDescent="0.25">
      <c r="R838" s="8" t="str">
        <f t="shared" si="26"/>
        <v/>
      </c>
      <c r="S838" s="82" t="str">
        <f t="shared" si="27"/>
        <v/>
      </c>
    </row>
    <row r="839" spans="18:19" x14ac:dyDescent="0.25">
      <c r="R839" s="8" t="str">
        <f t="shared" si="26"/>
        <v/>
      </c>
      <c r="S839" s="82" t="str">
        <f t="shared" si="27"/>
        <v/>
      </c>
    </row>
    <row r="840" spans="18:19" x14ac:dyDescent="0.25">
      <c r="R840" s="8" t="str">
        <f t="shared" ref="R840:R903" si="28">IF(A840="",(""),(MONTH(A840)))</f>
        <v/>
      </c>
      <c r="S840" s="82" t="str">
        <f t="shared" si="27"/>
        <v/>
      </c>
    </row>
    <row r="841" spans="18:19" x14ac:dyDescent="0.25">
      <c r="R841" s="8" t="str">
        <f t="shared" si="28"/>
        <v/>
      </c>
      <c r="S841" s="82" t="str">
        <f t="shared" si="27"/>
        <v/>
      </c>
    </row>
    <row r="842" spans="18:19" x14ac:dyDescent="0.25">
      <c r="R842" s="8" t="str">
        <f t="shared" si="28"/>
        <v/>
      </c>
      <c r="S842" s="82" t="str">
        <f t="shared" si="27"/>
        <v/>
      </c>
    </row>
    <row r="843" spans="18:19" x14ac:dyDescent="0.25">
      <c r="R843" s="8" t="str">
        <f t="shared" si="28"/>
        <v/>
      </c>
      <c r="S843" s="82" t="str">
        <f t="shared" si="27"/>
        <v/>
      </c>
    </row>
    <row r="844" spans="18:19" x14ac:dyDescent="0.25">
      <c r="R844" s="8" t="str">
        <f t="shared" si="28"/>
        <v/>
      </c>
      <c r="S844" s="82" t="str">
        <f t="shared" si="27"/>
        <v/>
      </c>
    </row>
    <row r="845" spans="18:19" x14ac:dyDescent="0.25">
      <c r="R845" s="8" t="str">
        <f t="shared" si="28"/>
        <v/>
      </c>
      <c r="S845" s="82" t="str">
        <f t="shared" si="27"/>
        <v/>
      </c>
    </row>
    <row r="846" spans="18:19" x14ac:dyDescent="0.25">
      <c r="R846" s="8" t="str">
        <f t="shared" si="28"/>
        <v/>
      </c>
      <c r="S846" s="82" t="str">
        <f t="shared" si="27"/>
        <v/>
      </c>
    </row>
    <row r="847" spans="18:19" x14ac:dyDescent="0.25">
      <c r="R847" s="8" t="str">
        <f t="shared" si="28"/>
        <v/>
      </c>
      <c r="S847" s="82" t="str">
        <f t="shared" si="27"/>
        <v/>
      </c>
    </row>
    <row r="848" spans="18:19" x14ac:dyDescent="0.25">
      <c r="R848" s="8" t="str">
        <f t="shared" si="28"/>
        <v/>
      </c>
      <c r="S848" s="82" t="str">
        <f t="shared" si="27"/>
        <v/>
      </c>
    </row>
    <row r="849" spans="18:19" x14ac:dyDescent="0.25">
      <c r="R849" s="8" t="str">
        <f t="shared" si="28"/>
        <v/>
      </c>
      <c r="S849" s="82" t="str">
        <f t="shared" si="27"/>
        <v/>
      </c>
    </row>
    <row r="850" spans="18:19" x14ac:dyDescent="0.25">
      <c r="R850" s="8" t="str">
        <f t="shared" si="28"/>
        <v/>
      </c>
      <c r="S850" s="82" t="str">
        <f t="shared" si="27"/>
        <v/>
      </c>
    </row>
    <row r="851" spans="18:19" x14ac:dyDescent="0.25">
      <c r="R851" s="8" t="str">
        <f t="shared" si="28"/>
        <v/>
      </c>
      <c r="S851" s="82" t="str">
        <f t="shared" si="27"/>
        <v/>
      </c>
    </row>
    <row r="852" spans="18:19" x14ac:dyDescent="0.25">
      <c r="R852" s="8" t="str">
        <f t="shared" si="28"/>
        <v/>
      </c>
      <c r="S852" s="82" t="str">
        <f t="shared" si="27"/>
        <v/>
      </c>
    </row>
    <row r="853" spans="18:19" x14ac:dyDescent="0.25">
      <c r="R853" s="8" t="str">
        <f t="shared" si="28"/>
        <v/>
      </c>
      <c r="S853" s="82" t="str">
        <f t="shared" si="27"/>
        <v/>
      </c>
    </row>
    <row r="854" spans="18:19" x14ac:dyDescent="0.25">
      <c r="R854" s="8" t="str">
        <f t="shared" si="28"/>
        <v/>
      </c>
      <c r="S854" s="82" t="str">
        <f t="shared" ref="S854:S917" si="29">IF(O854&gt;0,(Q854-O854),(IF(K854="USD",(Q854*J854),((IF(B854="",(""),(SUMIF(B854,"11 - Factura C",(Q854))-SUMIF(B854,"13 - Nota de Crédito C",(Q854))+SUMIF(B854,"15 - Recibo C",(Q854))+SUMIF(B854,"109 - Tique C",(Q854)))))))))</f>
        <v/>
      </c>
    </row>
    <row r="855" spans="18:19" x14ac:dyDescent="0.25">
      <c r="R855" s="8" t="str">
        <f t="shared" si="28"/>
        <v/>
      </c>
      <c r="S855" s="82" t="str">
        <f t="shared" si="29"/>
        <v/>
      </c>
    </row>
    <row r="856" spans="18:19" x14ac:dyDescent="0.25">
      <c r="R856" s="8" t="str">
        <f t="shared" si="28"/>
        <v/>
      </c>
      <c r="S856" s="82" t="str">
        <f t="shared" si="29"/>
        <v/>
      </c>
    </row>
    <row r="857" spans="18:19" x14ac:dyDescent="0.25">
      <c r="R857" s="8" t="str">
        <f t="shared" si="28"/>
        <v/>
      </c>
      <c r="S857" s="82" t="str">
        <f t="shared" si="29"/>
        <v/>
      </c>
    </row>
    <row r="858" spans="18:19" x14ac:dyDescent="0.25">
      <c r="R858" s="8" t="str">
        <f t="shared" si="28"/>
        <v/>
      </c>
      <c r="S858" s="82" t="str">
        <f t="shared" si="29"/>
        <v/>
      </c>
    </row>
    <row r="859" spans="18:19" x14ac:dyDescent="0.25">
      <c r="R859" s="8" t="str">
        <f t="shared" si="28"/>
        <v/>
      </c>
      <c r="S859" s="82" t="str">
        <f t="shared" si="29"/>
        <v/>
      </c>
    </row>
    <row r="860" spans="18:19" x14ac:dyDescent="0.25">
      <c r="R860" s="8" t="str">
        <f t="shared" si="28"/>
        <v/>
      </c>
      <c r="S860" s="82" t="str">
        <f t="shared" si="29"/>
        <v/>
      </c>
    </row>
    <row r="861" spans="18:19" x14ac:dyDescent="0.25">
      <c r="R861" s="8" t="str">
        <f t="shared" si="28"/>
        <v/>
      </c>
      <c r="S861" s="82" t="str">
        <f t="shared" si="29"/>
        <v/>
      </c>
    </row>
    <row r="862" spans="18:19" x14ac:dyDescent="0.25">
      <c r="R862" s="8" t="str">
        <f t="shared" si="28"/>
        <v/>
      </c>
      <c r="S862" s="82" t="str">
        <f t="shared" si="29"/>
        <v/>
      </c>
    </row>
    <row r="863" spans="18:19" x14ac:dyDescent="0.25">
      <c r="R863" s="8" t="str">
        <f t="shared" si="28"/>
        <v/>
      </c>
      <c r="S863" s="82" t="str">
        <f t="shared" si="29"/>
        <v/>
      </c>
    </row>
    <row r="864" spans="18:19" x14ac:dyDescent="0.25">
      <c r="R864" s="8" t="str">
        <f t="shared" si="28"/>
        <v/>
      </c>
      <c r="S864" s="82" t="str">
        <f t="shared" si="29"/>
        <v/>
      </c>
    </row>
    <row r="865" spans="18:19" x14ac:dyDescent="0.25">
      <c r="R865" s="8" t="str">
        <f t="shared" si="28"/>
        <v/>
      </c>
      <c r="S865" s="82" t="str">
        <f t="shared" si="29"/>
        <v/>
      </c>
    </row>
    <row r="866" spans="18:19" x14ac:dyDescent="0.25">
      <c r="R866" s="8" t="str">
        <f t="shared" si="28"/>
        <v/>
      </c>
      <c r="S866" s="82" t="str">
        <f t="shared" si="29"/>
        <v/>
      </c>
    </row>
    <row r="867" spans="18:19" x14ac:dyDescent="0.25">
      <c r="R867" s="8" t="str">
        <f t="shared" si="28"/>
        <v/>
      </c>
      <c r="S867" s="82" t="str">
        <f t="shared" si="29"/>
        <v/>
      </c>
    </row>
    <row r="868" spans="18:19" x14ac:dyDescent="0.25">
      <c r="R868" s="8" t="str">
        <f t="shared" si="28"/>
        <v/>
      </c>
      <c r="S868" s="82" t="str">
        <f t="shared" si="29"/>
        <v/>
      </c>
    </row>
    <row r="869" spans="18:19" x14ac:dyDescent="0.25">
      <c r="R869" s="8" t="str">
        <f t="shared" si="28"/>
        <v/>
      </c>
      <c r="S869" s="82" t="str">
        <f t="shared" si="29"/>
        <v/>
      </c>
    </row>
    <row r="870" spans="18:19" x14ac:dyDescent="0.25">
      <c r="R870" s="8" t="str">
        <f t="shared" si="28"/>
        <v/>
      </c>
      <c r="S870" s="82" t="str">
        <f t="shared" si="29"/>
        <v/>
      </c>
    </row>
    <row r="871" spans="18:19" x14ac:dyDescent="0.25">
      <c r="R871" s="8" t="str">
        <f t="shared" si="28"/>
        <v/>
      </c>
      <c r="S871" s="82" t="str">
        <f t="shared" si="29"/>
        <v/>
      </c>
    </row>
    <row r="872" spans="18:19" x14ac:dyDescent="0.25">
      <c r="R872" s="8" t="str">
        <f t="shared" si="28"/>
        <v/>
      </c>
      <c r="S872" s="82" t="str">
        <f t="shared" si="29"/>
        <v/>
      </c>
    </row>
    <row r="873" spans="18:19" x14ac:dyDescent="0.25">
      <c r="R873" s="8" t="str">
        <f t="shared" si="28"/>
        <v/>
      </c>
      <c r="S873" s="82" t="str">
        <f t="shared" si="29"/>
        <v/>
      </c>
    </row>
    <row r="874" spans="18:19" x14ac:dyDescent="0.25">
      <c r="R874" s="8" t="str">
        <f t="shared" si="28"/>
        <v/>
      </c>
      <c r="S874" s="82" t="str">
        <f t="shared" si="29"/>
        <v/>
      </c>
    </row>
    <row r="875" spans="18:19" x14ac:dyDescent="0.25">
      <c r="R875" s="8" t="str">
        <f t="shared" si="28"/>
        <v/>
      </c>
      <c r="S875" s="82" t="str">
        <f t="shared" si="29"/>
        <v/>
      </c>
    </row>
    <row r="876" spans="18:19" x14ac:dyDescent="0.25">
      <c r="R876" s="8" t="str">
        <f t="shared" si="28"/>
        <v/>
      </c>
      <c r="S876" s="82" t="str">
        <f t="shared" si="29"/>
        <v/>
      </c>
    </row>
    <row r="877" spans="18:19" x14ac:dyDescent="0.25">
      <c r="R877" s="8" t="str">
        <f t="shared" si="28"/>
        <v/>
      </c>
      <c r="S877" s="82" t="str">
        <f t="shared" si="29"/>
        <v/>
      </c>
    </row>
    <row r="878" spans="18:19" x14ac:dyDescent="0.25">
      <c r="R878" s="8" t="str">
        <f t="shared" si="28"/>
        <v/>
      </c>
      <c r="S878" s="82" t="str">
        <f t="shared" si="29"/>
        <v/>
      </c>
    </row>
    <row r="879" spans="18:19" x14ac:dyDescent="0.25">
      <c r="R879" s="8" t="str">
        <f t="shared" si="28"/>
        <v/>
      </c>
      <c r="S879" s="82" t="str">
        <f t="shared" si="29"/>
        <v/>
      </c>
    </row>
    <row r="880" spans="18:19" x14ac:dyDescent="0.25">
      <c r="R880" s="8" t="str">
        <f t="shared" si="28"/>
        <v/>
      </c>
      <c r="S880" s="82" t="str">
        <f t="shared" si="29"/>
        <v/>
      </c>
    </row>
    <row r="881" spans="18:19" x14ac:dyDescent="0.25">
      <c r="R881" s="8" t="str">
        <f t="shared" si="28"/>
        <v/>
      </c>
      <c r="S881" s="82" t="str">
        <f t="shared" si="29"/>
        <v/>
      </c>
    </row>
    <row r="882" spans="18:19" x14ac:dyDescent="0.25">
      <c r="R882" s="8" t="str">
        <f t="shared" si="28"/>
        <v/>
      </c>
      <c r="S882" s="82" t="str">
        <f t="shared" si="29"/>
        <v/>
      </c>
    </row>
    <row r="883" spans="18:19" x14ac:dyDescent="0.25">
      <c r="R883" s="8" t="str">
        <f t="shared" si="28"/>
        <v/>
      </c>
      <c r="S883" s="82" t="str">
        <f t="shared" si="29"/>
        <v/>
      </c>
    </row>
    <row r="884" spans="18:19" x14ac:dyDescent="0.25">
      <c r="R884" s="8" t="str">
        <f t="shared" si="28"/>
        <v/>
      </c>
      <c r="S884" s="82" t="str">
        <f t="shared" si="29"/>
        <v/>
      </c>
    </row>
    <row r="885" spans="18:19" x14ac:dyDescent="0.25">
      <c r="R885" s="8" t="str">
        <f t="shared" si="28"/>
        <v/>
      </c>
      <c r="S885" s="82" t="str">
        <f t="shared" si="29"/>
        <v/>
      </c>
    </row>
    <row r="886" spans="18:19" x14ac:dyDescent="0.25">
      <c r="R886" s="8" t="str">
        <f t="shared" si="28"/>
        <v/>
      </c>
      <c r="S886" s="82" t="str">
        <f t="shared" si="29"/>
        <v/>
      </c>
    </row>
    <row r="887" spans="18:19" x14ac:dyDescent="0.25">
      <c r="R887" s="8" t="str">
        <f t="shared" si="28"/>
        <v/>
      </c>
      <c r="S887" s="82" t="str">
        <f t="shared" si="29"/>
        <v/>
      </c>
    </row>
    <row r="888" spans="18:19" x14ac:dyDescent="0.25">
      <c r="R888" s="8" t="str">
        <f t="shared" si="28"/>
        <v/>
      </c>
      <c r="S888" s="82" t="str">
        <f t="shared" si="29"/>
        <v/>
      </c>
    </row>
    <row r="889" spans="18:19" x14ac:dyDescent="0.25">
      <c r="R889" s="8" t="str">
        <f t="shared" si="28"/>
        <v/>
      </c>
      <c r="S889" s="82" t="str">
        <f t="shared" si="29"/>
        <v/>
      </c>
    </row>
    <row r="890" spans="18:19" x14ac:dyDescent="0.25">
      <c r="R890" s="8" t="str">
        <f t="shared" si="28"/>
        <v/>
      </c>
      <c r="S890" s="82" t="str">
        <f t="shared" si="29"/>
        <v/>
      </c>
    </row>
    <row r="891" spans="18:19" x14ac:dyDescent="0.25">
      <c r="R891" s="8" t="str">
        <f t="shared" si="28"/>
        <v/>
      </c>
      <c r="S891" s="82" t="str">
        <f t="shared" si="29"/>
        <v/>
      </c>
    </row>
    <row r="892" spans="18:19" x14ac:dyDescent="0.25">
      <c r="R892" s="8" t="str">
        <f t="shared" si="28"/>
        <v/>
      </c>
      <c r="S892" s="82" t="str">
        <f t="shared" si="29"/>
        <v/>
      </c>
    </row>
    <row r="893" spans="18:19" x14ac:dyDescent="0.25">
      <c r="R893" s="8" t="str">
        <f t="shared" si="28"/>
        <v/>
      </c>
      <c r="S893" s="82" t="str">
        <f t="shared" si="29"/>
        <v/>
      </c>
    </row>
    <row r="894" spans="18:19" x14ac:dyDescent="0.25">
      <c r="R894" s="8" t="str">
        <f t="shared" si="28"/>
        <v/>
      </c>
      <c r="S894" s="82" t="str">
        <f t="shared" si="29"/>
        <v/>
      </c>
    </row>
    <row r="895" spans="18:19" x14ac:dyDescent="0.25">
      <c r="R895" s="8" t="str">
        <f t="shared" si="28"/>
        <v/>
      </c>
      <c r="S895" s="82" t="str">
        <f t="shared" si="29"/>
        <v/>
      </c>
    </row>
    <row r="896" spans="18:19" x14ac:dyDescent="0.25">
      <c r="R896" s="8" t="str">
        <f t="shared" si="28"/>
        <v/>
      </c>
      <c r="S896" s="82" t="str">
        <f t="shared" si="29"/>
        <v/>
      </c>
    </row>
    <row r="897" spans="18:19" x14ac:dyDescent="0.25">
      <c r="R897" s="8" t="str">
        <f t="shared" si="28"/>
        <v/>
      </c>
      <c r="S897" s="82" t="str">
        <f t="shared" si="29"/>
        <v/>
      </c>
    </row>
    <row r="898" spans="18:19" x14ac:dyDescent="0.25">
      <c r="R898" s="8" t="str">
        <f t="shared" si="28"/>
        <v/>
      </c>
      <c r="S898" s="82" t="str">
        <f t="shared" si="29"/>
        <v/>
      </c>
    </row>
    <row r="899" spans="18:19" x14ac:dyDescent="0.25">
      <c r="R899" s="8" t="str">
        <f t="shared" si="28"/>
        <v/>
      </c>
      <c r="S899" s="82" t="str">
        <f t="shared" si="29"/>
        <v/>
      </c>
    </row>
    <row r="900" spans="18:19" x14ac:dyDescent="0.25">
      <c r="R900" s="8" t="str">
        <f t="shared" si="28"/>
        <v/>
      </c>
      <c r="S900" s="82" t="str">
        <f t="shared" si="29"/>
        <v/>
      </c>
    </row>
    <row r="901" spans="18:19" x14ac:dyDescent="0.25">
      <c r="R901" s="8" t="str">
        <f t="shared" si="28"/>
        <v/>
      </c>
      <c r="S901" s="82" t="str">
        <f t="shared" si="29"/>
        <v/>
      </c>
    </row>
    <row r="902" spans="18:19" x14ac:dyDescent="0.25">
      <c r="R902" s="8" t="str">
        <f t="shared" si="28"/>
        <v/>
      </c>
      <c r="S902" s="82" t="str">
        <f t="shared" si="29"/>
        <v/>
      </c>
    </row>
    <row r="903" spans="18:19" x14ac:dyDescent="0.25">
      <c r="R903" s="8" t="str">
        <f t="shared" si="28"/>
        <v/>
      </c>
      <c r="S903" s="82" t="str">
        <f t="shared" si="29"/>
        <v/>
      </c>
    </row>
    <row r="904" spans="18:19" x14ac:dyDescent="0.25">
      <c r="R904" s="8" t="str">
        <f t="shared" ref="R904:R967" si="30">IF(A904="",(""),(MONTH(A904)))</f>
        <v/>
      </c>
      <c r="S904" s="82" t="str">
        <f t="shared" si="29"/>
        <v/>
      </c>
    </row>
    <row r="905" spans="18:19" x14ac:dyDescent="0.25">
      <c r="R905" s="8" t="str">
        <f t="shared" si="30"/>
        <v/>
      </c>
      <c r="S905" s="82" t="str">
        <f t="shared" si="29"/>
        <v/>
      </c>
    </row>
    <row r="906" spans="18:19" x14ac:dyDescent="0.25">
      <c r="R906" s="8" t="str">
        <f t="shared" si="30"/>
        <v/>
      </c>
      <c r="S906" s="82" t="str">
        <f t="shared" si="29"/>
        <v/>
      </c>
    </row>
    <row r="907" spans="18:19" x14ac:dyDescent="0.25">
      <c r="R907" s="8" t="str">
        <f t="shared" si="30"/>
        <v/>
      </c>
      <c r="S907" s="82" t="str">
        <f t="shared" si="29"/>
        <v/>
      </c>
    </row>
    <row r="908" spans="18:19" x14ac:dyDescent="0.25">
      <c r="R908" s="8" t="str">
        <f t="shared" si="30"/>
        <v/>
      </c>
      <c r="S908" s="82" t="str">
        <f t="shared" si="29"/>
        <v/>
      </c>
    </row>
    <row r="909" spans="18:19" x14ac:dyDescent="0.25">
      <c r="R909" s="8" t="str">
        <f t="shared" si="30"/>
        <v/>
      </c>
      <c r="S909" s="82" t="str">
        <f t="shared" si="29"/>
        <v/>
      </c>
    </row>
    <row r="910" spans="18:19" x14ac:dyDescent="0.25">
      <c r="R910" s="8" t="str">
        <f t="shared" si="30"/>
        <v/>
      </c>
      <c r="S910" s="82" t="str">
        <f t="shared" si="29"/>
        <v/>
      </c>
    </row>
    <row r="911" spans="18:19" x14ac:dyDescent="0.25">
      <c r="R911" s="8" t="str">
        <f t="shared" si="30"/>
        <v/>
      </c>
      <c r="S911" s="82" t="str">
        <f t="shared" si="29"/>
        <v/>
      </c>
    </row>
    <row r="912" spans="18:19" x14ac:dyDescent="0.25">
      <c r="R912" s="8" t="str">
        <f t="shared" si="30"/>
        <v/>
      </c>
      <c r="S912" s="82" t="str">
        <f t="shared" si="29"/>
        <v/>
      </c>
    </row>
    <row r="913" spans="18:19" x14ac:dyDescent="0.25">
      <c r="R913" s="8" t="str">
        <f t="shared" si="30"/>
        <v/>
      </c>
      <c r="S913" s="82" t="str">
        <f t="shared" si="29"/>
        <v/>
      </c>
    </row>
    <row r="914" spans="18:19" x14ac:dyDescent="0.25">
      <c r="R914" s="8" t="str">
        <f t="shared" si="30"/>
        <v/>
      </c>
      <c r="S914" s="82" t="str">
        <f t="shared" si="29"/>
        <v/>
      </c>
    </row>
    <row r="915" spans="18:19" x14ac:dyDescent="0.25">
      <c r="R915" s="8" t="str">
        <f t="shared" si="30"/>
        <v/>
      </c>
      <c r="S915" s="82" t="str">
        <f t="shared" si="29"/>
        <v/>
      </c>
    </row>
    <row r="916" spans="18:19" x14ac:dyDescent="0.25">
      <c r="R916" s="8" t="str">
        <f t="shared" si="30"/>
        <v/>
      </c>
      <c r="S916" s="82" t="str">
        <f t="shared" si="29"/>
        <v/>
      </c>
    </row>
    <row r="917" spans="18:19" x14ac:dyDescent="0.25">
      <c r="R917" s="8" t="str">
        <f t="shared" si="30"/>
        <v/>
      </c>
      <c r="S917" s="82" t="str">
        <f t="shared" si="29"/>
        <v/>
      </c>
    </row>
    <row r="918" spans="18:19" x14ac:dyDescent="0.25">
      <c r="R918" s="8" t="str">
        <f t="shared" si="30"/>
        <v/>
      </c>
      <c r="S918" s="82" t="str">
        <f t="shared" ref="S918:S981" si="31">IF(O918&gt;0,(Q918-O918),(IF(K918="USD",(Q918*J918),((IF(B918="",(""),(SUMIF(B918,"11 - Factura C",(Q918))-SUMIF(B918,"13 - Nota de Crédito C",(Q918))+SUMIF(B918,"15 - Recibo C",(Q918))+SUMIF(B918,"109 - Tique C",(Q918)))))))))</f>
        <v/>
      </c>
    </row>
    <row r="919" spans="18:19" x14ac:dyDescent="0.25">
      <c r="R919" s="8" t="str">
        <f t="shared" si="30"/>
        <v/>
      </c>
      <c r="S919" s="82" t="str">
        <f t="shared" si="31"/>
        <v/>
      </c>
    </row>
    <row r="920" spans="18:19" x14ac:dyDescent="0.25">
      <c r="R920" s="8" t="str">
        <f t="shared" si="30"/>
        <v/>
      </c>
      <c r="S920" s="82" t="str">
        <f t="shared" si="31"/>
        <v/>
      </c>
    </row>
    <row r="921" spans="18:19" x14ac:dyDescent="0.25">
      <c r="R921" s="8" t="str">
        <f t="shared" si="30"/>
        <v/>
      </c>
      <c r="S921" s="82" t="str">
        <f t="shared" si="31"/>
        <v/>
      </c>
    </row>
    <row r="922" spans="18:19" x14ac:dyDescent="0.25">
      <c r="R922" s="8" t="str">
        <f t="shared" si="30"/>
        <v/>
      </c>
      <c r="S922" s="82" t="str">
        <f t="shared" si="31"/>
        <v/>
      </c>
    </row>
    <row r="923" spans="18:19" x14ac:dyDescent="0.25">
      <c r="R923" s="8" t="str">
        <f t="shared" si="30"/>
        <v/>
      </c>
      <c r="S923" s="82" t="str">
        <f t="shared" si="31"/>
        <v/>
      </c>
    </row>
    <row r="924" spans="18:19" x14ac:dyDescent="0.25">
      <c r="R924" s="8" t="str">
        <f t="shared" si="30"/>
        <v/>
      </c>
      <c r="S924" s="82" t="str">
        <f t="shared" si="31"/>
        <v/>
      </c>
    </row>
    <row r="925" spans="18:19" x14ac:dyDescent="0.25">
      <c r="R925" s="8" t="str">
        <f t="shared" si="30"/>
        <v/>
      </c>
      <c r="S925" s="82" t="str">
        <f t="shared" si="31"/>
        <v/>
      </c>
    </row>
    <row r="926" spans="18:19" x14ac:dyDescent="0.25">
      <c r="R926" s="8" t="str">
        <f t="shared" si="30"/>
        <v/>
      </c>
      <c r="S926" s="82" t="str">
        <f t="shared" si="31"/>
        <v/>
      </c>
    </row>
    <row r="927" spans="18:19" x14ac:dyDescent="0.25">
      <c r="R927" s="8" t="str">
        <f t="shared" si="30"/>
        <v/>
      </c>
      <c r="S927" s="82" t="str">
        <f t="shared" si="31"/>
        <v/>
      </c>
    </row>
    <row r="928" spans="18:19" x14ac:dyDescent="0.25">
      <c r="R928" s="8" t="str">
        <f t="shared" si="30"/>
        <v/>
      </c>
      <c r="S928" s="82" t="str">
        <f t="shared" si="31"/>
        <v/>
      </c>
    </row>
    <row r="929" spans="18:19" x14ac:dyDescent="0.25">
      <c r="R929" s="8" t="str">
        <f t="shared" si="30"/>
        <v/>
      </c>
      <c r="S929" s="82" t="str">
        <f t="shared" si="31"/>
        <v/>
      </c>
    </row>
    <row r="930" spans="18:19" x14ac:dyDescent="0.25">
      <c r="R930" s="8" t="str">
        <f t="shared" si="30"/>
        <v/>
      </c>
      <c r="S930" s="82" t="str">
        <f t="shared" si="31"/>
        <v/>
      </c>
    </row>
    <row r="931" spans="18:19" x14ac:dyDescent="0.25">
      <c r="R931" s="8" t="str">
        <f t="shared" si="30"/>
        <v/>
      </c>
      <c r="S931" s="82" t="str">
        <f t="shared" si="31"/>
        <v/>
      </c>
    </row>
    <row r="932" spans="18:19" x14ac:dyDescent="0.25">
      <c r="R932" s="8" t="str">
        <f t="shared" si="30"/>
        <v/>
      </c>
      <c r="S932" s="82" t="str">
        <f t="shared" si="31"/>
        <v/>
      </c>
    </row>
    <row r="933" spans="18:19" x14ac:dyDescent="0.25">
      <c r="R933" s="8" t="str">
        <f t="shared" si="30"/>
        <v/>
      </c>
      <c r="S933" s="82" t="str">
        <f t="shared" si="31"/>
        <v/>
      </c>
    </row>
    <row r="934" spans="18:19" x14ac:dyDescent="0.25">
      <c r="R934" s="8" t="str">
        <f t="shared" si="30"/>
        <v/>
      </c>
      <c r="S934" s="82" t="str">
        <f t="shared" si="31"/>
        <v/>
      </c>
    </row>
    <row r="935" spans="18:19" x14ac:dyDescent="0.25">
      <c r="R935" s="8" t="str">
        <f t="shared" si="30"/>
        <v/>
      </c>
      <c r="S935" s="82" t="str">
        <f t="shared" si="31"/>
        <v/>
      </c>
    </row>
    <row r="936" spans="18:19" x14ac:dyDescent="0.25">
      <c r="R936" s="8" t="str">
        <f t="shared" si="30"/>
        <v/>
      </c>
      <c r="S936" s="82" t="str">
        <f t="shared" si="31"/>
        <v/>
      </c>
    </row>
    <row r="937" spans="18:19" x14ac:dyDescent="0.25">
      <c r="R937" s="8" t="str">
        <f t="shared" si="30"/>
        <v/>
      </c>
      <c r="S937" s="82" t="str">
        <f t="shared" si="31"/>
        <v/>
      </c>
    </row>
    <row r="938" spans="18:19" x14ac:dyDescent="0.25">
      <c r="R938" s="8" t="str">
        <f t="shared" si="30"/>
        <v/>
      </c>
      <c r="S938" s="82" t="str">
        <f t="shared" si="31"/>
        <v/>
      </c>
    </row>
    <row r="939" spans="18:19" x14ac:dyDescent="0.25">
      <c r="R939" s="8" t="str">
        <f t="shared" si="30"/>
        <v/>
      </c>
      <c r="S939" s="82" t="str">
        <f t="shared" si="31"/>
        <v/>
      </c>
    </row>
    <row r="940" spans="18:19" x14ac:dyDescent="0.25">
      <c r="R940" s="8" t="str">
        <f t="shared" si="30"/>
        <v/>
      </c>
      <c r="S940" s="82" t="str">
        <f t="shared" si="31"/>
        <v/>
      </c>
    </row>
    <row r="941" spans="18:19" x14ac:dyDescent="0.25">
      <c r="R941" s="8" t="str">
        <f t="shared" si="30"/>
        <v/>
      </c>
      <c r="S941" s="82" t="str">
        <f t="shared" si="31"/>
        <v/>
      </c>
    </row>
    <row r="942" spans="18:19" x14ac:dyDescent="0.25">
      <c r="R942" s="8" t="str">
        <f t="shared" si="30"/>
        <v/>
      </c>
      <c r="S942" s="82" t="str">
        <f t="shared" si="31"/>
        <v/>
      </c>
    </row>
    <row r="943" spans="18:19" x14ac:dyDescent="0.25">
      <c r="R943" s="8" t="str">
        <f t="shared" si="30"/>
        <v/>
      </c>
      <c r="S943" s="82" t="str">
        <f t="shared" si="31"/>
        <v/>
      </c>
    </row>
    <row r="944" spans="18:19" x14ac:dyDescent="0.25">
      <c r="R944" s="8" t="str">
        <f t="shared" si="30"/>
        <v/>
      </c>
      <c r="S944" s="82" t="str">
        <f t="shared" si="31"/>
        <v/>
      </c>
    </row>
    <row r="945" spans="18:19" x14ac:dyDescent="0.25">
      <c r="R945" s="8" t="str">
        <f t="shared" si="30"/>
        <v/>
      </c>
      <c r="S945" s="82" t="str">
        <f t="shared" si="31"/>
        <v/>
      </c>
    </row>
    <row r="946" spans="18:19" x14ac:dyDescent="0.25">
      <c r="R946" s="8" t="str">
        <f t="shared" si="30"/>
        <v/>
      </c>
      <c r="S946" s="82" t="str">
        <f t="shared" si="31"/>
        <v/>
      </c>
    </row>
    <row r="947" spans="18:19" x14ac:dyDescent="0.25">
      <c r="R947" s="8" t="str">
        <f t="shared" si="30"/>
        <v/>
      </c>
      <c r="S947" s="82" t="str">
        <f t="shared" si="31"/>
        <v/>
      </c>
    </row>
    <row r="948" spans="18:19" x14ac:dyDescent="0.25">
      <c r="R948" s="8" t="str">
        <f t="shared" si="30"/>
        <v/>
      </c>
      <c r="S948" s="82" t="str">
        <f t="shared" si="31"/>
        <v/>
      </c>
    </row>
    <row r="949" spans="18:19" x14ac:dyDescent="0.25">
      <c r="R949" s="8" t="str">
        <f t="shared" si="30"/>
        <v/>
      </c>
      <c r="S949" s="82" t="str">
        <f t="shared" si="31"/>
        <v/>
      </c>
    </row>
    <row r="950" spans="18:19" x14ac:dyDescent="0.25">
      <c r="R950" s="8" t="str">
        <f t="shared" si="30"/>
        <v/>
      </c>
      <c r="S950" s="82" t="str">
        <f t="shared" si="31"/>
        <v/>
      </c>
    </row>
    <row r="951" spans="18:19" x14ac:dyDescent="0.25">
      <c r="R951" s="8" t="str">
        <f t="shared" si="30"/>
        <v/>
      </c>
      <c r="S951" s="82" t="str">
        <f t="shared" si="31"/>
        <v/>
      </c>
    </row>
    <row r="952" spans="18:19" x14ac:dyDescent="0.25">
      <c r="R952" s="8" t="str">
        <f t="shared" si="30"/>
        <v/>
      </c>
      <c r="S952" s="82" t="str">
        <f t="shared" si="31"/>
        <v/>
      </c>
    </row>
    <row r="953" spans="18:19" x14ac:dyDescent="0.25">
      <c r="R953" s="8" t="str">
        <f t="shared" si="30"/>
        <v/>
      </c>
      <c r="S953" s="82" t="str">
        <f t="shared" si="31"/>
        <v/>
      </c>
    </row>
    <row r="954" spans="18:19" x14ac:dyDescent="0.25">
      <c r="R954" s="8" t="str">
        <f t="shared" si="30"/>
        <v/>
      </c>
      <c r="S954" s="82" t="str">
        <f t="shared" si="31"/>
        <v/>
      </c>
    </row>
    <row r="955" spans="18:19" x14ac:dyDescent="0.25">
      <c r="R955" s="8" t="str">
        <f t="shared" si="30"/>
        <v/>
      </c>
      <c r="S955" s="82" t="str">
        <f t="shared" si="31"/>
        <v/>
      </c>
    </row>
    <row r="956" spans="18:19" x14ac:dyDescent="0.25">
      <c r="R956" s="8" t="str">
        <f t="shared" si="30"/>
        <v/>
      </c>
      <c r="S956" s="82" t="str">
        <f t="shared" si="31"/>
        <v/>
      </c>
    </row>
    <row r="957" spans="18:19" x14ac:dyDescent="0.25">
      <c r="R957" s="8" t="str">
        <f t="shared" si="30"/>
        <v/>
      </c>
      <c r="S957" s="82" t="str">
        <f t="shared" si="31"/>
        <v/>
      </c>
    </row>
    <row r="958" spans="18:19" x14ac:dyDescent="0.25">
      <c r="R958" s="8" t="str">
        <f t="shared" si="30"/>
        <v/>
      </c>
      <c r="S958" s="82" t="str">
        <f t="shared" si="31"/>
        <v/>
      </c>
    </row>
    <row r="959" spans="18:19" x14ac:dyDescent="0.25">
      <c r="R959" s="8" t="str">
        <f t="shared" si="30"/>
        <v/>
      </c>
      <c r="S959" s="82" t="str">
        <f t="shared" si="31"/>
        <v/>
      </c>
    </row>
    <row r="960" spans="18:19" x14ac:dyDescent="0.25">
      <c r="R960" s="8" t="str">
        <f t="shared" si="30"/>
        <v/>
      </c>
      <c r="S960" s="82" t="str">
        <f t="shared" si="31"/>
        <v/>
      </c>
    </row>
    <row r="961" spans="18:19" x14ac:dyDescent="0.25">
      <c r="R961" s="8" t="str">
        <f t="shared" si="30"/>
        <v/>
      </c>
      <c r="S961" s="82" t="str">
        <f t="shared" si="31"/>
        <v/>
      </c>
    </row>
    <row r="962" spans="18:19" x14ac:dyDescent="0.25">
      <c r="R962" s="8" t="str">
        <f t="shared" si="30"/>
        <v/>
      </c>
      <c r="S962" s="82" t="str">
        <f t="shared" si="31"/>
        <v/>
      </c>
    </row>
    <row r="963" spans="18:19" x14ac:dyDescent="0.25">
      <c r="R963" s="8" t="str">
        <f t="shared" si="30"/>
        <v/>
      </c>
      <c r="S963" s="82" t="str">
        <f t="shared" si="31"/>
        <v/>
      </c>
    </row>
    <row r="964" spans="18:19" x14ac:dyDescent="0.25">
      <c r="R964" s="8" t="str">
        <f t="shared" si="30"/>
        <v/>
      </c>
      <c r="S964" s="82" t="str">
        <f t="shared" si="31"/>
        <v/>
      </c>
    </row>
    <row r="965" spans="18:19" x14ac:dyDescent="0.25">
      <c r="R965" s="8" t="str">
        <f t="shared" si="30"/>
        <v/>
      </c>
      <c r="S965" s="82" t="str">
        <f t="shared" si="31"/>
        <v/>
      </c>
    </row>
    <row r="966" spans="18:19" x14ac:dyDescent="0.25">
      <c r="R966" s="8" t="str">
        <f t="shared" si="30"/>
        <v/>
      </c>
      <c r="S966" s="82" t="str">
        <f t="shared" si="31"/>
        <v/>
      </c>
    </row>
    <row r="967" spans="18:19" x14ac:dyDescent="0.25">
      <c r="R967" s="8" t="str">
        <f t="shared" si="30"/>
        <v/>
      </c>
      <c r="S967" s="82" t="str">
        <f t="shared" si="31"/>
        <v/>
      </c>
    </row>
    <row r="968" spans="18:19" x14ac:dyDescent="0.25">
      <c r="R968" s="8" t="str">
        <f t="shared" ref="R968:R1031" si="32">IF(A968="",(""),(MONTH(A968)))</f>
        <v/>
      </c>
      <c r="S968" s="82" t="str">
        <f t="shared" si="31"/>
        <v/>
      </c>
    </row>
    <row r="969" spans="18:19" x14ac:dyDescent="0.25">
      <c r="R969" s="8" t="str">
        <f t="shared" si="32"/>
        <v/>
      </c>
      <c r="S969" s="82" t="str">
        <f t="shared" si="31"/>
        <v/>
      </c>
    </row>
    <row r="970" spans="18:19" x14ac:dyDescent="0.25">
      <c r="R970" s="8" t="str">
        <f t="shared" si="32"/>
        <v/>
      </c>
      <c r="S970" s="82" t="str">
        <f t="shared" si="31"/>
        <v/>
      </c>
    </row>
    <row r="971" spans="18:19" x14ac:dyDescent="0.25">
      <c r="R971" s="8" t="str">
        <f t="shared" si="32"/>
        <v/>
      </c>
      <c r="S971" s="82" t="str">
        <f t="shared" si="31"/>
        <v/>
      </c>
    </row>
    <row r="972" spans="18:19" x14ac:dyDescent="0.25">
      <c r="R972" s="8" t="str">
        <f t="shared" si="32"/>
        <v/>
      </c>
      <c r="S972" s="82" t="str">
        <f t="shared" si="31"/>
        <v/>
      </c>
    </row>
    <row r="973" spans="18:19" x14ac:dyDescent="0.25">
      <c r="R973" s="8" t="str">
        <f t="shared" si="32"/>
        <v/>
      </c>
      <c r="S973" s="82" t="str">
        <f t="shared" si="31"/>
        <v/>
      </c>
    </row>
    <row r="974" spans="18:19" x14ac:dyDescent="0.25">
      <c r="R974" s="8" t="str">
        <f t="shared" si="32"/>
        <v/>
      </c>
      <c r="S974" s="82" t="str">
        <f t="shared" si="31"/>
        <v/>
      </c>
    </row>
    <row r="975" spans="18:19" x14ac:dyDescent="0.25">
      <c r="R975" s="8" t="str">
        <f t="shared" si="32"/>
        <v/>
      </c>
      <c r="S975" s="82" t="str">
        <f t="shared" si="31"/>
        <v/>
      </c>
    </row>
    <row r="976" spans="18:19" x14ac:dyDescent="0.25">
      <c r="R976" s="8" t="str">
        <f t="shared" si="32"/>
        <v/>
      </c>
      <c r="S976" s="82" t="str">
        <f t="shared" si="31"/>
        <v/>
      </c>
    </row>
    <row r="977" spans="18:19" x14ac:dyDescent="0.25">
      <c r="R977" s="8" t="str">
        <f t="shared" si="32"/>
        <v/>
      </c>
      <c r="S977" s="82" t="str">
        <f t="shared" si="31"/>
        <v/>
      </c>
    </row>
    <row r="978" spans="18:19" x14ac:dyDescent="0.25">
      <c r="R978" s="8" t="str">
        <f t="shared" si="32"/>
        <v/>
      </c>
      <c r="S978" s="82" t="str">
        <f t="shared" si="31"/>
        <v/>
      </c>
    </row>
    <row r="979" spans="18:19" x14ac:dyDescent="0.25">
      <c r="R979" s="8" t="str">
        <f t="shared" si="32"/>
        <v/>
      </c>
      <c r="S979" s="82" t="str">
        <f t="shared" si="31"/>
        <v/>
      </c>
    </row>
    <row r="980" spans="18:19" x14ac:dyDescent="0.25">
      <c r="R980" s="8" t="str">
        <f t="shared" si="32"/>
        <v/>
      </c>
      <c r="S980" s="82" t="str">
        <f t="shared" si="31"/>
        <v/>
      </c>
    </row>
    <row r="981" spans="18:19" x14ac:dyDescent="0.25">
      <c r="R981" s="8" t="str">
        <f t="shared" si="32"/>
        <v/>
      </c>
      <c r="S981" s="82" t="str">
        <f t="shared" si="31"/>
        <v/>
      </c>
    </row>
    <row r="982" spans="18:19" x14ac:dyDescent="0.25">
      <c r="R982" s="8" t="str">
        <f t="shared" si="32"/>
        <v/>
      </c>
      <c r="S982" s="82" t="str">
        <f t="shared" ref="S982:S1045" si="33">IF(O982&gt;0,(Q982-O982),(IF(K982="USD",(Q982*J982),((IF(B982="",(""),(SUMIF(B982,"11 - Factura C",(Q982))-SUMIF(B982,"13 - Nota de Crédito C",(Q982))+SUMIF(B982,"15 - Recibo C",(Q982))+SUMIF(B982,"109 - Tique C",(Q982)))))))))</f>
        <v/>
      </c>
    </row>
    <row r="983" spans="18:19" x14ac:dyDescent="0.25">
      <c r="R983" s="8" t="str">
        <f t="shared" si="32"/>
        <v/>
      </c>
      <c r="S983" s="82" t="str">
        <f t="shared" si="33"/>
        <v/>
      </c>
    </row>
    <row r="984" spans="18:19" x14ac:dyDescent="0.25">
      <c r="R984" s="8" t="str">
        <f t="shared" si="32"/>
        <v/>
      </c>
      <c r="S984" s="82" t="str">
        <f t="shared" si="33"/>
        <v/>
      </c>
    </row>
    <row r="985" spans="18:19" x14ac:dyDescent="0.25">
      <c r="R985" s="8" t="str">
        <f t="shared" si="32"/>
        <v/>
      </c>
      <c r="S985" s="82" t="str">
        <f t="shared" si="33"/>
        <v/>
      </c>
    </row>
    <row r="986" spans="18:19" x14ac:dyDescent="0.25">
      <c r="R986" s="8" t="str">
        <f t="shared" si="32"/>
        <v/>
      </c>
      <c r="S986" s="82" t="str">
        <f t="shared" si="33"/>
        <v/>
      </c>
    </row>
    <row r="987" spans="18:19" x14ac:dyDescent="0.25">
      <c r="R987" s="8" t="str">
        <f t="shared" si="32"/>
        <v/>
      </c>
      <c r="S987" s="82" t="str">
        <f t="shared" si="33"/>
        <v/>
      </c>
    </row>
    <row r="988" spans="18:19" x14ac:dyDescent="0.25">
      <c r="R988" s="8" t="str">
        <f t="shared" si="32"/>
        <v/>
      </c>
      <c r="S988" s="82" t="str">
        <f t="shared" si="33"/>
        <v/>
      </c>
    </row>
    <row r="989" spans="18:19" x14ac:dyDescent="0.25">
      <c r="R989" s="8" t="str">
        <f t="shared" si="32"/>
        <v/>
      </c>
      <c r="S989" s="82" t="str">
        <f t="shared" si="33"/>
        <v/>
      </c>
    </row>
    <row r="990" spans="18:19" x14ac:dyDescent="0.25">
      <c r="R990" s="8" t="str">
        <f t="shared" si="32"/>
        <v/>
      </c>
      <c r="S990" s="82" t="str">
        <f t="shared" si="33"/>
        <v/>
      </c>
    </row>
    <row r="991" spans="18:19" x14ac:dyDescent="0.25">
      <c r="R991" s="8" t="str">
        <f t="shared" si="32"/>
        <v/>
      </c>
      <c r="S991" s="82" t="str">
        <f t="shared" si="33"/>
        <v/>
      </c>
    </row>
    <row r="992" spans="18:19" x14ac:dyDescent="0.25">
      <c r="R992" s="8" t="str">
        <f t="shared" si="32"/>
        <v/>
      </c>
      <c r="S992" s="82" t="str">
        <f t="shared" si="33"/>
        <v/>
      </c>
    </row>
    <row r="993" spans="18:19" x14ac:dyDescent="0.25">
      <c r="R993" s="8" t="str">
        <f t="shared" si="32"/>
        <v/>
      </c>
      <c r="S993" s="82" t="str">
        <f t="shared" si="33"/>
        <v/>
      </c>
    </row>
    <row r="994" spans="18:19" x14ac:dyDescent="0.25">
      <c r="R994" s="8" t="str">
        <f t="shared" si="32"/>
        <v/>
      </c>
      <c r="S994" s="82" t="str">
        <f t="shared" si="33"/>
        <v/>
      </c>
    </row>
    <row r="995" spans="18:19" x14ac:dyDescent="0.25">
      <c r="R995" s="8" t="str">
        <f t="shared" si="32"/>
        <v/>
      </c>
      <c r="S995" s="82" t="str">
        <f t="shared" si="33"/>
        <v/>
      </c>
    </row>
    <row r="996" spans="18:19" x14ac:dyDescent="0.25">
      <c r="R996" s="8" t="str">
        <f t="shared" si="32"/>
        <v/>
      </c>
      <c r="S996" s="82" t="str">
        <f t="shared" si="33"/>
        <v/>
      </c>
    </row>
    <row r="997" spans="18:19" x14ac:dyDescent="0.25">
      <c r="R997" s="8" t="str">
        <f t="shared" si="32"/>
        <v/>
      </c>
      <c r="S997" s="82" t="str">
        <f t="shared" si="33"/>
        <v/>
      </c>
    </row>
    <row r="998" spans="18:19" x14ac:dyDescent="0.25">
      <c r="R998" s="8" t="str">
        <f t="shared" si="32"/>
        <v/>
      </c>
      <c r="S998" s="82" t="str">
        <f t="shared" si="33"/>
        <v/>
      </c>
    </row>
    <row r="999" spans="18:19" x14ac:dyDescent="0.25">
      <c r="R999" s="8" t="str">
        <f t="shared" si="32"/>
        <v/>
      </c>
      <c r="S999" s="82" t="str">
        <f t="shared" si="33"/>
        <v/>
      </c>
    </row>
    <row r="1000" spans="18:19" x14ac:dyDescent="0.25">
      <c r="R1000" s="8" t="str">
        <f t="shared" si="32"/>
        <v/>
      </c>
      <c r="S1000" s="82" t="str">
        <f t="shared" si="33"/>
        <v/>
      </c>
    </row>
    <row r="1001" spans="18:19" x14ac:dyDescent="0.25">
      <c r="R1001" s="8" t="str">
        <f t="shared" si="32"/>
        <v/>
      </c>
      <c r="S1001" s="82" t="str">
        <f t="shared" si="33"/>
        <v/>
      </c>
    </row>
    <row r="1002" spans="18:19" x14ac:dyDescent="0.25">
      <c r="R1002" s="8" t="str">
        <f t="shared" si="32"/>
        <v/>
      </c>
      <c r="S1002" s="82" t="str">
        <f t="shared" si="33"/>
        <v/>
      </c>
    </row>
    <row r="1003" spans="18:19" x14ac:dyDescent="0.25">
      <c r="R1003" s="8" t="str">
        <f t="shared" si="32"/>
        <v/>
      </c>
      <c r="S1003" s="82" t="str">
        <f t="shared" si="33"/>
        <v/>
      </c>
    </row>
    <row r="1004" spans="18:19" x14ac:dyDescent="0.25">
      <c r="R1004" s="8" t="str">
        <f t="shared" si="32"/>
        <v/>
      </c>
      <c r="S1004" s="82" t="str">
        <f t="shared" si="33"/>
        <v/>
      </c>
    </row>
    <row r="1005" spans="18:19" x14ac:dyDescent="0.25">
      <c r="R1005" s="8" t="str">
        <f t="shared" si="32"/>
        <v/>
      </c>
      <c r="S1005" s="82" t="str">
        <f t="shared" si="33"/>
        <v/>
      </c>
    </row>
    <row r="1006" spans="18:19" x14ac:dyDescent="0.25">
      <c r="R1006" s="8" t="str">
        <f t="shared" si="32"/>
        <v/>
      </c>
      <c r="S1006" s="82" t="str">
        <f t="shared" si="33"/>
        <v/>
      </c>
    </row>
    <row r="1007" spans="18:19" x14ac:dyDescent="0.25">
      <c r="R1007" s="8" t="str">
        <f t="shared" si="32"/>
        <v/>
      </c>
      <c r="S1007" s="82" t="str">
        <f t="shared" si="33"/>
        <v/>
      </c>
    </row>
    <row r="1008" spans="18:19" x14ac:dyDescent="0.25">
      <c r="R1008" s="8" t="str">
        <f t="shared" si="32"/>
        <v/>
      </c>
      <c r="S1008" s="82" t="str">
        <f t="shared" si="33"/>
        <v/>
      </c>
    </row>
    <row r="1009" spans="18:19" x14ac:dyDescent="0.25">
      <c r="R1009" s="8" t="str">
        <f t="shared" si="32"/>
        <v/>
      </c>
      <c r="S1009" s="82" t="str">
        <f t="shared" si="33"/>
        <v/>
      </c>
    </row>
    <row r="1010" spans="18:19" x14ac:dyDescent="0.25">
      <c r="R1010" s="8" t="str">
        <f t="shared" si="32"/>
        <v/>
      </c>
      <c r="S1010" s="82" t="str">
        <f t="shared" si="33"/>
        <v/>
      </c>
    </row>
    <row r="1011" spans="18:19" x14ac:dyDescent="0.25">
      <c r="R1011" s="8" t="str">
        <f t="shared" si="32"/>
        <v/>
      </c>
      <c r="S1011" s="82" t="str">
        <f t="shared" si="33"/>
        <v/>
      </c>
    </row>
    <row r="1012" spans="18:19" x14ac:dyDescent="0.25">
      <c r="R1012" s="8" t="str">
        <f t="shared" si="32"/>
        <v/>
      </c>
      <c r="S1012" s="82" t="str">
        <f t="shared" si="33"/>
        <v/>
      </c>
    </row>
    <row r="1013" spans="18:19" x14ac:dyDescent="0.25">
      <c r="R1013" s="8" t="str">
        <f t="shared" si="32"/>
        <v/>
      </c>
      <c r="S1013" s="82" t="str">
        <f t="shared" si="33"/>
        <v/>
      </c>
    </row>
    <row r="1014" spans="18:19" x14ac:dyDescent="0.25">
      <c r="R1014" s="8" t="str">
        <f t="shared" si="32"/>
        <v/>
      </c>
      <c r="S1014" s="82" t="str">
        <f t="shared" si="33"/>
        <v/>
      </c>
    </row>
    <row r="1015" spans="18:19" x14ac:dyDescent="0.25">
      <c r="R1015" s="8" t="str">
        <f t="shared" si="32"/>
        <v/>
      </c>
      <c r="S1015" s="82" t="str">
        <f t="shared" si="33"/>
        <v/>
      </c>
    </row>
    <row r="1016" spans="18:19" x14ac:dyDescent="0.25">
      <c r="R1016" s="8" t="str">
        <f t="shared" si="32"/>
        <v/>
      </c>
      <c r="S1016" s="82" t="str">
        <f t="shared" si="33"/>
        <v/>
      </c>
    </row>
    <row r="1017" spans="18:19" x14ac:dyDescent="0.25">
      <c r="R1017" s="8" t="str">
        <f t="shared" si="32"/>
        <v/>
      </c>
      <c r="S1017" s="82" t="str">
        <f t="shared" si="33"/>
        <v/>
      </c>
    </row>
    <row r="1018" spans="18:19" x14ac:dyDescent="0.25">
      <c r="R1018" s="8" t="str">
        <f t="shared" si="32"/>
        <v/>
      </c>
      <c r="S1018" s="82" t="str">
        <f t="shared" si="33"/>
        <v/>
      </c>
    </row>
    <row r="1019" spans="18:19" x14ac:dyDescent="0.25">
      <c r="R1019" s="8" t="str">
        <f t="shared" si="32"/>
        <v/>
      </c>
      <c r="S1019" s="82" t="str">
        <f t="shared" si="33"/>
        <v/>
      </c>
    </row>
    <row r="1020" spans="18:19" x14ac:dyDescent="0.25">
      <c r="R1020" s="8" t="str">
        <f t="shared" si="32"/>
        <v/>
      </c>
      <c r="S1020" s="82" t="str">
        <f t="shared" si="33"/>
        <v/>
      </c>
    </row>
    <row r="1021" spans="18:19" x14ac:dyDescent="0.25">
      <c r="R1021" s="8" t="str">
        <f t="shared" si="32"/>
        <v/>
      </c>
      <c r="S1021" s="82" t="str">
        <f t="shared" si="33"/>
        <v/>
      </c>
    </row>
    <row r="1022" spans="18:19" x14ac:dyDescent="0.25">
      <c r="R1022" s="8" t="str">
        <f t="shared" si="32"/>
        <v/>
      </c>
      <c r="S1022" s="82" t="str">
        <f t="shared" si="33"/>
        <v/>
      </c>
    </row>
    <row r="1023" spans="18:19" x14ac:dyDescent="0.25">
      <c r="R1023" s="8" t="str">
        <f t="shared" si="32"/>
        <v/>
      </c>
      <c r="S1023" s="82" t="str">
        <f t="shared" si="33"/>
        <v/>
      </c>
    </row>
    <row r="1024" spans="18:19" x14ac:dyDescent="0.25">
      <c r="R1024" s="8" t="str">
        <f t="shared" si="32"/>
        <v/>
      </c>
      <c r="S1024" s="82" t="str">
        <f t="shared" si="33"/>
        <v/>
      </c>
    </row>
    <row r="1025" spans="18:19" x14ac:dyDescent="0.25">
      <c r="R1025" s="8" t="str">
        <f t="shared" si="32"/>
        <v/>
      </c>
      <c r="S1025" s="82" t="str">
        <f t="shared" si="33"/>
        <v/>
      </c>
    </row>
    <row r="1026" spans="18:19" x14ac:dyDescent="0.25">
      <c r="R1026" s="8" t="str">
        <f t="shared" si="32"/>
        <v/>
      </c>
      <c r="S1026" s="82" t="str">
        <f t="shared" si="33"/>
        <v/>
      </c>
    </row>
    <row r="1027" spans="18:19" x14ac:dyDescent="0.25">
      <c r="R1027" s="8" t="str">
        <f t="shared" si="32"/>
        <v/>
      </c>
      <c r="S1027" s="82" t="str">
        <f t="shared" si="33"/>
        <v/>
      </c>
    </row>
    <row r="1028" spans="18:19" x14ac:dyDescent="0.25">
      <c r="R1028" s="8" t="str">
        <f t="shared" si="32"/>
        <v/>
      </c>
      <c r="S1028" s="82" t="str">
        <f t="shared" si="33"/>
        <v/>
      </c>
    </row>
    <row r="1029" spans="18:19" x14ac:dyDescent="0.25">
      <c r="R1029" s="8" t="str">
        <f t="shared" si="32"/>
        <v/>
      </c>
      <c r="S1029" s="82" t="str">
        <f t="shared" si="33"/>
        <v/>
      </c>
    </row>
    <row r="1030" spans="18:19" x14ac:dyDescent="0.25">
      <c r="R1030" s="8" t="str">
        <f t="shared" si="32"/>
        <v/>
      </c>
      <c r="S1030" s="82" t="str">
        <f t="shared" si="33"/>
        <v/>
      </c>
    </row>
    <row r="1031" spans="18:19" x14ac:dyDescent="0.25">
      <c r="R1031" s="8" t="str">
        <f t="shared" si="32"/>
        <v/>
      </c>
      <c r="S1031" s="82" t="str">
        <f t="shared" si="33"/>
        <v/>
      </c>
    </row>
    <row r="1032" spans="18:19" x14ac:dyDescent="0.25">
      <c r="R1032" s="8" t="str">
        <f t="shared" ref="R1032:R1095" si="34">IF(A1032="",(""),(MONTH(A1032)))</f>
        <v/>
      </c>
      <c r="S1032" s="82" t="str">
        <f t="shared" si="33"/>
        <v/>
      </c>
    </row>
    <row r="1033" spans="18:19" x14ac:dyDescent="0.25">
      <c r="R1033" s="8" t="str">
        <f t="shared" si="34"/>
        <v/>
      </c>
      <c r="S1033" s="82" t="str">
        <f t="shared" si="33"/>
        <v/>
      </c>
    </row>
    <row r="1034" spans="18:19" x14ac:dyDescent="0.25">
      <c r="R1034" s="8" t="str">
        <f t="shared" si="34"/>
        <v/>
      </c>
      <c r="S1034" s="82" t="str">
        <f t="shared" si="33"/>
        <v/>
      </c>
    </row>
    <row r="1035" spans="18:19" x14ac:dyDescent="0.25">
      <c r="R1035" s="8" t="str">
        <f t="shared" si="34"/>
        <v/>
      </c>
      <c r="S1035" s="82" t="str">
        <f t="shared" si="33"/>
        <v/>
      </c>
    </row>
    <row r="1036" spans="18:19" x14ac:dyDescent="0.25">
      <c r="R1036" s="8" t="str">
        <f t="shared" si="34"/>
        <v/>
      </c>
      <c r="S1036" s="82" t="str">
        <f t="shared" si="33"/>
        <v/>
      </c>
    </row>
    <row r="1037" spans="18:19" x14ac:dyDescent="0.25">
      <c r="R1037" s="8" t="str">
        <f t="shared" si="34"/>
        <v/>
      </c>
      <c r="S1037" s="82" t="str">
        <f t="shared" si="33"/>
        <v/>
      </c>
    </row>
    <row r="1038" spans="18:19" x14ac:dyDescent="0.25">
      <c r="R1038" s="8" t="str">
        <f t="shared" si="34"/>
        <v/>
      </c>
      <c r="S1038" s="82" t="str">
        <f t="shared" si="33"/>
        <v/>
      </c>
    </row>
    <row r="1039" spans="18:19" x14ac:dyDescent="0.25">
      <c r="R1039" s="8" t="str">
        <f t="shared" si="34"/>
        <v/>
      </c>
      <c r="S1039" s="82" t="str">
        <f t="shared" si="33"/>
        <v/>
      </c>
    </row>
    <row r="1040" spans="18:19" x14ac:dyDescent="0.25">
      <c r="R1040" s="8" t="str">
        <f t="shared" si="34"/>
        <v/>
      </c>
      <c r="S1040" s="82" t="str">
        <f t="shared" si="33"/>
        <v/>
      </c>
    </row>
    <row r="1041" spans="18:19" x14ac:dyDescent="0.25">
      <c r="R1041" s="8" t="str">
        <f t="shared" si="34"/>
        <v/>
      </c>
      <c r="S1041" s="82" t="str">
        <f t="shared" si="33"/>
        <v/>
      </c>
    </row>
    <row r="1042" spans="18:19" x14ac:dyDescent="0.25">
      <c r="R1042" s="8" t="str">
        <f t="shared" si="34"/>
        <v/>
      </c>
      <c r="S1042" s="82" t="str">
        <f t="shared" si="33"/>
        <v/>
      </c>
    </row>
    <row r="1043" spans="18:19" x14ac:dyDescent="0.25">
      <c r="R1043" s="8" t="str">
        <f t="shared" si="34"/>
        <v/>
      </c>
      <c r="S1043" s="82" t="str">
        <f t="shared" si="33"/>
        <v/>
      </c>
    </row>
    <row r="1044" spans="18:19" x14ac:dyDescent="0.25">
      <c r="R1044" s="8" t="str">
        <f t="shared" si="34"/>
        <v/>
      </c>
      <c r="S1044" s="82" t="str">
        <f t="shared" si="33"/>
        <v/>
      </c>
    </row>
    <row r="1045" spans="18:19" x14ac:dyDescent="0.25">
      <c r="R1045" s="8" t="str">
        <f t="shared" si="34"/>
        <v/>
      </c>
      <c r="S1045" s="82" t="str">
        <f t="shared" si="33"/>
        <v/>
      </c>
    </row>
    <row r="1046" spans="18:19" x14ac:dyDescent="0.25">
      <c r="R1046" s="8" t="str">
        <f t="shared" si="34"/>
        <v/>
      </c>
      <c r="S1046" s="82" t="str">
        <f t="shared" ref="S1046:S1109" si="35">IF(O1046&gt;0,(Q1046-O1046),(IF(K1046="USD",(Q1046*J1046),((IF(B1046="",(""),(SUMIF(B1046,"11 - Factura C",(Q1046))-SUMIF(B1046,"13 - Nota de Crédito C",(Q1046))+SUMIF(B1046,"15 - Recibo C",(Q1046))+SUMIF(B1046,"109 - Tique C",(Q1046)))))))))</f>
        <v/>
      </c>
    </row>
    <row r="1047" spans="18:19" x14ac:dyDescent="0.25">
      <c r="R1047" s="8" t="str">
        <f t="shared" si="34"/>
        <v/>
      </c>
      <c r="S1047" s="82" t="str">
        <f t="shared" si="35"/>
        <v/>
      </c>
    </row>
    <row r="1048" spans="18:19" x14ac:dyDescent="0.25">
      <c r="R1048" s="8" t="str">
        <f t="shared" si="34"/>
        <v/>
      </c>
      <c r="S1048" s="82" t="str">
        <f t="shared" si="35"/>
        <v/>
      </c>
    </row>
    <row r="1049" spans="18:19" x14ac:dyDescent="0.25">
      <c r="R1049" s="8" t="str">
        <f t="shared" si="34"/>
        <v/>
      </c>
      <c r="S1049" s="82" t="str">
        <f t="shared" si="35"/>
        <v/>
      </c>
    </row>
    <row r="1050" spans="18:19" x14ac:dyDescent="0.25">
      <c r="R1050" s="8" t="str">
        <f t="shared" si="34"/>
        <v/>
      </c>
      <c r="S1050" s="82" t="str">
        <f t="shared" si="35"/>
        <v/>
      </c>
    </row>
    <row r="1051" spans="18:19" x14ac:dyDescent="0.25">
      <c r="R1051" s="8" t="str">
        <f t="shared" si="34"/>
        <v/>
      </c>
      <c r="S1051" s="82" t="str">
        <f t="shared" si="35"/>
        <v/>
      </c>
    </row>
    <row r="1052" spans="18:19" x14ac:dyDescent="0.25">
      <c r="R1052" s="8" t="str">
        <f t="shared" si="34"/>
        <v/>
      </c>
      <c r="S1052" s="82" t="str">
        <f t="shared" si="35"/>
        <v/>
      </c>
    </row>
    <row r="1053" spans="18:19" x14ac:dyDescent="0.25">
      <c r="R1053" s="8" t="str">
        <f t="shared" si="34"/>
        <v/>
      </c>
      <c r="S1053" s="82" t="str">
        <f t="shared" si="35"/>
        <v/>
      </c>
    </row>
    <row r="1054" spans="18:19" x14ac:dyDescent="0.25">
      <c r="R1054" s="8" t="str">
        <f t="shared" si="34"/>
        <v/>
      </c>
      <c r="S1054" s="82" t="str">
        <f t="shared" si="35"/>
        <v/>
      </c>
    </row>
    <row r="1055" spans="18:19" x14ac:dyDescent="0.25">
      <c r="R1055" s="8" t="str">
        <f t="shared" si="34"/>
        <v/>
      </c>
      <c r="S1055" s="82" t="str">
        <f t="shared" si="35"/>
        <v/>
      </c>
    </row>
    <row r="1056" spans="18:19" x14ac:dyDescent="0.25">
      <c r="R1056" s="8" t="str">
        <f t="shared" si="34"/>
        <v/>
      </c>
      <c r="S1056" s="82" t="str">
        <f t="shared" si="35"/>
        <v/>
      </c>
    </row>
    <row r="1057" spans="18:19" x14ac:dyDescent="0.25">
      <c r="R1057" s="8" t="str">
        <f t="shared" si="34"/>
        <v/>
      </c>
      <c r="S1057" s="82" t="str">
        <f t="shared" si="35"/>
        <v/>
      </c>
    </row>
    <row r="1058" spans="18:19" x14ac:dyDescent="0.25">
      <c r="R1058" s="8" t="str">
        <f t="shared" si="34"/>
        <v/>
      </c>
      <c r="S1058" s="82" t="str">
        <f t="shared" si="35"/>
        <v/>
      </c>
    </row>
    <row r="1059" spans="18:19" x14ac:dyDescent="0.25">
      <c r="R1059" s="8" t="str">
        <f t="shared" si="34"/>
        <v/>
      </c>
      <c r="S1059" s="82" t="str">
        <f t="shared" si="35"/>
        <v/>
      </c>
    </row>
    <row r="1060" spans="18:19" x14ac:dyDescent="0.25">
      <c r="R1060" s="8" t="str">
        <f t="shared" si="34"/>
        <v/>
      </c>
      <c r="S1060" s="82" t="str">
        <f t="shared" si="35"/>
        <v/>
      </c>
    </row>
    <row r="1061" spans="18:19" x14ac:dyDescent="0.25">
      <c r="R1061" s="8" t="str">
        <f t="shared" si="34"/>
        <v/>
      </c>
      <c r="S1061" s="82" t="str">
        <f t="shared" si="35"/>
        <v/>
      </c>
    </row>
    <row r="1062" spans="18:19" x14ac:dyDescent="0.25">
      <c r="R1062" s="8" t="str">
        <f t="shared" si="34"/>
        <v/>
      </c>
      <c r="S1062" s="82" t="str">
        <f t="shared" si="35"/>
        <v/>
      </c>
    </row>
    <row r="1063" spans="18:19" x14ac:dyDescent="0.25">
      <c r="R1063" s="8" t="str">
        <f t="shared" si="34"/>
        <v/>
      </c>
      <c r="S1063" s="82" t="str">
        <f t="shared" si="35"/>
        <v/>
      </c>
    </row>
    <row r="1064" spans="18:19" x14ac:dyDescent="0.25">
      <c r="R1064" s="8" t="str">
        <f t="shared" si="34"/>
        <v/>
      </c>
      <c r="S1064" s="82" t="str">
        <f t="shared" si="35"/>
        <v/>
      </c>
    </row>
    <row r="1065" spans="18:19" x14ac:dyDescent="0.25">
      <c r="R1065" s="8" t="str">
        <f t="shared" si="34"/>
        <v/>
      </c>
      <c r="S1065" s="82" t="str">
        <f t="shared" si="35"/>
        <v/>
      </c>
    </row>
    <row r="1066" spans="18:19" x14ac:dyDescent="0.25">
      <c r="R1066" s="8" t="str">
        <f t="shared" si="34"/>
        <v/>
      </c>
      <c r="S1066" s="82" t="str">
        <f t="shared" si="35"/>
        <v/>
      </c>
    </row>
    <row r="1067" spans="18:19" x14ac:dyDescent="0.25">
      <c r="R1067" s="8" t="str">
        <f t="shared" si="34"/>
        <v/>
      </c>
      <c r="S1067" s="82" t="str">
        <f t="shared" si="35"/>
        <v/>
      </c>
    </row>
    <row r="1068" spans="18:19" x14ac:dyDescent="0.25">
      <c r="R1068" s="8" t="str">
        <f t="shared" si="34"/>
        <v/>
      </c>
      <c r="S1068" s="82" t="str">
        <f t="shared" si="35"/>
        <v/>
      </c>
    </row>
    <row r="1069" spans="18:19" x14ac:dyDescent="0.25">
      <c r="R1069" s="8" t="str">
        <f t="shared" si="34"/>
        <v/>
      </c>
      <c r="S1069" s="82" t="str">
        <f t="shared" si="35"/>
        <v/>
      </c>
    </row>
    <row r="1070" spans="18:19" x14ac:dyDescent="0.25">
      <c r="R1070" s="8" t="str">
        <f t="shared" si="34"/>
        <v/>
      </c>
      <c r="S1070" s="82" t="str">
        <f t="shared" si="35"/>
        <v/>
      </c>
    </row>
    <row r="1071" spans="18:19" x14ac:dyDescent="0.25">
      <c r="R1071" s="8" t="str">
        <f t="shared" si="34"/>
        <v/>
      </c>
      <c r="S1071" s="82" t="str">
        <f t="shared" si="35"/>
        <v/>
      </c>
    </row>
    <row r="1072" spans="18:19" x14ac:dyDescent="0.25">
      <c r="R1072" s="8" t="str">
        <f t="shared" si="34"/>
        <v/>
      </c>
      <c r="S1072" s="82" t="str">
        <f t="shared" si="35"/>
        <v/>
      </c>
    </row>
    <row r="1073" spans="18:19" x14ac:dyDescent="0.25">
      <c r="R1073" s="8" t="str">
        <f t="shared" si="34"/>
        <v/>
      </c>
      <c r="S1073" s="82" t="str">
        <f t="shared" si="35"/>
        <v/>
      </c>
    </row>
    <row r="1074" spans="18:19" x14ac:dyDescent="0.25">
      <c r="R1074" s="8" t="str">
        <f t="shared" si="34"/>
        <v/>
      </c>
      <c r="S1074" s="82" t="str">
        <f t="shared" si="35"/>
        <v/>
      </c>
    </row>
    <row r="1075" spans="18:19" x14ac:dyDescent="0.25">
      <c r="R1075" s="8" t="str">
        <f t="shared" si="34"/>
        <v/>
      </c>
      <c r="S1075" s="82" t="str">
        <f t="shared" si="35"/>
        <v/>
      </c>
    </row>
    <row r="1076" spans="18:19" x14ac:dyDescent="0.25">
      <c r="R1076" s="8" t="str">
        <f t="shared" si="34"/>
        <v/>
      </c>
      <c r="S1076" s="82" t="str">
        <f t="shared" si="35"/>
        <v/>
      </c>
    </row>
    <row r="1077" spans="18:19" x14ac:dyDescent="0.25">
      <c r="R1077" s="8" t="str">
        <f t="shared" si="34"/>
        <v/>
      </c>
      <c r="S1077" s="82" t="str">
        <f t="shared" si="35"/>
        <v/>
      </c>
    </row>
    <row r="1078" spans="18:19" x14ac:dyDescent="0.25">
      <c r="R1078" s="8" t="str">
        <f t="shared" si="34"/>
        <v/>
      </c>
      <c r="S1078" s="82" t="str">
        <f t="shared" si="35"/>
        <v/>
      </c>
    </row>
    <row r="1079" spans="18:19" x14ac:dyDescent="0.25">
      <c r="R1079" s="8" t="str">
        <f t="shared" si="34"/>
        <v/>
      </c>
      <c r="S1079" s="82" t="str">
        <f t="shared" si="35"/>
        <v/>
      </c>
    </row>
    <row r="1080" spans="18:19" x14ac:dyDescent="0.25">
      <c r="R1080" s="8" t="str">
        <f t="shared" si="34"/>
        <v/>
      </c>
      <c r="S1080" s="82" t="str">
        <f t="shared" si="35"/>
        <v/>
      </c>
    </row>
    <row r="1081" spans="18:19" x14ac:dyDescent="0.25">
      <c r="R1081" s="8" t="str">
        <f t="shared" si="34"/>
        <v/>
      </c>
      <c r="S1081" s="82" t="str">
        <f t="shared" si="35"/>
        <v/>
      </c>
    </row>
    <row r="1082" spans="18:19" x14ac:dyDescent="0.25">
      <c r="R1082" s="8" t="str">
        <f t="shared" si="34"/>
        <v/>
      </c>
      <c r="S1082" s="82" t="str">
        <f t="shared" si="35"/>
        <v/>
      </c>
    </row>
    <row r="1083" spans="18:19" x14ac:dyDescent="0.25">
      <c r="R1083" s="8" t="str">
        <f t="shared" si="34"/>
        <v/>
      </c>
      <c r="S1083" s="82" t="str">
        <f t="shared" si="35"/>
        <v/>
      </c>
    </row>
    <row r="1084" spans="18:19" x14ac:dyDescent="0.25">
      <c r="R1084" s="8" t="str">
        <f t="shared" si="34"/>
        <v/>
      </c>
      <c r="S1084" s="82" t="str">
        <f t="shared" si="35"/>
        <v/>
      </c>
    </row>
    <row r="1085" spans="18:19" x14ac:dyDescent="0.25">
      <c r="R1085" s="8" t="str">
        <f t="shared" si="34"/>
        <v/>
      </c>
      <c r="S1085" s="82" t="str">
        <f t="shared" si="35"/>
        <v/>
      </c>
    </row>
    <row r="1086" spans="18:19" x14ac:dyDescent="0.25">
      <c r="R1086" s="8" t="str">
        <f t="shared" si="34"/>
        <v/>
      </c>
      <c r="S1086" s="82" t="str">
        <f t="shared" si="35"/>
        <v/>
      </c>
    </row>
    <row r="1087" spans="18:19" x14ac:dyDescent="0.25">
      <c r="R1087" s="8" t="str">
        <f t="shared" si="34"/>
        <v/>
      </c>
      <c r="S1087" s="82" t="str">
        <f t="shared" si="35"/>
        <v/>
      </c>
    </row>
    <row r="1088" spans="18:19" x14ac:dyDescent="0.25">
      <c r="R1088" s="8" t="str">
        <f t="shared" si="34"/>
        <v/>
      </c>
      <c r="S1088" s="82" t="str">
        <f t="shared" si="35"/>
        <v/>
      </c>
    </row>
    <row r="1089" spans="18:19" x14ac:dyDescent="0.25">
      <c r="R1089" s="8" t="str">
        <f t="shared" si="34"/>
        <v/>
      </c>
      <c r="S1089" s="82" t="str">
        <f t="shared" si="35"/>
        <v/>
      </c>
    </row>
    <row r="1090" spans="18:19" x14ac:dyDescent="0.25">
      <c r="R1090" s="8" t="str">
        <f t="shared" si="34"/>
        <v/>
      </c>
      <c r="S1090" s="82" t="str">
        <f t="shared" si="35"/>
        <v/>
      </c>
    </row>
    <row r="1091" spans="18:19" x14ac:dyDescent="0.25">
      <c r="R1091" s="8" t="str">
        <f t="shared" si="34"/>
        <v/>
      </c>
      <c r="S1091" s="82" t="str">
        <f t="shared" si="35"/>
        <v/>
      </c>
    </row>
    <row r="1092" spans="18:19" x14ac:dyDescent="0.25">
      <c r="R1092" s="8" t="str">
        <f t="shared" si="34"/>
        <v/>
      </c>
      <c r="S1092" s="82" t="str">
        <f t="shared" si="35"/>
        <v/>
      </c>
    </row>
    <row r="1093" spans="18:19" x14ac:dyDescent="0.25">
      <c r="R1093" s="8" t="str">
        <f t="shared" si="34"/>
        <v/>
      </c>
      <c r="S1093" s="82" t="str">
        <f t="shared" si="35"/>
        <v/>
      </c>
    </row>
    <row r="1094" spans="18:19" x14ac:dyDescent="0.25">
      <c r="R1094" s="8" t="str">
        <f t="shared" si="34"/>
        <v/>
      </c>
      <c r="S1094" s="82" t="str">
        <f t="shared" si="35"/>
        <v/>
      </c>
    </row>
    <row r="1095" spans="18:19" x14ac:dyDescent="0.25">
      <c r="R1095" s="8" t="str">
        <f t="shared" si="34"/>
        <v/>
      </c>
      <c r="S1095" s="82" t="str">
        <f t="shared" si="35"/>
        <v/>
      </c>
    </row>
    <row r="1096" spans="18:19" x14ac:dyDescent="0.25">
      <c r="R1096" s="8" t="str">
        <f t="shared" ref="R1096:R1159" si="36">IF(A1096="",(""),(MONTH(A1096)))</f>
        <v/>
      </c>
      <c r="S1096" s="82" t="str">
        <f t="shared" si="35"/>
        <v/>
      </c>
    </row>
    <row r="1097" spans="18:19" x14ac:dyDescent="0.25">
      <c r="R1097" s="8" t="str">
        <f t="shared" si="36"/>
        <v/>
      </c>
      <c r="S1097" s="82" t="str">
        <f t="shared" si="35"/>
        <v/>
      </c>
    </row>
    <row r="1098" spans="18:19" x14ac:dyDescent="0.25">
      <c r="R1098" s="8" t="str">
        <f t="shared" si="36"/>
        <v/>
      </c>
      <c r="S1098" s="82" t="str">
        <f t="shared" si="35"/>
        <v/>
      </c>
    </row>
    <row r="1099" spans="18:19" x14ac:dyDescent="0.25">
      <c r="R1099" s="8" t="str">
        <f t="shared" si="36"/>
        <v/>
      </c>
      <c r="S1099" s="82" t="str">
        <f t="shared" si="35"/>
        <v/>
      </c>
    </row>
    <row r="1100" spans="18:19" x14ac:dyDescent="0.25">
      <c r="R1100" s="8" t="str">
        <f t="shared" si="36"/>
        <v/>
      </c>
      <c r="S1100" s="82" t="str">
        <f t="shared" si="35"/>
        <v/>
      </c>
    </row>
    <row r="1101" spans="18:19" x14ac:dyDescent="0.25">
      <c r="R1101" s="8" t="str">
        <f t="shared" si="36"/>
        <v/>
      </c>
      <c r="S1101" s="82" t="str">
        <f t="shared" si="35"/>
        <v/>
      </c>
    </row>
    <row r="1102" spans="18:19" x14ac:dyDescent="0.25">
      <c r="R1102" s="8" t="str">
        <f t="shared" si="36"/>
        <v/>
      </c>
      <c r="S1102" s="82" t="str">
        <f t="shared" si="35"/>
        <v/>
      </c>
    </row>
    <row r="1103" spans="18:19" x14ac:dyDescent="0.25">
      <c r="R1103" s="8" t="str">
        <f t="shared" si="36"/>
        <v/>
      </c>
      <c r="S1103" s="82" t="str">
        <f t="shared" si="35"/>
        <v/>
      </c>
    </row>
    <row r="1104" spans="18:19" x14ac:dyDescent="0.25">
      <c r="R1104" s="8" t="str">
        <f t="shared" si="36"/>
        <v/>
      </c>
      <c r="S1104" s="82" t="str">
        <f t="shared" si="35"/>
        <v/>
      </c>
    </row>
    <row r="1105" spans="18:19" x14ac:dyDescent="0.25">
      <c r="R1105" s="8" t="str">
        <f t="shared" si="36"/>
        <v/>
      </c>
      <c r="S1105" s="82" t="str">
        <f t="shared" si="35"/>
        <v/>
      </c>
    </row>
    <row r="1106" spans="18:19" x14ac:dyDescent="0.25">
      <c r="R1106" s="8" t="str">
        <f t="shared" si="36"/>
        <v/>
      </c>
      <c r="S1106" s="82" t="str">
        <f t="shared" si="35"/>
        <v/>
      </c>
    </row>
    <row r="1107" spans="18:19" x14ac:dyDescent="0.25">
      <c r="R1107" s="8" t="str">
        <f t="shared" si="36"/>
        <v/>
      </c>
      <c r="S1107" s="82" t="str">
        <f t="shared" si="35"/>
        <v/>
      </c>
    </row>
    <row r="1108" spans="18:19" x14ac:dyDescent="0.25">
      <c r="R1108" s="8" t="str">
        <f t="shared" si="36"/>
        <v/>
      </c>
      <c r="S1108" s="82" t="str">
        <f t="shared" si="35"/>
        <v/>
      </c>
    </row>
    <row r="1109" spans="18:19" x14ac:dyDescent="0.25">
      <c r="R1109" s="8" t="str">
        <f t="shared" si="36"/>
        <v/>
      </c>
      <c r="S1109" s="82" t="str">
        <f t="shared" si="35"/>
        <v/>
      </c>
    </row>
    <row r="1110" spans="18:19" x14ac:dyDescent="0.25">
      <c r="R1110" s="8" t="str">
        <f t="shared" si="36"/>
        <v/>
      </c>
      <c r="S1110" s="82" t="str">
        <f t="shared" ref="S1110:S1173" si="37">IF(O1110&gt;0,(Q1110-O1110),(IF(K1110="USD",(Q1110*J1110),((IF(B1110="",(""),(SUMIF(B1110,"11 - Factura C",(Q1110))-SUMIF(B1110,"13 - Nota de Crédito C",(Q1110))+SUMIF(B1110,"15 - Recibo C",(Q1110))+SUMIF(B1110,"109 - Tique C",(Q1110)))))))))</f>
        <v/>
      </c>
    </row>
    <row r="1111" spans="18:19" x14ac:dyDescent="0.25">
      <c r="R1111" s="8" t="str">
        <f t="shared" si="36"/>
        <v/>
      </c>
      <c r="S1111" s="82" t="str">
        <f t="shared" si="37"/>
        <v/>
      </c>
    </row>
    <row r="1112" spans="18:19" x14ac:dyDescent="0.25">
      <c r="R1112" s="8" t="str">
        <f t="shared" si="36"/>
        <v/>
      </c>
      <c r="S1112" s="82" t="str">
        <f t="shared" si="37"/>
        <v/>
      </c>
    </row>
    <row r="1113" spans="18:19" x14ac:dyDescent="0.25">
      <c r="R1113" s="8" t="str">
        <f t="shared" si="36"/>
        <v/>
      </c>
      <c r="S1113" s="82" t="str">
        <f t="shared" si="37"/>
        <v/>
      </c>
    </row>
    <row r="1114" spans="18:19" x14ac:dyDescent="0.25">
      <c r="R1114" s="8" t="str">
        <f t="shared" si="36"/>
        <v/>
      </c>
      <c r="S1114" s="82" t="str">
        <f t="shared" si="37"/>
        <v/>
      </c>
    </row>
    <row r="1115" spans="18:19" x14ac:dyDescent="0.25">
      <c r="R1115" s="8" t="str">
        <f t="shared" si="36"/>
        <v/>
      </c>
      <c r="S1115" s="82" t="str">
        <f t="shared" si="37"/>
        <v/>
      </c>
    </row>
    <row r="1116" spans="18:19" x14ac:dyDescent="0.25">
      <c r="R1116" s="8" t="str">
        <f t="shared" si="36"/>
        <v/>
      </c>
      <c r="S1116" s="82" t="str">
        <f t="shared" si="37"/>
        <v/>
      </c>
    </row>
    <row r="1117" spans="18:19" x14ac:dyDescent="0.25">
      <c r="R1117" s="8" t="str">
        <f t="shared" si="36"/>
        <v/>
      </c>
      <c r="S1117" s="82" t="str">
        <f t="shared" si="37"/>
        <v/>
      </c>
    </row>
    <row r="1118" spans="18:19" x14ac:dyDescent="0.25">
      <c r="R1118" s="8" t="str">
        <f t="shared" si="36"/>
        <v/>
      </c>
      <c r="S1118" s="82" t="str">
        <f t="shared" si="37"/>
        <v/>
      </c>
    </row>
    <row r="1119" spans="18:19" x14ac:dyDescent="0.25">
      <c r="R1119" s="8" t="str">
        <f t="shared" si="36"/>
        <v/>
      </c>
      <c r="S1119" s="82" t="str">
        <f t="shared" si="37"/>
        <v/>
      </c>
    </row>
    <row r="1120" spans="18:19" x14ac:dyDescent="0.25">
      <c r="R1120" s="8" t="str">
        <f t="shared" si="36"/>
        <v/>
      </c>
      <c r="S1120" s="82" t="str">
        <f t="shared" si="37"/>
        <v/>
      </c>
    </row>
    <row r="1121" spans="18:19" x14ac:dyDescent="0.25">
      <c r="R1121" s="8" t="str">
        <f t="shared" si="36"/>
        <v/>
      </c>
      <c r="S1121" s="82" t="str">
        <f t="shared" si="37"/>
        <v/>
      </c>
    </row>
    <row r="1122" spans="18:19" x14ac:dyDescent="0.25">
      <c r="R1122" s="8" t="str">
        <f t="shared" si="36"/>
        <v/>
      </c>
      <c r="S1122" s="82" t="str">
        <f t="shared" si="37"/>
        <v/>
      </c>
    </row>
    <row r="1123" spans="18:19" x14ac:dyDescent="0.25">
      <c r="R1123" s="8" t="str">
        <f t="shared" si="36"/>
        <v/>
      </c>
      <c r="S1123" s="82" t="str">
        <f t="shared" si="37"/>
        <v/>
      </c>
    </row>
    <row r="1124" spans="18:19" x14ac:dyDescent="0.25">
      <c r="R1124" s="8" t="str">
        <f t="shared" si="36"/>
        <v/>
      </c>
      <c r="S1124" s="82" t="str">
        <f t="shared" si="37"/>
        <v/>
      </c>
    </row>
    <row r="1125" spans="18:19" x14ac:dyDescent="0.25">
      <c r="R1125" s="8" t="str">
        <f t="shared" si="36"/>
        <v/>
      </c>
      <c r="S1125" s="82" t="str">
        <f t="shared" si="37"/>
        <v/>
      </c>
    </row>
    <row r="1126" spans="18:19" x14ac:dyDescent="0.25">
      <c r="R1126" s="8" t="str">
        <f t="shared" si="36"/>
        <v/>
      </c>
      <c r="S1126" s="82" t="str">
        <f t="shared" si="37"/>
        <v/>
      </c>
    </row>
    <row r="1127" spans="18:19" x14ac:dyDescent="0.25">
      <c r="R1127" s="8" t="str">
        <f t="shared" si="36"/>
        <v/>
      </c>
      <c r="S1127" s="82" t="str">
        <f t="shared" si="37"/>
        <v/>
      </c>
    </row>
    <row r="1128" spans="18:19" x14ac:dyDescent="0.25">
      <c r="R1128" s="8" t="str">
        <f t="shared" si="36"/>
        <v/>
      </c>
      <c r="S1128" s="82" t="str">
        <f t="shared" si="37"/>
        <v/>
      </c>
    </row>
    <row r="1129" spans="18:19" x14ac:dyDescent="0.25">
      <c r="R1129" s="8" t="str">
        <f t="shared" si="36"/>
        <v/>
      </c>
      <c r="S1129" s="82" t="str">
        <f t="shared" si="37"/>
        <v/>
      </c>
    </row>
    <row r="1130" spans="18:19" x14ac:dyDescent="0.25">
      <c r="R1130" s="8" t="str">
        <f t="shared" si="36"/>
        <v/>
      </c>
      <c r="S1130" s="82" t="str">
        <f t="shared" si="37"/>
        <v/>
      </c>
    </row>
    <row r="1131" spans="18:19" x14ac:dyDescent="0.25">
      <c r="R1131" s="8" t="str">
        <f t="shared" si="36"/>
        <v/>
      </c>
      <c r="S1131" s="82" t="str">
        <f t="shared" si="37"/>
        <v/>
      </c>
    </row>
    <row r="1132" spans="18:19" x14ac:dyDescent="0.25">
      <c r="R1132" s="8" t="str">
        <f t="shared" si="36"/>
        <v/>
      </c>
      <c r="S1132" s="82" t="str">
        <f t="shared" si="37"/>
        <v/>
      </c>
    </row>
    <row r="1133" spans="18:19" x14ac:dyDescent="0.25">
      <c r="R1133" s="8" t="str">
        <f t="shared" si="36"/>
        <v/>
      </c>
      <c r="S1133" s="82" t="str">
        <f t="shared" si="37"/>
        <v/>
      </c>
    </row>
    <row r="1134" spans="18:19" x14ac:dyDescent="0.25">
      <c r="R1134" s="8" t="str">
        <f t="shared" si="36"/>
        <v/>
      </c>
      <c r="S1134" s="82" t="str">
        <f t="shared" si="37"/>
        <v/>
      </c>
    </row>
    <row r="1135" spans="18:19" x14ac:dyDescent="0.25">
      <c r="R1135" s="8" t="str">
        <f t="shared" si="36"/>
        <v/>
      </c>
      <c r="S1135" s="82" t="str">
        <f t="shared" si="37"/>
        <v/>
      </c>
    </row>
    <row r="1136" spans="18:19" x14ac:dyDescent="0.25">
      <c r="R1136" s="8" t="str">
        <f t="shared" si="36"/>
        <v/>
      </c>
      <c r="S1136" s="82" t="str">
        <f t="shared" si="37"/>
        <v/>
      </c>
    </row>
    <row r="1137" spans="18:19" x14ac:dyDescent="0.25">
      <c r="R1137" s="8" t="str">
        <f t="shared" si="36"/>
        <v/>
      </c>
      <c r="S1137" s="82" t="str">
        <f t="shared" si="37"/>
        <v/>
      </c>
    </row>
    <row r="1138" spans="18:19" x14ac:dyDescent="0.25">
      <c r="R1138" s="8" t="str">
        <f t="shared" si="36"/>
        <v/>
      </c>
      <c r="S1138" s="82" t="str">
        <f t="shared" si="37"/>
        <v/>
      </c>
    </row>
    <row r="1139" spans="18:19" x14ac:dyDescent="0.25">
      <c r="R1139" s="8" t="str">
        <f t="shared" si="36"/>
        <v/>
      </c>
      <c r="S1139" s="82" t="str">
        <f t="shared" si="37"/>
        <v/>
      </c>
    </row>
    <row r="1140" spans="18:19" x14ac:dyDescent="0.25">
      <c r="R1140" s="8" t="str">
        <f t="shared" si="36"/>
        <v/>
      </c>
      <c r="S1140" s="82" t="str">
        <f t="shared" si="37"/>
        <v/>
      </c>
    </row>
    <row r="1141" spans="18:19" x14ac:dyDescent="0.25">
      <c r="R1141" s="8" t="str">
        <f t="shared" si="36"/>
        <v/>
      </c>
      <c r="S1141" s="82" t="str">
        <f t="shared" si="37"/>
        <v/>
      </c>
    </row>
    <row r="1142" spans="18:19" x14ac:dyDescent="0.25">
      <c r="R1142" s="8" t="str">
        <f t="shared" si="36"/>
        <v/>
      </c>
      <c r="S1142" s="82" t="str">
        <f t="shared" si="37"/>
        <v/>
      </c>
    </row>
    <row r="1143" spans="18:19" x14ac:dyDescent="0.25">
      <c r="R1143" s="8" t="str">
        <f t="shared" si="36"/>
        <v/>
      </c>
      <c r="S1143" s="82" t="str">
        <f t="shared" si="37"/>
        <v/>
      </c>
    </row>
    <row r="1144" spans="18:19" x14ac:dyDescent="0.25">
      <c r="R1144" s="8" t="str">
        <f t="shared" si="36"/>
        <v/>
      </c>
      <c r="S1144" s="82" t="str">
        <f t="shared" si="37"/>
        <v/>
      </c>
    </row>
    <row r="1145" spans="18:19" x14ac:dyDescent="0.25">
      <c r="R1145" s="8" t="str">
        <f t="shared" si="36"/>
        <v/>
      </c>
      <c r="S1145" s="82" t="str">
        <f t="shared" si="37"/>
        <v/>
      </c>
    </row>
    <row r="1146" spans="18:19" x14ac:dyDescent="0.25">
      <c r="R1146" s="8" t="str">
        <f t="shared" si="36"/>
        <v/>
      </c>
      <c r="S1146" s="82" t="str">
        <f t="shared" si="37"/>
        <v/>
      </c>
    </row>
    <row r="1147" spans="18:19" x14ac:dyDescent="0.25">
      <c r="R1147" s="8" t="str">
        <f t="shared" si="36"/>
        <v/>
      </c>
      <c r="S1147" s="82" t="str">
        <f t="shared" si="37"/>
        <v/>
      </c>
    </row>
    <row r="1148" spans="18:19" x14ac:dyDescent="0.25">
      <c r="R1148" s="8" t="str">
        <f t="shared" si="36"/>
        <v/>
      </c>
      <c r="S1148" s="82" t="str">
        <f t="shared" si="37"/>
        <v/>
      </c>
    </row>
    <row r="1149" spans="18:19" x14ac:dyDescent="0.25">
      <c r="R1149" s="8" t="str">
        <f t="shared" si="36"/>
        <v/>
      </c>
      <c r="S1149" s="82" t="str">
        <f t="shared" si="37"/>
        <v/>
      </c>
    </row>
    <row r="1150" spans="18:19" x14ac:dyDescent="0.25">
      <c r="R1150" s="8" t="str">
        <f t="shared" si="36"/>
        <v/>
      </c>
      <c r="S1150" s="82" t="str">
        <f t="shared" si="37"/>
        <v/>
      </c>
    </row>
    <row r="1151" spans="18:19" x14ac:dyDescent="0.25">
      <c r="R1151" s="8" t="str">
        <f t="shared" si="36"/>
        <v/>
      </c>
      <c r="S1151" s="82" t="str">
        <f t="shared" si="37"/>
        <v/>
      </c>
    </row>
    <row r="1152" spans="18:19" x14ac:dyDescent="0.25">
      <c r="R1152" s="8" t="str">
        <f t="shared" si="36"/>
        <v/>
      </c>
      <c r="S1152" s="82" t="str">
        <f t="shared" si="37"/>
        <v/>
      </c>
    </row>
    <row r="1153" spans="18:19" x14ac:dyDescent="0.25">
      <c r="R1153" s="8" t="str">
        <f t="shared" si="36"/>
        <v/>
      </c>
      <c r="S1153" s="82" t="str">
        <f t="shared" si="37"/>
        <v/>
      </c>
    </row>
    <row r="1154" spans="18:19" x14ac:dyDescent="0.25">
      <c r="R1154" s="8" t="str">
        <f t="shared" si="36"/>
        <v/>
      </c>
      <c r="S1154" s="82" t="str">
        <f t="shared" si="37"/>
        <v/>
      </c>
    </row>
    <row r="1155" spans="18:19" x14ac:dyDescent="0.25">
      <c r="R1155" s="8" t="str">
        <f t="shared" si="36"/>
        <v/>
      </c>
      <c r="S1155" s="82" t="str">
        <f t="shared" si="37"/>
        <v/>
      </c>
    </row>
    <row r="1156" spans="18:19" x14ac:dyDescent="0.25">
      <c r="R1156" s="8" t="str">
        <f t="shared" si="36"/>
        <v/>
      </c>
      <c r="S1156" s="82" t="str">
        <f t="shared" si="37"/>
        <v/>
      </c>
    </row>
    <row r="1157" spans="18:19" x14ac:dyDescent="0.25">
      <c r="R1157" s="8" t="str">
        <f t="shared" si="36"/>
        <v/>
      </c>
      <c r="S1157" s="82" t="str">
        <f t="shared" si="37"/>
        <v/>
      </c>
    </row>
    <row r="1158" spans="18:19" x14ac:dyDescent="0.25">
      <c r="R1158" s="8" t="str">
        <f t="shared" si="36"/>
        <v/>
      </c>
      <c r="S1158" s="82" t="str">
        <f t="shared" si="37"/>
        <v/>
      </c>
    </row>
    <row r="1159" spans="18:19" x14ac:dyDescent="0.25">
      <c r="R1159" s="8" t="str">
        <f t="shared" si="36"/>
        <v/>
      </c>
      <c r="S1159" s="82" t="str">
        <f t="shared" si="37"/>
        <v/>
      </c>
    </row>
    <row r="1160" spans="18:19" x14ac:dyDescent="0.25">
      <c r="R1160" s="8" t="str">
        <f t="shared" ref="R1160:R1223" si="38">IF(A1160="",(""),(MONTH(A1160)))</f>
        <v/>
      </c>
      <c r="S1160" s="82" t="str">
        <f t="shared" si="37"/>
        <v/>
      </c>
    </row>
    <row r="1161" spans="18:19" x14ac:dyDescent="0.25">
      <c r="R1161" s="8" t="str">
        <f t="shared" si="38"/>
        <v/>
      </c>
      <c r="S1161" s="82" t="str">
        <f t="shared" si="37"/>
        <v/>
      </c>
    </row>
    <row r="1162" spans="18:19" x14ac:dyDescent="0.25">
      <c r="R1162" s="8" t="str">
        <f t="shared" si="38"/>
        <v/>
      </c>
      <c r="S1162" s="82" t="str">
        <f t="shared" si="37"/>
        <v/>
      </c>
    </row>
    <row r="1163" spans="18:19" x14ac:dyDescent="0.25">
      <c r="R1163" s="8" t="str">
        <f t="shared" si="38"/>
        <v/>
      </c>
      <c r="S1163" s="82" t="str">
        <f t="shared" si="37"/>
        <v/>
      </c>
    </row>
    <row r="1164" spans="18:19" x14ac:dyDescent="0.25">
      <c r="R1164" s="8" t="str">
        <f t="shared" si="38"/>
        <v/>
      </c>
      <c r="S1164" s="82" t="str">
        <f t="shared" si="37"/>
        <v/>
      </c>
    </row>
    <row r="1165" spans="18:19" x14ac:dyDescent="0.25">
      <c r="R1165" s="8" t="str">
        <f t="shared" si="38"/>
        <v/>
      </c>
      <c r="S1165" s="82" t="str">
        <f t="shared" si="37"/>
        <v/>
      </c>
    </row>
    <row r="1166" spans="18:19" x14ac:dyDescent="0.25">
      <c r="R1166" s="8" t="str">
        <f t="shared" si="38"/>
        <v/>
      </c>
      <c r="S1166" s="82" t="str">
        <f t="shared" si="37"/>
        <v/>
      </c>
    </row>
    <row r="1167" spans="18:19" x14ac:dyDescent="0.25">
      <c r="R1167" s="8" t="str">
        <f t="shared" si="38"/>
        <v/>
      </c>
      <c r="S1167" s="82" t="str">
        <f t="shared" si="37"/>
        <v/>
      </c>
    </row>
    <row r="1168" spans="18:19" x14ac:dyDescent="0.25">
      <c r="R1168" s="8" t="str">
        <f t="shared" si="38"/>
        <v/>
      </c>
      <c r="S1168" s="82" t="str">
        <f t="shared" si="37"/>
        <v/>
      </c>
    </row>
    <row r="1169" spans="18:19" x14ac:dyDescent="0.25">
      <c r="R1169" s="8" t="str">
        <f t="shared" si="38"/>
        <v/>
      </c>
      <c r="S1169" s="82" t="str">
        <f t="shared" si="37"/>
        <v/>
      </c>
    </row>
    <row r="1170" spans="18:19" x14ac:dyDescent="0.25">
      <c r="R1170" s="8" t="str">
        <f t="shared" si="38"/>
        <v/>
      </c>
      <c r="S1170" s="82" t="str">
        <f t="shared" si="37"/>
        <v/>
      </c>
    </row>
    <row r="1171" spans="18:19" x14ac:dyDescent="0.25">
      <c r="R1171" s="8" t="str">
        <f t="shared" si="38"/>
        <v/>
      </c>
      <c r="S1171" s="82" t="str">
        <f t="shared" si="37"/>
        <v/>
      </c>
    </row>
    <row r="1172" spans="18:19" x14ac:dyDescent="0.25">
      <c r="R1172" s="8" t="str">
        <f t="shared" si="38"/>
        <v/>
      </c>
      <c r="S1172" s="82" t="str">
        <f t="shared" si="37"/>
        <v/>
      </c>
    </row>
    <row r="1173" spans="18:19" x14ac:dyDescent="0.25">
      <c r="R1173" s="8" t="str">
        <f t="shared" si="38"/>
        <v/>
      </c>
      <c r="S1173" s="82" t="str">
        <f t="shared" si="37"/>
        <v/>
      </c>
    </row>
    <row r="1174" spans="18:19" x14ac:dyDescent="0.25">
      <c r="R1174" s="8" t="str">
        <f t="shared" si="38"/>
        <v/>
      </c>
      <c r="S1174" s="82" t="str">
        <f t="shared" ref="S1174:S1237" si="39">IF(O1174&gt;0,(Q1174-O1174),(IF(K1174="USD",(Q1174*J1174),((IF(B1174="",(""),(SUMIF(B1174,"11 - Factura C",(Q1174))-SUMIF(B1174,"13 - Nota de Crédito C",(Q1174))+SUMIF(B1174,"15 - Recibo C",(Q1174))+SUMIF(B1174,"109 - Tique C",(Q1174)))))))))</f>
        <v/>
      </c>
    </row>
    <row r="1175" spans="18:19" x14ac:dyDescent="0.25">
      <c r="R1175" s="8" t="str">
        <f t="shared" si="38"/>
        <v/>
      </c>
      <c r="S1175" s="82" t="str">
        <f t="shared" si="39"/>
        <v/>
      </c>
    </row>
    <row r="1176" spans="18:19" x14ac:dyDescent="0.25">
      <c r="R1176" s="8" t="str">
        <f t="shared" si="38"/>
        <v/>
      </c>
      <c r="S1176" s="82" t="str">
        <f t="shared" si="39"/>
        <v/>
      </c>
    </row>
    <row r="1177" spans="18:19" x14ac:dyDescent="0.25">
      <c r="R1177" s="8" t="str">
        <f t="shared" si="38"/>
        <v/>
      </c>
      <c r="S1177" s="82" t="str">
        <f t="shared" si="39"/>
        <v/>
      </c>
    </row>
    <row r="1178" spans="18:19" x14ac:dyDescent="0.25">
      <c r="R1178" s="8" t="str">
        <f t="shared" si="38"/>
        <v/>
      </c>
      <c r="S1178" s="82" t="str">
        <f t="shared" si="39"/>
        <v/>
      </c>
    </row>
    <row r="1179" spans="18:19" x14ac:dyDescent="0.25">
      <c r="R1179" s="8" t="str">
        <f t="shared" si="38"/>
        <v/>
      </c>
      <c r="S1179" s="82" t="str">
        <f t="shared" si="39"/>
        <v/>
      </c>
    </row>
    <row r="1180" spans="18:19" x14ac:dyDescent="0.25">
      <c r="R1180" s="8" t="str">
        <f t="shared" si="38"/>
        <v/>
      </c>
      <c r="S1180" s="82" t="str">
        <f t="shared" si="39"/>
        <v/>
      </c>
    </row>
    <row r="1181" spans="18:19" x14ac:dyDescent="0.25">
      <c r="R1181" s="8" t="str">
        <f t="shared" si="38"/>
        <v/>
      </c>
      <c r="S1181" s="82" t="str">
        <f t="shared" si="39"/>
        <v/>
      </c>
    </row>
    <row r="1182" spans="18:19" x14ac:dyDescent="0.25">
      <c r="R1182" s="8" t="str">
        <f t="shared" si="38"/>
        <v/>
      </c>
      <c r="S1182" s="82" t="str">
        <f t="shared" si="39"/>
        <v/>
      </c>
    </row>
    <row r="1183" spans="18:19" x14ac:dyDescent="0.25">
      <c r="R1183" s="8" t="str">
        <f t="shared" si="38"/>
        <v/>
      </c>
      <c r="S1183" s="82" t="str">
        <f t="shared" si="39"/>
        <v/>
      </c>
    </row>
    <row r="1184" spans="18:19" x14ac:dyDescent="0.25">
      <c r="R1184" s="8" t="str">
        <f t="shared" si="38"/>
        <v/>
      </c>
      <c r="S1184" s="82" t="str">
        <f t="shared" si="39"/>
        <v/>
      </c>
    </row>
    <row r="1185" spans="18:19" x14ac:dyDescent="0.25">
      <c r="R1185" s="8" t="str">
        <f t="shared" si="38"/>
        <v/>
      </c>
      <c r="S1185" s="82" t="str">
        <f t="shared" si="39"/>
        <v/>
      </c>
    </row>
    <row r="1186" spans="18:19" x14ac:dyDescent="0.25">
      <c r="R1186" s="8" t="str">
        <f t="shared" si="38"/>
        <v/>
      </c>
      <c r="S1186" s="82" t="str">
        <f t="shared" si="39"/>
        <v/>
      </c>
    </row>
    <row r="1187" spans="18:19" x14ac:dyDescent="0.25">
      <c r="R1187" s="8" t="str">
        <f t="shared" si="38"/>
        <v/>
      </c>
      <c r="S1187" s="82" t="str">
        <f t="shared" si="39"/>
        <v/>
      </c>
    </row>
    <row r="1188" spans="18:19" x14ac:dyDescent="0.25">
      <c r="R1188" s="8" t="str">
        <f t="shared" si="38"/>
        <v/>
      </c>
      <c r="S1188" s="82" t="str">
        <f t="shared" si="39"/>
        <v/>
      </c>
    </row>
    <row r="1189" spans="18:19" x14ac:dyDescent="0.25">
      <c r="R1189" s="8" t="str">
        <f t="shared" si="38"/>
        <v/>
      </c>
      <c r="S1189" s="82" t="str">
        <f t="shared" si="39"/>
        <v/>
      </c>
    </row>
    <row r="1190" spans="18:19" x14ac:dyDescent="0.25">
      <c r="R1190" s="8" t="str">
        <f t="shared" si="38"/>
        <v/>
      </c>
      <c r="S1190" s="82" t="str">
        <f t="shared" si="39"/>
        <v/>
      </c>
    </row>
    <row r="1191" spans="18:19" x14ac:dyDescent="0.25">
      <c r="R1191" s="8" t="str">
        <f t="shared" si="38"/>
        <v/>
      </c>
      <c r="S1191" s="82" t="str">
        <f t="shared" si="39"/>
        <v/>
      </c>
    </row>
    <row r="1192" spans="18:19" x14ac:dyDescent="0.25">
      <c r="R1192" s="8" t="str">
        <f t="shared" si="38"/>
        <v/>
      </c>
      <c r="S1192" s="82" t="str">
        <f t="shared" si="39"/>
        <v/>
      </c>
    </row>
    <row r="1193" spans="18:19" x14ac:dyDescent="0.25">
      <c r="R1193" s="8" t="str">
        <f t="shared" si="38"/>
        <v/>
      </c>
      <c r="S1193" s="82" t="str">
        <f t="shared" si="39"/>
        <v/>
      </c>
    </row>
    <row r="1194" spans="18:19" x14ac:dyDescent="0.25">
      <c r="R1194" s="8" t="str">
        <f t="shared" si="38"/>
        <v/>
      </c>
      <c r="S1194" s="82" t="str">
        <f t="shared" si="39"/>
        <v/>
      </c>
    </row>
    <row r="1195" spans="18:19" x14ac:dyDescent="0.25">
      <c r="R1195" s="8" t="str">
        <f t="shared" si="38"/>
        <v/>
      </c>
      <c r="S1195" s="82" t="str">
        <f t="shared" si="39"/>
        <v/>
      </c>
    </row>
    <row r="1196" spans="18:19" x14ac:dyDescent="0.25">
      <c r="R1196" s="8" t="str">
        <f t="shared" si="38"/>
        <v/>
      </c>
      <c r="S1196" s="82" t="str">
        <f t="shared" si="39"/>
        <v/>
      </c>
    </row>
    <row r="1197" spans="18:19" x14ac:dyDescent="0.25">
      <c r="R1197" s="8" t="str">
        <f t="shared" si="38"/>
        <v/>
      </c>
      <c r="S1197" s="82" t="str">
        <f t="shared" si="39"/>
        <v/>
      </c>
    </row>
    <row r="1198" spans="18:19" x14ac:dyDescent="0.25">
      <c r="R1198" s="8" t="str">
        <f t="shared" si="38"/>
        <v/>
      </c>
      <c r="S1198" s="82" t="str">
        <f t="shared" si="39"/>
        <v/>
      </c>
    </row>
    <row r="1199" spans="18:19" x14ac:dyDescent="0.25">
      <c r="R1199" s="8" t="str">
        <f t="shared" si="38"/>
        <v/>
      </c>
      <c r="S1199" s="82" t="str">
        <f t="shared" si="39"/>
        <v/>
      </c>
    </row>
    <row r="1200" spans="18:19" x14ac:dyDescent="0.25">
      <c r="R1200" s="8" t="str">
        <f t="shared" si="38"/>
        <v/>
      </c>
      <c r="S1200" s="82" t="str">
        <f t="shared" si="39"/>
        <v/>
      </c>
    </row>
    <row r="1201" spans="18:19" x14ac:dyDescent="0.25">
      <c r="R1201" s="8" t="str">
        <f t="shared" si="38"/>
        <v/>
      </c>
      <c r="S1201" s="82" t="str">
        <f t="shared" si="39"/>
        <v/>
      </c>
    </row>
    <row r="1202" spans="18:19" x14ac:dyDescent="0.25">
      <c r="R1202" s="8" t="str">
        <f t="shared" si="38"/>
        <v/>
      </c>
      <c r="S1202" s="82" t="str">
        <f t="shared" si="39"/>
        <v/>
      </c>
    </row>
    <row r="1203" spans="18:19" x14ac:dyDescent="0.25">
      <c r="R1203" s="8" t="str">
        <f t="shared" si="38"/>
        <v/>
      </c>
      <c r="S1203" s="82" t="str">
        <f t="shared" si="39"/>
        <v/>
      </c>
    </row>
    <row r="1204" spans="18:19" x14ac:dyDescent="0.25">
      <c r="R1204" s="8" t="str">
        <f t="shared" si="38"/>
        <v/>
      </c>
      <c r="S1204" s="82" t="str">
        <f t="shared" si="39"/>
        <v/>
      </c>
    </row>
    <row r="1205" spans="18:19" x14ac:dyDescent="0.25">
      <c r="R1205" s="8" t="str">
        <f t="shared" si="38"/>
        <v/>
      </c>
      <c r="S1205" s="82" t="str">
        <f t="shared" si="39"/>
        <v/>
      </c>
    </row>
    <row r="1206" spans="18:19" x14ac:dyDescent="0.25">
      <c r="R1206" s="8" t="str">
        <f t="shared" si="38"/>
        <v/>
      </c>
      <c r="S1206" s="82" t="str">
        <f t="shared" si="39"/>
        <v/>
      </c>
    </row>
    <row r="1207" spans="18:19" x14ac:dyDescent="0.25">
      <c r="R1207" s="8" t="str">
        <f t="shared" si="38"/>
        <v/>
      </c>
      <c r="S1207" s="82" t="str">
        <f t="shared" si="39"/>
        <v/>
      </c>
    </row>
    <row r="1208" spans="18:19" x14ac:dyDescent="0.25">
      <c r="R1208" s="8" t="str">
        <f t="shared" si="38"/>
        <v/>
      </c>
      <c r="S1208" s="82" t="str">
        <f t="shared" si="39"/>
        <v/>
      </c>
    </row>
    <row r="1209" spans="18:19" x14ac:dyDescent="0.25">
      <c r="R1209" s="8" t="str">
        <f t="shared" si="38"/>
        <v/>
      </c>
      <c r="S1209" s="82" t="str">
        <f t="shared" si="39"/>
        <v/>
      </c>
    </row>
    <row r="1210" spans="18:19" x14ac:dyDescent="0.25">
      <c r="R1210" s="8" t="str">
        <f t="shared" si="38"/>
        <v/>
      </c>
      <c r="S1210" s="82" t="str">
        <f t="shared" si="39"/>
        <v/>
      </c>
    </row>
    <row r="1211" spans="18:19" x14ac:dyDescent="0.25">
      <c r="R1211" s="8" t="str">
        <f t="shared" si="38"/>
        <v/>
      </c>
      <c r="S1211" s="82" t="str">
        <f t="shared" si="39"/>
        <v/>
      </c>
    </row>
    <row r="1212" spans="18:19" x14ac:dyDescent="0.25">
      <c r="R1212" s="8" t="str">
        <f t="shared" si="38"/>
        <v/>
      </c>
      <c r="S1212" s="82" t="str">
        <f t="shared" si="39"/>
        <v/>
      </c>
    </row>
    <row r="1213" spans="18:19" x14ac:dyDescent="0.25">
      <c r="R1213" s="8" t="str">
        <f t="shared" si="38"/>
        <v/>
      </c>
      <c r="S1213" s="82" t="str">
        <f t="shared" si="39"/>
        <v/>
      </c>
    </row>
    <row r="1214" spans="18:19" x14ac:dyDescent="0.25">
      <c r="R1214" s="8" t="str">
        <f t="shared" si="38"/>
        <v/>
      </c>
      <c r="S1214" s="82" t="str">
        <f t="shared" si="39"/>
        <v/>
      </c>
    </row>
    <row r="1215" spans="18:19" x14ac:dyDescent="0.25">
      <c r="R1215" s="8" t="str">
        <f t="shared" si="38"/>
        <v/>
      </c>
      <c r="S1215" s="82" t="str">
        <f t="shared" si="39"/>
        <v/>
      </c>
    </row>
    <row r="1216" spans="18:19" x14ac:dyDescent="0.25">
      <c r="R1216" s="8" t="str">
        <f t="shared" si="38"/>
        <v/>
      </c>
      <c r="S1216" s="82" t="str">
        <f t="shared" si="39"/>
        <v/>
      </c>
    </row>
    <row r="1217" spans="18:19" x14ac:dyDescent="0.25">
      <c r="R1217" s="8" t="str">
        <f t="shared" si="38"/>
        <v/>
      </c>
      <c r="S1217" s="82" t="str">
        <f t="shared" si="39"/>
        <v/>
      </c>
    </row>
    <row r="1218" spans="18:19" x14ac:dyDescent="0.25">
      <c r="R1218" s="8" t="str">
        <f t="shared" si="38"/>
        <v/>
      </c>
      <c r="S1218" s="82" t="str">
        <f t="shared" si="39"/>
        <v/>
      </c>
    </row>
    <row r="1219" spans="18:19" x14ac:dyDescent="0.25">
      <c r="R1219" s="8" t="str">
        <f t="shared" si="38"/>
        <v/>
      </c>
      <c r="S1219" s="82" t="str">
        <f t="shared" si="39"/>
        <v/>
      </c>
    </row>
    <row r="1220" spans="18:19" x14ac:dyDescent="0.25">
      <c r="R1220" s="8" t="str">
        <f t="shared" si="38"/>
        <v/>
      </c>
      <c r="S1220" s="82" t="str">
        <f t="shared" si="39"/>
        <v/>
      </c>
    </row>
    <row r="1221" spans="18:19" x14ac:dyDescent="0.25">
      <c r="R1221" s="8" t="str">
        <f t="shared" si="38"/>
        <v/>
      </c>
      <c r="S1221" s="82" t="str">
        <f t="shared" si="39"/>
        <v/>
      </c>
    </row>
    <row r="1222" spans="18:19" x14ac:dyDescent="0.25">
      <c r="R1222" s="8" t="str">
        <f t="shared" si="38"/>
        <v/>
      </c>
      <c r="S1222" s="82" t="str">
        <f t="shared" si="39"/>
        <v/>
      </c>
    </row>
    <row r="1223" spans="18:19" x14ac:dyDescent="0.25">
      <c r="R1223" s="8" t="str">
        <f t="shared" si="38"/>
        <v/>
      </c>
      <c r="S1223" s="82" t="str">
        <f t="shared" si="39"/>
        <v/>
      </c>
    </row>
    <row r="1224" spans="18:19" x14ac:dyDescent="0.25">
      <c r="R1224" s="8" t="str">
        <f t="shared" ref="R1224:R1287" si="40">IF(A1224="",(""),(MONTH(A1224)))</f>
        <v/>
      </c>
      <c r="S1224" s="82" t="str">
        <f t="shared" si="39"/>
        <v/>
      </c>
    </row>
    <row r="1225" spans="18:19" x14ac:dyDescent="0.25">
      <c r="R1225" s="8" t="str">
        <f t="shared" si="40"/>
        <v/>
      </c>
      <c r="S1225" s="82" t="str">
        <f t="shared" si="39"/>
        <v/>
      </c>
    </row>
    <row r="1226" spans="18:19" x14ac:dyDescent="0.25">
      <c r="R1226" s="8" t="str">
        <f t="shared" si="40"/>
        <v/>
      </c>
      <c r="S1226" s="82" t="str">
        <f t="shared" si="39"/>
        <v/>
      </c>
    </row>
    <row r="1227" spans="18:19" x14ac:dyDescent="0.25">
      <c r="R1227" s="8" t="str">
        <f t="shared" si="40"/>
        <v/>
      </c>
      <c r="S1227" s="82" t="str">
        <f t="shared" si="39"/>
        <v/>
      </c>
    </row>
    <row r="1228" spans="18:19" x14ac:dyDescent="0.25">
      <c r="R1228" s="8" t="str">
        <f t="shared" si="40"/>
        <v/>
      </c>
      <c r="S1228" s="82" t="str">
        <f t="shared" si="39"/>
        <v/>
      </c>
    </row>
    <row r="1229" spans="18:19" x14ac:dyDescent="0.25">
      <c r="R1229" s="8" t="str">
        <f t="shared" si="40"/>
        <v/>
      </c>
      <c r="S1229" s="82" t="str">
        <f t="shared" si="39"/>
        <v/>
      </c>
    </row>
    <row r="1230" spans="18:19" x14ac:dyDescent="0.25">
      <c r="R1230" s="8" t="str">
        <f t="shared" si="40"/>
        <v/>
      </c>
      <c r="S1230" s="82" t="str">
        <f t="shared" si="39"/>
        <v/>
      </c>
    </row>
    <row r="1231" spans="18:19" x14ac:dyDescent="0.25">
      <c r="R1231" s="8" t="str">
        <f t="shared" si="40"/>
        <v/>
      </c>
      <c r="S1231" s="82" t="str">
        <f t="shared" si="39"/>
        <v/>
      </c>
    </row>
    <row r="1232" spans="18:19" x14ac:dyDescent="0.25">
      <c r="R1232" s="8" t="str">
        <f t="shared" si="40"/>
        <v/>
      </c>
      <c r="S1232" s="82" t="str">
        <f t="shared" si="39"/>
        <v/>
      </c>
    </row>
    <row r="1233" spans="18:19" x14ac:dyDescent="0.25">
      <c r="R1233" s="8" t="str">
        <f t="shared" si="40"/>
        <v/>
      </c>
      <c r="S1233" s="82" t="str">
        <f t="shared" si="39"/>
        <v/>
      </c>
    </row>
    <row r="1234" spans="18:19" x14ac:dyDescent="0.25">
      <c r="R1234" s="8" t="str">
        <f t="shared" si="40"/>
        <v/>
      </c>
      <c r="S1234" s="82" t="str">
        <f t="shared" si="39"/>
        <v/>
      </c>
    </row>
    <row r="1235" spans="18:19" x14ac:dyDescent="0.25">
      <c r="R1235" s="8" t="str">
        <f t="shared" si="40"/>
        <v/>
      </c>
      <c r="S1235" s="82" t="str">
        <f t="shared" si="39"/>
        <v/>
      </c>
    </row>
    <row r="1236" spans="18:19" x14ac:dyDescent="0.25">
      <c r="R1236" s="8" t="str">
        <f t="shared" si="40"/>
        <v/>
      </c>
      <c r="S1236" s="82" t="str">
        <f t="shared" si="39"/>
        <v/>
      </c>
    </row>
    <row r="1237" spans="18:19" x14ac:dyDescent="0.25">
      <c r="R1237" s="8" t="str">
        <f t="shared" si="40"/>
        <v/>
      </c>
      <c r="S1237" s="82" t="str">
        <f t="shared" si="39"/>
        <v/>
      </c>
    </row>
    <row r="1238" spans="18:19" x14ac:dyDescent="0.25">
      <c r="R1238" s="8" t="str">
        <f t="shared" si="40"/>
        <v/>
      </c>
      <c r="S1238" s="82" t="str">
        <f t="shared" ref="S1238:S1301" si="41">IF(O1238&gt;0,(Q1238-O1238),(IF(K1238="USD",(Q1238*J1238),((IF(B1238="",(""),(SUMIF(B1238,"11 - Factura C",(Q1238))-SUMIF(B1238,"13 - Nota de Crédito C",(Q1238))+SUMIF(B1238,"15 - Recibo C",(Q1238))+SUMIF(B1238,"109 - Tique C",(Q1238)))))))))</f>
        <v/>
      </c>
    </row>
    <row r="1239" spans="18:19" x14ac:dyDescent="0.25">
      <c r="R1239" s="8" t="str">
        <f t="shared" si="40"/>
        <v/>
      </c>
      <c r="S1239" s="82" t="str">
        <f t="shared" si="41"/>
        <v/>
      </c>
    </row>
    <row r="1240" spans="18:19" x14ac:dyDescent="0.25">
      <c r="R1240" s="8" t="str">
        <f t="shared" si="40"/>
        <v/>
      </c>
      <c r="S1240" s="82" t="str">
        <f t="shared" si="41"/>
        <v/>
      </c>
    </row>
    <row r="1241" spans="18:19" x14ac:dyDescent="0.25">
      <c r="R1241" s="8" t="str">
        <f t="shared" si="40"/>
        <v/>
      </c>
      <c r="S1241" s="82" t="str">
        <f t="shared" si="41"/>
        <v/>
      </c>
    </row>
    <row r="1242" spans="18:19" x14ac:dyDescent="0.25">
      <c r="R1242" s="8" t="str">
        <f t="shared" si="40"/>
        <v/>
      </c>
      <c r="S1242" s="82" t="str">
        <f t="shared" si="41"/>
        <v/>
      </c>
    </row>
    <row r="1243" spans="18:19" x14ac:dyDescent="0.25">
      <c r="R1243" s="8" t="str">
        <f t="shared" si="40"/>
        <v/>
      </c>
      <c r="S1243" s="82" t="str">
        <f t="shared" si="41"/>
        <v/>
      </c>
    </row>
    <row r="1244" spans="18:19" x14ac:dyDescent="0.25">
      <c r="R1244" s="8" t="str">
        <f t="shared" si="40"/>
        <v/>
      </c>
      <c r="S1244" s="82" t="str">
        <f t="shared" si="41"/>
        <v/>
      </c>
    </row>
    <row r="1245" spans="18:19" x14ac:dyDescent="0.25">
      <c r="R1245" s="8" t="str">
        <f t="shared" si="40"/>
        <v/>
      </c>
      <c r="S1245" s="82" t="str">
        <f t="shared" si="41"/>
        <v/>
      </c>
    </row>
    <row r="1246" spans="18:19" x14ac:dyDescent="0.25">
      <c r="R1246" s="8" t="str">
        <f t="shared" si="40"/>
        <v/>
      </c>
      <c r="S1246" s="82" t="str">
        <f t="shared" si="41"/>
        <v/>
      </c>
    </row>
    <row r="1247" spans="18:19" x14ac:dyDescent="0.25">
      <c r="R1247" s="8" t="str">
        <f t="shared" si="40"/>
        <v/>
      </c>
      <c r="S1247" s="82" t="str">
        <f t="shared" si="41"/>
        <v/>
      </c>
    </row>
    <row r="1248" spans="18:19" x14ac:dyDescent="0.25">
      <c r="R1248" s="8" t="str">
        <f t="shared" si="40"/>
        <v/>
      </c>
      <c r="S1248" s="82" t="str">
        <f t="shared" si="41"/>
        <v/>
      </c>
    </row>
    <row r="1249" spans="18:19" x14ac:dyDescent="0.25">
      <c r="R1249" s="8" t="str">
        <f t="shared" si="40"/>
        <v/>
      </c>
      <c r="S1249" s="82" t="str">
        <f t="shared" si="41"/>
        <v/>
      </c>
    </row>
    <row r="1250" spans="18:19" x14ac:dyDescent="0.25">
      <c r="R1250" s="8" t="str">
        <f t="shared" si="40"/>
        <v/>
      </c>
      <c r="S1250" s="82" t="str">
        <f t="shared" si="41"/>
        <v/>
      </c>
    </row>
    <row r="1251" spans="18:19" x14ac:dyDescent="0.25">
      <c r="R1251" s="8" t="str">
        <f t="shared" si="40"/>
        <v/>
      </c>
      <c r="S1251" s="82" t="str">
        <f t="shared" si="41"/>
        <v/>
      </c>
    </row>
    <row r="1252" spans="18:19" x14ac:dyDescent="0.25">
      <c r="R1252" s="8" t="str">
        <f t="shared" si="40"/>
        <v/>
      </c>
      <c r="S1252" s="82" t="str">
        <f t="shared" si="41"/>
        <v/>
      </c>
    </row>
    <row r="1253" spans="18:19" x14ac:dyDescent="0.25">
      <c r="R1253" s="8" t="str">
        <f t="shared" si="40"/>
        <v/>
      </c>
      <c r="S1253" s="82" t="str">
        <f t="shared" si="41"/>
        <v/>
      </c>
    </row>
    <row r="1254" spans="18:19" x14ac:dyDescent="0.25">
      <c r="R1254" s="8" t="str">
        <f t="shared" si="40"/>
        <v/>
      </c>
      <c r="S1254" s="82" t="str">
        <f t="shared" si="41"/>
        <v/>
      </c>
    </row>
    <row r="1255" spans="18:19" x14ac:dyDescent="0.25">
      <c r="R1255" s="8" t="str">
        <f t="shared" si="40"/>
        <v/>
      </c>
      <c r="S1255" s="82" t="str">
        <f t="shared" si="41"/>
        <v/>
      </c>
    </row>
    <row r="1256" spans="18:19" x14ac:dyDescent="0.25">
      <c r="R1256" s="8" t="str">
        <f t="shared" si="40"/>
        <v/>
      </c>
      <c r="S1256" s="82" t="str">
        <f t="shared" si="41"/>
        <v/>
      </c>
    </row>
    <row r="1257" spans="18:19" x14ac:dyDescent="0.25">
      <c r="R1257" s="8" t="str">
        <f t="shared" si="40"/>
        <v/>
      </c>
      <c r="S1257" s="82" t="str">
        <f t="shared" si="41"/>
        <v/>
      </c>
    </row>
    <row r="1258" spans="18:19" x14ac:dyDescent="0.25">
      <c r="R1258" s="8" t="str">
        <f t="shared" si="40"/>
        <v/>
      </c>
      <c r="S1258" s="82" t="str">
        <f t="shared" si="41"/>
        <v/>
      </c>
    </row>
    <row r="1259" spans="18:19" x14ac:dyDescent="0.25">
      <c r="R1259" s="8" t="str">
        <f t="shared" si="40"/>
        <v/>
      </c>
      <c r="S1259" s="82" t="str">
        <f t="shared" si="41"/>
        <v/>
      </c>
    </row>
    <row r="1260" spans="18:19" x14ac:dyDescent="0.25">
      <c r="R1260" s="8" t="str">
        <f t="shared" si="40"/>
        <v/>
      </c>
      <c r="S1260" s="82" t="str">
        <f t="shared" si="41"/>
        <v/>
      </c>
    </row>
    <row r="1261" spans="18:19" x14ac:dyDescent="0.25">
      <c r="R1261" s="8" t="str">
        <f t="shared" si="40"/>
        <v/>
      </c>
      <c r="S1261" s="82" t="str">
        <f t="shared" si="41"/>
        <v/>
      </c>
    </row>
    <row r="1262" spans="18:19" x14ac:dyDescent="0.25">
      <c r="R1262" s="8" t="str">
        <f t="shared" si="40"/>
        <v/>
      </c>
      <c r="S1262" s="82" t="str">
        <f t="shared" si="41"/>
        <v/>
      </c>
    </row>
    <row r="1263" spans="18:19" x14ac:dyDescent="0.25">
      <c r="R1263" s="8" t="str">
        <f t="shared" si="40"/>
        <v/>
      </c>
      <c r="S1263" s="82" t="str">
        <f t="shared" si="41"/>
        <v/>
      </c>
    </row>
    <row r="1264" spans="18:19" x14ac:dyDescent="0.25">
      <c r="R1264" s="8" t="str">
        <f t="shared" si="40"/>
        <v/>
      </c>
      <c r="S1264" s="82" t="str">
        <f t="shared" si="41"/>
        <v/>
      </c>
    </row>
    <row r="1265" spans="18:19" x14ac:dyDescent="0.25">
      <c r="R1265" s="8" t="str">
        <f t="shared" si="40"/>
        <v/>
      </c>
      <c r="S1265" s="82" t="str">
        <f t="shared" si="41"/>
        <v/>
      </c>
    </row>
    <row r="1266" spans="18:19" x14ac:dyDescent="0.25">
      <c r="R1266" s="8" t="str">
        <f t="shared" si="40"/>
        <v/>
      </c>
      <c r="S1266" s="82" t="str">
        <f t="shared" si="41"/>
        <v/>
      </c>
    </row>
    <row r="1267" spans="18:19" x14ac:dyDescent="0.25">
      <c r="R1267" s="8" t="str">
        <f t="shared" si="40"/>
        <v/>
      </c>
      <c r="S1267" s="82" t="str">
        <f t="shared" si="41"/>
        <v/>
      </c>
    </row>
    <row r="1268" spans="18:19" x14ac:dyDescent="0.25">
      <c r="R1268" s="8" t="str">
        <f t="shared" si="40"/>
        <v/>
      </c>
      <c r="S1268" s="82" t="str">
        <f t="shared" si="41"/>
        <v/>
      </c>
    </row>
    <row r="1269" spans="18:19" x14ac:dyDescent="0.25">
      <c r="R1269" s="8" t="str">
        <f t="shared" si="40"/>
        <v/>
      </c>
      <c r="S1269" s="82" t="str">
        <f t="shared" si="41"/>
        <v/>
      </c>
    </row>
    <row r="1270" spans="18:19" x14ac:dyDescent="0.25">
      <c r="R1270" s="8" t="str">
        <f t="shared" si="40"/>
        <v/>
      </c>
      <c r="S1270" s="82" t="str">
        <f t="shared" si="41"/>
        <v/>
      </c>
    </row>
    <row r="1271" spans="18:19" x14ac:dyDescent="0.25">
      <c r="R1271" s="8" t="str">
        <f t="shared" si="40"/>
        <v/>
      </c>
      <c r="S1271" s="82" t="str">
        <f t="shared" si="41"/>
        <v/>
      </c>
    </row>
    <row r="1272" spans="18:19" x14ac:dyDescent="0.25">
      <c r="R1272" s="8" t="str">
        <f t="shared" si="40"/>
        <v/>
      </c>
      <c r="S1272" s="82" t="str">
        <f t="shared" si="41"/>
        <v/>
      </c>
    </row>
    <row r="1273" spans="18:19" x14ac:dyDescent="0.25">
      <c r="R1273" s="8" t="str">
        <f t="shared" si="40"/>
        <v/>
      </c>
      <c r="S1273" s="82" t="str">
        <f t="shared" si="41"/>
        <v/>
      </c>
    </row>
    <row r="1274" spans="18:19" x14ac:dyDescent="0.25">
      <c r="R1274" s="8" t="str">
        <f t="shared" si="40"/>
        <v/>
      </c>
      <c r="S1274" s="82" t="str">
        <f t="shared" si="41"/>
        <v/>
      </c>
    </row>
    <row r="1275" spans="18:19" x14ac:dyDescent="0.25">
      <c r="R1275" s="8" t="str">
        <f t="shared" si="40"/>
        <v/>
      </c>
      <c r="S1275" s="82" t="str">
        <f t="shared" si="41"/>
        <v/>
      </c>
    </row>
    <row r="1276" spans="18:19" x14ac:dyDescent="0.25">
      <c r="R1276" s="8" t="str">
        <f t="shared" si="40"/>
        <v/>
      </c>
      <c r="S1276" s="82" t="str">
        <f t="shared" si="41"/>
        <v/>
      </c>
    </row>
    <row r="1277" spans="18:19" x14ac:dyDescent="0.25">
      <c r="R1277" s="8" t="str">
        <f t="shared" si="40"/>
        <v/>
      </c>
      <c r="S1277" s="82" t="str">
        <f t="shared" si="41"/>
        <v/>
      </c>
    </row>
    <row r="1278" spans="18:19" x14ac:dyDescent="0.25">
      <c r="R1278" s="8" t="str">
        <f t="shared" si="40"/>
        <v/>
      </c>
      <c r="S1278" s="82" t="str">
        <f t="shared" si="41"/>
        <v/>
      </c>
    </row>
    <row r="1279" spans="18:19" x14ac:dyDescent="0.25">
      <c r="R1279" s="8" t="str">
        <f t="shared" si="40"/>
        <v/>
      </c>
      <c r="S1279" s="82" t="str">
        <f t="shared" si="41"/>
        <v/>
      </c>
    </row>
    <row r="1280" spans="18:19" x14ac:dyDescent="0.25">
      <c r="R1280" s="8" t="str">
        <f t="shared" si="40"/>
        <v/>
      </c>
      <c r="S1280" s="82" t="str">
        <f t="shared" si="41"/>
        <v/>
      </c>
    </row>
    <row r="1281" spans="18:19" x14ac:dyDescent="0.25">
      <c r="R1281" s="8" t="str">
        <f t="shared" si="40"/>
        <v/>
      </c>
      <c r="S1281" s="82" t="str">
        <f t="shared" si="41"/>
        <v/>
      </c>
    </row>
    <row r="1282" spans="18:19" x14ac:dyDescent="0.25">
      <c r="R1282" s="8" t="str">
        <f t="shared" si="40"/>
        <v/>
      </c>
      <c r="S1282" s="82" t="str">
        <f t="shared" si="41"/>
        <v/>
      </c>
    </row>
    <row r="1283" spans="18:19" x14ac:dyDescent="0.25">
      <c r="R1283" s="8" t="str">
        <f t="shared" si="40"/>
        <v/>
      </c>
      <c r="S1283" s="82" t="str">
        <f t="shared" si="41"/>
        <v/>
      </c>
    </row>
    <row r="1284" spans="18:19" x14ac:dyDescent="0.25">
      <c r="R1284" s="8" t="str">
        <f t="shared" si="40"/>
        <v/>
      </c>
      <c r="S1284" s="82" t="str">
        <f t="shared" si="41"/>
        <v/>
      </c>
    </row>
    <row r="1285" spans="18:19" x14ac:dyDescent="0.25">
      <c r="R1285" s="8" t="str">
        <f t="shared" si="40"/>
        <v/>
      </c>
      <c r="S1285" s="82" t="str">
        <f t="shared" si="41"/>
        <v/>
      </c>
    </row>
    <row r="1286" spans="18:19" x14ac:dyDescent="0.25">
      <c r="R1286" s="8" t="str">
        <f t="shared" si="40"/>
        <v/>
      </c>
      <c r="S1286" s="82" t="str">
        <f t="shared" si="41"/>
        <v/>
      </c>
    </row>
    <row r="1287" spans="18:19" x14ac:dyDescent="0.25">
      <c r="R1287" s="8" t="str">
        <f t="shared" si="40"/>
        <v/>
      </c>
      <c r="S1287" s="82" t="str">
        <f t="shared" si="41"/>
        <v/>
      </c>
    </row>
    <row r="1288" spans="18:19" x14ac:dyDescent="0.25">
      <c r="R1288" s="8" t="str">
        <f t="shared" ref="R1288:R1351" si="42">IF(A1288="",(""),(MONTH(A1288)))</f>
        <v/>
      </c>
      <c r="S1288" s="82" t="str">
        <f t="shared" si="41"/>
        <v/>
      </c>
    </row>
    <row r="1289" spans="18:19" x14ac:dyDescent="0.25">
      <c r="R1289" s="8" t="str">
        <f t="shared" si="42"/>
        <v/>
      </c>
      <c r="S1289" s="82" t="str">
        <f t="shared" si="41"/>
        <v/>
      </c>
    </row>
    <row r="1290" spans="18:19" x14ac:dyDescent="0.25">
      <c r="R1290" s="8" t="str">
        <f t="shared" si="42"/>
        <v/>
      </c>
      <c r="S1290" s="82" t="str">
        <f t="shared" si="41"/>
        <v/>
      </c>
    </row>
    <row r="1291" spans="18:19" x14ac:dyDescent="0.25">
      <c r="R1291" s="8" t="str">
        <f t="shared" si="42"/>
        <v/>
      </c>
      <c r="S1291" s="82" t="str">
        <f t="shared" si="41"/>
        <v/>
      </c>
    </row>
    <row r="1292" spans="18:19" x14ac:dyDescent="0.25">
      <c r="R1292" s="8" t="str">
        <f t="shared" si="42"/>
        <v/>
      </c>
      <c r="S1292" s="82" t="str">
        <f t="shared" si="41"/>
        <v/>
      </c>
    </row>
    <row r="1293" spans="18:19" x14ac:dyDescent="0.25">
      <c r="R1293" s="8" t="str">
        <f t="shared" si="42"/>
        <v/>
      </c>
      <c r="S1293" s="82" t="str">
        <f t="shared" si="41"/>
        <v/>
      </c>
    </row>
    <row r="1294" spans="18:19" x14ac:dyDescent="0.25">
      <c r="R1294" s="8" t="str">
        <f t="shared" si="42"/>
        <v/>
      </c>
      <c r="S1294" s="82" t="str">
        <f t="shared" si="41"/>
        <v/>
      </c>
    </row>
    <row r="1295" spans="18:19" x14ac:dyDescent="0.25">
      <c r="R1295" s="8" t="str">
        <f t="shared" si="42"/>
        <v/>
      </c>
      <c r="S1295" s="82" t="str">
        <f t="shared" si="41"/>
        <v/>
      </c>
    </row>
    <row r="1296" spans="18:19" x14ac:dyDescent="0.25">
      <c r="R1296" s="8" t="str">
        <f t="shared" si="42"/>
        <v/>
      </c>
      <c r="S1296" s="82" t="str">
        <f t="shared" si="41"/>
        <v/>
      </c>
    </row>
    <row r="1297" spans="18:19" x14ac:dyDescent="0.25">
      <c r="R1297" s="8" t="str">
        <f t="shared" si="42"/>
        <v/>
      </c>
      <c r="S1297" s="82" t="str">
        <f t="shared" si="41"/>
        <v/>
      </c>
    </row>
    <row r="1298" spans="18:19" x14ac:dyDescent="0.25">
      <c r="R1298" s="8" t="str">
        <f t="shared" si="42"/>
        <v/>
      </c>
      <c r="S1298" s="82" t="str">
        <f t="shared" si="41"/>
        <v/>
      </c>
    </row>
    <row r="1299" spans="18:19" x14ac:dyDescent="0.25">
      <c r="R1299" s="8" t="str">
        <f t="shared" si="42"/>
        <v/>
      </c>
      <c r="S1299" s="82" t="str">
        <f t="shared" si="41"/>
        <v/>
      </c>
    </row>
    <row r="1300" spans="18:19" x14ac:dyDescent="0.25">
      <c r="R1300" s="8" t="str">
        <f t="shared" si="42"/>
        <v/>
      </c>
      <c r="S1300" s="82" t="str">
        <f t="shared" si="41"/>
        <v/>
      </c>
    </row>
    <row r="1301" spans="18:19" x14ac:dyDescent="0.25">
      <c r="R1301" s="8" t="str">
        <f t="shared" si="42"/>
        <v/>
      </c>
      <c r="S1301" s="82" t="str">
        <f t="shared" si="41"/>
        <v/>
      </c>
    </row>
    <row r="1302" spans="18:19" x14ac:dyDescent="0.25">
      <c r="R1302" s="8" t="str">
        <f t="shared" si="42"/>
        <v/>
      </c>
      <c r="S1302" s="82" t="str">
        <f t="shared" ref="S1302:S1365" si="43">IF(O1302&gt;0,(Q1302-O1302),(IF(K1302="USD",(Q1302*J1302),((IF(B1302="",(""),(SUMIF(B1302,"11 - Factura C",(Q1302))-SUMIF(B1302,"13 - Nota de Crédito C",(Q1302))+SUMIF(B1302,"15 - Recibo C",(Q1302))+SUMIF(B1302,"109 - Tique C",(Q1302)))))))))</f>
        <v/>
      </c>
    </row>
    <row r="1303" spans="18:19" x14ac:dyDescent="0.25">
      <c r="R1303" s="8" t="str">
        <f t="shared" si="42"/>
        <v/>
      </c>
      <c r="S1303" s="82" t="str">
        <f t="shared" si="43"/>
        <v/>
      </c>
    </row>
    <row r="1304" spans="18:19" x14ac:dyDescent="0.25">
      <c r="R1304" s="8" t="str">
        <f t="shared" si="42"/>
        <v/>
      </c>
      <c r="S1304" s="82" t="str">
        <f t="shared" si="43"/>
        <v/>
      </c>
    </row>
    <row r="1305" spans="18:19" x14ac:dyDescent="0.25">
      <c r="R1305" s="8" t="str">
        <f t="shared" si="42"/>
        <v/>
      </c>
      <c r="S1305" s="82" t="str">
        <f t="shared" si="43"/>
        <v/>
      </c>
    </row>
    <row r="1306" spans="18:19" x14ac:dyDescent="0.25">
      <c r="R1306" s="8" t="str">
        <f t="shared" si="42"/>
        <v/>
      </c>
      <c r="S1306" s="82" t="str">
        <f t="shared" si="43"/>
        <v/>
      </c>
    </row>
    <row r="1307" spans="18:19" x14ac:dyDescent="0.25">
      <c r="R1307" s="8" t="str">
        <f t="shared" si="42"/>
        <v/>
      </c>
      <c r="S1307" s="82" t="str">
        <f t="shared" si="43"/>
        <v/>
      </c>
    </row>
    <row r="1308" spans="18:19" x14ac:dyDescent="0.25">
      <c r="R1308" s="8" t="str">
        <f t="shared" si="42"/>
        <v/>
      </c>
      <c r="S1308" s="82" t="str">
        <f t="shared" si="43"/>
        <v/>
      </c>
    </row>
    <row r="1309" spans="18:19" x14ac:dyDescent="0.25">
      <c r="R1309" s="8" t="str">
        <f t="shared" si="42"/>
        <v/>
      </c>
      <c r="S1309" s="82" t="str">
        <f t="shared" si="43"/>
        <v/>
      </c>
    </row>
    <row r="1310" spans="18:19" x14ac:dyDescent="0.25">
      <c r="R1310" s="8" t="str">
        <f t="shared" si="42"/>
        <v/>
      </c>
      <c r="S1310" s="82" t="str">
        <f t="shared" si="43"/>
        <v/>
      </c>
    </row>
    <row r="1311" spans="18:19" x14ac:dyDescent="0.25">
      <c r="R1311" s="8" t="str">
        <f t="shared" si="42"/>
        <v/>
      </c>
      <c r="S1311" s="82" t="str">
        <f t="shared" si="43"/>
        <v/>
      </c>
    </row>
    <row r="1312" spans="18:19" x14ac:dyDescent="0.25">
      <c r="R1312" s="8" t="str">
        <f t="shared" si="42"/>
        <v/>
      </c>
      <c r="S1312" s="82" t="str">
        <f t="shared" si="43"/>
        <v/>
      </c>
    </row>
    <row r="1313" spans="18:19" x14ac:dyDescent="0.25">
      <c r="R1313" s="8" t="str">
        <f t="shared" si="42"/>
        <v/>
      </c>
      <c r="S1313" s="82" t="str">
        <f t="shared" si="43"/>
        <v/>
      </c>
    </row>
    <row r="1314" spans="18:19" x14ac:dyDescent="0.25">
      <c r="R1314" s="8" t="str">
        <f t="shared" si="42"/>
        <v/>
      </c>
      <c r="S1314" s="82" t="str">
        <f t="shared" si="43"/>
        <v/>
      </c>
    </row>
    <row r="1315" spans="18:19" x14ac:dyDescent="0.25">
      <c r="R1315" s="8" t="str">
        <f t="shared" si="42"/>
        <v/>
      </c>
      <c r="S1315" s="82" t="str">
        <f t="shared" si="43"/>
        <v/>
      </c>
    </row>
    <row r="1316" spans="18:19" x14ac:dyDescent="0.25">
      <c r="R1316" s="8" t="str">
        <f t="shared" si="42"/>
        <v/>
      </c>
      <c r="S1316" s="82" t="str">
        <f t="shared" si="43"/>
        <v/>
      </c>
    </row>
    <row r="1317" spans="18:19" x14ac:dyDescent="0.25">
      <c r="R1317" s="8" t="str">
        <f t="shared" si="42"/>
        <v/>
      </c>
      <c r="S1317" s="82" t="str">
        <f t="shared" si="43"/>
        <v/>
      </c>
    </row>
    <row r="1318" spans="18:19" x14ac:dyDescent="0.25">
      <c r="R1318" s="8" t="str">
        <f t="shared" si="42"/>
        <v/>
      </c>
      <c r="S1318" s="82" t="str">
        <f t="shared" si="43"/>
        <v/>
      </c>
    </row>
    <row r="1319" spans="18:19" x14ac:dyDescent="0.25">
      <c r="R1319" s="8" t="str">
        <f t="shared" si="42"/>
        <v/>
      </c>
      <c r="S1319" s="82" t="str">
        <f t="shared" si="43"/>
        <v/>
      </c>
    </row>
    <row r="1320" spans="18:19" x14ac:dyDescent="0.25">
      <c r="R1320" s="8" t="str">
        <f t="shared" si="42"/>
        <v/>
      </c>
      <c r="S1320" s="82" t="str">
        <f t="shared" si="43"/>
        <v/>
      </c>
    </row>
    <row r="1321" spans="18:19" x14ac:dyDescent="0.25">
      <c r="R1321" s="8" t="str">
        <f t="shared" si="42"/>
        <v/>
      </c>
      <c r="S1321" s="82" t="str">
        <f t="shared" si="43"/>
        <v/>
      </c>
    </row>
    <row r="1322" spans="18:19" x14ac:dyDescent="0.25">
      <c r="R1322" s="8" t="str">
        <f t="shared" si="42"/>
        <v/>
      </c>
      <c r="S1322" s="82" t="str">
        <f t="shared" si="43"/>
        <v/>
      </c>
    </row>
    <row r="1323" spans="18:19" x14ac:dyDescent="0.25">
      <c r="R1323" s="8" t="str">
        <f t="shared" si="42"/>
        <v/>
      </c>
      <c r="S1323" s="82" t="str">
        <f t="shared" si="43"/>
        <v/>
      </c>
    </row>
    <row r="1324" spans="18:19" x14ac:dyDescent="0.25">
      <c r="R1324" s="8" t="str">
        <f t="shared" si="42"/>
        <v/>
      </c>
      <c r="S1324" s="82" t="str">
        <f t="shared" si="43"/>
        <v/>
      </c>
    </row>
    <row r="1325" spans="18:19" x14ac:dyDescent="0.25">
      <c r="R1325" s="8" t="str">
        <f t="shared" si="42"/>
        <v/>
      </c>
      <c r="S1325" s="82" t="str">
        <f t="shared" si="43"/>
        <v/>
      </c>
    </row>
    <row r="1326" spans="18:19" x14ac:dyDescent="0.25">
      <c r="R1326" s="8" t="str">
        <f t="shared" si="42"/>
        <v/>
      </c>
      <c r="S1326" s="82" t="str">
        <f t="shared" si="43"/>
        <v/>
      </c>
    </row>
    <row r="1327" spans="18:19" x14ac:dyDescent="0.25">
      <c r="R1327" s="8" t="str">
        <f t="shared" si="42"/>
        <v/>
      </c>
      <c r="S1327" s="82" t="str">
        <f t="shared" si="43"/>
        <v/>
      </c>
    </row>
    <row r="1328" spans="18:19" x14ac:dyDescent="0.25">
      <c r="R1328" s="8" t="str">
        <f t="shared" si="42"/>
        <v/>
      </c>
      <c r="S1328" s="82" t="str">
        <f t="shared" si="43"/>
        <v/>
      </c>
    </row>
    <row r="1329" spans="18:19" x14ac:dyDescent="0.25">
      <c r="R1329" s="8" t="str">
        <f t="shared" si="42"/>
        <v/>
      </c>
      <c r="S1329" s="82" t="str">
        <f t="shared" si="43"/>
        <v/>
      </c>
    </row>
    <row r="1330" spans="18:19" x14ac:dyDescent="0.25">
      <c r="R1330" s="8" t="str">
        <f t="shared" si="42"/>
        <v/>
      </c>
      <c r="S1330" s="82" t="str">
        <f t="shared" si="43"/>
        <v/>
      </c>
    </row>
    <row r="1331" spans="18:19" x14ac:dyDescent="0.25">
      <c r="R1331" s="8" t="str">
        <f t="shared" si="42"/>
        <v/>
      </c>
      <c r="S1331" s="82" t="str">
        <f t="shared" si="43"/>
        <v/>
      </c>
    </row>
    <row r="1332" spans="18:19" x14ac:dyDescent="0.25">
      <c r="R1332" s="8" t="str">
        <f t="shared" si="42"/>
        <v/>
      </c>
      <c r="S1332" s="82" t="str">
        <f t="shared" si="43"/>
        <v/>
      </c>
    </row>
    <row r="1333" spans="18:19" x14ac:dyDescent="0.25">
      <c r="R1333" s="8" t="str">
        <f t="shared" si="42"/>
        <v/>
      </c>
      <c r="S1333" s="82" t="str">
        <f t="shared" si="43"/>
        <v/>
      </c>
    </row>
    <row r="1334" spans="18:19" x14ac:dyDescent="0.25">
      <c r="R1334" s="8" t="str">
        <f t="shared" si="42"/>
        <v/>
      </c>
      <c r="S1334" s="82" t="str">
        <f t="shared" si="43"/>
        <v/>
      </c>
    </row>
    <row r="1335" spans="18:19" x14ac:dyDescent="0.25">
      <c r="R1335" s="8" t="str">
        <f t="shared" si="42"/>
        <v/>
      </c>
      <c r="S1335" s="82" t="str">
        <f t="shared" si="43"/>
        <v/>
      </c>
    </row>
    <row r="1336" spans="18:19" x14ac:dyDescent="0.25">
      <c r="R1336" s="8" t="str">
        <f t="shared" si="42"/>
        <v/>
      </c>
      <c r="S1336" s="82" t="str">
        <f t="shared" si="43"/>
        <v/>
      </c>
    </row>
    <row r="1337" spans="18:19" x14ac:dyDescent="0.25">
      <c r="R1337" s="8" t="str">
        <f t="shared" si="42"/>
        <v/>
      </c>
      <c r="S1337" s="82" t="str">
        <f t="shared" si="43"/>
        <v/>
      </c>
    </row>
    <row r="1338" spans="18:19" x14ac:dyDescent="0.25">
      <c r="R1338" s="8" t="str">
        <f t="shared" si="42"/>
        <v/>
      </c>
      <c r="S1338" s="82" t="str">
        <f t="shared" si="43"/>
        <v/>
      </c>
    </row>
    <row r="1339" spans="18:19" x14ac:dyDescent="0.25">
      <c r="R1339" s="8" t="str">
        <f t="shared" si="42"/>
        <v/>
      </c>
      <c r="S1339" s="82" t="str">
        <f t="shared" si="43"/>
        <v/>
      </c>
    </row>
    <row r="1340" spans="18:19" x14ac:dyDescent="0.25">
      <c r="R1340" s="8" t="str">
        <f t="shared" si="42"/>
        <v/>
      </c>
      <c r="S1340" s="82" t="str">
        <f t="shared" si="43"/>
        <v/>
      </c>
    </row>
    <row r="1341" spans="18:19" x14ac:dyDescent="0.25">
      <c r="R1341" s="8" t="str">
        <f t="shared" si="42"/>
        <v/>
      </c>
      <c r="S1341" s="82" t="str">
        <f t="shared" si="43"/>
        <v/>
      </c>
    </row>
    <row r="1342" spans="18:19" x14ac:dyDescent="0.25">
      <c r="R1342" s="8" t="str">
        <f t="shared" si="42"/>
        <v/>
      </c>
      <c r="S1342" s="82" t="str">
        <f t="shared" si="43"/>
        <v/>
      </c>
    </row>
    <row r="1343" spans="18:19" x14ac:dyDescent="0.25">
      <c r="R1343" s="8" t="str">
        <f t="shared" si="42"/>
        <v/>
      </c>
      <c r="S1343" s="82" t="str">
        <f t="shared" si="43"/>
        <v/>
      </c>
    </row>
    <row r="1344" spans="18:19" x14ac:dyDescent="0.25">
      <c r="R1344" s="8" t="str">
        <f t="shared" si="42"/>
        <v/>
      </c>
      <c r="S1344" s="82" t="str">
        <f t="shared" si="43"/>
        <v/>
      </c>
    </row>
    <row r="1345" spans="18:19" x14ac:dyDescent="0.25">
      <c r="R1345" s="8" t="str">
        <f t="shared" si="42"/>
        <v/>
      </c>
      <c r="S1345" s="82" t="str">
        <f t="shared" si="43"/>
        <v/>
      </c>
    </row>
    <row r="1346" spans="18:19" x14ac:dyDescent="0.25">
      <c r="R1346" s="8" t="str">
        <f t="shared" si="42"/>
        <v/>
      </c>
      <c r="S1346" s="82" t="str">
        <f t="shared" si="43"/>
        <v/>
      </c>
    </row>
    <row r="1347" spans="18:19" x14ac:dyDescent="0.25">
      <c r="R1347" s="8" t="str">
        <f t="shared" si="42"/>
        <v/>
      </c>
      <c r="S1347" s="82" t="str">
        <f t="shared" si="43"/>
        <v/>
      </c>
    </row>
    <row r="1348" spans="18:19" x14ac:dyDescent="0.25">
      <c r="R1348" s="8" t="str">
        <f t="shared" si="42"/>
        <v/>
      </c>
      <c r="S1348" s="82" t="str">
        <f t="shared" si="43"/>
        <v/>
      </c>
    </row>
    <row r="1349" spans="18:19" x14ac:dyDescent="0.25">
      <c r="R1349" s="8" t="str">
        <f t="shared" si="42"/>
        <v/>
      </c>
      <c r="S1349" s="82" t="str">
        <f t="shared" si="43"/>
        <v/>
      </c>
    </row>
    <row r="1350" spans="18:19" x14ac:dyDescent="0.25">
      <c r="R1350" s="8" t="str">
        <f t="shared" si="42"/>
        <v/>
      </c>
      <c r="S1350" s="82" t="str">
        <f t="shared" si="43"/>
        <v/>
      </c>
    </row>
    <row r="1351" spans="18:19" x14ac:dyDescent="0.25">
      <c r="R1351" s="8" t="str">
        <f t="shared" si="42"/>
        <v/>
      </c>
      <c r="S1351" s="82" t="str">
        <f t="shared" si="43"/>
        <v/>
      </c>
    </row>
    <row r="1352" spans="18:19" x14ac:dyDescent="0.25">
      <c r="R1352" s="8" t="str">
        <f t="shared" ref="R1352:R1415" si="44">IF(A1352="",(""),(MONTH(A1352)))</f>
        <v/>
      </c>
      <c r="S1352" s="82" t="str">
        <f t="shared" si="43"/>
        <v/>
      </c>
    </row>
    <row r="1353" spans="18:19" x14ac:dyDescent="0.25">
      <c r="R1353" s="8" t="str">
        <f t="shared" si="44"/>
        <v/>
      </c>
      <c r="S1353" s="82" t="str">
        <f t="shared" si="43"/>
        <v/>
      </c>
    </row>
    <row r="1354" spans="18:19" x14ac:dyDescent="0.25">
      <c r="R1354" s="8" t="str">
        <f t="shared" si="44"/>
        <v/>
      </c>
      <c r="S1354" s="82" t="str">
        <f t="shared" si="43"/>
        <v/>
      </c>
    </row>
    <row r="1355" spans="18:19" x14ac:dyDescent="0.25">
      <c r="R1355" s="8" t="str">
        <f t="shared" si="44"/>
        <v/>
      </c>
      <c r="S1355" s="82" t="str">
        <f t="shared" si="43"/>
        <v/>
      </c>
    </row>
    <row r="1356" spans="18:19" x14ac:dyDescent="0.25">
      <c r="R1356" s="8" t="str">
        <f t="shared" si="44"/>
        <v/>
      </c>
      <c r="S1356" s="82" t="str">
        <f t="shared" si="43"/>
        <v/>
      </c>
    </row>
    <row r="1357" spans="18:19" x14ac:dyDescent="0.25">
      <c r="R1357" s="8" t="str">
        <f t="shared" si="44"/>
        <v/>
      </c>
      <c r="S1357" s="82" t="str">
        <f t="shared" si="43"/>
        <v/>
      </c>
    </row>
    <row r="1358" spans="18:19" x14ac:dyDescent="0.25">
      <c r="R1358" s="8" t="str">
        <f t="shared" si="44"/>
        <v/>
      </c>
      <c r="S1358" s="82" t="str">
        <f t="shared" si="43"/>
        <v/>
      </c>
    </row>
    <row r="1359" spans="18:19" x14ac:dyDescent="0.25">
      <c r="R1359" s="8" t="str">
        <f t="shared" si="44"/>
        <v/>
      </c>
      <c r="S1359" s="82" t="str">
        <f t="shared" si="43"/>
        <v/>
      </c>
    </row>
    <row r="1360" spans="18:19" x14ac:dyDescent="0.25">
      <c r="R1360" s="8" t="str">
        <f t="shared" si="44"/>
        <v/>
      </c>
      <c r="S1360" s="82" t="str">
        <f t="shared" si="43"/>
        <v/>
      </c>
    </row>
    <row r="1361" spans="18:19" x14ac:dyDescent="0.25">
      <c r="R1361" s="8" t="str">
        <f t="shared" si="44"/>
        <v/>
      </c>
      <c r="S1361" s="82" t="str">
        <f t="shared" si="43"/>
        <v/>
      </c>
    </row>
    <row r="1362" spans="18:19" x14ac:dyDescent="0.25">
      <c r="R1362" s="8" t="str">
        <f t="shared" si="44"/>
        <v/>
      </c>
      <c r="S1362" s="82" t="str">
        <f t="shared" si="43"/>
        <v/>
      </c>
    </row>
    <row r="1363" spans="18:19" x14ac:dyDescent="0.25">
      <c r="R1363" s="8" t="str">
        <f t="shared" si="44"/>
        <v/>
      </c>
      <c r="S1363" s="82" t="str">
        <f t="shared" si="43"/>
        <v/>
      </c>
    </row>
    <row r="1364" spans="18:19" x14ac:dyDescent="0.25">
      <c r="R1364" s="8" t="str">
        <f t="shared" si="44"/>
        <v/>
      </c>
      <c r="S1364" s="82" t="str">
        <f t="shared" si="43"/>
        <v/>
      </c>
    </row>
    <row r="1365" spans="18:19" x14ac:dyDescent="0.25">
      <c r="R1365" s="8" t="str">
        <f t="shared" si="44"/>
        <v/>
      </c>
      <c r="S1365" s="82" t="str">
        <f t="shared" si="43"/>
        <v/>
      </c>
    </row>
    <row r="1366" spans="18:19" x14ac:dyDescent="0.25">
      <c r="R1366" s="8" t="str">
        <f t="shared" si="44"/>
        <v/>
      </c>
      <c r="S1366" s="82" t="str">
        <f t="shared" ref="S1366:S1429" si="45">IF(O1366&gt;0,(Q1366-O1366),(IF(K1366="USD",(Q1366*J1366),((IF(B1366="",(""),(SUMIF(B1366,"11 - Factura C",(Q1366))-SUMIF(B1366,"13 - Nota de Crédito C",(Q1366))+SUMIF(B1366,"15 - Recibo C",(Q1366))+SUMIF(B1366,"109 - Tique C",(Q1366)))))))))</f>
        <v/>
      </c>
    </row>
    <row r="1367" spans="18:19" x14ac:dyDescent="0.25">
      <c r="R1367" s="8" t="str">
        <f t="shared" si="44"/>
        <v/>
      </c>
      <c r="S1367" s="82" t="str">
        <f t="shared" si="45"/>
        <v/>
      </c>
    </row>
    <row r="1368" spans="18:19" x14ac:dyDescent="0.25">
      <c r="R1368" s="8" t="str">
        <f t="shared" si="44"/>
        <v/>
      </c>
      <c r="S1368" s="82" t="str">
        <f t="shared" si="45"/>
        <v/>
      </c>
    </row>
    <row r="1369" spans="18:19" x14ac:dyDescent="0.25">
      <c r="R1369" s="8" t="str">
        <f t="shared" si="44"/>
        <v/>
      </c>
      <c r="S1369" s="82" t="str">
        <f t="shared" si="45"/>
        <v/>
      </c>
    </row>
    <row r="1370" spans="18:19" x14ac:dyDescent="0.25">
      <c r="R1370" s="8" t="str">
        <f t="shared" si="44"/>
        <v/>
      </c>
      <c r="S1370" s="82" t="str">
        <f t="shared" si="45"/>
        <v/>
      </c>
    </row>
    <row r="1371" spans="18:19" x14ac:dyDescent="0.25">
      <c r="R1371" s="8" t="str">
        <f t="shared" si="44"/>
        <v/>
      </c>
      <c r="S1371" s="82" t="str">
        <f t="shared" si="45"/>
        <v/>
      </c>
    </row>
    <row r="1372" spans="18:19" x14ac:dyDescent="0.25">
      <c r="R1372" s="8" t="str">
        <f t="shared" si="44"/>
        <v/>
      </c>
      <c r="S1372" s="82" t="str">
        <f t="shared" si="45"/>
        <v/>
      </c>
    </row>
    <row r="1373" spans="18:19" x14ac:dyDescent="0.25">
      <c r="R1373" s="8" t="str">
        <f t="shared" si="44"/>
        <v/>
      </c>
      <c r="S1373" s="82" t="str">
        <f t="shared" si="45"/>
        <v/>
      </c>
    </row>
    <row r="1374" spans="18:19" x14ac:dyDescent="0.25">
      <c r="R1374" s="8" t="str">
        <f t="shared" si="44"/>
        <v/>
      </c>
      <c r="S1374" s="82" t="str">
        <f t="shared" si="45"/>
        <v/>
      </c>
    </row>
    <row r="1375" spans="18:19" x14ac:dyDescent="0.25">
      <c r="R1375" s="8" t="str">
        <f t="shared" si="44"/>
        <v/>
      </c>
      <c r="S1375" s="82" t="str">
        <f t="shared" si="45"/>
        <v/>
      </c>
    </row>
    <row r="1376" spans="18:19" x14ac:dyDescent="0.25">
      <c r="R1376" s="8" t="str">
        <f t="shared" si="44"/>
        <v/>
      </c>
      <c r="S1376" s="82" t="str">
        <f t="shared" si="45"/>
        <v/>
      </c>
    </row>
    <row r="1377" spans="18:19" x14ac:dyDescent="0.25">
      <c r="R1377" s="8" t="str">
        <f t="shared" si="44"/>
        <v/>
      </c>
      <c r="S1377" s="82" t="str">
        <f t="shared" si="45"/>
        <v/>
      </c>
    </row>
    <row r="1378" spans="18:19" x14ac:dyDescent="0.25">
      <c r="R1378" s="8" t="str">
        <f t="shared" si="44"/>
        <v/>
      </c>
      <c r="S1378" s="82" t="str">
        <f t="shared" si="45"/>
        <v/>
      </c>
    </row>
    <row r="1379" spans="18:19" x14ac:dyDescent="0.25">
      <c r="R1379" s="8" t="str">
        <f t="shared" si="44"/>
        <v/>
      </c>
      <c r="S1379" s="82" t="str">
        <f t="shared" si="45"/>
        <v/>
      </c>
    </row>
    <row r="1380" spans="18:19" x14ac:dyDescent="0.25">
      <c r="R1380" s="8" t="str">
        <f t="shared" si="44"/>
        <v/>
      </c>
      <c r="S1380" s="82" t="str">
        <f t="shared" si="45"/>
        <v/>
      </c>
    </row>
    <row r="1381" spans="18:19" x14ac:dyDescent="0.25">
      <c r="R1381" s="8" t="str">
        <f t="shared" si="44"/>
        <v/>
      </c>
      <c r="S1381" s="82" t="str">
        <f t="shared" si="45"/>
        <v/>
      </c>
    </row>
    <row r="1382" spans="18:19" x14ac:dyDescent="0.25">
      <c r="R1382" s="8" t="str">
        <f t="shared" si="44"/>
        <v/>
      </c>
      <c r="S1382" s="82" t="str">
        <f t="shared" si="45"/>
        <v/>
      </c>
    </row>
    <row r="1383" spans="18:19" x14ac:dyDescent="0.25">
      <c r="R1383" s="8" t="str">
        <f t="shared" si="44"/>
        <v/>
      </c>
      <c r="S1383" s="82" t="str">
        <f t="shared" si="45"/>
        <v/>
      </c>
    </row>
    <row r="1384" spans="18:19" x14ac:dyDescent="0.25">
      <c r="R1384" s="8" t="str">
        <f t="shared" si="44"/>
        <v/>
      </c>
      <c r="S1384" s="82" t="str">
        <f t="shared" si="45"/>
        <v/>
      </c>
    </row>
    <row r="1385" spans="18:19" x14ac:dyDescent="0.25">
      <c r="R1385" s="8" t="str">
        <f t="shared" si="44"/>
        <v/>
      </c>
      <c r="S1385" s="82" t="str">
        <f t="shared" si="45"/>
        <v/>
      </c>
    </row>
    <row r="1386" spans="18:19" x14ac:dyDescent="0.25">
      <c r="R1386" s="8" t="str">
        <f t="shared" si="44"/>
        <v/>
      </c>
      <c r="S1386" s="82" t="str">
        <f t="shared" si="45"/>
        <v/>
      </c>
    </row>
    <row r="1387" spans="18:19" x14ac:dyDescent="0.25">
      <c r="R1387" s="8" t="str">
        <f t="shared" si="44"/>
        <v/>
      </c>
      <c r="S1387" s="82" t="str">
        <f t="shared" si="45"/>
        <v/>
      </c>
    </row>
    <row r="1388" spans="18:19" x14ac:dyDescent="0.25">
      <c r="R1388" s="8" t="str">
        <f t="shared" si="44"/>
        <v/>
      </c>
      <c r="S1388" s="82" t="str">
        <f t="shared" si="45"/>
        <v/>
      </c>
    </row>
    <row r="1389" spans="18:19" x14ac:dyDescent="0.25">
      <c r="R1389" s="8" t="str">
        <f t="shared" si="44"/>
        <v/>
      </c>
      <c r="S1389" s="82" t="str">
        <f t="shared" si="45"/>
        <v/>
      </c>
    </row>
    <row r="1390" spans="18:19" x14ac:dyDescent="0.25">
      <c r="R1390" s="8" t="str">
        <f t="shared" si="44"/>
        <v/>
      </c>
      <c r="S1390" s="82" t="str">
        <f t="shared" si="45"/>
        <v/>
      </c>
    </row>
    <row r="1391" spans="18:19" x14ac:dyDescent="0.25">
      <c r="R1391" s="8" t="str">
        <f t="shared" si="44"/>
        <v/>
      </c>
      <c r="S1391" s="82" t="str">
        <f t="shared" si="45"/>
        <v/>
      </c>
    </row>
    <row r="1392" spans="18:19" x14ac:dyDescent="0.25">
      <c r="R1392" s="8" t="str">
        <f t="shared" si="44"/>
        <v/>
      </c>
      <c r="S1392" s="82" t="str">
        <f t="shared" si="45"/>
        <v/>
      </c>
    </row>
    <row r="1393" spans="18:19" x14ac:dyDescent="0.25">
      <c r="R1393" s="8" t="str">
        <f t="shared" si="44"/>
        <v/>
      </c>
      <c r="S1393" s="82" t="str">
        <f t="shared" si="45"/>
        <v/>
      </c>
    </row>
    <row r="1394" spans="18:19" x14ac:dyDescent="0.25">
      <c r="R1394" s="8" t="str">
        <f t="shared" si="44"/>
        <v/>
      </c>
      <c r="S1394" s="82" t="str">
        <f t="shared" si="45"/>
        <v/>
      </c>
    </row>
    <row r="1395" spans="18:19" x14ac:dyDescent="0.25">
      <c r="R1395" s="8" t="str">
        <f t="shared" si="44"/>
        <v/>
      </c>
      <c r="S1395" s="82" t="str">
        <f t="shared" si="45"/>
        <v/>
      </c>
    </row>
    <row r="1396" spans="18:19" x14ac:dyDescent="0.25">
      <c r="R1396" s="8" t="str">
        <f t="shared" si="44"/>
        <v/>
      </c>
      <c r="S1396" s="82" t="str">
        <f t="shared" si="45"/>
        <v/>
      </c>
    </row>
    <row r="1397" spans="18:19" x14ac:dyDescent="0.25">
      <c r="R1397" s="8" t="str">
        <f t="shared" si="44"/>
        <v/>
      </c>
      <c r="S1397" s="82" t="str">
        <f t="shared" si="45"/>
        <v/>
      </c>
    </row>
    <row r="1398" spans="18:19" x14ac:dyDescent="0.25">
      <c r="R1398" s="8" t="str">
        <f t="shared" si="44"/>
        <v/>
      </c>
      <c r="S1398" s="82" t="str">
        <f t="shared" si="45"/>
        <v/>
      </c>
    </row>
    <row r="1399" spans="18:19" x14ac:dyDescent="0.25">
      <c r="R1399" s="8" t="str">
        <f t="shared" si="44"/>
        <v/>
      </c>
      <c r="S1399" s="82" t="str">
        <f t="shared" si="45"/>
        <v/>
      </c>
    </row>
    <row r="1400" spans="18:19" x14ac:dyDescent="0.25">
      <c r="R1400" s="8" t="str">
        <f t="shared" si="44"/>
        <v/>
      </c>
      <c r="S1400" s="82" t="str">
        <f t="shared" si="45"/>
        <v/>
      </c>
    </row>
    <row r="1401" spans="18:19" x14ac:dyDescent="0.25">
      <c r="R1401" s="8" t="str">
        <f t="shared" si="44"/>
        <v/>
      </c>
      <c r="S1401" s="82" t="str">
        <f t="shared" si="45"/>
        <v/>
      </c>
    </row>
    <row r="1402" spans="18:19" x14ac:dyDescent="0.25">
      <c r="R1402" s="8" t="str">
        <f t="shared" si="44"/>
        <v/>
      </c>
      <c r="S1402" s="82" t="str">
        <f t="shared" si="45"/>
        <v/>
      </c>
    </row>
    <row r="1403" spans="18:19" x14ac:dyDescent="0.25">
      <c r="R1403" s="8" t="str">
        <f t="shared" si="44"/>
        <v/>
      </c>
      <c r="S1403" s="82" t="str">
        <f t="shared" si="45"/>
        <v/>
      </c>
    </row>
    <row r="1404" spans="18:19" x14ac:dyDescent="0.25">
      <c r="R1404" s="8" t="str">
        <f t="shared" si="44"/>
        <v/>
      </c>
      <c r="S1404" s="82" t="str">
        <f t="shared" si="45"/>
        <v/>
      </c>
    </row>
    <row r="1405" spans="18:19" x14ac:dyDescent="0.25">
      <c r="R1405" s="8" t="str">
        <f t="shared" si="44"/>
        <v/>
      </c>
      <c r="S1405" s="82" t="str">
        <f t="shared" si="45"/>
        <v/>
      </c>
    </row>
    <row r="1406" spans="18:19" x14ac:dyDescent="0.25">
      <c r="R1406" s="8" t="str">
        <f t="shared" si="44"/>
        <v/>
      </c>
      <c r="S1406" s="82" t="str">
        <f t="shared" si="45"/>
        <v/>
      </c>
    </row>
    <row r="1407" spans="18:19" x14ac:dyDescent="0.25">
      <c r="R1407" s="8" t="str">
        <f t="shared" si="44"/>
        <v/>
      </c>
      <c r="S1407" s="82" t="str">
        <f t="shared" si="45"/>
        <v/>
      </c>
    </row>
    <row r="1408" spans="18:19" x14ac:dyDescent="0.25">
      <c r="R1408" s="8" t="str">
        <f t="shared" si="44"/>
        <v/>
      </c>
      <c r="S1408" s="82" t="str">
        <f t="shared" si="45"/>
        <v/>
      </c>
    </row>
    <row r="1409" spans="18:19" x14ac:dyDescent="0.25">
      <c r="R1409" s="8" t="str">
        <f t="shared" si="44"/>
        <v/>
      </c>
      <c r="S1409" s="82" t="str">
        <f t="shared" si="45"/>
        <v/>
      </c>
    </row>
    <row r="1410" spans="18:19" x14ac:dyDescent="0.25">
      <c r="R1410" s="8" t="str">
        <f t="shared" si="44"/>
        <v/>
      </c>
      <c r="S1410" s="82" t="str">
        <f t="shared" si="45"/>
        <v/>
      </c>
    </row>
    <row r="1411" spans="18:19" x14ac:dyDescent="0.25">
      <c r="R1411" s="8" t="str">
        <f t="shared" si="44"/>
        <v/>
      </c>
      <c r="S1411" s="82" t="str">
        <f t="shared" si="45"/>
        <v/>
      </c>
    </row>
    <row r="1412" spans="18:19" x14ac:dyDescent="0.25">
      <c r="R1412" s="8" t="str">
        <f t="shared" si="44"/>
        <v/>
      </c>
      <c r="S1412" s="82" t="str">
        <f t="shared" si="45"/>
        <v/>
      </c>
    </row>
    <row r="1413" spans="18:19" x14ac:dyDescent="0.25">
      <c r="R1413" s="8" t="str">
        <f t="shared" si="44"/>
        <v/>
      </c>
      <c r="S1413" s="82" t="str">
        <f t="shared" si="45"/>
        <v/>
      </c>
    </row>
    <row r="1414" spans="18:19" x14ac:dyDescent="0.25">
      <c r="R1414" s="8" t="str">
        <f t="shared" si="44"/>
        <v/>
      </c>
      <c r="S1414" s="82" t="str">
        <f t="shared" si="45"/>
        <v/>
      </c>
    </row>
    <row r="1415" spans="18:19" x14ac:dyDescent="0.25">
      <c r="R1415" s="8" t="str">
        <f t="shared" si="44"/>
        <v/>
      </c>
      <c r="S1415" s="82" t="str">
        <f t="shared" si="45"/>
        <v/>
      </c>
    </row>
    <row r="1416" spans="18:19" x14ac:dyDescent="0.25">
      <c r="R1416" s="8" t="str">
        <f t="shared" ref="R1416:R1479" si="46">IF(A1416="",(""),(MONTH(A1416)))</f>
        <v/>
      </c>
      <c r="S1416" s="82" t="str">
        <f t="shared" si="45"/>
        <v/>
      </c>
    </row>
    <row r="1417" spans="18:19" x14ac:dyDescent="0.25">
      <c r="R1417" s="8" t="str">
        <f t="shared" si="46"/>
        <v/>
      </c>
      <c r="S1417" s="82" t="str">
        <f t="shared" si="45"/>
        <v/>
      </c>
    </row>
    <row r="1418" spans="18:19" x14ac:dyDescent="0.25">
      <c r="R1418" s="8" t="str">
        <f t="shared" si="46"/>
        <v/>
      </c>
      <c r="S1418" s="82" t="str">
        <f t="shared" si="45"/>
        <v/>
      </c>
    </row>
    <row r="1419" spans="18:19" x14ac:dyDescent="0.25">
      <c r="R1419" s="8" t="str">
        <f t="shared" si="46"/>
        <v/>
      </c>
      <c r="S1419" s="82" t="str">
        <f t="shared" si="45"/>
        <v/>
      </c>
    </row>
    <row r="1420" spans="18:19" x14ac:dyDescent="0.25">
      <c r="R1420" s="8" t="str">
        <f t="shared" si="46"/>
        <v/>
      </c>
      <c r="S1420" s="82" t="str">
        <f t="shared" si="45"/>
        <v/>
      </c>
    </row>
    <row r="1421" spans="18:19" x14ac:dyDescent="0.25">
      <c r="R1421" s="8" t="str">
        <f t="shared" si="46"/>
        <v/>
      </c>
      <c r="S1421" s="82" t="str">
        <f t="shared" si="45"/>
        <v/>
      </c>
    </row>
    <row r="1422" spans="18:19" x14ac:dyDescent="0.25">
      <c r="R1422" s="8" t="str">
        <f t="shared" si="46"/>
        <v/>
      </c>
      <c r="S1422" s="82" t="str">
        <f t="shared" si="45"/>
        <v/>
      </c>
    </row>
    <row r="1423" spans="18:19" x14ac:dyDescent="0.25">
      <c r="R1423" s="8" t="str">
        <f t="shared" si="46"/>
        <v/>
      </c>
      <c r="S1423" s="82" t="str">
        <f t="shared" si="45"/>
        <v/>
      </c>
    </row>
    <row r="1424" spans="18:19" x14ac:dyDescent="0.25">
      <c r="R1424" s="8" t="str">
        <f t="shared" si="46"/>
        <v/>
      </c>
      <c r="S1424" s="82" t="str">
        <f t="shared" si="45"/>
        <v/>
      </c>
    </row>
    <row r="1425" spans="18:19" x14ac:dyDescent="0.25">
      <c r="R1425" s="8" t="str">
        <f t="shared" si="46"/>
        <v/>
      </c>
      <c r="S1425" s="82" t="str">
        <f t="shared" si="45"/>
        <v/>
      </c>
    </row>
    <row r="1426" spans="18:19" x14ac:dyDescent="0.25">
      <c r="R1426" s="8" t="str">
        <f t="shared" si="46"/>
        <v/>
      </c>
      <c r="S1426" s="82" t="str">
        <f t="shared" si="45"/>
        <v/>
      </c>
    </row>
    <row r="1427" spans="18:19" x14ac:dyDescent="0.25">
      <c r="R1427" s="8" t="str">
        <f t="shared" si="46"/>
        <v/>
      </c>
      <c r="S1427" s="82" t="str">
        <f t="shared" si="45"/>
        <v/>
      </c>
    </row>
    <row r="1428" spans="18:19" x14ac:dyDescent="0.25">
      <c r="R1428" s="8" t="str">
        <f t="shared" si="46"/>
        <v/>
      </c>
      <c r="S1428" s="82" t="str">
        <f t="shared" si="45"/>
        <v/>
      </c>
    </row>
    <row r="1429" spans="18:19" x14ac:dyDescent="0.25">
      <c r="R1429" s="8" t="str">
        <f t="shared" si="46"/>
        <v/>
      </c>
      <c r="S1429" s="82" t="str">
        <f t="shared" si="45"/>
        <v/>
      </c>
    </row>
    <row r="1430" spans="18:19" x14ac:dyDescent="0.25">
      <c r="R1430" s="8" t="str">
        <f t="shared" si="46"/>
        <v/>
      </c>
      <c r="S1430" s="82" t="str">
        <f t="shared" ref="S1430:S1493" si="47">IF(O1430&gt;0,(Q1430-O1430),(IF(K1430="USD",(Q1430*J1430),((IF(B1430="",(""),(SUMIF(B1430,"11 - Factura C",(Q1430))-SUMIF(B1430,"13 - Nota de Crédito C",(Q1430))+SUMIF(B1430,"15 - Recibo C",(Q1430))+SUMIF(B1430,"109 - Tique C",(Q1430)))))))))</f>
        <v/>
      </c>
    </row>
    <row r="1431" spans="18:19" x14ac:dyDescent="0.25">
      <c r="R1431" s="8" t="str">
        <f t="shared" si="46"/>
        <v/>
      </c>
      <c r="S1431" s="82" t="str">
        <f t="shared" si="47"/>
        <v/>
      </c>
    </row>
    <row r="1432" spans="18:19" x14ac:dyDescent="0.25">
      <c r="R1432" s="8" t="str">
        <f t="shared" si="46"/>
        <v/>
      </c>
      <c r="S1432" s="82" t="str">
        <f t="shared" si="47"/>
        <v/>
      </c>
    </row>
    <row r="1433" spans="18:19" x14ac:dyDescent="0.25">
      <c r="R1433" s="8" t="str">
        <f t="shared" si="46"/>
        <v/>
      </c>
      <c r="S1433" s="82" t="str">
        <f t="shared" si="47"/>
        <v/>
      </c>
    </row>
    <row r="1434" spans="18:19" x14ac:dyDescent="0.25">
      <c r="R1434" s="8" t="str">
        <f t="shared" si="46"/>
        <v/>
      </c>
      <c r="S1434" s="82" t="str">
        <f t="shared" si="47"/>
        <v/>
      </c>
    </row>
    <row r="1435" spans="18:19" x14ac:dyDescent="0.25">
      <c r="R1435" s="8" t="str">
        <f t="shared" si="46"/>
        <v/>
      </c>
      <c r="S1435" s="82" t="str">
        <f t="shared" si="47"/>
        <v/>
      </c>
    </row>
    <row r="1436" spans="18:19" x14ac:dyDescent="0.25">
      <c r="R1436" s="8" t="str">
        <f t="shared" si="46"/>
        <v/>
      </c>
      <c r="S1436" s="82" t="str">
        <f t="shared" si="47"/>
        <v/>
      </c>
    </row>
    <row r="1437" spans="18:19" x14ac:dyDescent="0.25">
      <c r="R1437" s="8" t="str">
        <f t="shared" si="46"/>
        <v/>
      </c>
      <c r="S1437" s="82" t="str">
        <f t="shared" si="47"/>
        <v/>
      </c>
    </row>
    <row r="1438" spans="18:19" x14ac:dyDescent="0.25">
      <c r="R1438" s="8" t="str">
        <f t="shared" si="46"/>
        <v/>
      </c>
      <c r="S1438" s="82" t="str">
        <f t="shared" si="47"/>
        <v/>
      </c>
    </row>
    <row r="1439" spans="18:19" x14ac:dyDescent="0.25">
      <c r="R1439" s="8" t="str">
        <f t="shared" si="46"/>
        <v/>
      </c>
      <c r="S1439" s="82" t="str">
        <f t="shared" si="47"/>
        <v/>
      </c>
    </row>
    <row r="1440" spans="18:19" x14ac:dyDescent="0.25">
      <c r="R1440" s="8" t="str">
        <f t="shared" si="46"/>
        <v/>
      </c>
      <c r="S1440" s="82" t="str">
        <f t="shared" si="47"/>
        <v/>
      </c>
    </row>
    <row r="1441" spans="18:19" x14ac:dyDescent="0.25">
      <c r="R1441" s="8" t="str">
        <f t="shared" si="46"/>
        <v/>
      </c>
      <c r="S1441" s="82" t="str">
        <f t="shared" si="47"/>
        <v/>
      </c>
    </row>
    <row r="1442" spans="18:19" x14ac:dyDescent="0.25">
      <c r="R1442" s="8" t="str">
        <f t="shared" si="46"/>
        <v/>
      </c>
      <c r="S1442" s="82" t="str">
        <f t="shared" si="47"/>
        <v/>
      </c>
    </row>
    <row r="1443" spans="18:19" x14ac:dyDescent="0.25">
      <c r="R1443" s="8" t="str">
        <f t="shared" si="46"/>
        <v/>
      </c>
      <c r="S1443" s="82" t="str">
        <f t="shared" si="47"/>
        <v/>
      </c>
    </row>
    <row r="1444" spans="18:19" x14ac:dyDescent="0.25">
      <c r="R1444" s="8" t="str">
        <f t="shared" si="46"/>
        <v/>
      </c>
      <c r="S1444" s="82" t="str">
        <f t="shared" si="47"/>
        <v/>
      </c>
    </row>
    <row r="1445" spans="18:19" x14ac:dyDescent="0.25">
      <c r="R1445" s="8" t="str">
        <f t="shared" si="46"/>
        <v/>
      </c>
      <c r="S1445" s="82" t="str">
        <f t="shared" si="47"/>
        <v/>
      </c>
    </row>
    <row r="1446" spans="18:19" x14ac:dyDescent="0.25">
      <c r="R1446" s="8" t="str">
        <f t="shared" si="46"/>
        <v/>
      </c>
      <c r="S1446" s="82" t="str">
        <f t="shared" si="47"/>
        <v/>
      </c>
    </row>
    <row r="1447" spans="18:19" x14ac:dyDescent="0.25">
      <c r="R1447" s="8" t="str">
        <f t="shared" si="46"/>
        <v/>
      </c>
      <c r="S1447" s="82" t="str">
        <f t="shared" si="47"/>
        <v/>
      </c>
    </row>
    <row r="1448" spans="18:19" x14ac:dyDescent="0.25">
      <c r="R1448" s="8" t="str">
        <f t="shared" si="46"/>
        <v/>
      </c>
      <c r="S1448" s="82" t="str">
        <f t="shared" si="47"/>
        <v/>
      </c>
    </row>
    <row r="1449" spans="18:19" x14ac:dyDescent="0.25">
      <c r="R1449" s="8" t="str">
        <f t="shared" si="46"/>
        <v/>
      </c>
      <c r="S1449" s="82" t="str">
        <f t="shared" si="47"/>
        <v/>
      </c>
    </row>
    <row r="1450" spans="18:19" x14ac:dyDescent="0.25">
      <c r="R1450" s="8" t="str">
        <f t="shared" si="46"/>
        <v/>
      </c>
      <c r="S1450" s="82" t="str">
        <f t="shared" si="47"/>
        <v/>
      </c>
    </row>
    <row r="1451" spans="18:19" x14ac:dyDescent="0.25">
      <c r="R1451" s="8" t="str">
        <f t="shared" si="46"/>
        <v/>
      </c>
      <c r="S1451" s="82" t="str">
        <f t="shared" si="47"/>
        <v/>
      </c>
    </row>
    <row r="1452" spans="18:19" x14ac:dyDescent="0.25">
      <c r="R1452" s="8" t="str">
        <f t="shared" si="46"/>
        <v/>
      </c>
      <c r="S1452" s="82" t="str">
        <f t="shared" si="47"/>
        <v/>
      </c>
    </row>
    <row r="1453" spans="18:19" x14ac:dyDescent="0.25">
      <c r="R1453" s="8" t="str">
        <f t="shared" si="46"/>
        <v/>
      </c>
      <c r="S1453" s="82" t="str">
        <f t="shared" si="47"/>
        <v/>
      </c>
    </row>
    <row r="1454" spans="18:19" x14ac:dyDescent="0.25">
      <c r="R1454" s="8" t="str">
        <f t="shared" si="46"/>
        <v/>
      </c>
      <c r="S1454" s="82" t="str">
        <f t="shared" si="47"/>
        <v/>
      </c>
    </row>
    <row r="1455" spans="18:19" x14ac:dyDescent="0.25">
      <c r="R1455" s="8" t="str">
        <f t="shared" si="46"/>
        <v/>
      </c>
      <c r="S1455" s="82" t="str">
        <f t="shared" si="47"/>
        <v/>
      </c>
    </row>
    <row r="1456" spans="18:19" x14ac:dyDescent="0.25">
      <c r="R1456" s="8" t="str">
        <f t="shared" si="46"/>
        <v/>
      </c>
      <c r="S1456" s="82" t="str">
        <f t="shared" si="47"/>
        <v/>
      </c>
    </row>
    <row r="1457" spans="18:19" x14ac:dyDescent="0.25">
      <c r="R1457" s="8" t="str">
        <f t="shared" si="46"/>
        <v/>
      </c>
      <c r="S1457" s="82" t="str">
        <f t="shared" si="47"/>
        <v/>
      </c>
    </row>
    <row r="1458" spans="18:19" x14ac:dyDescent="0.25">
      <c r="R1458" s="8" t="str">
        <f t="shared" si="46"/>
        <v/>
      </c>
      <c r="S1458" s="82" t="str">
        <f t="shared" si="47"/>
        <v/>
      </c>
    </row>
    <row r="1459" spans="18:19" x14ac:dyDescent="0.25">
      <c r="R1459" s="8" t="str">
        <f t="shared" si="46"/>
        <v/>
      </c>
      <c r="S1459" s="82" t="str">
        <f t="shared" si="47"/>
        <v/>
      </c>
    </row>
    <row r="1460" spans="18:19" x14ac:dyDescent="0.25">
      <c r="R1460" s="8" t="str">
        <f t="shared" si="46"/>
        <v/>
      </c>
      <c r="S1460" s="82" t="str">
        <f t="shared" si="47"/>
        <v/>
      </c>
    </row>
    <row r="1461" spans="18:19" x14ac:dyDescent="0.25">
      <c r="R1461" s="8" t="str">
        <f t="shared" si="46"/>
        <v/>
      </c>
      <c r="S1461" s="82" t="str">
        <f t="shared" si="47"/>
        <v/>
      </c>
    </row>
    <row r="1462" spans="18:19" x14ac:dyDescent="0.25">
      <c r="R1462" s="8" t="str">
        <f t="shared" si="46"/>
        <v/>
      </c>
      <c r="S1462" s="82" t="str">
        <f t="shared" si="47"/>
        <v/>
      </c>
    </row>
    <row r="1463" spans="18:19" x14ac:dyDescent="0.25">
      <c r="R1463" s="8" t="str">
        <f t="shared" si="46"/>
        <v/>
      </c>
      <c r="S1463" s="82" t="str">
        <f t="shared" si="47"/>
        <v/>
      </c>
    </row>
    <row r="1464" spans="18:19" x14ac:dyDescent="0.25">
      <c r="R1464" s="8" t="str">
        <f t="shared" si="46"/>
        <v/>
      </c>
      <c r="S1464" s="82" t="str">
        <f t="shared" si="47"/>
        <v/>
      </c>
    </row>
    <row r="1465" spans="18:19" x14ac:dyDescent="0.25">
      <c r="R1465" s="8" t="str">
        <f t="shared" si="46"/>
        <v/>
      </c>
      <c r="S1465" s="82" t="str">
        <f t="shared" si="47"/>
        <v/>
      </c>
    </row>
    <row r="1466" spans="18:19" x14ac:dyDescent="0.25">
      <c r="R1466" s="8" t="str">
        <f t="shared" si="46"/>
        <v/>
      </c>
      <c r="S1466" s="82" t="str">
        <f t="shared" si="47"/>
        <v/>
      </c>
    </row>
    <row r="1467" spans="18:19" x14ac:dyDescent="0.25">
      <c r="R1467" s="8" t="str">
        <f t="shared" si="46"/>
        <v/>
      </c>
      <c r="S1467" s="82" t="str">
        <f t="shared" si="47"/>
        <v/>
      </c>
    </row>
    <row r="1468" spans="18:19" x14ac:dyDescent="0.25">
      <c r="R1468" s="8" t="str">
        <f t="shared" si="46"/>
        <v/>
      </c>
      <c r="S1468" s="82" t="str">
        <f t="shared" si="47"/>
        <v/>
      </c>
    </row>
    <row r="1469" spans="18:19" x14ac:dyDescent="0.25">
      <c r="R1469" s="8" t="str">
        <f t="shared" si="46"/>
        <v/>
      </c>
      <c r="S1469" s="82" t="str">
        <f t="shared" si="47"/>
        <v/>
      </c>
    </row>
    <row r="1470" spans="18:19" x14ac:dyDescent="0.25">
      <c r="R1470" s="8" t="str">
        <f t="shared" si="46"/>
        <v/>
      </c>
      <c r="S1470" s="82" t="str">
        <f t="shared" si="47"/>
        <v/>
      </c>
    </row>
    <row r="1471" spans="18:19" x14ac:dyDescent="0.25">
      <c r="R1471" s="8" t="str">
        <f t="shared" si="46"/>
        <v/>
      </c>
      <c r="S1471" s="82" t="str">
        <f t="shared" si="47"/>
        <v/>
      </c>
    </row>
    <row r="1472" spans="18:19" x14ac:dyDescent="0.25">
      <c r="R1472" s="8" t="str">
        <f t="shared" si="46"/>
        <v/>
      </c>
      <c r="S1472" s="82" t="str">
        <f t="shared" si="47"/>
        <v/>
      </c>
    </row>
    <row r="1473" spans="18:19" x14ac:dyDescent="0.25">
      <c r="R1473" s="8" t="str">
        <f t="shared" si="46"/>
        <v/>
      </c>
      <c r="S1473" s="82" t="str">
        <f t="shared" si="47"/>
        <v/>
      </c>
    </row>
    <row r="1474" spans="18:19" x14ac:dyDescent="0.25">
      <c r="R1474" s="8" t="str">
        <f t="shared" si="46"/>
        <v/>
      </c>
      <c r="S1474" s="82" t="str">
        <f t="shared" si="47"/>
        <v/>
      </c>
    </row>
    <row r="1475" spans="18:19" x14ac:dyDescent="0.25">
      <c r="R1475" s="8" t="str">
        <f t="shared" si="46"/>
        <v/>
      </c>
      <c r="S1475" s="82" t="str">
        <f t="shared" si="47"/>
        <v/>
      </c>
    </row>
    <row r="1476" spans="18:19" x14ac:dyDescent="0.25">
      <c r="R1476" s="8" t="str">
        <f t="shared" si="46"/>
        <v/>
      </c>
      <c r="S1476" s="82" t="str">
        <f t="shared" si="47"/>
        <v/>
      </c>
    </row>
    <row r="1477" spans="18:19" x14ac:dyDescent="0.25">
      <c r="R1477" s="8" t="str">
        <f t="shared" si="46"/>
        <v/>
      </c>
      <c r="S1477" s="82" t="str">
        <f t="shared" si="47"/>
        <v/>
      </c>
    </row>
    <row r="1478" spans="18:19" x14ac:dyDescent="0.25">
      <c r="R1478" s="8" t="str">
        <f t="shared" si="46"/>
        <v/>
      </c>
      <c r="S1478" s="82" t="str">
        <f t="shared" si="47"/>
        <v/>
      </c>
    </row>
    <row r="1479" spans="18:19" x14ac:dyDescent="0.25">
      <c r="R1479" s="8" t="str">
        <f t="shared" si="46"/>
        <v/>
      </c>
      <c r="S1479" s="82" t="str">
        <f t="shared" si="47"/>
        <v/>
      </c>
    </row>
    <row r="1480" spans="18:19" x14ac:dyDescent="0.25">
      <c r="R1480" s="8" t="str">
        <f t="shared" ref="R1480:R1543" si="48">IF(A1480="",(""),(MONTH(A1480)))</f>
        <v/>
      </c>
      <c r="S1480" s="82" t="str">
        <f t="shared" si="47"/>
        <v/>
      </c>
    </row>
    <row r="1481" spans="18:19" x14ac:dyDescent="0.25">
      <c r="R1481" s="8" t="str">
        <f t="shared" si="48"/>
        <v/>
      </c>
      <c r="S1481" s="82" t="str">
        <f t="shared" si="47"/>
        <v/>
      </c>
    </row>
    <row r="1482" spans="18:19" x14ac:dyDescent="0.25">
      <c r="R1482" s="8" t="str">
        <f t="shared" si="48"/>
        <v/>
      </c>
      <c r="S1482" s="82" t="str">
        <f t="shared" si="47"/>
        <v/>
      </c>
    </row>
    <row r="1483" spans="18:19" x14ac:dyDescent="0.25">
      <c r="R1483" s="8" t="str">
        <f t="shared" si="48"/>
        <v/>
      </c>
      <c r="S1483" s="82" t="str">
        <f t="shared" si="47"/>
        <v/>
      </c>
    </row>
    <row r="1484" spans="18:19" x14ac:dyDescent="0.25">
      <c r="R1484" s="8" t="str">
        <f t="shared" si="48"/>
        <v/>
      </c>
      <c r="S1484" s="82" t="str">
        <f t="shared" si="47"/>
        <v/>
      </c>
    </row>
    <row r="1485" spans="18:19" x14ac:dyDescent="0.25">
      <c r="R1485" s="8" t="str">
        <f t="shared" si="48"/>
        <v/>
      </c>
      <c r="S1485" s="82" t="str">
        <f t="shared" si="47"/>
        <v/>
      </c>
    </row>
    <row r="1486" spans="18:19" x14ac:dyDescent="0.25">
      <c r="R1486" s="8" t="str">
        <f t="shared" si="48"/>
        <v/>
      </c>
      <c r="S1486" s="82" t="str">
        <f t="shared" si="47"/>
        <v/>
      </c>
    </row>
    <row r="1487" spans="18:19" x14ac:dyDescent="0.25">
      <c r="R1487" s="8" t="str">
        <f t="shared" si="48"/>
        <v/>
      </c>
      <c r="S1487" s="82" t="str">
        <f t="shared" si="47"/>
        <v/>
      </c>
    </row>
    <row r="1488" spans="18:19" x14ac:dyDescent="0.25">
      <c r="R1488" s="8" t="str">
        <f t="shared" si="48"/>
        <v/>
      </c>
      <c r="S1488" s="82" t="str">
        <f t="shared" si="47"/>
        <v/>
      </c>
    </row>
    <row r="1489" spans="18:19" x14ac:dyDescent="0.25">
      <c r="R1489" s="8" t="str">
        <f t="shared" si="48"/>
        <v/>
      </c>
      <c r="S1489" s="82" t="str">
        <f t="shared" si="47"/>
        <v/>
      </c>
    </row>
    <row r="1490" spans="18:19" x14ac:dyDescent="0.25">
      <c r="R1490" s="8" t="str">
        <f t="shared" si="48"/>
        <v/>
      </c>
      <c r="S1490" s="82" t="str">
        <f t="shared" si="47"/>
        <v/>
      </c>
    </row>
    <row r="1491" spans="18:19" x14ac:dyDescent="0.25">
      <c r="R1491" s="8" t="str">
        <f t="shared" si="48"/>
        <v/>
      </c>
      <c r="S1491" s="82" t="str">
        <f t="shared" si="47"/>
        <v/>
      </c>
    </row>
    <row r="1492" spans="18:19" x14ac:dyDescent="0.25">
      <c r="R1492" s="8" t="str">
        <f t="shared" si="48"/>
        <v/>
      </c>
      <c r="S1492" s="82" t="str">
        <f t="shared" si="47"/>
        <v/>
      </c>
    </row>
    <row r="1493" spans="18:19" x14ac:dyDescent="0.25">
      <c r="R1493" s="8" t="str">
        <f t="shared" si="48"/>
        <v/>
      </c>
      <c r="S1493" s="82" t="str">
        <f t="shared" si="47"/>
        <v/>
      </c>
    </row>
    <row r="1494" spans="18:19" x14ac:dyDescent="0.25">
      <c r="R1494" s="8" t="str">
        <f t="shared" si="48"/>
        <v/>
      </c>
      <c r="S1494" s="82" t="str">
        <f t="shared" ref="S1494:S1557" si="49">IF(O1494&gt;0,(Q1494-O1494),(IF(K1494="USD",(Q1494*J1494),((IF(B1494="",(""),(SUMIF(B1494,"11 - Factura C",(Q1494))-SUMIF(B1494,"13 - Nota de Crédito C",(Q1494))+SUMIF(B1494,"15 - Recibo C",(Q1494))+SUMIF(B1494,"109 - Tique C",(Q1494)))))))))</f>
        <v/>
      </c>
    </row>
    <row r="1495" spans="18:19" x14ac:dyDescent="0.25">
      <c r="R1495" s="8" t="str">
        <f t="shared" si="48"/>
        <v/>
      </c>
      <c r="S1495" s="82" t="str">
        <f t="shared" si="49"/>
        <v/>
      </c>
    </row>
    <row r="1496" spans="18:19" x14ac:dyDescent="0.25">
      <c r="R1496" s="8" t="str">
        <f t="shared" si="48"/>
        <v/>
      </c>
      <c r="S1496" s="82" t="str">
        <f t="shared" si="49"/>
        <v/>
      </c>
    </row>
    <row r="1497" spans="18:19" x14ac:dyDescent="0.25">
      <c r="R1497" s="8" t="str">
        <f t="shared" si="48"/>
        <v/>
      </c>
      <c r="S1497" s="82" t="str">
        <f t="shared" si="49"/>
        <v/>
      </c>
    </row>
    <row r="1498" spans="18:19" x14ac:dyDescent="0.25">
      <c r="R1498" s="8" t="str">
        <f t="shared" si="48"/>
        <v/>
      </c>
      <c r="S1498" s="82" t="str">
        <f t="shared" si="49"/>
        <v/>
      </c>
    </row>
    <row r="1499" spans="18:19" x14ac:dyDescent="0.25">
      <c r="R1499" s="8" t="str">
        <f t="shared" si="48"/>
        <v/>
      </c>
      <c r="S1499" s="82" t="str">
        <f t="shared" si="49"/>
        <v/>
      </c>
    </row>
    <row r="1500" spans="18:19" x14ac:dyDescent="0.25">
      <c r="R1500" s="8" t="str">
        <f t="shared" si="48"/>
        <v/>
      </c>
      <c r="S1500" s="82" t="str">
        <f t="shared" si="49"/>
        <v/>
      </c>
    </row>
    <row r="1501" spans="18:19" x14ac:dyDescent="0.25">
      <c r="R1501" s="8" t="str">
        <f t="shared" si="48"/>
        <v/>
      </c>
      <c r="S1501" s="82" t="str">
        <f t="shared" si="49"/>
        <v/>
      </c>
    </row>
    <row r="1502" spans="18:19" x14ac:dyDescent="0.25">
      <c r="R1502" s="8" t="str">
        <f t="shared" si="48"/>
        <v/>
      </c>
      <c r="S1502" s="82" t="str">
        <f t="shared" si="49"/>
        <v/>
      </c>
    </row>
    <row r="1503" spans="18:19" x14ac:dyDescent="0.25">
      <c r="R1503" s="8" t="str">
        <f t="shared" si="48"/>
        <v/>
      </c>
      <c r="S1503" s="82" t="str">
        <f t="shared" si="49"/>
        <v/>
      </c>
    </row>
    <row r="1504" spans="18:19" x14ac:dyDescent="0.25">
      <c r="R1504" s="8" t="str">
        <f t="shared" si="48"/>
        <v/>
      </c>
      <c r="S1504" s="82" t="str">
        <f t="shared" si="49"/>
        <v/>
      </c>
    </row>
    <row r="1505" spans="18:19" x14ac:dyDescent="0.25">
      <c r="R1505" s="8" t="str">
        <f t="shared" si="48"/>
        <v/>
      </c>
      <c r="S1505" s="82" t="str">
        <f t="shared" si="49"/>
        <v/>
      </c>
    </row>
    <row r="1506" spans="18:19" x14ac:dyDescent="0.25">
      <c r="R1506" s="8" t="str">
        <f t="shared" si="48"/>
        <v/>
      </c>
      <c r="S1506" s="82" t="str">
        <f t="shared" si="49"/>
        <v/>
      </c>
    </row>
    <row r="1507" spans="18:19" x14ac:dyDescent="0.25">
      <c r="R1507" s="8" t="str">
        <f t="shared" si="48"/>
        <v/>
      </c>
      <c r="S1507" s="82" t="str">
        <f t="shared" si="49"/>
        <v/>
      </c>
    </row>
    <row r="1508" spans="18:19" x14ac:dyDescent="0.25">
      <c r="R1508" s="8" t="str">
        <f t="shared" si="48"/>
        <v/>
      </c>
      <c r="S1508" s="82" t="str">
        <f t="shared" si="49"/>
        <v/>
      </c>
    </row>
    <row r="1509" spans="18:19" x14ac:dyDescent="0.25">
      <c r="R1509" s="8" t="str">
        <f t="shared" si="48"/>
        <v/>
      </c>
      <c r="S1509" s="82" t="str">
        <f t="shared" si="49"/>
        <v/>
      </c>
    </row>
    <row r="1510" spans="18:19" x14ac:dyDescent="0.25">
      <c r="R1510" s="8" t="str">
        <f t="shared" si="48"/>
        <v/>
      </c>
      <c r="S1510" s="82" t="str">
        <f t="shared" si="49"/>
        <v/>
      </c>
    </row>
    <row r="1511" spans="18:19" x14ac:dyDescent="0.25">
      <c r="R1511" s="8" t="str">
        <f t="shared" si="48"/>
        <v/>
      </c>
      <c r="S1511" s="82" t="str">
        <f t="shared" si="49"/>
        <v/>
      </c>
    </row>
    <row r="1512" spans="18:19" x14ac:dyDescent="0.25">
      <c r="R1512" s="8" t="str">
        <f t="shared" si="48"/>
        <v/>
      </c>
      <c r="S1512" s="82" t="str">
        <f t="shared" si="49"/>
        <v/>
      </c>
    </row>
    <row r="1513" spans="18:19" x14ac:dyDescent="0.25">
      <c r="R1513" s="8" t="str">
        <f t="shared" si="48"/>
        <v/>
      </c>
      <c r="S1513" s="82" t="str">
        <f t="shared" si="49"/>
        <v/>
      </c>
    </row>
    <row r="1514" spans="18:19" x14ac:dyDescent="0.25">
      <c r="R1514" s="8" t="str">
        <f t="shared" si="48"/>
        <v/>
      </c>
      <c r="S1514" s="82" t="str">
        <f t="shared" si="49"/>
        <v/>
      </c>
    </row>
    <row r="1515" spans="18:19" x14ac:dyDescent="0.25">
      <c r="R1515" s="8" t="str">
        <f t="shared" si="48"/>
        <v/>
      </c>
      <c r="S1515" s="82" t="str">
        <f t="shared" si="49"/>
        <v/>
      </c>
    </row>
    <row r="1516" spans="18:19" x14ac:dyDescent="0.25">
      <c r="R1516" s="8" t="str">
        <f t="shared" si="48"/>
        <v/>
      </c>
      <c r="S1516" s="82" t="str">
        <f t="shared" si="49"/>
        <v/>
      </c>
    </row>
    <row r="1517" spans="18:19" x14ac:dyDescent="0.25">
      <c r="R1517" s="8" t="str">
        <f t="shared" si="48"/>
        <v/>
      </c>
      <c r="S1517" s="82" t="str">
        <f t="shared" si="49"/>
        <v/>
      </c>
    </row>
    <row r="1518" spans="18:19" x14ac:dyDescent="0.25">
      <c r="R1518" s="8" t="str">
        <f t="shared" si="48"/>
        <v/>
      </c>
      <c r="S1518" s="82" t="str">
        <f t="shared" si="49"/>
        <v/>
      </c>
    </row>
    <row r="1519" spans="18:19" x14ac:dyDescent="0.25">
      <c r="R1519" s="8" t="str">
        <f t="shared" si="48"/>
        <v/>
      </c>
      <c r="S1519" s="82" t="str">
        <f t="shared" si="49"/>
        <v/>
      </c>
    </row>
    <row r="1520" spans="18:19" x14ac:dyDescent="0.25">
      <c r="R1520" s="8" t="str">
        <f t="shared" si="48"/>
        <v/>
      </c>
      <c r="S1520" s="82" t="str">
        <f t="shared" si="49"/>
        <v/>
      </c>
    </row>
    <row r="1521" spans="18:19" x14ac:dyDescent="0.25">
      <c r="R1521" s="8" t="str">
        <f t="shared" si="48"/>
        <v/>
      </c>
      <c r="S1521" s="82" t="str">
        <f t="shared" si="49"/>
        <v/>
      </c>
    </row>
    <row r="1522" spans="18:19" x14ac:dyDescent="0.25">
      <c r="R1522" s="8" t="str">
        <f t="shared" si="48"/>
        <v/>
      </c>
      <c r="S1522" s="82" t="str">
        <f t="shared" si="49"/>
        <v/>
      </c>
    </row>
    <row r="1523" spans="18:19" x14ac:dyDescent="0.25">
      <c r="R1523" s="8" t="str">
        <f t="shared" si="48"/>
        <v/>
      </c>
      <c r="S1523" s="82" t="str">
        <f t="shared" si="49"/>
        <v/>
      </c>
    </row>
    <row r="1524" spans="18:19" x14ac:dyDescent="0.25">
      <c r="R1524" s="8" t="str">
        <f t="shared" si="48"/>
        <v/>
      </c>
      <c r="S1524" s="82" t="str">
        <f t="shared" si="49"/>
        <v/>
      </c>
    </row>
    <row r="1525" spans="18:19" x14ac:dyDescent="0.25">
      <c r="R1525" s="8" t="str">
        <f t="shared" si="48"/>
        <v/>
      </c>
      <c r="S1525" s="82" t="str">
        <f t="shared" si="49"/>
        <v/>
      </c>
    </row>
    <row r="1526" spans="18:19" x14ac:dyDescent="0.25">
      <c r="R1526" s="8" t="str">
        <f t="shared" si="48"/>
        <v/>
      </c>
      <c r="S1526" s="82" t="str">
        <f t="shared" si="49"/>
        <v/>
      </c>
    </row>
    <row r="1527" spans="18:19" x14ac:dyDescent="0.25">
      <c r="R1527" s="8" t="str">
        <f t="shared" si="48"/>
        <v/>
      </c>
      <c r="S1527" s="82" t="str">
        <f t="shared" si="49"/>
        <v/>
      </c>
    </row>
    <row r="1528" spans="18:19" x14ac:dyDescent="0.25">
      <c r="R1528" s="8" t="str">
        <f t="shared" si="48"/>
        <v/>
      </c>
      <c r="S1528" s="82" t="str">
        <f t="shared" si="49"/>
        <v/>
      </c>
    </row>
    <row r="1529" spans="18:19" x14ac:dyDescent="0.25">
      <c r="R1529" s="8" t="str">
        <f t="shared" si="48"/>
        <v/>
      </c>
      <c r="S1529" s="82" t="str">
        <f t="shared" si="49"/>
        <v/>
      </c>
    </row>
    <row r="1530" spans="18:19" x14ac:dyDescent="0.25">
      <c r="R1530" s="8" t="str">
        <f t="shared" si="48"/>
        <v/>
      </c>
      <c r="S1530" s="82" t="str">
        <f t="shared" si="49"/>
        <v/>
      </c>
    </row>
    <row r="1531" spans="18:19" x14ac:dyDescent="0.25">
      <c r="R1531" s="8" t="str">
        <f t="shared" si="48"/>
        <v/>
      </c>
      <c r="S1531" s="82" t="str">
        <f t="shared" si="49"/>
        <v/>
      </c>
    </row>
    <row r="1532" spans="18:19" x14ac:dyDescent="0.25">
      <c r="R1532" s="8" t="str">
        <f t="shared" si="48"/>
        <v/>
      </c>
      <c r="S1532" s="82" t="str">
        <f t="shared" si="49"/>
        <v/>
      </c>
    </row>
    <row r="1533" spans="18:19" x14ac:dyDescent="0.25">
      <c r="R1533" s="8" t="str">
        <f t="shared" si="48"/>
        <v/>
      </c>
      <c r="S1533" s="82" t="str">
        <f t="shared" si="49"/>
        <v/>
      </c>
    </row>
    <row r="1534" spans="18:19" x14ac:dyDescent="0.25">
      <c r="R1534" s="8" t="str">
        <f t="shared" si="48"/>
        <v/>
      </c>
      <c r="S1534" s="82" t="str">
        <f t="shared" si="49"/>
        <v/>
      </c>
    </row>
    <row r="1535" spans="18:19" x14ac:dyDescent="0.25">
      <c r="R1535" s="8" t="str">
        <f t="shared" si="48"/>
        <v/>
      </c>
      <c r="S1535" s="82" t="str">
        <f t="shared" si="49"/>
        <v/>
      </c>
    </row>
    <row r="1536" spans="18:19" x14ac:dyDescent="0.25">
      <c r="R1536" s="8" t="str">
        <f t="shared" si="48"/>
        <v/>
      </c>
      <c r="S1536" s="82" t="str">
        <f t="shared" si="49"/>
        <v/>
      </c>
    </row>
    <row r="1537" spans="18:19" x14ac:dyDescent="0.25">
      <c r="R1537" s="8" t="str">
        <f t="shared" si="48"/>
        <v/>
      </c>
      <c r="S1537" s="82" t="str">
        <f t="shared" si="49"/>
        <v/>
      </c>
    </row>
    <row r="1538" spans="18:19" x14ac:dyDescent="0.25">
      <c r="R1538" s="8" t="str">
        <f t="shared" si="48"/>
        <v/>
      </c>
      <c r="S1538" s="82" t="str">
        <f t="shared" si="49"/>
        <v/>
      </c>
    </row>
    <row r="1539" spans="18:19" x14ac:dyDescent="0.25">
      <c r="R1539" s="8" t="str">
        <f t="shared" si="48"/>
        <v/>
      </c>
      <c r="S1539" s="82" t="str">
        <f t="shared" si="49"/>
        <v/>
      </c>
    </row>
    <row r="1540" spans="18:19" x14ac:dyDescent="0.25">
      <c r="R1540" s="8" t="str">
        <f t="shared" si="48"/>
        <v/>
      </c>
      <c r="S1540" s="82" t="str">
        <f t="shared" si="49"/>
        <v/>
      </c>
    </row>
    <row r="1541" spans="18:19" x14ac:dyDescent="0.25">
      <c r="R1541" s="8" t="str">
        <f t="shared" si="48"/>
        <v/>
      </c>
      <c r="S1541" s="82" t="str">
        <f t="shared" si="49"/>
        <v/>
      </c>
    </row>
    <row r="1542" spans="18:19" x14ac:dyDescent="0.25">
      <c r="R1542" s="8" t="str">
        <f t="shared" si="48"/>
        <v/>
      </c>
      <c r="S1542" s="82" t="str">
        <f t="shared" si="49"/>
        <v/>
      </c>
    </row>
    <row r="1543" spans="18:19" x14ac:dyDescent="0.25">
      <c r="R1543" s="8" t="str">
        <f t="shared" si="48"/>
        <v/>
      </c>
      <c r="S1543" s="82" t="str">
        <f t="shared" si="49"/>
        <v/>
      </c>
    </row>
    <row r="1544" spans="18:19" x14ac:dyDescent="0.25">
      <c r="R1544" s="8" t="str">
        <f t="shared" ref="R1544:R1607" si="50">IF(A1544="",(""),(MONTH(A1544)))</f>
        <v/>
      </c>
      <c r="S1544" s="82" t="str">
        <f t="shared" si="49"/>
        <v/>
      </c>
    </row>
    <row r="1545" spans="18:19" x14ac:dyDescent="0.25">
      <c r="R1545" s="8" t="str">
        <f t="shared" si="50"/>
        <v/>
      </c>
      <c r="S1545" s="82" t="str">
        <f t="shared" si="49"/>
        <v/>
      </c>
    </row>
    <row r="1546" spans="18:19" x14ac:dyDescent="0.25">
      <c r="R1546" s="8" t="str">
        <f t="shared" si="50"/>
        <v/>
      </c>
      <c r="S1546" s="82" t="str">
        <f t="shared" si="49"/>
        <v/>
      </c>
    </row>
    <row r="1547" spans="18:19" x14ac:dyDescent="0.25">
      <c r="R1547" s="8" t="str">
        <f t="shared" si="50"/>
        <v/>
      </c>
      <c r="S1547" s="82" t="str">
        <f t="shared" si="49"/>
        <v/>
      </c>
    </row>
    <row r="1548" spans="18:19" x14ac:dyDescent="0.25">
      <c r="R1548" s="8" t="str">
        <f t="shared" si="50"/>
        <v/>
      </c>
      <c r="S1548" s="82" t="str">
        <f t="shared" si="49"/>
        <v/>
      </c>
    </row>
    <row r="1549" spans="18:19" x14ac:dyDescent="0.25">
      <c r="R1549" s="8" t="str">
        <f t="shared" si="50"/>
        <v/>
      </c>
      <c r="S1549" s="82" t="str">
        <f t="shared" si="49"/>
        <v/>
      </c>
    </row>
    <row r="1550" spans="18:19" x14ac:dyDescent="0.25">
      <c r="R1550" s="8" t="str">
        <f t="shared" si="50"/>
        <v/>
      </c>
      <c r="S1550" s="82" t="str">
        <f t="shared" si="49"/>
        <v/>
      </c>
    </row>
    <row r="1551" spans="18:19" x14ac:dyDescent="0.25">
      <c r="R1551" s="8" t="str">
        <f t="shared" si="50"/>
        <v/>
      </c>
      <c r="S1551" s="82" t="str">
        <f t="shared" si="49"/>
        <v/>
      </c>
    </row>
    <row r="1552" spans="18:19" x14ac:dyDescent="0.25">
      <c r="R1552" s="8" t="str">
        <f t="shared" si="50"/>
        <v/>
      </c>
      <c r="S1552" s="82" t="str">
        <f t="shared" si="49"/>
        <v/>
      </c>
    </row>
    <row r="1553" spans="18:19" x14ac:dyDescent="0.25">
      <c r="R1553" s="8" t="str">
        <f t="shared" si="50"/>
        <v/>
      </c>
      <c r="S1553" s="82" t="str">
        <f t="shared" si="49"/>
        <v/>
      </c>
    </row>
    <row r="1554" spans="18:19" x14ac:dyDescent="0.25">
      <c r="R1554" s="8" t="str">
        <f t="shared" si="50"/>
        <v/>
      </c>
      <c r="S1554" s="82" t="str">
        <f t="shared" si="49"/>
        <v/>
      </c>
    </row>
    <row r="1555" spans="18:19" x14ac:dyDescent="0.25">
      <c r="R1555" s="8" t="str">
        <f t="shared" si="50"/>
        <v/>
      </c>
      <c r="S1555" s="82" t="str">
        <f t="shared" si="49"/>
        <v/>
      </c>
    </row>
    <row r="1556" spans="18:19" x14ac:dyDescent="0.25">
      <c r="R1556" s="8" t="str">
        <f t="shared" si="50"/>
        <v/>
      </c>
      <c r="S1556" s="82" t="str">
        <f t="shared" si="49"/>
        <v/>
      </c>
    </row>
    <row r="1557" spans="18:19" x14ac:dyDescent="0.25">
      <c r="R1557" s="8" t="str">
        <f t="shared" si="50"/>
        <v/>
      </c>
      <c r="S1557" s="82" t="str">
        <f t="shared" si="49"/>
        <v/>
      </c>
    </row>
    <row r="1558" spans="18:19" x14ac:dyDescent="0.25">
      <c r="R1558" s="8" t="str">
        <f t="shared" si="50"/>
        <v/>
      </c>
      <c r="S1558" s="82" t="str">
        <f t="shared" ref="S1558:S1621" si="51">IF(O1558&gt;0,(Q1558-O1558),(IF(K1558="USD",(Q1558*J1558),((IF(B1558="",(""),(SUMIF(B1558,"11 - Factura C",(Q1558))-SUMIF(B1558,"13 - Nota de Crédito C",(Q1558))+SUMIF(B1558,"15 - Recibo C",(Q1558))+SUMIF(B1558,"109 - Tique C",(Q1558)))))))))</f>
        <v/>
      </c>
    </row>
    <row r="1559" spans="18:19" x14ac:dyDescent="0.25">
      <c r="R1559" s="8" t="str">
        <f t="shared" si="50"/>
        <v/>
      </c>
      <c r="S1559" s="82" t="str">
        <f t="shared" si="51"/>
        <v/>
      </c>
    </row>
    <row r="1560" spans="18:19" x14ac:dyDescent="0.25">
      <c r="R1560" s="8" t="str">
        <f t="shared" si="50"/>
        <v/>
      </c>
      <c r="S1560" s="82" t="str">
        <f t="shared" si="51"/>
        <v/>
      </c>
    </row>
    <row r="1561" spans="18:19" x14ac:dyDescent="0.25">
      <c r="R1561" s="8" t="str">
        <f t="shared" si="50"/>
        <v/>
      </c>
      <c r="S1561" s="82" t="str">
        <f t="shared" si="51"/>
        <v/>
      </c>
    </row>
    <row r="1562" spans="18:19" x14ac:dyDescent="0.25">
      <c r="R1562" s="8" t="str">
        <f t="shared" si="50"/>
        <v/>
      </c>
      <c r="S1562" s="82" t="str">
        <f t="shared" si="51"/>
        <v/>
      </c>
    </row>
    <row r="1563" spans="18:19" x14ac:dyDescent="0.25">
      <c r="R1563" s="8" t="str">
        <f t="shared" si="50"/>
        <v/>
      </c>
      <c r="S1563" s="82" t="str">
        <f t="shared" si="51"/>
        <v/>
      </c>
    </row>
    <row r="1564" spans="18:19" x14ac:dyDescent="0.25">
      <c r="R1564" s="8" t="str">
        <f t="shared" si="50"/>
        <v/>
      </c>
      <c r="S1564" s="82" t="str">
        <f t="shared" si="51"/>
        <v/>
      </c>
    </row>
    <row r="1565" spans="18:19" x14ac:dyDescent="0.25">
      <c r="R1565" s="8" t="str">
        <f t="shared" si="50"/>
        <v/>
      </c>
      <c r="S1565" s="82" t="str">
        <f t="shared" si="51"/>
        <v/>
      </c>
    </row>
    <row r="1566" spans="18:19" x14ac:dyDescent="0.25">
      <c r="R1566" s="8" t="str">
        <f t="shared" si="50"/>
        <v/>
      </c>
      <c r="S1566" s="82" t="str">
        <f t="shared" si="51"/>
        <v/>
      </c>
    </row>
    <row r="1567" spans="18:19" x14ac:dyDescent="0.25">
      <c r="R1567" s="8" t="str">
        <f t="shared" si="50"/>
        <v/>
      </c>
      <c r="S1567" s="82" t="str">
        <f t="shared" si="51"/>
        <v/>
      </c>
    </row>
    <row r="1568" spans="18:19" x14ac:dyDescent="0.25">
      <c r="R1568" s="8" t="str">
        <f t="shared" si="50"/>
        <v/>
      </c>
      <c r="S1568" s="82" t="str">
        <f t="shared" si="51"/>
        <v/>
      </c>
    </row>
    <row r="1569" spans="18:19" x14ac:dyDescent="0.25">
      <c r="R1569" s="8" t="str">
        <f t="shared" si="50"/>
        <v/>
      </c>
      <c r="S1569" s="82" t="str">
        <f t="shared" si="51"/>
        <v/>
      </c>
    </row>
    <row r="1570" spans="18:19" x14ac:dyDescent="0.25">
      <c r="R1570" s="8" t="str">
        <f t="shared" si="50"/>
        <v/>
      </c>
      <c r="S1570" s="82" t="str">
        <f t="shared" si="51"/>
        <v/>
      </c>
    </row>
    <row r="1571" spans="18:19" x14ac:dyDescent="0.25">
      <c r="R1571" s="8" t="str">
        <f t="shared" si="50"/>
        <v/>
      </c>
      <c r="S1571" s="82" t="str">
        <f t="shared" si="51"/>
        <v/>
      </c>
    </row>
    <row r="1572" spans="18:19" x14ac:dyDescent="0.25">
      <c r="R1572" s="8" t="str">
        <f t="shared" si="50"/>
        <v/>
      </c>
      <c r="S1572" s="82" t="str">
        <f t="shared" si="51"/>
        <v/>
      </c>
    </row>
    <row r="1573" spans="18:19" x14ac:dyDescent="0.25">
      <c r="R1573" s="8" t="str">
        <f t="shared" si="50"/>
        <v/>
      </c>
      <c r="S1573" s="82" t="str">
        <f t="shared" si="51"/>
        <v/>
      </c>
    </row>
    <row r="1574" spans="18:19" x14ac:dyDescent="0.25">
      <c r="R1574" s="8" t="str">
        <f t="shared" si="50"/>
        <v/>
      </c>
      <c r="S1574" s="82" t="str">
        <f t="shared" si="51"/>
        <v/>
      </c>
    </row>
    <row r="1575" spans="18:19" x14ac:dyDescent="0.25">
      <c r="R1575" s="8" t="str">
        <f t="shared" si="50"/>
        <v/>
      </c>
      <c r="S1575" s="82" t="str">
        <f t="shared" si="51"/>
        <v/>
      </c>
    </row>
    <row r="1576" spans="18:19" x14ac:dyDescent="0.25">
      <c r="R1576" s="8" t="str">
        <f t="shared" si="50"/>
        <v/>
      </c>
      <c r="S1576" s="82" t="str">
        <f t="shared" si="51"/>
        <v/>
      </c>
    </row>
    <row r="1577" spans="18:19" x14ac:dyDescent="0.25">
      <c r="R1577" s="8" t="str">
        <f t="shared" si="50"/>
        <v/>
      </c>
      <c r="S1577" s="82" t="str">
        <f t="shared" si="51"/>
        <v/>
      </c>
    </row>
    <row r="1578" spans="18:19" x14ac:dyDescent="0.25">
      <c r="R1578" s="8" t="str">
        <f t="shared" si="50"/>
        <v/>
      </c>
      <c r="S1578" s="82" t="str">
        <f t="shared" si="51"/>
        <v/>
      </c>
    </row>
    <row r="1579" spans="18:19" x14ac:dyDescent="0.25">
      <c r="R1579" s="8" t="str">
        <f t="shared" si="50"/>
        <v/>
      </c>
      <c r="S1579" s="82" t="str">
        <f t="shared" si="51"/>
        <v/>
      </c>
    </row>
    <row r="1580" spans="18:19" x14ac:dyDescent="0.25">
      <c r="R1580" s="8" t="str">
        <f t="shared" si="50"/>
        <v/>
      </c>
      <c r="S1580" s="82" t="str">
        <f t="shared" si="51"/>
        <v/>
      </c>
    </row>
    <row r="1581" spans="18:19" x14ac:dyDescent="0.25">
      <c r="R1581" s="8" t="str">
        <f t="shared" si="50"/>
        <v/>
      </c>
      <c r="S1581" s="82" t="str">
        <f t="shared" si="51"/>
        <v/>
      </c>
    </row>
    <row r="1582" spans="18:19" x14ac:dyDescent="0.25">
      <c r="R1582" s="8" t="str">
        <f t="shared" si="50"/>
        <v/>
      </c>
      <c r="S1582" s="82" t="str">
        <f t="shared" si="51"/>
        <v/>
      </c>
    </row>
    <row r="1583" spans="18:19" x14ac:dyDescent="0.25">
      <c r="R1583" s="8" t="str">
        <f t="shared" si="50"/>
        <v/>
      </c>
      <c r="S1583" s="82" t="str">
        <f t="shared" si="51"/>
        <v/>
      </c>
    </row>
    <row r="1584" spans="18:19" x14ac:dyDescent="0.25">
      <c r="R1584" s="8" t="str">
        <f t="shared" si="50"/>
        <v/>
      </c>
      <c r="S1584" s="82" t="str">
        <f t="shared" si="51"/>
        <v/>
      </c>
    </row>
    <row r="1585" spans="18:19" x14ac:dyDescent="0.25">
      <c r="R1585" s="8" t="str">
        <f t="shared" si="50"/>
        <v/>
      </c>
      <c r="S1585" s="82" t="str">
        <f t="shared" si="51"/>
        <v/>
      </c>
    </row>
    <row r="1586" spans="18:19" x14ac:dyDescent="0.25">
      <c r="R1586" s="8" t="str">
        <f t="shared" si="50"/>
        <v/>
      </c>
      <c r="S1586" s="82" t="str">
        <f t="shared" si="51"/>
        <v/>
      </c>
    </row>
    <row r="1587" spans="18:19" x14ac:dyDescent="0.25">
      <c r="R1587" s="8" t="str">
        <f t="shared" si="50"/>
        <v/>
      </c>
      <c r="S1587" s="82" t="str">
        <f t="shared" si="51"/>
        <v/>
      </c>
    </row>
    <row r="1588" spans="18:19" x14ac:dyDescent="0.25">
      <c r="R1588" s="8" t="str">
        <f t="shared" si="50"/>
        <v/>
      </c>
      <c r="S1588" s="82" t="str">
        <f t="shared" si="51"/>
        <v/>
      </c>
    </row>
    <row r="1589" spans="18:19" x14ac:dyDescent="0.25">
      <c r="R1589" s="8" t="str">
        <f t="shared" si="50"/>
        <v/>
      </c>
      <c r="S1589" s="82" t="str">
        <f t="shared" si="51"/>
        <v/>
      </c>
    </row>
    <row r="1590" spans="18:19" x14ac:dyDescent="0.25">
      <c r="R1590" s="8" t="str">
        <f t="shared" si="50"/>
        <v/>
      </c>
      <c r="S1590" s="82" t="str">
        <f t="shared" si="51"/>
        <v/>
      </c>
    </row>
    <row r="1591" spans="18:19" x14ac:dyDescent="0.25">
      <c r="R1591" s="8" t="str">
        <f t="shared" si="50"/>
        <v/>
      </c>
      <c r="S1591" s="82" t="str">
        <f t="shared" si="51"/>
        <v/>
      </c>
    </row>
    <row r="1592" spans="18:19" x14ac:dyDescent="0.25">
      <c r="R1592" s="8" t="str">
        <f t="shared" si="50"/>
        <v/>
      </c>
      <c r="S1592" s="82" t="str">
        <f t="shared" si="51"/>
        <v/>
      </c>
    </row>
    <row r="1593" spans="18:19" x14ac:dyDescent="0.25">
      <c r="R1593" s="8" t="str">
        <f t="shared" si="50"/>
        <v/>
      </c>
      <c r="S1593" s="82" t="str">
        <f t="shared" si="51"/>
        <v/>
      </c>
    </row>
    <row r="1594" spans="18:19" x14ac:dyDescent="0.25">
      <c r="R1594" s="8" t="str">
        <f t="shared" si="50"/>
        <v/>
      </c>
      <c r="S1594" s="82" t="str">
        <f t="shared" si="51"/>
        <v/>
      </c>
    </row>
    <row r="1595" spans="18:19" x14ac:dyDescent="0.25">
      <c r="R1595" s="8" t="str">
        <f t="shared" si="50"/>
        <v/>
      </c>
      <c r="S1595" s="82" t="str">
        <f t="shared" si="51"/>
        <v/>
      </c>
    </row>
    <row r="1596" spans="18:19" x14ac:dyDescent="0.25">
      <c r="R1596" s="8" t="str">
        <f t="shared" si="50"/>
        <v/>
      </c>
      <c r="S1596" s="82" t="str">
        <f t="shared" si="51"/>
        <v/>
      </c>
    </row>
    <row r="1597" spans="18:19" x14ac:dyDescent="0.25">
      <c r="R1597" s="8" t="str">
        <f t="shared" si="50"/>
        <v/>
      </c>
      <c r="S1597" s="82" t="str">
        <f t="shared" si="51"/>
        <v/>
      </c>
    </row>
    <row r="1598" spans="18:19" x14ac:dyDescent="0.25">
      <c r="R1598" s="8" t="str">
        <f t="shared" si="50"/>
        <v/>
      </c>
      <c r="S1598" s="82" t="str">
        <f t="shared" si="51"/>
        <v/>
      </c>
    </row>
    <row r="1599" spans="18:19" x14ac:dyDescent="0.25">
      <c r="R1599" s="8" t="str">
        <f t="shared" si="50"/>
        <v/>
      </c>
      <c r="S1599" s="82" t="str">
        <f t="shared" si="51"/>
        <v/>
      </c>
    </row>
    <row r="1600" spans="18:19" x14ac:dyDescent="0.25">
      <c r="R1600" s="8" t="str">
        <f t="shared" si="50"/>
        <v/>
      </c>
      <c r="S1600" s="82" t="str">
        <f t="shared" si="51"/>
        <v/>
      </c>
    </row>
    <row r="1601" spans="18:19" x14ac:dyDescent="0.25">
      <c r="R1601" s="8" t="str">
        <f t="shared" si="50"/>
        <v/>
      </c>
      <c r="S1601" s="82" t="str">
        <f t="shared" si="51"/>
        <v/>
      </c>
    </row>
    <row r="1602" spans="18:19" x14ac:dyDescent="0.25">
      <c r="R1602" s="8" t="str">
        <f t="shared" si="50"/>
        <v/>
      </c>
      <c r="S1602" s="82" t="str">
        <f t="shared" si="51"/>
        <v/>
      </c>
    </row>
    <row r="1603" spans="18:19" x14ac:dyDescent="0.25">
      <c r="R1603" s="8" t="str">
        <f t="shared" si="50"/>
        <v/>
      </c>
      <c r="S1603" s="82" t="str">
        <f t="shared" si="51"/>
        <v/>
      </c>
    </row>
    <row r="1604" spans="18:19" x14ac:dyDescent="0.25">
      <c r="R1604" s="8" t="str">
        <f t="shared" si="50"/>
        <v/>
      </c>
      <c r="S1604" s="82" t="str">
        <f t="shared" si="51"/>
        <v/>
      </c>
    </row>
    <row r="1605" spans="18:19" x14ac:dyDescent="0.25">
      <c r="R1605" s="8" t="str">
        <f t="shared" si="50"/>
        <v/>
      </c>
      <c r="S1605" s="82" t="str">
        <f t="shared" si="51"/>
        <v/>
      </c>
    </row>
    <row r="1606" spans="18:19" x14ac:dyDescent="0.25">
      <c r="R1606" s="8" t="str">
        <f t="shared" si="50"/>
        <v/>
      </c>
      <c r="S1606" s="82" t="str">
        <f t="shared" si="51"/>
        <v/>
      </c>
    </row>
    <row r="1607" spans="18:19" x14ac:dyDescent="0.25">
      <c r="R1607" s="8" t="str">
        <f t="shared" si="50"/>
        <v/>
      </c>
      <c r="S1607" s="82" t="str">
        <f t="shared" si="51"/>
        <v/>
      </c>
    </row>
    <row r="1608" spans="18:19" x14ac:dyDescent="0.25">
      <c r="R1608" s="8" t="str">
        <f t="shared" ref="R1608:R1671" si="52">IF(A1608="",(""),(MONTH(A1608)))</f>
        <v/>
      </c>
      <c r="S1608" s="82" t="str">
        <f t="shared" si="51"/>
        <v/>
      </c>
    </row>
    <row r="1609" spans="18:19" x14ac:dyDescent="0.25">
      <c r="R1609" s="8" t="str">
        <f t="shared" si="52"/>
        <v/>
      </c>
      <c r="S1609" s="82" t="str">
        <f t="shared" si="51"/>
        <v/>
      </c>
    </row>
    <row r="1610" spans="18:19" x14ac:dyDescent="0.25">
      <c r="R1610" s="8" t="str">
        <f t="shared" si="52"/>
        <v/>
      </c>
      <c r="S1610" s="82" t="str">
        <f t="shared" si="51"/>
        <v/>
      </c>
    </row>
    <row r="1611" spans="18:19" x14ac:dyDescent="0.25">
      <c r="R1611" s="8" t="str">
        <f t="shared" si="52"/>
        <v/>
      </c>
      <c r="S1611" s="82" t="str">
        <f t="shared" si="51"/>
        <v/>
      </c>
    </row>
    <row r="1612" spans="18:19" x14ac:dyDescent="0.25">
      <c r="R1612" s="8" t="str">
        <f t="shared" si="52"/>
        <v/>
      </c>
      <c r="S1612" s="82" t="str">
        <f t="shared" si="51"/>
        <v/>
      </c>
    </row>
    <row r="1613" spans="18:19" x14ac:dyDescent="0.25">
      <c r="R1613" s="8" t="str">
        <f t="shared" si="52"/>
        <v/>
      </c>
      <c r="S1613" s="82" t="str">
        <f t="shared" si="51"/>
        <v/>
      </c>
    </row>
    <row r="1614" spans="18:19" x14ac:dyDescent="0.25">
      <c r="R1614" s="8" t="str">
        <f t="shared" si="52"/>
        <v/>
      </c>
      <c r="S1614" s="82" t="str">
        <f t="shared" si="51"/>
        <v/>
      </c>
    </row>
    <row r="1615" spans="18:19" x14ac:dyDescent="0.25">
      <c r="R1615" s="8" t="str">
        <f t="shared" si="52"/>
        <v/>
      </c>
      <c r="S1615" s="82" t="str">
        <f t="shared" si="51"/>
        <v/>
      </c>
    </row>
    <row r="1616" spans="18:19" x14ac:dyDescent="0.25">
      <c r="R1616" s="8" t="str">
        <f t="shared" si="52"/>
        <v/>
      </c>
      <c r="S1616" s="82" t="str">
        <f t="shared" si="51"/>
        <v/>
      </c>
    </row>
    <row r="1617" spans="18:19" x14ac:dyDescent="0.25">
      <c r="R1617" s="8" t="str">
        <f t="shared" si="52"/>
        <v/>
      </c>
      <c r="S1617" s="82" t="str">
        <f t="shared" si="51"/>
        <v/>
      </c>
    </row>
    <row r="1618" spans="18:19" x14ac:dyDescent="0.25">
      <c r="R1618" s="8" t="str">
        <f t="shared" si="52"/>
        <v/>
      </c>
      <c r="S1618" s="82" t="str">
        <f t="shared" si="51"/>
        <v/>
      </c>
    </row>
    <row r="1619" spans="18:19" x14ac:dyDescent="0.25">
      <c r="R1619" s="8" t="str">
        <f t="shared" si="52"/>
        <v/>
      </c>
      <c r="S1619" s="82" t="str">
        <f t="shared" si="51"/>
        <v/>
      </c>
    </row>
    <row r="1620" spans="18:19" x14ac:dyDescent="0.25">
      <c r="R1620" s="8" t="str">
        <f t="shared" si="52"/>
        <v/>
      </c>
      <c r="S1620" s="82" t="str">
        <f t="shared" si="51"/>
        <v/>
      </c>
    </row>
    <row r="1621" spans="18:19" x14ac:dyDescent="0.25">
      <c r="R1621" s="8" t="str">
        <f t="shared" si="52"/>
        <v/>
      </c>
      <c r="S1621" s="82" t="str">
        <f t="shared" si="51"/>
        <v/>
      </c>
    </row>
    <row r="1622" spans="18:19" x14ac:dyDescent="0.25">
      <c r="R1622" s="8" t="str">
        <f t="shared" si="52"/>
        <v/>
      </c>
      <c r="S1622" s="82" t="str">
        <f t="shared" ref="S1622:S1685" si="53">IF(O1622&gt;0,(Q1622-O1622),(IF(K1622="USD",(Q1622*J1622),((IF(B1622="",(""),(SUMIF(B1622,"11 - Factura C",(Q1622))-SUMIF(B1622,"13 - Nota de Crédito C",(Q1622))+SUMIF(B1622,"15 - Recibo C",(Q1622))+SUMIF(B1622,"109 - Tique C",(Q1622)))))))))</f>
        <v/>
      </c>
    </row>
    <row r="1623" spans="18:19" x14ac:dyDescent="0.25">
      <c r="R1623" s="8" t="str">
        <f t="shared" si="52"/>
        <v/>
      </c>
      <c r="S1623" s="82" t="str">
        <f t="shared" si="53"/>
        <v/>
      </c>
    </row>
    <row r="1624" spans="18:19" x14ac:dyDescent="0.25">
      <c r="R1624" s="8" t="str">
        <f t="shared" si="52"/>
        <v/>
      </c>
      <c r="S1624" s="82" t="str">
        <f t="shared" si="53"/>
        <v/>
      </c>
    </row>
    <row r="1625" spans="18:19" x14ac:dyDescent="0.25">
      <c r="R1625" s="8" t="str">
        <f t="shared" si="52"/>
        <v/>
      </c>
      <c r="S1625" s="82" t="str">
        <f t="shared" si="53"/>
        <v/>
      </c>
    </row>
    <row r="1626" spans="18:19" x14ac:dyDescent="0.25">
      <c r="R1626" s="8" t="str">
        <f t="shared" si="52"/>
        <v/>
      </c>
      <c r="S1626" s="82" t="str">
        <f t="shared" si="53"/>
        <v/>
      </c>
    </row>
    <row r="1627" spans="18:19" x14ac:dyDescent="0.25">
      <c r="R1627" s="8" t="str">
        <f t="shared" si="52"/>
        <v/>
      </c>
      <c r="S1627" s="82" t="str">
        <f t="shared" si="53"/>
        <v/>
      </c>
    </row>
    <row r="1628" spans="18:19" x14ac:dyDescent="0.25">
      <c r="R1628" s="8" t="str">
        <f t="shared" si="52"/>
        <v/>
      </c>
      <c r="S1628" s="82" t="str">
        <f t="shared" si="53"/>
        <v/>
      </c>
    </row>
    <row r="1629" spans="18:19" x14ac:dyDescent="0.25">
      <c r="R1629" s="8" t="str">
        <f t="shared" si="52"/>
        <v/>
      </c>
      <c r="S1629" s="82" t="str">
        <f t="shared" si="53"/>
        <v/>
      </c>
    </row>
    <row r="1630" spans="18:19" x14ac:dyDescent="0.25">
      <c r="R1630" s="8" t="str">
        <f t="shared" si="52"/>
        <v/>
      </c>
      <c r="S1630" s="82" t="str">
        <f t="shared" si="53"/>
        <v/>
      </c>
    </row>
    <row r="1631" spans="18:19" x14ac:dyDescent="0.25">
      <c r="R1631" s="8" t="str">
        <f t="shared" si="52"/>
        <v/>
      </c>
      <c r="S1631" s="82" t="str">
        <f t="shared" si="53"/>
        <v/>
      </c>
    </row>
    <row r="1632" spans="18:19" x14ac:dyDescent="0.25">
      <c r="R1632" s="8" t="str">
        <f t="shared" si="52"/>
        <v/>
      </c>
      <c r="S1632" s="82" t="str">
        <f t="shared" si="53"/>
        <v/>
      </c>
    </row>
    <row r="1633" spans="18:19" x14ac:dyDescent="0.25">
      <c r="R1633" s="8" t="str">
        <f t="shared" si="52"/>
        <v/>
      </c>
      <c r="S1633" s="82" t="str">
        <f t="shared" si="53"/>
        <v/>
      </c>
    </row>
    <row r="1634" spans="18:19" x14ac:dyDescent="0.25">
      <c r="R1634" s="8" t="str">
        <f t="shared" si="52"/>
        <v/>
      </c>
      <c r="S1634" s="82" t="str">
        <f t="shared" si="53"/>
        <v/>
      </c>
    </row>
    <row r="1635" spans="18:19" x14ac:dyDescent="0.25">
      <c r="R1635" s="8" t="str">
        <f t="shared" si="52"/>
        <v/>
      </c>
      <c r="S1635" s="82" t="str">
        <f t="shared" si="53"/>
        <v/>
      </c>
    </row>
    <row r="1636" spans="18:19" x14ac:dyDescent="0.25">
      <c r="R1636" s="8" t="str">
        <f t="shared" si="52"/>
        <v/>
      </c>
      <c r="S1636" s="82" t="str">
        <f t="shared" si="53"/>
        <v/>
      </c>
    </row>
    <row r="1637" spans="18:19" x14ac:dyDescent="0.25">
      <c r="R1637" s="8" t="str">
        <f t="shared" si="52"/>
        <v/>
      </c>
      <c r="S1637" s="82" t="str">
        <f t="shared" si="53"/>
        <v/>
      </c>
    </row>
    <row r="1638" spans="18:19" x14ac:dyDescent="0.25">
      <c r="R1638" s="8" t="str">
        <f t="shared" si="52"/>
        <v/>
      </c>
      <c r="S1638" s="82" t="str">
        <f t="shared" si="53"/>
        <v/>
      </c>
    </row>
    <row r="1639" spans="18:19" x14ac:dyDescent="0.25">
      <c r="R1639" s="8" t="str">
        <f t="shared" si="52"/>
        <v/>
      </c>
      <c r="S1639" s="82" t="str">
        <f t="shared" si="53"/>
        <v/>
      </c>
    </row>
    <row r="1640" spans="18:19" x14ac:dyDescent="0.25">
      <c r="R1640" s="8" t="str">
        <f t="shared" si="52"/>
        <v/>
      </c>
      <c r="S1640" s="82" t="str">
        <f t="shared" si="53"/>
        <v/>
      </c>
    </row>
    <row r="1641" spans="18:19" x14ac:dyDescent="0.25">
      <c r="R1641" s="8" t="str">
        <f t="shared" si="52"/>
        <v/>
      </c>
      <c r="S1641" s="82" t="str">
        <f t="shared" si="53"/>
        <v/>
      </c>
    </row>
    <row r="1642" spans="18:19" x14ac:dyDescent="0.25">
      <c r="R1642" s="8" t="str">
        <f t="shared" si="52"/>
        <v/>
      </c>
      <c r="S1642" s="82" t="str">
        <f t="shared" si="53"/>
        <v/>
      </c>
    </row>
    <row r="1643" spans="18:19" x14ac:dyDescent="0.25">
      <c r="R1643" s="8" t="str">
        <f t="shared" si="52"/>
        <v/>
      </c>
      <c r="S1643" s="82" t="str">
        <f t="shared" si="53"/>
        <v/>
      </c>
    </row>
    <row r="1644" spans="18:19" x14ac:dyDescent="0.25">
      <c r="R1644" s="8" t="str">
        <f t="shared" si="52"/>
        <v/>
      </c>
      <c r="S1644" s="82" t="str">
        <f t="shared" si="53"/>
        <v/>
      </c>
    </row>
    <row r="1645" spans="18:19" x14ac:dyDescent="0.25">
      <c r="R1645" s="8" t="str">
        <f t="shared" si="52"/>
        <v/>
      </c>
      <c r="S1645" s="82" t="str">
        <f t="shared" si="53"/>
        <v/>
      </c>
    </row>
    <row r="1646" spans="18:19" x14ac:dyDescent="0.25">
      <c r="R1646" s="8" t="str">
        <f t="shared" si="52"/>
        <v/>
      </c>
      <c r="S1646" s="82" t="str">
        <f t="shared" si="53"/>
        <v/>
      </c>
    </row>
    <row r="1647" spans="18:19" x14ac:dyDescent="0.25">
      <c r="R1647" s="8" t="str">
        <f t="shared" si="52"/>
        <v/>
      </c>
      <c r="S1647" s="82" t="str">
        <f t="shared" si="53"/>
        <v/>
      </c>
    </row>
    <row r="1648" spans="18:19" x14ac:dyDescent="0.25">
      <c r="R1648" s="8" t="str">
        <f t="shared" si="52"/>
        <v/>
      </c>
      <c r="S1648" s="82" t="str">
        <f t="shared" si="53"/>
        <v/>
      </c>
    </row>
    <row r="1649" spans="18:19" x14ac:dyDescent="0.25">
      <c r="R1649" s="8" t="str">
        <f t="shared" si="52"/>
        <v/>
      </c>
      <c r="S1649" s="82" t="str">
        <f t="shared" si="53"/>
        <v/>
      </c>
    </row>
    <row r="1650" spans="18:19" x14ac:dyDescent="0.25">
      <c r="R1650" s="8" t="str">
        <f t="shared" si="52"/>
        <v/>
      </c>
      <c r="S1650" s="82" t="str">
        <f t="shared" si="53"/>
        <v/>
      </c>
    </row>
    <row r="1651" spans="18:19" x14ac:dyDescent="0.25">
      <c r="R1651" s="8" t="str">
        <f t="shared" si="52"/>
        <v/>
      </c>
      <c r="S1651" s="82" t="str">
        <f t="shared" si="53"/>
        <v/>
      </c>
    </row>
    <row r="1652" spans="18:19" x14ac:dyDescent="0.25">
      <c r="R1652" s="8" t="str">
        <f t="shared" si="52"/>
        <v/>
      </c>
      <c r="S1652" s="82" t="str">
        <f t="shared" si="53"/>
        <v/>
      </c>
    </row>
    <row r="1653" spans="18:19" x14ac:dyDescent="0.25">
      <c r="R1653" s="8" t="str">
        <f t="shared" si="52"/>
        <v/>
      </c>
      <c r="S1653" s="82" t="str">
        <f t="shared" si="53"/>
        <v/>
      </c>
    </row>
    <row r="1654" spans="18:19" x14ac:dyDescent="0.25">
      <c r="R1654" s="8" t="str">
        <f t="shared" si="52"/>
        <v/>
      </c>
      <c r="S1654" s="82" t="str">
        <f t="shared" si="53"/>
        <v/>
      </c>
    </row>
    <row r="1655" spans="18:19" x14ac:dyDescent="0.25">
      <c r="R1655" s="8" t="str">
        <f t="shared" si="52"/>
        <v/>
      </c>
      <c r="S1655" s="82" t="str">
        <f t="shared" si="53"/>
        <v/>
      </c>
    </row>
    <row r="1656" spans="18:19" x14ac:dyDescent="0.25">
      <c r="R1656" s="8" t="str">
        <f t="shared" si="52"/>
        <v/>
      </c>
      <c r="S1656" s="82" t="str">
        <f t="shared" si="53"/>
        <v/>
      </c>
    </row>
    <row r="1657" spans="18:19" x14ac:dyDescent="0.25">
      <c r="R1657" s="8" t="str">
        <f t="shared" si="52"/>
        <v/>
      </c>
      <c r="S1657" s="82" t="str">
        <f t="shared" si="53"/>
        <v/>
      </c>
    </row>
    <row r="1658" spans="18:19" x14ac:dyDescent="0.25">
      <c r="R1658" s="8" t="str">
        <f t="shared" si="52"/>
        <v/>
      </c>
      <c r="S1658" s="82" t="str">
        <f t="shared" si="53"/>
        <v/>
      </c>
    </row>
    <row r="1659" spans="18:19" x14ac:dyDescent="0.25">
      <c r="R1659" s="8" t="str">
        <f t="shared" si="52"/>
        <v/>
      </c>
      <c r="S1659" s="82" t="str">
        <f t="shared" si="53"/>
        <v/>
      </c>
    </row>
    <row r="1660" spans="18:19" x14ac:dyDescent="0.25">
      <c r="R1660" s="8" t="str">
        <f t="shared" si="52"/>
        <v/>
      </c>
      <c r="S1660" s="82" t="str">
        <f t="shared" si="53"/>
        <v/>
      </c>
    </row>
    <row r="1661" spans="18:19" x14ac:dyDescent="0.25">
      <c r="R1661" s="8" t="str">
        <f t="shared" si="52"/>
        <v/>
      </c>
      <c r="S1661" s="82" t="str">
        <f t="shared" si="53"/>
        <v/>
      </c>
    </row>
    <row r="1662" spans="18:19" x14ac:dyDescent="0.25">
      <c r="R1662" s="8" t="str">
        <f t="shared" si="52"/>
        <v/>
      </c>
      <c r="S1662" s="82" t="str">
        <f t="shared" si="53"/>
        <v/>
      </c>
    </row>
    <row r="1663" spans="18:19" x14ac:dyDescent="0.25">
      <c r="R1663" s="8" t="str">
        <f t="shared" si="52"/>
        <v/>
      </c>
      <c r="S1663" s="82" t="str">
        <f t="shared" si="53"/>
        <v/>
      </c>
    </row>
    <row r="1664" spans="18:19" x14ac:dyDescent="0.25">
      <c r="R1664" s="8" t="str">
        <f t="shared" si="52"/>
        <v/>
      </c>
      <c r="S1664" s="82" t="str">
        <f t="shared" si="53"/>
        <v/>
      </c>
    </row>
    <row r="1665" spans="18:19" x14ac:dyDescent="0.25">
      <c r="R1665" s="8" t="str">
        <f t="shared" si="52"/>
        <v/>
      </c>
      <c r="S1665" s="82" t="str">
        <f t="shared" si="53"/>
        <v/>
      </c>
    </row>
    <row r="1666" spans="18:19" x14ac:dyDescent="0.25">
      <c r="R1666" s="8" t="str">
        <f t="shared" si="52"/>
        <v/>
      </c>
      <c r="S1666" s="82" t="str">
        <f t="shared" si="53"/>
        <v/>
      </c>
    </row>
    <row r="1667" spans="18:19" x14ac:dyDescent="0.25">
      <c r="R1667" s="8" t="str">
        <f t="shared" si="52"/>
        <v/>
      </c>
      <c r="S1667" s="82" t="str">
        <f t="shared" si="53"/>
        <v/>
      </c>
    </row>
    <row r="1668" spans="18:19" x14ac:dyDescent="0.25">
      <c r="R1668" s="8" t="str">
        <f t="shared" si="52"/>
        <v/>
      </c>
      <c r="S1668" s="82" t="str">
        <f t="shared" si="53"/>
        <v/>
      </c>
    </row>
    <row r="1669" spans="18:19" x14ac:dyDescent="0.25">
      <c r="R1669" s="8" t="str">
        <f t="shared" si="52"/>
        <v/>
      </c>
      <c r="S1669" s="82" t="str">
        <f t="shared" si="53"/>
        <v/>
      </c>
    </row>
    <row r="1670" spans="18:19" x14ac:dyDescent="0.25">
      <c r="R1670" s="8" t="str">
        <f t="shared" si="52"/>
        <v/>
      </c>
      <c r="S1670" s="82" t="str">
        <f t="shared" si="53"/>
        <v/>
      </c>
    </row>
    <row r="1671" spans="18:19" x14ac:dyDescent="0.25">
      <c r="R1671" s="8" t="str">
        <f t="shared" si="52"/>
        <v/>
      </c>
      <c r="S1671" s="82" t="str">
        <f t="shared" si="53"/>
        <v/>
      </c>
    </row>
    <row r="1672" spans="18:19" x14ac:dyDescent="0.25">
      <c r="R1672" s="8" t="str">
        <f t="shared" ref="R1672:R1735" si="54">IF(A1672="",(""),(MONTH(A1672)))</f>
        <v/>
      </c>
      <c r="S1672" s="82" t="str">
        <f t="shared" si="53"/>
        <v/>
      </c>
    </row>
    <row r="1673" spans="18:19" x14ac:dyDescent="0.25">
      <c r="R1673" s="8" t="str">
        <f t="shared" si="54"/>
        <v/>
      </c>
      <c r="S1673" s="82" t="str">
        <f t="shared" si="53"/>
        <v/>
      </c>
    </row>
    <row r="1674" spans="18:19" x14ac:dyDescent="0.25">
      <c r="R1674" s="8" t="str">
        <f t="shared" si="54"/>
        <v/>
      </c>
      <c r="S1674" s="82" t="str">
        <f t="shared" si="53"/>
        <v/>
      </c>
    </row>
    <row r="1675" spans="18:19" x14ac:dyDescent="0.25">
      <c r="R1675" s="8" t="str">
        <f t="shared" si="54"/>
        <v/>
      </c>
      <c r="S1675" s="82" t="str">
        <f t="shared" si="53"/>
        <v/>
      </c>
    </row>
    <row r="1676" spans="18:19" x14ac:dyDescent="0.25">
      <c r="R1676" s="8" t="str">
        <f t="shared" si="54"/>
        <v/>
      </c>
      <c r="S1676" s="82" t="str">
        <f t="shared" si="53"/>
        <v/>
      </c>
    </row>
    <row r="1677" spans="18:19" x14ac:dyDescent="0.25">
      <c r="R1677" s="8" t="str">
        <f t="shared" si="54"/>
        <v/>
      </c>
      <c r="S1677" s="82" t="str">
        <f t="shared" si="53"/>
        <v/>
      </c>
    </row>
    <row r="1678" spans="18:19" x14ac:dyDescent="0.25">
      <c r="R1678" s="8" t="str">
        <f t="shared" si="54"/>
        <v/>
      </c>
      <c r="S1678" s="82" t="str">
        <f t="shared" si="53"/>
        <v/>
      </c>
    </row>
    <row r="1679" spans="18:19" x14ac:dyDescent="0.25">
      <c r="R1679" s="8" t="str">
        <f t="shared" si="54"/>
        <v/>
      </c>
      <c r="S1679" s="82" t="str">
        <f t="shared" si="53"/>
        <v/>
      </c>
    </row>
    <row r="1680" spans="18:19" x14ac:dyDescent="0.25">
      <c r="R1680" s="8" t="str">
        <f t="shared" si="54"/>
        <v/>
      </c>
      <c r="S1680" s="82" t="str">
        <f t="shared" si="53"/>
        <v/>
      </c>
    </row>
    <row r="1681" spans="18:19" x14ac:dyDescent="0.25">
      <c r="R1681" s="8" t="str">
        <f t="shared" si="54"/>
        <v/>
      </c>
      <c r="S1681" s="82" t="str">
        <f t="shared" si="53"/>
        <v/>
      </c>
    </row>
    <row r="1682" spans="18:19" x14ac:dyDescent="0.25">
      <c r="R1682" s="8" t="str">
        <f t="shared" si="54"/>
        <v/>
      </c>
      <c r="S1682" s="82" t="str">
        <f t="shared" si="53"/>
        <v/>
      </c>
    </row>
    <row r="1683" spans="18:19" x14ac:dyDescent="0.25">
      <c r="R1683" s="8" t="str">
        <f t="shared" si="54"/>
        <v/>
      </c>
      <c r="S1683" s="82" t="str">
        <f t="shared" si="53"/>
        <v/>
      </c>
    </row>
    <row r="1684" spans="18:19" x14ac:dyDescent="0.25">
      <c r="R1684" s="8" t="str">
        <f t="shared" si="54"/>
        <v/>
      </c>
      <c r="S1684" s="82" t="str">
        <f t="shared" si="53"/>
        <v/>
      </c>
    </row>
    <row r="1685" spans="18:19" x14ac:dyDescent="0.25">
      <c r="R1685" s="8" t="str">
        <f t="shared" si="54"/>
        <v/>
      </c>
      <c r="S1685" s="82" t="str">
        <f t="shared" si="53"/>
        <v/>
      </c>
    </row>
    <row r="1686" spans="18:19" x14ac:dyDescent="0.25">
      <c r="R1686" s="8" t="str">
        <f t="shared" si="54"/>
        <v/>
      </c>
      <c r="S1686" s="82" t="str">
        <f t="shared" ref="S1686:S1749" si="55">IF(O1686&gt;0,(Q1686-O1686),(IF(K1686="USD",(Q1686*J1686),((IF(B1686="",(""),(SUMIF(B1686,"11 - Factura C",(Q1686))-SUMIF(B1686,"13 - Nota de Crédito C",(Q1686))+SUMIF(B1686,"15 - Recibo C",(Q1686))+SUMIF(B1686,"109 - Tique C",(Q1686)))))))))</f>
        <v/>
      </c>
    </row>
    <row r="1687" spans="18:19" x14ac:dyDescent="0.25">
      <c r="R1687" s="8" t="str">
        <f t="shared" si="54"/>
        <v/>
      </c>
      <c r="S1687" s="82" t="str">
        <f t="shared" si="55"/>
        <v/>
      </c>
    </row>
    <row r="1688" spans="18:19" x14ac:dyDescent="0.25">
      <c r="R1688" s="8" t="str">
        <f t="shared" si="54"/>
        <v/>
      </c>
      <c r="S1688" s="82" t="str">
        <f t="shared" si="55"/>
        <v/>
      </c>
    </row>
    <row r="1689" spans="18:19" x14ac:dyDescent="0.25">
      <c r="R1689" s="8" t="str">
        <f t="shared" si="54"/>
        <v/>
      </c>
      <c r="S1689" s="82" t="str">
        <f t="shared" si="55"/>
        <v/>
      </c>
    </row>
    <row r="1690" spans="18:19" x14ac:dyDescent="0.25">
      <c r="R1690" s="8" t="str">
        <f t="shared" si="54"/>
        <v/>
      </c>
      <c r="S1690" s="82" t="str">
        <f t="shared" si="55"/>
        <v/>
      </c>
    </row>
    <row r="1691" spans="18:19" x14ac:dyDescent="0.25">
      <c r="R1691" s="8" t="str">
        <f t="shared" si="54"/>
        <v/>
      </c>
      <c r="S1691" s="82" t="str">
        <f t="shared" si="55"/>
        <v/>
      </c>
    </row>
    <row r="1692" spans="18:19" x14ac:dyDescent="0.25">
      <c r="R1692" s="8" t="str">
        <f t="shared" si="54"/>
        <v/>
      </c>
      <c r="S1692" s="82" t="str">
        <f t="shared" si="55"/>
        <v/>
      </c>
    </row>
    <row r="1693" spans="18:19" x14ac:dyDescent="0.25">
      <c r="R1693" s="8" t="str">
        <f t="shared" si="54"/>
        <v/>
      </c>
      <c r="S1693" s="82" t="str">
        <f t="shared" si="55"/>
        <v/>
      </c>
    </row>
    <row r="1694" spans="18:19" x14ac:dyDescent="0.25">
      <c r="R1694" s="8" t="str">
        <f t="shared" si="54"/>
        <v/>
      </c>
      <c r="S1694" s="82" t="str">
        <f t="shared" si="55"/>
        <v/>
      </c>
    </row>
    <row r="1695" spans="18:19" x14ac:dyDescent="0.25">
      <c r="R1695" s="8" t="str">
        <f t="shared" si="54"/>
        <v/>
      </c>
      <c r="S1695" s="82" t="str">
        <f t="shared" si="55"/>
        <v/>
      </c>
    </row>
    <row r="1696" spans="18:19" x14ac:dyDescent="0.25">
      <c r="R1696" s="8" t="str">
        <f t="shared" si="54"/>
        <v/>
      </c>
      <c r="S1696" s="82" t="str">
        <f t="shared" si="55"/>
        <v/>
      </c>
    </row>
    <row r="1697" spans="18:19" x14ac:dyDescent="0.25">
      <c r="R1697" s="8" t="str">
        <f t="shared" si="54"/>
        <v/>
      </c>
      <c r="S1697" s="82" t="str">
        <f t="shared" si="55"/>
        <v/>
      </c>
    </row>
    <row r="1698" spans="18:19" x14ac:dyDescent="0.25">
      <c r="R1698" s="8" t="str">
        <f t="shared" si="54"/>
        <v/>
      </c>
      <c r="S1698" s="82" t="str">
        <f t="shared" si="55"/>
        <v/>
      </c>
    </row>
    <row r="1699" spans="18:19" x14ac:dyDescent="0.25">
      <c r="R1699" s="8" t="str">
        <f t="shared" si="54"/>
        <v/>
      </c>
      <c r="S1699" s="82" t="str">
        <f t="shared" si="55"/>
        <v/>
      </c>
    </row>
    <row r="1700" spans="18:19" x14ac:dyDescent="0.25">
      <c r="R1700" s="8" t="str">
        <f t="shared" si="54"/>
        <v/>
      </c>
      <c r="S1700" s="82" t="str">
        <f t="shared" si="55"/>
        <v/>
      </c>
    </row>
    <row r="1701" spans="18:19" x14ac:dyDescent="0.25">
      <c r="R1701" s="8" t="str">
        <f t="shared" si="54"/>
        <v/>
      </c>
      <c r="S1701" s="82" t="str">
        <f t="shared" si="55"/>
        <v/>
      </c>
    </row>
    <row r="1702" spans="18:19" x14ac:dyDescent="0.25">
      <c r="R1702" s="8" t="str">
        <f t="shared" si="54"/>
        <v/>
      </c>
      <c r="S1702" s="82" t="str">
        <f t="shared" si="55"/>
        <v/>
      </c>
    </row>
    <row r="1703" spans="18:19" x14ac:dyDescent="0.25">
      <c r="R1703" s="8" t="str">
        <f t="shared" si="54"/>
        <v/>
      </c>
      <c r="S1703" s="82" t="str">
        <f t="shared" si="55"/>
        <v/>
      </c>
    </row>
    <row r="1704" spans="18:19" x14ac:dyDescent="0.25">
      <c r="R1704" s="8" t="str">
        <f t="shared" si="54"/>
        <v/>
      </c>
      <c r="S1704" s="82" t="str">
        <f t="shared" si="55"/>
        <v/>
      </c>
    </row>
    <row r="1705" spans="18:19" x14ac:dyDescent="0.25">
      <c r="R1705" s="8" t="str">
        <f t="shared" si="54"/>
        <v/>
      </c>
      <c r="S1705" s="82" t="str">
        <f t="shared" si="55"/>
        <v/>
      </c>
    </row>
    <row r="1706" spans="18:19" x14ac:dyDescent="0.25">
      <c r="R1706" s="8" t="str">
        <f t="shared" si="54"/>
        <v/>
      </c>
      <c r="S1706" s="82" t="str">
        <f t="shared" si="55"/>
        <v/>
      </c>
    </row>
    <row r="1707" spans="18:19" x14ac:dyDescent="0.25">
      <c r="R1707" s="8" t="str">
        <f t="shared" si="54"/>
        <v/>
      </c>
      <c r="S1707" s="82" t="str">
        <f t="shared" si="55"/>
        <v/>
      </c>
    </row>
    <row r="1708" spans="18:19" x14ac:dyDescent="0.25">
      <c r="R1708" s="8" t="str">
        <f t="shared" si="54"/>
        <v/>
      </c>
      <c r="S1708" s="82" t="str">
        <f t="shared" si="55"/>
        <v/>
      </c>
    </row>
    <row r="1709" spans="18:19" x14ac:dyDescent="0.25">
      <c r="R1709" s="8" t="str">
        <f t="shared" si="54"/>
        <v/>
      </c>
      <c r="S1709" s="82" t="str">
        <f t="shared" si="55"/>
        <v/>
      </c>
    </row>
    <row r="1710" spans="18:19" x14ac:dyDescent="0.25">
      <c r="R1710" s="8" t="str">
        <f t="shared" si="54"/>
        <v/>
      </c>
      <c r="S1710" s="82" t="str">
        <f t="shared" si="55"/>
        <v/>
      </c>
    </row>
    <row r="1711" spans="18:19" x14ac:dyDescent="0.25">
      <c r="R1711" s="8" t="str">
        <f t="shared" si="54"/>
        <v/>
      </c>
      <c r="S1711" s="82" t="str">
        <f t="shared" si="55"/>
        <v/>
      </c>
    </row>
    <row r="1712" spans="18:19" x14ac:dyDescent="0.25">
      <c r="R1712" s="8" t="str">
        <f t="shared" si="54"/>
        <v/>
      </c>
      <c r="S1712" s="82" t="str">
        <f t="shared" si="55"/>
        <v/>
      </c>
    </row>
    <row r="1713" spans="18:19" x14ac:dyDescent="0.25">
      <c r="R1713" s="8" t="str">
        <f t="shared" si="54"/>
        <v/>
      </c>
      <c r="S1713" s="82" t="str">
        <f t="shared" si="55"/>
        <v/>
      </c>
    </row>
    <row r="1714" spans="18:19" x14ac:dyDescent="0.25">
      <c r="R1714" s="8" t="str">
        <f t="shared" si="54"/>
        <v/>
      </c>
      <c r="S1714" s="82" t="str">
        <f t="shared" si="55"/>
        <v/>
      </c>
    </row>
    <row r="1715" spans="18:19" x14ac:dyDescent="0.25">
      <c r="R1715" s="8" t="str">
        <f t="shared" si="54"/>
        <v/>
      </c>
      <c r="S1715" s="82" t="str">
        <f t="shared" si="55"/>
        <v/>
      </c>
    </row>
    <row r="1716" spans="18:19" x14ac:dyDescent="0.25">
      <c r="R1716" s="8" t="str">
        <f t="shared" si="54"/>
        <v/>
      </c>
      <c r="S1716" s="82" t="str">
        <f t="shared" si="55"/>
        <v/>
      </c>
    </row>
    <row r="1717" spans="18:19" x14ac:dyDescent="0.25">
      <c r="R1717" s="8" t="str">
        <f t="shared" si="54"/>
        <v/>
      </c>
      <c r="S1717" s="82" t="str">
        <f t="shared" si="55"/>
        <v/>
      </c>
    </row>
    <row r="1718" spans="18:19" x14ac:dyDescent="0.25">
      <c r="R1718" s="8" t="str">
        <f t="shared" si="54"/>
        <v/>
      </c>
      <c r="S1718" s="82" t="str">
        <f t="shared" si="55"/>
        <v/>
      </c>
    </row>
    <row r="1719" spans="18:19" x14ac:dyDescent="0.25">
      <c r="R1719" s="8" t="str">
        <f t="shared" si="54"/>
        <v/>
      </c>
      <c r="S1719" s="82" t="str">
        <f t="shared" si="55"/>
        <v/>
      </c>
    </row>
    <row r="1720" spans="18:19" x14ac:dyDescent="0.25">
      <c r="R1720" s="8" t="str">
        <f t="shared" si="54"/>
        <v/>
      </c>
      <c r="S1720" s="82" t="str">
        <f t="shared" si="55"/>
        <v/>
      </c>
    </row>
    <row r="1721" spans="18:19" x14ac:dyDescent="0.25">
      <c r="R1721" s="8" t="str">
        <f t="shared" si="54"/>
        <v/>
      </c>
      <c r="S1721" s="82" t="str">
        <f t="shared" si="55"/>
        <v/>
      </c>
    </row>
    <row r="1722" spans="18:19" x14ac:dyDescent="0.25">
      <c r="R1722" s="8" t="str">
        <f t="shared" si="54"/>
        <v/>
      </c>
      <c r="S1722" s="82" t="str">
        <f t="shared" si="55"/>
        <v/>
      </c>
    </row>
    <row r="1723" spans="18:19" x14ac:dyDescent="0.25">
      <c r="R1723" s="8" t="str">
        <f t="shared" si="54"/>
        <v/>
      </c>
      <c r="S1723" s="82" t="str">
        <f t="shared" si="55"/>
        <v/>
      </c>
    </row>
    <row r="1724" spans="18:19" x14ac:dyDescent="0.25">
      <c r="R1724" s="8" t="str">
        <f t="shared" si="54"/>
        <v/>
      </c>
      <c r="S1724" s="82" t="str">
        <f t="shared" si="55"/>
        <v/>
      </c>
    </row>
    <row r="1725" spans="18:19" x14ac:dyDescent="0.25">
      <c r="R1725" s="8" t="str">
        <f t="shared" si="54"/>
        <v/>
      </c>
      <c r="S1725" s="82" t="str">
        <f t="shared" si="55"/>
        <v/>
      </c>
    </row>
    <row r="1726" spans="18:19" x14ac:dyDescent="0.25">
      <c r="R1726" s="8" t="str">
        <f t="shared" si="54"/>
        <v/>
      </c>
      <c r="S1726" s="82" t="str">
        <f t="shared" si="55"/>
        <v/>
      </c>
    </row>
    <row r="1727" spans="18:19" x14ac:dyDescent="0.25">
      <c r="R1727" s="8" t="str">
        <f t="shared" si="54"/>
        <v/>
      </c>
      <c r="S1727" s="82" t="str">
        <f t="shared" si="55"/>
        <v/>
      </c>
    </row>
    <row r="1728" spans="18:19" x14ac:dyDescent="0.25">
      <c r="R1728" s="8" t="str">
        <f t="shared" si="54"/>
        <v/>
      </c>
      <c r="S1728" s="82" t="str">
        <f t="shared" si="55"/>
        <v/>
      </c>
    </row>
    <row r="1729" spans="18:19" x14ac:dyDescent="0.25">
      <c r="R1729" s="8" t="str">
        <f t="shared" si="54"/>
        <v/>
      </c>
      <c r="S1729" s="82" t="str">
        <f t="shared" si="55"/>
        <v/>
      </c>
    </row>
    <row r="1730" spans="18:19" x14ac:dyDescent="0.25">
      <c r="R1730" s="8" t="str">
        <f t="shared" si="54"/>
        <v/>
      </c>
      <c r="S1730" s="82" t="str">
        <f t="shared" si="55"/>
        <v/>
      </c>
    </row>
    <row r="1731" spans="18:19" x14ac:dyDescent="0.25">
      <c r="R1731" s="8" t="str">
        <f t="shared" si="54"/>
        <v/>
      </c>
      <c r="S1731" s="82" t="str">
        <f t="shared" si="55"/>
        <v/>
      </c>
    </row>
    <row r="1732" spans="18:19" x14ac:dyDescent="0.25">
      <c r="R1732" s="8" t="str">
        <f t="shared" si="54"/>
        <v/>
      </c>
      <c r="S1732" s="82" t="str">
        <f t="shared" si="55"/>
        <v/>
      </c>
    </row>
    <row r="1733" spans="18:19" x14ac:dyDescent="0.25">
      <c r="R1733" s="8" t="str">
        <f t="shared" si="54"/>
        <v/>
      </c>
      <c r="S1733" s="82" t="str">
        <f t="shared" si="55"/>
        <v/>
      </c>
    </row>
    <row r="1734" spans="18:19" x14ac:dyDescent="0.25">
      <c r="R1734" s="8" t="str">
        <f t="shared" si="54"/>
        <v/>
      </c>
      <c r="S1734" s="82" t="str">
        <f t="shared" si="55"/>
        <v/>
      </c>
    </row>
    <row r="1735" spans="18:19" x14ac:dyDescent="0.25">
      <c r="R1735" s="8" t="str">
        <f t="shared" si="54"/>
        <v/>
      </c>
      <c r="S1735" s="82" t="str">
        <f t="shared" si="55"/>
        <v/>
      </c>
    </row>
    <row r="1736" spans="18:19" x14ac:dyDescent="0.25">
      <c r="R1736" s="8" t="str">
        <f t="shared" ref="R1736:R1799" si="56">IF(A1736="",(""),(MONTH(A1736)))</f>
        <v/>
      </c>
      <c r="S1736" s="82" t="str">
        <f t="shared" si="55"/>
        <v/>
      </c>
    </row>
    <row r="1737" spans="18:19" x14ac:dyDescent="0.25">
      <c r="R1737" s="8" t="str">
        <f t="shared" si="56"/>
        <v/>
      </c>
      <c r="S1737" s="82" t="str">
        <f t="shared" si="55"/>
        <v/>
      </c>
    </row>
    <row r="1738" spans="18:19" x14ac:dyDescent="0.25">
      <c r="R1738" s="8" t="str">
        <f t="shared" si="56"/>
        <v/>
      </c>
      <c r="S1738" s="82" t="str">
        <f t="shared" si="55"/>
        <v/>
      </c>
    </row>
    <row r="1739" spans="18:19" x14ac:dyDescent="0.25">
      <c r="R1739" s="8" t="str">
        <f t="shared" si="56"/>
        <v/>
      </c>
      <c r="S1739" s="82" t="str">
        <f t="shared" si="55"/>
        <v/>
      </c>
    </row>
    <row r="1740" spans="18:19" x14ac:dyDescent="0.25">
      <c r="R1740" s="8" t="str">
        <f t="shared" si="56"/>
        <v/>
      </c>
      <c r="S1740" s="82" t="str">
        <f t="shared" si="55"/>
        <v/>
      </c>
    </row>
    <row r="1741" spans="18:19" x14ac:dyDescent="0.25">
      <c r="R1741" s="8" t="str">
        <f t="shared" si="56"/>
        <v/>
      </c>
      <c r="S1741" s="82" t="str">
        <f t="shared" si="55"/>
        <v/>
      </c>
    </row>
    <row r="1742" spans="18:19" x14ac:dyDescent="0.25">
      <c r="R1742" s="8" t="str">
        <f t="shared" si="56"/>
        <v/>
      </c>
      <c r="S1742" s="82" t="str">
        <f t="shared" si="55"/>
        <v/>
      </c>
    </row>
    <row r="1743" spans="18:19" x14ac:dyDescent="0.25">
      <c r="R1743" s="8" t="str">
        <f t="shared" si="56"/>
        <v/>
      </c>
      <c r="S1743" s="82" t="str">
        <f t="shared" si="55"/>
        <v/>
      </c>
    </row>
    <row r="1744" spans="18:19" x14ac:dyDescent="0.25">
      <c r="R1744" s="8" t="str">
        <f t="shared" si="56"/>
        <v/>
      </c>
      <c r="S1744" s="82" t="str">
        <f t="shared" si="55"/>
        <v/>
      </c>
    </row>
    <row r="1745" spans="18:19" x14ac:dyDescent="0.25">
      <c r="R1745" s="8" t="str">
        <f t="shared" si="56"/>
        <v/>
      </c>
      <c r="S1745" s="82" t="str">
        <f t="shared" si="55"/>
        <v/>
      </c>
    </row>
    <row r="1746" spans="18:19" x14ac:dyDescent="0.25">
      <c r="R1746" s="8" t="str">
        <f t="shared" si="56"/>
        <v/>
      </c>
      <c r="S1746" s="82" t="str">
        <f t="shared" si="55"/>
        <v/>
      </c>
    </row>
    <row r="1747" spans="18:19" x14ac:dyDescent="0.25">
      <c r="R1747" s="8" t="str">
        <f t="shared" si="56"/>
        <v/>
      </c>
      <c r="S1747" s="82" t="str">
        <f t="shared" si="55"/>
        <v/>
      </c>
    </row>
    <row r="1748" spans="18:19" x14ac:dyDescent="0.25">
      <c r="R1748" s="8" t="str">
        <f t="shared" si="56"/>
        <v/>
      </c>
      <c r="S1748" s="82" t="str">
        <f t="shared" si="55"/>
        <v/>
      </c>
    </row>
    <row r="1749" spans="18:19" x14ac:dyDescent="0.25">
      <c r="R1749" s="8" t="str">
        <f t="shared" si="56"/>
        <v/>
      </c>
      <c r="S1749" s="82" t="str">
        <f t="shared" si="55"/>
        <v/>
      </c>
    </row>
    <row r="1750" spans="18:19" x14ac:dyDescent="0.25">
      <c r="R1750" s="8" t="str">
        <f t="shared" si="56"/>
        <v/>
      </c>
      <c r="S1750" s="82" t="str">
        <f t="shared" ref="S1750:S1813" si="57">IF(O1750&gt;0,(Q1750-O1750),(IF(K1750="USD",(Q1750*J1750),((IF(B1750="",(""),(SUMIF(B1750,"11 - Factura C",(Q1750))-SUMIF(B1750,"13 - Nota de Crédito C",(Q1750))+SUMIF(B1750,"15 - Recibo C",(Q1750))+SUMIF(B1750,"109 - Tique C",(Q1750)))))))))</f>
        <v/>
      </c>
    </row>
    <row r="1751" spans="18:19" x14ac:dyDescent="0.25">
      <c r="R1751" s="8" t="str">
        <f t="shared" si="56"/>
        <v/>
      </c>
      <c r="S1751" s="82" t="str">
        <f t="shared" si="57"/>
        <v/>
      </c>
    </row>
    <row r="1752" spans="18:19" x14ac:dyDescent="0.25">
      <c r="R1752" s="8" t="str">
        <f t="shared" si="56"/>
        <v/>
      </c>
      <c r="S1752" s="82" t="str">
        <f t="shared" si="57"/>
        <v/>
      </c>
    </row>
    <row r="1753" spans="18:19" x14ac:dyDescent="0.25">
      <c r="R1753" s="8" t="str">
        <f t="shared" si="56"/>
        <v/>
      </c>
      <c r="S1753" s="82" t="str">
        <f t="shared" si="57"/>
        <v/>
      </c>
    </row>
    <row r="1754" spans="18:19" x14ac:dyDescent="0.25">
      <c r="R1754" s="8" t="str">
        <f t="shared" si="56"/>
        <v/>
      </c>
      <c r="S1754" s="82" t="str">
        <f t="shared" si="57"/>
        <v/>
      </c>
    </row>
    <row r="1755" spans="18:19" x14ac:dyDescent="0.25">
      <c r="R1755" s="8" t="str">
        <f t="shared" si="56"/>
        <v/>
      </c>
      <c r="S1755" s="82" t="str">
        <f t="shared" si="57"/>
        <v/>
      </c>
    </row>
    <row r="1756" spans="18:19" x14ac:dyDescent="0.25">
      <c r="R1756" s="8" t="str">
        <f t="shared" si="56"/>
        <v/>
      </c>
      <c r="S1756" s="82" t="str">
        <f t="shared" si="57"/>
        <v/>
      </c>
    </row>
    <row r="1757" spans="18:19" x14ac:dyDescent="0.25">
      <c r="R1757" s="8" t="str">
        <f t="shared" si="56"/>
        <v/>
      </c>
      <c r="S1757" s="82" t="str">
        <f t="shared" si="57"/>
        <v/>
      </c>
    </row>
    <row r="1758" spans="18:19" x14ac:dyDescent="0.25">
      <c r="R1758" s="8" t="str">
        <f t="shared" si="56"/>
        <v/>
      </c>
      <c r="S1758" s="82" t="str">
        <f t="shared" si="57"/>
        <v/>
      </c>
    </row>
    <row r="1759" spans="18:19" x14ac:dyDescent="0.25">
      <c r="R1759" s="8" t="str">
        <f t="shared" si="56"/>
        <v/>
      </c>
      <c r="S1759" s="82" t="str">
        <f t="shared" si="57"/>
        <v/>
      </c>
    </row>
    <row r="1760" spans="18:19" x14ac:dyDescent="0.25">
      <c r="R1760" s="8" t="str">
        <f t="shared" si="56"/>
        <v/>
      </c>
      <c r="S1760" s="82" t="str">
        <f t="shared" si="57"/>
        <v/>
      </c>
    </row>
    <row r="1761" spans="18:19" x14ac:dyDescent="0.25">
      <c r="R1761" s="8" t="str">
        <f t="shared" si="56"/>
        <v/>
      </c>
      <c r="S1761" s="82" t="str">
        <f t="shared" si="57"/>
        <v/>
      </c>
    </row>
    <row r="1762" spans="18:19" x14ac:dyDescent="0.25">
      <c r="R1762" s="8" t="str">
        <f t="shared" si="56"/>
        <v/>
      </c>
      <c r="S1762" s="82" t="str">
        <f t="shared" si="57"/>
        <v/>
      </c>
    </row>
    <row r="1763" spans="18:19" x14ac:dyDescent="0.25">
      <c r="R1763" s="8" t="str">
        <f t="shared" si="56"/>
        <v/>
      </c>
      <c r="S1763" s="82" t="str">
        <f t="shared" si="57"/>
        <v/>
      </c>
    </row>
    <row r="1764" spans="18:19" x14ac:dyDescent="0.25">
      <c r="R1764" s="8" t="str">
        <f t="shared" si="56"/>
        <v/>
      </c>
      <c r="S1764" s="82" t="str">
        <f t="shared" si="57"/>
        <v/>
      </c>
    </row>
    <row r="1765" spans="18:19" x14ac:dyDescent="0.25">
      <c r="R1765" s="8" t="str">
        <f t="shared" si="56"/>
        <v/>
      </c>
      <c r="S1765" s="82" t="str">
        <f t="shared" si="57"/>
        <v/>
      </c>
    </row>
    <row r="1766" spans="18:19" x14ac:dyDescent="0.25">
      <c r="R1766" s="8" t="str">
        <f t="shared" si="56"/>
        <v/>
      </c>
      <c r="S1766" s="82" t="str">
        <f t="shared" si="57"/>
        <v/>
      </c>
    </row>
    <row r="1767" spans="18:19" x14ac:dyDescent="0.25">
      <c r="R1767" s="8" t="str">
        <f t="shared" si="56"/>
        <v/>
      </c>
      <c r="S1767" s="82" t="str">
        <f t="shared" si="57"/>
        <v/>
      </c>
    </row>
    <row r="1768" spans="18:19" x14ac:dyDescent="0.25">
      <c r="R1768" s="8" t="str">
        <f t="shared" si="56"/>
        <v/>
      </c>
      <c r="S1768" s="82" t="str">
        <f t="shared" si="57"/>
        <v/>
      </c>
    </row>
    <row r="1769" spans="18:19" x14ac:dyDescent="0.25">
      <c r="R1769" s="8" t="str">
        <f t="shared" si="56"/>
        <v/>
      </c>
      <c r="S1769" s="82" t="str">
        <f t="shared" si="57"/>
        <v/>
      </c>
    </row>
    <row r="1770" spans="18:19" x14ac:dyDescent="0.25">
      <c r="R1770" s="8" t="str">
        <f t="shared" si="56"/>
        <v/>
      </c>
      <c r="S1770" s="82" t="str">
        <f t="shared" si="57"/>
        <v/>
      </c>
    </row>
    <row r="1771" spans="18:19" x14ac:dyDescent="0.25">
      <c r="R1771" s="8" t="str">
        <f t="shared" si="56"/>
        <v/>
      </c>
      <c r="S1771" s="82" t="str">
        <f t="shared" si="57"/>
        <v/>
      </c>
    </row>
    <row r="1772" spans="18:19" x14ac:dyDescent="0.25">
      <c r="R1772" s="8" t="str">
        <f t="shared" si="56"/>
        <v/>
      </c>
      <c r="S1772" s="82" t="str">
        <f t="shared" si="57"/>
        <v/>
      </c>
    </row>
    <row r="1773" spans="18:19" x14ac:dyDescent="0.25">
      <c r="R1773" s="8" t="str">
        <f t="shared" si="56"/>
        <v/>
      </c>
      <c r="S1773" s="82" t="str">
        <f t="shared" si="57"/>
        <v/>
      </c>
    </row>
    <row r="1774" spans="18:19" x14ac:dyDescent="0.25">
      <c r="R1774" s="8" t="str">
        <f t="shared" si="56"/>
        <v/>
      </c>
      <c r="S1774" s="82" t="str">
        <f t="shared" si="57"/>
        <v/>
      </c>
    </row>
    <row r="1775" spans="18:19" x14ac:dyDescent="0.25">
      <c r="R1775" s="8" t="str">
        <f t="shared" si="56"/>
        <v/>
      </c>
      <c r="S1775" s="82" t="str">
        <f t="shared" si="57"/>
        <v/>
      </c>
    </row>
    <row r="1776" spans="18:19" x14ac:dyDescent="0.25">
      <c r="R1776" s="8" t="str">
        <f t="shared" si="56"/>
        <v/>
      </c>
      <c r="S1776" s="82" t="str">
        <f t="shared" si="57"/>
        <v/>
      </c>
    </row>
    <row r="1777" spans="18:19" x14ac:dyDescent="0.25">
      <c r="R1777" s="8" t="str">
        <f t="shared" si="56"/>
        <v/>
      </c>
      <c r="S1777" s="82" t="str">
        <f t="shared" si="57"/>
        <v/>
      </c>
    </row>
    <row r="1778" spans="18:19" x14ac:dyDescent="0.25">
      <c r="R1778" s="8" t="str">
        <f t="shared" si="56"/>
        <v/>
      </c>
      <c r="S1778" s="82" t="str">
        <f t="shared" si="57"/>
        <v/>
      </c>
    </row>
    <row r="1779" spans="18:19" x14ac:dyDescent="0.25">
      <c r="R1779" s="8" t="str">
        <f t="shared" si="56"/>
        <v/>
      </c>
      <c r="S1779" s="82" t="str">
        <f t="shared" si="57"/>
        <v/>
      </c>
    </row>
    <row r="1780" spans="18:19" x14ac:dyDescent="0.25">
      <c r="R1780" s="8" t="str">
        <f t="shared" si="56"/>
        <v/>
      </c>
      <c r="S1780" s="82" t="str">
        <f t="shared" si="57"/>
        <v/>
      </c>
    </row>
    <row r="1781" spans="18:19" x14ac:dyDescent="0.25">
      <c r="R1781" s="8" t="str">
        <f t="shared" si="56"/>
        <v/>
      </c>
      <c r="S1781" s="82" t="str">
        <f t="shared" si="57"/>
        <v/>
      </c>
    </row>
    <row r="1782" spans="18:19" x14ac:dyDescent="0.25">
      <c r="R1782" s="8" t="str">
        <f t="shared" si="56"/>
        <v/>
      </c>
      <c r="S1782" s="82" t="str">
        <f t="shared" si="57"/>
        <v/>
      </c>
    </row>
    <row r="1783" spans="18:19" x14ac:dyDescent="0.25">
      <c r="R1783" s="8" t="str">
        <f t="shared" si="56"/>
        <v/>
      </c>
      <c r="S1783" s="82" t="str">
        <f t="shared" si="57"/>
        <v/>
      </c>
    </row>
    <row r="1784" spans="18:19" x14ac:dyDescent="0.25">
      <c r="R1784" s="8" t="str">
        <f t="shared" si="56"/>
        <v/>
      </c>
      <c r="S1784" s="82" t="str">
        <f t="shared" si="57"/>
        <v/>
      </c>
    </row>
    <row r="1785" spans="18:19" x14ac:dyDescent="0.25">
      <c r="R1785" s="8" t="str">
        <f t="shared" si="56"/>
        <v/>
      </c>
      <c r="S1785" s="82" t="str">
        <f t="shared" si="57"/>
        <v/>
      </c>
    </row>
    <row r="1786" spans="18:19" x14ac:dyDescent="0.25">
      <c r="R1786" s="8" t="str">
        <f t="shared" si="56"/>
        <v/>
      </c>
      <c r="S1786" s="82" t="str">
        <f t="shared" si="57"/>
        <v/>
      </c>
    </row>
    <row r="1787" spans="18:19" x14ac:dyDescent="0.25">
      <c r="R1787" s="8" t="str">
        <f t="shared" si="56"/>
        <v/>
      </c>
      <c r="S1787" s="82" t="str">
        <f t="shared" si="57"/>
        <v/>
      </c>
    </row>
    <row r="1788" spans="18:19" x14ac:dyDescent="0.25">
      <c r="R1788" s="8" t="str">
        <f t="shared" si="56"/>
        <v/>
      </c>
      <c r="S1788" s="82" t="str">
        <f t="shared" si="57"/>
        <v/>
      </c>
    </row>
    <row r="1789" spans="18:19" x14ac:dyDescent="0.25">
      <c r="R1789" s="8" t="str">
        <f t="shared" si="56"/>
        <v/>
      </c>
      <c r="S1789" s="82" t="str">
        <f t="shared" si="57"/>
        <v/>
      </c>
    </row>
    <row r="1790" spans="18:19" x14ac:dyDescent="0.25">
      <c r="R1790" s="8" t="str">
        <f t="shared" si="56"/>
        <v/>
      </c>
      <c r="S1790" s="82" t="str">
        <f t="shared" si="57"/>
        <v/>
      </c>
    </row>
    <row r="1791" spans="18:19" x14ac:dyDescent="0.25">
      <c r="R1791" s="8" t="str">
        <f t="shared" si="56"/>
        <v/>
      </c>
      <c r="S1791" s="82" t="str">
        <f t="shared" si="57"/>
        <v/>
      </c>
    </row>
    <row r="1792" spans="18:19" x14ac:dyDescent="0.25">
      <c r="R1792" s="8" t="str">
        <f t="shared" si="56"/>
        <v/>
      </c>
      <c r="S1792" s="82" t="str">
        <f t="shared" si="57"/>
        <v/>
      </c>
    </row>
    <row r="1793" spans="18:19" x14ac:dyDescent="0.25">
      <c r="R1793" s="8" t="str">
        <f t="shared" si="56"/>
        <v/>
      </c>
      <c r="S1793" s="82" t="str">
        <f t="shared" si="57"/>
        <v/>
      </c>
    </row>
    <row r="1794" spans="18:19" x14ac:dyDescent="0.25">
      <c r="R1794" s="8" t="str">
        <f t="shared" si="56"/>
        <v/>
      </c>
      <c r="S1794" s="82" t="str">
        <f t="shared" si="57"/>
        <v/>
      </c>
    </row>
    <row r="1795" spans="18:19" x14ac:dyDescent="0.25">
      <c r="R1795" s="8" t="str">
        <f t="shared" si="56"/>
        <v/>
      </c>
      <c r="S1795" s="82" t="str">
        <f t="shared" si="57"/>
        <v/>
      </c>
    </row>
    <row r="1796" spans="18:19" x14ac:dyDescent="0.25">
      <c r="R1796" s="8" t="str">
        <f t="shared" si="56"/>
        <v/>
      </c>
      <c r="S1796" s="82" t="str">
        <f t="shared" si="57"/>
        <v/>
      </c>
    </row>
    <row r="1797" spans="18:19" x14ac:dyDescent="0.25">
      <c r="R1797" s="8" t="str">
        <f t="shared" si="56"/>
        <v/>
      </c>
      <c r="S1797" s="82" t="str">
        <f t="shared" si="57"/>
        <v/>
      </c>
    </row>
    <row r="1798" spans="18:19" x14ac:dyDescent="0.25">
      <c r="R1798" s="8" t="str">
        <f t="shared" si="56"/>
        <v/>
      </c>
      <c r="S1798" s="82" t="str">
        <f t="shared" si="57"/>
        <v/>
      </c>
    </row>
    <row r="1799" spans="18:19" x14ac:dyDescent="0.25">
      <c r="R1799" s="8" t="str">
        <f t="shared" si="56"/>
        <v/>
      </c>
      <c r="S1799" s="82" t="str">
        <f t="shared" si="57"/>
        <v/>
      </c>
    </row>
    <row r="1800" spans="18:19" x14ac:dyDescent="0.25">
      <c r="R1800" s="8" t="str">
        <f t="shared" ref="R1800:R1863" si="58">IF(A1800="",(""),(MONTH(A1800)))</f>
        <v/>
      </c>
      <c r="S1800" s="82" t="str">
        <f t="shared" si="57"/>
        <v/>
      </c>
    </row>
    <row r="1801" spans="18:19" x14ac:dyDescent="0.25">
      <c r="R1801" s="8" t="str">
        <f t="shared" si="58"/>
        <v/>
      </c>
      <c r="S1801" s="82" t="str">
        <f t="shared" si="57"/>
        <v/>
      </c>
    </row>
    <row r="1802" spans="18:19" x14ac:dyDescent="0.25">
      <c r="R1802" s="8" t="str">
        <f t="shared" si="58"/>
        <v/>
      </c>
      <c r="S1802" s="82" t="str">
        <f t="shared" si="57"/>
        <v/>
      </c>
    </row>
    <row r="1803" spans="18:19" x14ac:dyDescent="0.25">
      <c r="R1803" s="8" t="str">
        <f t="shared" si="58"/>
        <v/>
      </c>
      <c r="S1803" s="82" t="str">
        <f t="shared" si="57"/>
        <v/>
      </c>
    </row>
    <row r="1804" spans="18:19" x14ac:dyDescent="0.25">
      <c r="R1804" s="8" t="str">
        <f t="shared" si="58"/>
        <v/>
      </c>
      <c r="S1804" s="82" t="str">
        <f t="shared" si="57"/>
        <v/>
      </c>
    </row>
    <row r="1805" spans="18:19" x14ac:dyDescent="0.25">
      <c r="R1805" s="8" t="str">
        <f t="shared" si="58"/>
        <v/>
      </c>
      <c r="S1805" s="82" t="str">
        <f t="shared" si="57"/>
        <v/>
      </c>
    </row>
    <row r="1806" spans="18:19" x14ac:dyDescent="0.25">
      <c r="R1806" s="8" t="str">
        <f t="shared" si="58"/>
        <v/>
      </c>
      <c r="S1806" s="82" t="str">
        <f t="shared" si="57"/>
        <v/>
      </c>
    </row>
    <row r="1807" spans="18:19" x14ac:dyDescent="0.25">
      <c r="R1807" s="8" t="str">
        <f t="shared" si="58"/>
        <v/>
      </c>
      <c r="S1807" s="82" t="str">
        <f t="shared" si="57"/>
        <v/>
      </c>
    </row>
    <row r="1808" spans="18:19" x14ac:dyDescent="0.25">
      <c r="R1808" s="8" t="str">
        <f t="shared" si="58"/>
        <v/>
      </c>
      <c r="S1808" s="82" t="str">
        <f t="shared" si="57"/>
        <v/>
      </c>
    </row>
    <row r="1809" spans="18:19" x14ac:dyDescent="0.25">
      <c r="R1809" s="8" t="str">
        <f t="shared" si="58"/>
        <v/>
      </c>
      <c r="S1809" s="82" t="str">
        <f t="shared" si="57"/>
        <v/>
      </c>
    </row>
    <row r="1810" spans="18:19" x14ac:dyDescent="0.25">
      <c r="R1810" s="8" t="str">
        <f t="shared" si="58"/>
        <v/>
      </c>
      <c r="S1810" s="82" t="str">
        <f t="shared" si="57"/>
        <v/>
      </c>
    </row>
    <row r="1811" spans="18:19" x14ac:dyDescent="0.25">
      <c r="R1811" s="8" t="str">
        <f t="shared" si="58"/>
        <v/>
      </c>
      <c r="S1811" s="82" t="str">
        <f t="shared" si="57"/>
        <v/>
      </c>
    </row>
    <row r="1812" spans="18:19" x14ac:dyDescent="0.25">
      <c r="R1812" s="8" t="str">
        <f t="shared" si="58"/>
        <v/>
      </c>
      <c r="S1812" s="82" t="str">
        <f t="shared" si="57"/>
        <v/>
      </c>
    </row>
    <row r="1813" spans="18:19" x14ac:dyDescent="0.25">
      <c r="R1813" s="8" t="str">
        <f t="shared" si="58"/>
        <v/>
      </c>
      <c r="S1813" s="82" t="str">
        <f t="shared" si="57"/>
        <v/>
      </c>
    </row>
    <row r="1814" spans="18:19" x14ac:dyDescent="0.25">
      <c r="R1814" s="8" t="str">
        <f t="shared" si="58"/>
        <v/>
      </c>
      <c r="S1814" s="82" t="str">
        <f t="shared" ref="S1814:S1877" si="59">IF(O1814&gt;0,(Q1814-O1814),(IF(K1814="USD",(Q1814*J1814),((IF(B1814="",(""),(SUMIF(B1814,"11 - Factura C",(Q1814))-SUMIF(B1814,"13 - Nota de Crédito C",(Q1814))+SUMIF(B1814,"15 - Recibo C",(Q1814))+SUMIF(B1814,"109 - Tique C",(Q1814)))))))))</f>
        <v/>
      </c>
    </row>
    <row r="1815" spans="18:19" x14ac:dyDescent="0.25">
      <c r="R1815" s="8" t="str">
        <f t="shared" si="58"/>
        <v/>
      </c>
      <c r="S1815" s="82" t="str">
        <f t="shared" si="59"/>
        <v/>
      </c>
    </row>
    <row r="1816" spans="18:19" x14ac:dyDescent="0.25">
      <c r="R1816" s="8" t="str">
        <f t="shared" si="58"/>
        <v/>
      </c>
      <c r="S1816" s="82" t="str">
        <f t="shared" si="59"/>
        <v/>
      </c>
    </row>
    <row r="1817" spans="18:19" x14ac:dyDescent="0.25">
      <c r="R1817" s="8" t="str">
        <f t="shared" si="58"/>
        <v/>
      </c>
      <c r="S1817" s="82" t="str">
        <f t="shared" si="59"/>
        <v/>
      </c>
    </row>
    <row r="1818" spans="18:19" x14ac:dyDescent="0.25">
      <c r="R1818" s="8" t="str">
        <f t="shared" si="58"/>
        <v/>
      </c>
      <c r="S1818" s="82" t="str">
        <f t="shared" si="59"/>
        <v/>
      </c>
    </row>
    <row r="1819" spans="18:19" x14ac:dyDescent="0.25">
      <c r="R1819" s="8" t="str">
        <f t="shared" si="58"/>
        <v/>
      </c>
      <c r="S1819" s="82" t="str">
        <f t="shared" si="59"/>
        <v/>
      </c>
    </row>
    <row r="1820" spans="18:19" x14ac:dyDescent="0.25">
      <c r="R1820" s="8" t="str">
        <f t="shared" si="58"/>
        <v/>
      </c>
      <c r="S1820" s="82" t="str">
        <f t="shared" si="59"/>
        <v/>
      </c>
    </row>
    <row r="1821" spans="18:19" x14ac:dyDescent="0.25">
      <c r="R1821" s="8" t="str">
        <f t="shared" si="58"/>
        <v/>
      </c>
      <c r="S1821" s="82" t="str">
        <f t="shared" si="59"/>
        <v/>
      </c>
    </row>
    <row r="1822" spans="18:19" x14ac:dyDescent="0.25">
      <c r="R1822" s="8" t="str">
        <f t="shared" si="58"/>
        <v/>
      </c>
      <c r="S1822" s="82" t="str">
        <f t="shared" si="59"/>
        <v/>
      </c>
    </row>
    <row r="1823" spans="18:19" x14ac:dyDescent="0.25">
      <c r="R1823" s="8" t="str">
        <f t="shared" si="58"/>
        <v/>
      </c>
      <c r="S1823" s="82" t="str">
        <f t="shared" si="59"/>
        <v/>
      </c>
    </row>
    <row r="1824" spans="18:19" x14ac:dyDescent="0.25">
      <c r="R1824" s="8" t="str">
        <f t="shared" si="58"/>
        <v/>
      </c>
      <c r="S1824" s="82" t="str">
        <f t="shared" si="59"/>
        <v/>
      </c>
    </row>
    <row r="1825" spans="18:19" x14ac:dyDescent="0.25">
      <c r="R1825" s="8" t="str">
        <f t="shared" si="58"/>
        <v/>
      </c>
      <c r="S1825" s="82" t="str">
        <f t="shared" si="59"/>
        <v/>
      </c>
    </row>
    <row r="1826" spans="18:19" x14ac:dyDescent="0.25">
      <c r="R1826" s="8" t="str">
        <f t="shared" si="58"/>
        <v/>
      </c>
      <c r="S1826" s="82" t="str">
        <f t="shared" si="59"/>
        <v/>
      </c>
    </row>
    <row r="1827" spans="18:19" x14ac:dyDescent="0.25">
      <c r="R1827" s="8" t="str">
        <f t="shared" si="58"/>
        <v/>
      </c>
      <c r="S1827" s="82" t="str">
        <f t="shared" si="59"/>
        <v/>
      </c>
    </row>
    <row r="1828" spans="18:19" x14ac:dyDescent="0.25">
      <c r="R1828" s="8" t="str">
        <f t="shared" si="58"/>
        <v/>
      </c>
      <c r="S1828" s="82" t="str">
        <f t="shared" si="59"/>
        <v/>
      </c>
    </row>
    <row r="1829" spans="18:19" x14ac:dyDescent="0.25">
      <c r="R1829" s="8" t="str">
        <f t="shared" si="58"/>
        <v/>
      </c>
      <c r="S1829" s="82" t="str">
        <f t="shared" si="59"/>
        <v/>
      </c>
    </row>
    <row r="1830" spans="18:19" x14ac:dyDescent="0.25">
      <c r="R1830" s="8" t="str">
        <f t="shared" si="58"/>
        <v/>
      </c>
      <c r="S1830" s="82" t="str">
        <f t="shared" si="59"/>
        <v/>
      </c>
    </row>
    <row r="1831" spans="18:19" x14ac:dyDescent="0.25">
      <c r="R1831" s="8" t="str">
        <f t="shared" si="58"/>
        <v/>
      </c>
      <c r="S1831" s="82" t="str">
        <f t="shared" si="59"/>
        <v/>
      </c>
    </row>
    <row r="1832" spans="18:19" x14ac:dyDescent="0.25">
      <c r="R1832" s="8" t="str">
        <f t="shared" si="58"/>
        <v/>
      </c>
      <c r="S1832" s="82" t="str">
        <f t="shared" si="59"/>
        <v/>
      </c>
    </row>
    <row r="1833" spans="18:19" x14ac:dyDescent="0.25">
      <c r="R1833" s="8" t="str">
        <f t="shared" si="58"/>
        <v/>
      </c>
      <c r="S1833" s="82" t="str">
        <f t="shared" si="59"/>
        <v/>
      </c>
    </row>
    <row r="1834" spans="18:19" x14ac:dyDescent="0.25">
      <c r="R1834" s="8" t="str">
        <f t="shared" si="58"/>
        <v/>
      </c>
      <c r="S1834" s="82" t="str">
        <f t="shared" si="59"/>
        <v/>
      </c>
    </row>
    <row r="1835" spans="18:19" x14ac:dyDescent="0.25">
      <c r="R1835" s="8" t="str">
        <f t="shared" si="58"/>
        <v/>
      </c>
      <c r="S1835" s="82" t="str">
        <f t="shared" si="59"/>
        <v/>
      </c>
    </row>
    <row r="1836" spans="18:19" x14ac:dyDescent="0.25">
      <c r="R1836" s="8" t="str">
        <f t="shared" si="58"/>
        <v/>
      </c>
      <c r="S1836" s="82" t="str">
        <f t="shared" si="59"/>
        <v/>
      </c>
    </row>
    <row r="1837" spans="18:19" x14ac:dyDescent="0.25">
      <c r="R1837" s="8" t="str">
        <f t="shared" si="58"/>
        <v/>
      </c>
      <c r="S1837" s="82" t="str">
        <f t="shared" si="59"/>
        <v/>
      </c>
    </row>
    <row r="1838" spans="18:19" x14ac:dyDescent="0.25">
      <c r="R1838" s="8" t="str">
        <f t="shared" si="58"/>
        <v/>
      </c>
      <c r="S1838" s="82" t="str">
        <f t="shared" si="59"/>
        <v/>
      </c>
    </row>
    <row r="1839" spans="18:19" x14ac:dyDescent="0.25">
      <c r="R1839" s="8" t="str">
        <f t="shared" si="58"/>
        <v/>
      </c>
      <c r="S1839" s="82" t="str">
        <f t="shared" si="59"/>
        <v/>
      </c>
    </row>
    <row r="1840" spans="18:19" x14ac:dyDescent="0.25">
      <c r="R1840" s="8" t="str">
        <f t="shared" si="58"/>
        <v/>
      </c>
      <c r="S1840" s="82" t="str">
        <f t="shared" si="59"/>
        <v/>
      </c>
    </row>
    <row r="1841" spans="18:19" x14ac:dyDescent="0.25">
      <c r="R1841" s="8" t="str">
        <f t="shared" si="58"/>
        <v/>
      </c>
      <c r="S1841" s="82" t="str">
        <f t="shared" si="59"/>
        <v/>
      </c>
    </row>
    <row r="1842" spans="18:19" x14ac:dyDescent="0.25">
      <c r="R1842" s="8" t="str">
        <f t="shared" si="58"/>
        <v/>
      </c>
      <c r="S1842" s="82" t="str">
        <f t="shared" si="59"/>
        <v/>
      </c>
    </row>
    <row r="1843" spans="18:19" x14ac:dyDescent="0.25">
      <c r="R1843" s="8" t="str">
        <f t="shared" si="58"/>
        <v/>
      </c>
      <c r="S1843" s="82" t="str">
        <f t="shared" si="59"/>
        <v/>
      </c>
    </row>
    <row r="1844" spans="18:19" x14ac:dyDescent="0.25">
      <c r="R1844" s="8" t="str">
        <f t="shared" si="58"/>
        <v/>
      </c>
      <c r="S1844" s="82" t="str">
        <f t="shared" si="59"/>
        <v/>
      </c>
    </row>
    <row r="1845" spans="18:19" x14ac:dyDescent="0.25">
      <c r="R1845" s="8" t="str">
        <f t="shared" si="58"/>
        <v/>
      </c>
      <c r="S1845" s="82" t="str">
        <f t="shared" si="59"/>
        <v/>
      </c>
    </row>
    <row r="1846" spans="18:19" x14ac:dyDescent="0.25">
      <c r="R1846" s="8" t="str">
        <f t="shared" si="58"/>
        <v/>
      </c>
      <c r="S1846" s="82" t="str">
        <f t="shared" si="59"/>
        <v/>
      </c>
    </row>
    <row r="1847" spans="18:19" x14ac:dyDescent="0.25">
      <c r="R1847" s="8" t="str">
        <f t="shared" si="58"/>
        <v/>
      </c>
      <c r="S1847" s="82" t="str">
        <f t="shared" si="59"/>
        <v/>
      </c>
    </row>
    <row r="1848" spans="18:19" x14ac:dyDescent="0.25">
      <c r="R1848" s="8" t="str">
        <f t="shared" si="58"/>
        <v/>
      </c>
      <c r="S1848" s="82" t="str">
        <f t="shared" si="59"/>
        <v/>
      </c>
    </row>
    <row r="1849" spans="18:19" x14ac:dyDescent="0.25">
      <c r="R1849" s="8" t="str">
        <f t="shared" si="58"/>
        <v/>
      </c>
      <c r="S1849" s="82" t="str">
        <f t="shared" si="59"/>
        <v/>
      </c>
    </row>
    <row r="1850" spans="18:19" x14ac:dyDescent="0.25">
      <c r="R1850" s="8" t="str">
        <f t="shared" si="58"/>
        <v/>
      </c>
      <c r="S1850" s="82" t="str">
        <f t="shared" si="59"/>
        <v/>
      </c>
    </row>
    <row r="1851" spans="18:19" x14ac:dyDescent="0.25">
      <c r="R1851" s="8" t="str">
        <f t="shared" si="58"/>
        <v/>
      </c>
      <c r="S1851" s="82" t="str">
        <f t="shared" si="59"/>
        <v/>
      </c>
    </row>
    <row r="1852" spans="18:19" x14ac:dyDescent="0.25">
      <c r="R1852" s="8" t="str">
        <f t="shared" si="58"/>
        <v/>
      </c>
      <c r="S1852" s="82" t="str">
        <f t="shared" si="59"/>
        <v/>
      </c>
    </row>
    <row r="1853" spans="18:19" x14ac:dyDescent="0.25">
      <c r="R1853" s="8" t="str">
        <f t="shared" si="58"/>
        <v/>
      </c>
      <c r="S1853" s="82" t="str">
        <f t="shared" si="59"/>
        <v/>
      </c>
    </row>
    <row r="1854" spans="18:19" x14ac:dyDescent="0.25">
      <c r="R1854" s="8" t="str">
        <f t="shared" si="58"/>
        <v/>
      </c>
      <c r="S1854" s="82" t="str">
        <f t="shared" si="59"/>
        <v/>
      </c>
    </row>
    <row r="1855" spans="18:19" x14ac:dyDescent="0.25">
      <c r="R1855" s="8" t="str">
        <f t="shared" si="58"/>
        <v/>
      </c>
      <c r="S1855" s="82" t="str">
        <f t="shared" si="59"/>
        <v/>
      </c>
    </row>
    <row r="1856" spans="18:19" x14ac:dyDescent="0.25">
      <c r="R1856" s="8" t="str">
        <f t="shared" si="58"/>
        <v/>
      </c>
      <c r="S1856" s="82" t="str">
        <f t="shared" si="59"/>
        <v/>
      </c>
    </row>
    <row r="1857" spans="18:19" x14ac:dyDescent="0.25">
      <c r="R1857" s="8" t="str">
        <f t="shared" si="58"/>
        <v/>
      </c>
      <c r="S1857" s="82" t="str">
        <f t="shared" si="59"/>
        <v/>
      </c>
    </row>
    <row r="1858" spans="18:19" x14ac:dyDescent="0.25">
      <c r="R1858" s="8" t="str">
        <f t="shared" si="58"/>
        <v/>
      </c>
      <c r="S1858" s="82" t="str">
        <f t="shared" si="59"/>
        <v/>
      </c>
    </row>
    <row r="1859" spans="18:19" x14ac:dyDescent="0.25">
      <c r="R1859" s="8" t="str">
        <f t="shared" si="58"/>
        <v/>
      </c>
      <c r="S1859" s="82" t="str">
        <f t="shared" si="59"/>
        <v/>
      </c>
    </row>
    <row r="1860" spans="18:19" x14ac:dyDescent="0.25">
      <c r="R1860" s="8" t="str">
        <f t="shared" si="58"/>
        <v/>
      </c>
      <c r="S1860" s="82" t="str">
        <f t="shared" si="59"/>
        <v/>
      </c>
    </row>
    <row r="1861" spans="18:19" x14ac:dyDescent="0.25">
      <c r="R1861" s="8" t="str">
        <f t="shared" si="58"/>
        <v/>
      </c>
      <c r="S1861" s="82" t="str">
        <f t="shared" si="59"/>
        <v/>
      </c>
    </row>
    <row r="1862" spans="18:19" x14ac:dyDescent="0.25">
      <c r="R1862" s="8" t="str">
        <f t="shared" si="58"/>
        <v/>
      </c>
      <c r="S1862" s="82" t="str">
        <f t="shared" si="59"/>
        <v/>
      </c>
    </row>
    <row r="1863" spans="18:19" x14ac:dyDescent="0.25">
      <c r="R1863" s="8" t="str">
        <f t="shared" si="58"/>
        <v/>
      </c>
      <c r="S1863" s="82" t="str">
        <f t="shared" si="59"/>
        <v/>
      </c>
    </row>
    <row r="1864" spans="18:19" x14ac:dyDescent="0.25">
      <c r="R1864" s="8" t="str">
        <f t="shared" ref="R1864:R1927" si="60">IF(A1864="",(""),(MONTH(A1864)))</f>
        <v/>
      </c>
      <c r="S1864" s="82" t="str">
        <f t="shared" si="59"/>
        <v/>
      </c>
    </row>
    <row r="1865" spans="18:19" x14ac:dyDescent="0.25">
      <c r="R1865" s="8" t="str">
        <f t="shared" si="60"/>
        <v/>
      </c>
      <c r="S1865" s="82" t="str">
        <f t="shared" si="59"/>
        <v/>
      </c>
    </row>
    <row r="1866" spans="18:19" x14ac:dyDescent="0.25">
      <c r="R1866" s="8" t="str">
        <f t="shared" si="60"/>
        <v/>
      </c>
      <c r="S1866" s="82" t="str">
        <f t="shared" si="59"/>
        <v/>
      </c>
    </row>
    <row r="1867" spans="18:19" x14ac:dyDescent="0.25">
      <c r="R1867" s="8" t="str">
        <f t="shared" si="60"/>
        <v/>
      </c>
      <c r="S1867" s="82" t="str">
        <f t="shared" si="59"/>
        <v/>
      </c>
    </row>
    <row r="1868" spans="18:19" x14ac:dyDescent="0.25">
      <c r="R1868" s="8" t="str">
        <f t="shared" si="60"/>
        <v/>
      </c>
      <c r="S1868" s="82" t="str">
        <f t="shared" si="59"/>
        <v/>
      </c>
    </row>
    <row r="1869" spans="18:19" x14ac:dyDescent="0.25">
      <c r="R1869" s="8" t="str">
        <f t="shared" si="60"/>
        <v/>
      </c>
      <c r="S1869" s="82" t="str">
        <f t="shared" si="59"/>
        <v/>
      </c>
    </row>
    <row r="1870" spans="18:19" x14ac:dyDescent="0.25">
      <c r="R1870" s="8" t="str">
        <f t="shared" si="60"/>
        <v/>
      </c>
      <c r="S1870" s="82" t="str">
        <f t="shared" si="59"/>
        <v/>
      </c>
    </row>
    <row r="1871" spans="18:19" x14ac:dyDescent="0.25">
      <c r="R1871" s="8" t="str">
        <f t="shared" si="60"/>
        <v/>
      </c>
      <c r="S1871" s="82" t="str">
        <f t="shared" si="59"/>
        <v/>
      </c>
    </row>
    <row r="1872" spans="18:19" x14ac:dyDescent="0.25">
      <c r="R1872" s="8" t="str">
        <f t="shared" si="60"/>
        <v/>
      </c>
      <c r="S1872" s="82" t="str">
        <f t="shared" si="59"/>
        <v/>
      </c>
    </row>
    <row r="1873" spans="18:19" x14ac:dyDescent="0.25">
      <c r="R1873" s="8" t="str">
        <f t="shared" si="60"/>
        <v/>
      </c>
      <c r="S1873" s="82" t="str">
        <f t="shared" si="59"/>
        <v/>
      </c>
    </row>
    <row r="1874" spans="18:19" x14ac:dyDescent="0.25">
      <c r="R1874" s="8" t="str">
        <f t="shared" si="60"/>
        <v/>
      </c>
      <c r="S1874" s="82" t="str">
        <f t="shared" si="59"/>
        <v/>
      </c>
    </row>
    <row r="1875" spans="18:19" x14ac:dyDescent="0.25">
      <c r="R1875" s="8" t="str">
        <f t="shared" si="60"/>
        <v/>
      </c>
      <c r="S1875" s="82" t="str">
        <f t="shared" si="59"/>
        <v/>
      </c>
    </row>
    <row r="1876" spans="18:19" x14ac:dyDescent="0.25">
      <c r="R1876" s="8" t="str">
        <f t="shared" si="60"/>
        <v/>
      </c>
      <c r="S1876" s="82" t="str">
        <f t="shared" si="59"/>
        <v/>
      </c>
    </row>
    <row r="1877" spans="18:19" x14ac:dyDescent="0.25">
      <c r="R1877" s="8" t="str">
        <f t="shared" si="60"/>
        <v/>
      </c>
      <c r="S1877" s="82" t="str">
        <f t="shared" si="59"/>
        <v/>
      </c>
    </row>
    <row r="1878" spans="18:19" x14ac:dyDescent="0.25">
      <c r="R1878" s="8" t="str">
        <f t="shared" si="60"/>
        <v/>
      </c>
      <c r="S1878" s="82" t="str">
        <f t="shared" ref="S1878:S1941" si="61">IF(O1878&gt;0,(Q1878-O1878),(IF(K1878="USD",(Q1878*J1878),((IF(B1878="",(""),(SUMIF(B1878,"11 - Factura C",(Q1878))-SUMIF(B1878,"13 - Nota de Crédito C",(Q1878))+SUMIF(B1878,"15 - Recibo C",(Q1878))+SUMIF(B1878,"109 - Tique C",(Q1878)))))))))</f>
        <v/>
      </c>
    </row>
    <row r="1879" spans="18:19" x14ac:dyDescent="0.25">
      <c r="R1879" s="8" t="str">
        <f t="shared" si="60"/>
        <v/>
      </c>
      <c r="S1879" s="82" t="str">
        <f t="shared" si="61"/>
        <v/>
      </c>
    </row>
    <row r="1880" spans="18:19" x14ac:dyDescent="0.25">
      <c r="R1880" s="8" t="str">
        <f t="shared" si="60"/>
        <v/>
      </c>
      <c r="S1880" s="82" t="str">
        <f t="shared" si="61"/>
        <v/>
      </c>
    </row>
    <row r="1881" spans="18:19" x14ac:dyDescent="0.25">
      <c r="R1881" s="8" t="str">
        <f t="shared" si="60"/>
        <v/>
      </c>
      <c r="S1881" s="82" t="str">
        <f t="shared" si="61"/>
        <v/>
      </c>
    </row>
    <row r="1882" spans="18:19" x14ac:dyDescent="0.25">
      <c r="R1882" s="8" t="str">
        <f t="shared" si="60"/>
        <v/>
      </c>
      <c r="S1882" s="82" t="str">
        <f t="shared" si="61"/>
        <v/>
      </c>
    </row>
    <row r="1883" spans="18:19" x14ac:dyDescent="0.25">
      <c r="R1883" s="8" t="str">
        <f t="shared" si="60"/>
        <v/>
      </c>
      <c r="S1883" s="82" t="str">
        <f t="shared" si="61"/>
        <v/>
      </c>
    </row>
    <row r="1884" spans="18:19" x14ac:dyDescent="0.25">
      <c r="R1884" s="8" t="str">
        <f t="shared" si="60"/>
        <v/>
      </c>
      <c r="S1884" s="82" t="str">
        <f t="shared" si="61"/>
        <v/>
      </c>
    </row>
    <row r="1885" spans="18:19" x14ac:dyDescent="0.25">
      <c r="R1885" s="8" t="str">
        <f t="shared" si="60"/>
        <v/>
      </c>
      <c r="S1885" s="82" t="str">
        <f t="shared" si="61"/>
        <v/>
      </c>
    </row>
    <row r="1886" spans="18:19" x14ac:dyDescent="0.25">
      <c r="R1886" s="8" t="str">
        <f t="shared" si="60"/>
        <v/>
      </c>
      <c r="S1886" s="82" t="str">
        <f t="shared" si="61"/>
        <v/>
      </c>
    </row>
    <row r="1887" spans="18:19" x14ac:dyDescent="0.25">
      <c r="R1887" s="8" t="str">
        <f t="shared" si="60"/>
        <v/>
      </c>
      <c r="S1887" s="82" t="str">
        <f t="shared" si="61"/>
        <v/>
      </c>
    </row>
    <row r="1888" spans="18:19" x14ac:dyDescent="0.25">
      <c r="R1888" s="8" t="str">
        <f t="shared" si="60"/>
        <v/>
      </c>
      <c r="S1888" s="82" t="str">
        <f t="shared" si="61"/>
        <v/>
      </c>
    </row>
    <row r="1889" spans="18:19" x14ac:dyDescent="0.25">
      <c r="R1889" s="8" t="str">
        <f t="shared" si="60"/>
        <v/>
      </c>
      <c r="S1889" s="82" t="str">
        <f t="shared" si="61"/>
        <v/>
      </c>
    </row>
    <row r="1890" spans="18:19" x14ac:dyDescent="0.25">
      <c r="R1890" s="8" t="str">
        <f t="shared" si="60"/>
        <v/>
      </c>
      <c r="S1890" s="82" t="str">
        <f t="shared" si="61"/>
        <v/>
      </c>
    </row>
    <row r="1891" spans="18:19" x14ac:dyDescent="0.25">
      <c r="R1891" s="8" t="str">
        <f t="shared" si="60"/>
        <v/>
      </c>
      <c r="S1891" s="82" t="str">
        <f t="shared" si="61"/>
        <v/>
      </c>
    </row>
    <row r="1892" spans="18:19" x14ac:dyDescent="0.25">
      <c r="R1892" s="8" t="str">
        <f t="shared" si="60"/>
        <v/>
      </c>
      <c r="S1892" s="82" t="str">
        <f t="shared" si="61"/>
        <v/>
      </c>
    </row>
    <row r="1893" spans="18:19" x14ac:dyDescent="0.25">
      <c r="R1893" s="8" t="str">
        <f t="shared" si="60"/>
        <v/>
      </c>
      <c r="S1893" s="82" t="str">
        <f t="shared" si="61"/>
        <v/>
      </c>
    </row>
    <row r="1894" spans="18:19" x14ac:dyDescent="0.25">
      <c r="R1894" s="8" t="str">
        <f t="shared" si="60"/>
        <v/>
      </c>
      <c r="S1894" s="82" t="str">
        <f t="shared" si="61"/>
        <v/>
      </c>
    </row>
    <row r="1895" spans="18:19" x14ac:dyDescent="0.25">
      <c r="R1895" s="8" t="str">
        <f t="shared" si="60"/>
        <v/>
      </c>
      <c r="S1895" s="82" t="str">
        <f t="shared" si="61"/>
        <v/>
      </c>
    </row>
    <row r="1896" spans="18:19" x14ac:dyDescent="0.25">
      <c r="R1896" s="8" t="str">
        <f t="shared" si="60"/>
        <v/>
      </c>
      <c r="S1896" s="82" t="str">
        <f t="shared" si="61"/>
        <v/>
      </c>
    </row>
    <row r="1897" spans="18:19" x14ac:dyDescent="0.25">
      <c r="R1897" s="8" t="str">
        <f t="shared" si="60"/>
        <v/>
      </c>
      <c r="S1897" s="82" t="str">
        <f t="shared" si="61"/>
        <v/>
      </c>
    </row>
    <row r="1898" spans="18:19" x14ac:dyDescent="0.25">
      <c r="R1898" s="8" t="str">
        <f t="shared" si="60"/>
        <v/>
      </c>
      <c r="S1898" s="82" t="str">
        <f t="shared" si="61"/>
        <v/>
      </c>
    </row>
    <row r="1899" spans="18:19" x14ac:dyDescent="0.25">
      <c r="R1899" s="8" t="str">
        <f t="shared" si="60"/>
        <v/>
      </c>
      <c r="S1899" s="82" t="str">
        <f t="shared" si="61"/>
        <v/>
      </c>
    </row>
    <row r="1900" spans="18:19" x14ac:dyDescent="0.25">
      <c r="R1900" s="8" t="str">
        <f t="shared" si="60"/>
        <v/>
      </c>
      <c r="S1900" s="82" t="str">
        <f t="shared" si="61"/>
        <v/>
      </c>
    </row>
    <row r="1901" spans="18:19" x14ac:dyDescent="0.25">
      <c r="R1901" s="8" t="str">
        <f t="shared" si="60"/>
        <v/>
      </c>
      <c r="S1901" s="82" t="str">
        <f t="shared" si="61"/>
        <v/>
      </c>
    </row>
    <row r="1902" spans="18:19" x14ac:dyDescent="0.25">
      <c r="R1902" s="8" t="str">
        <f t="shared" si="60"/>
        <v/>
      </c>
      <c r="S1902" s="82" t="str">
        <f t="shared" si="61"/>
        <v/>
      </c>
    </row>
    <row r="1903" spans="18:19" x14ac:dyDescent="0.25">
      <c r="R1903" s="8" t="str">
        <f t="shared" si="60"/>
        <v/>
      </c>
      <c r="S1903" s="82" t="str">
        <f t="shared" si="61"/>
        <v/>
      </c>
    </row>
    <row r="1904" spans="18:19" x14ac:dyDescent="0.25">
      <c r="R1904" s="8" t="str">
        <f t="shared" si="60"/>
        <v/>
      </c>
      <c r="S1904" s="82" t="str">
        <f t="shared" si="61"/>
        <v/>
      </c>
    </row>
    <row r="1905" spans="18:19" x14ac:dyDescent="0.25">
      <c r="R1905" s="8" t="str">
        <f t="shared" si="60"/>
        <v/>
      </c>
      <c r="S1905" s="82" t="str">
        <f t="shared" si="61"/>
        <v/>
      </c>
    </row>
    <row r="1906" spans="18:19" x14ac:dyDescent="0.25">
      <c r="R1906" s="8" t="str">
        <f t="shared" si="60"/>
        <v/>
      </c>
      <c r="S1906" s="82" t="str">
        <f t="shared" si="61"/>
        <v/>
      </c>
    </row>
    <row r="1907" spans="18:19" x14ac:dyDescent="0.25">
      <c r="R1907" s="8" t="str">
        <f t="shared" si="60"/>
        <v/>
      </c>
      <c r="S1907" s="82" t="str">
        <f t="shared" si="61"/>
        <v/>
      </c>
    </row>
    <row r="1908" spans="18:19" x14ac:dyDescent="0.25">
      <c r="R1908" s="8" t="str">
        <f t="shared" si="60"/>
        <v/>
      </c>
      <c r="S1908" s="82" t="str">
        <f t="shared" si="61"/>
        <v/>
      </c>
    </row>
    <row r="1909" spans="18:19" x14ac:dyDescent="0.25">
      <c r="R1909" s="8" t="str">
        <f t="shared" si="60"/>
        <v/>
      </c>
      <c r="S1909" s="82" t="str">
        <f t="shared" si="61"/>
        <v/>
      </c>
    </row>
    <row r="1910" spans="18:19" x14ac:dyDescent="0.25">
      <c r="R1910" s="8" t="str">
        <f t="shared" si="60"/>
        <v/>
      </c>
      <c r="S1910" s="82" t="str">
        <f t="shared" si="61"/>
        <v/>
      </c>
    </row>
    <row r="1911" spans="18:19" x14ac:dyDescent="0.25">
      <c r="R1911" s="8" t="str">
        <f t="shared" si="60"/>
        <v/>
      </c>
      <c r="S1911" s="82" t="str">
        <f t="shared" si="61"/>
        <v/>
      </c>
    </row>
    <row r="1912" spans="18:19" x14ac:dyDescent="0.25">
      <c r="R1912" s="8" t="str">
        <f t="shared" si="60"/>
        <v/>
      </c>
      <c r="S1912" s="82" t="str">
        <f t="shared" si="61"/>
        <v/>
      </c>
    </row>
    <row r="1913" spans="18:19" x14ac:dyDescent="0.25">
      <c r="R1913" s="8" t="str">
        <f t="shared" si="60"/>
        <v/>
      </c>
      <c r="S1913" s="82" t="str">
        <f t="shared" si="61"/>
        <v/>
      </c>
    </row>
    <row r="1914" spans="18:19" x14ac:dyDescent="0.25">
      <c r="R1914" s="8" t="str">
        <f t="shared" si="60"/>
        <v/>
      </c>
      <c r="S1914" s="82" t="str">
        <f t="shared" si="61"/>
        <v/>
      </c>
    </row>
    <row r="1915" spans="18:19" x14ac:dyDescent="0.25">
      <c r="R1915" s="8" t="str">
        <f t="shared" si="60"/>
        <v/>
      </c>
      <c r="S1915" s="82" t="str">
        <f t="shared" si="61"/>
        <v/>
      </c>
    </row>
    <row r="1916" spans="18:19" x14ac:dyDescent="0.25">
      <c r="R1916" s="8" t="str">
        <f t="shared" si="60"/>
        <v/>
      </c>
      <c r="S1916" s="82" t="str">
        <f t="shared" si="61"/>
        <v/>
      </c>
    </row>
    <row r="1917" spans="18:19" x14ac:dyDescent="0.25">
      <c r="R1917" s="8" t="str">
        <f t="shared" si="60"/>
        <v/>
      </c>
      <c r="S1917" s="82" t="str">
        <f t="shared" si="61"/>
        <v/>
      </c>
    </row>
    <row r="1918" spans="18:19" x14ac:dyDescent="0.25">
      <c r="R1918" s="8" t="str">
        <f t="shared" si="60"/>
        <v/>
      </c>
      <c r="S1918" s="82" t="str">
        <f t="shared" si="61"/>
        <v/>
      </c>
    </row>
    <row r="1919" spans="18:19" x14ac:dyDescent="0.25">
      <c r="R1919" s="8" t="str">
        <f t="shared" si="60"/>
        <v/>
      </c>
      <c r="S1919" s="82" t="str">
        <f t="shared" si="61"/>
        <v/>
      </c>
    </row>
    <row r="1920" spans="18:19" x14ac:dyDescent="0.25">
      <c r="R1920" s="8" t="str">
        <f t="shared" si="60"/>
        <v/>
      </c>
      <c r="S1920" s="82" t="str">
        <f t="shared" si="61"/>
        <v/>
      </c>
    </row>
    <row r="1921" spans="18:19" x14ac:dyDescent="0.25">
      <c r="R1921" s="8" t="str">
        <f t="shared" si="60"/>
        <v/>
      </c>
      <c r="S1921" s="82" t="str">
        <f t="shared" si="61"/>
        <v/>
      </c>
    </row>
    <row r="1922" spans="18:19" x14ac:dyDescent="0.25">
      <c r="R1922" s="8" t="str">
        <f t="shared" si="60"/>
        <v/>
      </c>
      <c r="S1922" s="82" t="str">
        <f t="shared" si="61"/>
        <v/>
      </c>
    </row>
    <row r="1923" spans="18:19" x14ac:dyDescent="0.25">
      <c r="R1923" s="8" t="str">
        <f t="shared" si="60"/>
        <v/>
      </c>
      <c r="S1923" s="82" t="str">
        <f t="shared" si="61"/>
        <v/>
      </c>
    </row>
    <row r="1924" spans="18:19" x14ac:dyDescent="0.25">
      <c r="R1924" s="8" t="str">
        <f t="shared" si="60"/>
        <v/>
      </c>
      <c r="S1924" s="82" t="str">
        <f t="shared" si="61"/>
        <v/>
      </c>
    </row>
    <row r="1925" spans="18:19" x14ac:dyDescent="0.25">
      <c r="R1925" s="8" t="str">
        <f t="shared" si="60"/>
        <v/>
      </c>
      <c r="S1925" s="82" t="str">
        <f t="shared" si="61"/>
        <v/>
      </c>
    </row>
    <row r="1926" spans="18:19" x14ac:dyDescent="0.25">
      <c r="R1926" s="8" t="str">
        <f t="shared" si="60"/>
        <v/>
      </c>
      <c r="S1926" s="82" t="str">
        <f t="shared" si="61"/>
        <v/>
      </c>
    </row>
    <row r="1927" spans="18:19" x14ac:dyDescent="0.25">
      <c r="R1927" s="8" t="str">
        <f t="shared" si="60"/>
        <v/>
      </c>
      <c r="S1927" s="82" t="str">
        <f t="shared" si="61"/>
        <v/>
      </c>
    </row>
    <row r="1928" spans="18:19" x14ac:dyDescent="0.25">
      <c r="R1928" s="8" t="str">
        <f t="shared" ref="R1928:R1991" si="62">IF(A1928="",(""),(MONTH(A1928)))</f>
        <v/>
      </c>
      <c r="S1928" s="82" t="str">
        <f t="shared" si="61"/>
        <v/>
      </c>
    </row>
    <row r="1929" spans="18:19" x14ac:dyDescent="0.25">
      <c r="R1929" s="8" t="str">
        <f t="shared" si="62"/>
        <v/>
      </c>
      <c r="S1929" s="82" t="str">
        <f t="shared" si="61"/>
        <v/>
      </c>
    </row>
    <row r="1930" spans="18:19" x14ac:dyDescent="0.25">
      <c r="R1930" s="8" t="str">
        <f t="shared" si="62"/>
        <v/>
      </c>
      <c r="S1930" s="82" t="str">
        <f t="shared" si="61"/>
        <v/>
      </c>
    </row>
    <row r="1931" spans="18:19" x14ac:dyDescent="0.25">
      <c r="R1931" s="8" t="str">
        <f t="shared" si="62"/>
        <v/>
      </c>
      <c r="S1931" s="82" t="str">
        <f t="shared" si="61"/>
        <v/>
      </c>
    </row>
    <row r="1932" spans="18:19" x14ac:dyDescent="0.25">
      <c r="R1932" s="8" t="str">
        <f t="shared" si="62"/>
        <v/>
      </c>
      <c r="S1932" s="82" t="str">
        <f t="shared" si="61"/>
        <v/>
      </c>
    </row>
    <row r="1933" spans="18:19" x14ac:dyDescent="0.25">
      <c r="R1933" s="8" t="str">
        <f t="shared" si="62"/>
        <v/>
      </c>
      <c r="S1933" s="82" t="str">
        <f t="shared" si="61"/>
        <v/>
      </c>
    </row>
    <row r="1934" spans="18:19" x14ac:dyDescent="0.25">
      <c r="R1934" s="8" t="str">
        <f t="shared" si="62"/>
        <v/>
      </c>
      <c r="S1934" s="82" t="str">
        <f t="shared" si="61"/>
        <v/>
      </c>
    </row>
    <row r="1935" spans="18:19" x14ac:dyDescent="0.25">
      <c r="R1935" s="8" t="str">
        <f t="shared" si="62"/>
        <v/>
      </c>
      <c r="S1935" s="82" t="str">
        <f t="shared" si="61"/>
        <v/>
      </c>
    </row>
    <row r="1936" spans="18:19" x14ac:dyDescent="0.25">
      <c r="R1936" s="8" t="str">
        <f t="shared" si="62"/>
        <v/>
      </c>
      <c r="S1936" s="82" t="str">
        <f t="shared" si="61"/>
        <v/>
      </c>
    </row>
    <row r="1937" spans="18:19" x14ac:dyDescent="0.25">
      <c r="R1937" s="8" t="str">
        <f t="shared" si="62"/>
        <v/>
      </c>
      <c r="S1937" s="82" t="str">
        <f t="shared" si="61"/>
        <v/>
      </c>
    </row>
    <row r="1938" spans="18:19" x14ac:dyDescent="0.25">
      <c r="R1938" s="8" t="str">
        <f t="shared" si="62"/>
        <v/>
      </c>
      <c r="S1938" s="82" t="str">
        <f t="shared" si="61"/>
        <v/>
      </c>
    </row>
    <row r="1939" spans="18:19" x14ac:dyDescent="0.25">
      <c r="R1939" s="8" t="str">
        <f t="shared" si="62"/>
        <v/>
      </c>
      <c r="S1939" s="82" t="str">
        <f t="shared" si="61"/>
        <v/>
      </c>
    </row>
    <row r="1940" spans="18:19" x14ac:dyDescent="0.25">
      <c r="R1940" s="8" t="str">
        <f t="shared" si="62"/>
        <v/>
      </c>
      <c r="S1940" s="82" t="str">
        <f t="shared" si="61"/>
        <v/>
      </c>
    </row>
    <row r="1941" spans="18:19" x14ac:dyDescent="0.25">
      <c r="R1941" s="8" t="str">
        <f t="shared" si="62"/>
        <v/>
      </c>
      <c r="S1941" s="82" t="str">
        <f t="shared" si="61"/>
        <v/>
      </c>
    </row>
    <row r="1942" spans="18:19" x14ac:dyDescent="0.25">
      <c r="R1942" s="8" t="str">
        <f t="shared" si="62"/>
        <v/>
      </c>
      <c r="S1942" s="82" t="str">
        <f t="shared" ref="S1942:S2005" si="63">IF(O1942&gt;0,(Q1942-O1942),(IF(K1942="USD",(Q1942*J1942),((IF(B1942="",(""),(SUMIF(B1942,"11 - Factura C",(Q1942))-SUMIF(B1942,"13 - Nota de Crédito C",(Q1942))+SUMIF(B1942,"15 - Recibo C",(Q1942))+SUMIF(B1942,"109 - Tique C",(Q1942)))))))))</f>
        <v/>
      </c>
    </row>
    <row r="1943" spans="18:19" x14ac:dyDescent="0.25">
      <c r="R1943" s="8" t="str">
        <f t="shared" si="62"/>
        <v/>
      </c>
      <c r="S1943" s="82" t="str">
        <f t="shared" si="63"/>
        <v/>
      </c>
    </row>
    <row r="1944" spans="18:19" x14ac:dyDescent="0.25">
      <c r="R1944" s="8" t="str">
        <f t="shared" si="62"/>
        <v/>
      </c>
      <c r="S1944" s="82" t="str">
        <f t="shared" si="63"/>
        <v/>
      </c>
    </row>
    <row r="1945" spans="18:19" x14ac:dyDescent="0.25">
      <c r="R1945" s="8" t="str">
        <f t="shared" si="62"/>
        <v/>
      </c>
      <c r="S1945" s="82" t="str">
        <f t="shared" si="63"/>
        <v/>
      </c>
    </row>
    <row r="1946" spans="18:19" x14ac:dyDescent="0.25">
      <c r="R1946" s="8" t="str">
        <f t="shared" si="62"/>
        <v/>
      </c>
      <c r="S1946" s="82" t="str">
        <f t="shared" si="63"/>
        <v/>
      </c>
    </row>
    <row r="1947" spans="18:19" x14ac:dyDescent="0.25">
      <c r="R1947" s="8" t="str">
        <f t="shared" si="62"/>
        <v/>
      </c>
      <c r="S1947" s="82" t="str">
        <f t="shared" si="63"/>
        <v/>
      </c>
    </row>
    <row r="1948" spans="18:19" x14ac:dyDescent="0.25">
      <c r="R1948" s="8" t="str">
        <f t="shared" si="62"/>
        <v/>
      </c>
      <c r="S1948" s="82" t="str">
        <f t="shared" si="63"/>
        <v/>
      </c>
    </row>
    <row r="1949" spans="18:19" x14ac:dyDescent="0.25">
      <c r="R1949" s="8" t="str">
        <f t="shared" si="62"/>
        <v/>
      </c>
      <c r="S1949" s="82" t="str">
        <f t="shared" si="63"/>
        <v/>
      </c>
    </row>
    <row r="1950" spans="18:19" x14ac:dyDescent="0.25">
      <c r="R1950" s="8" t="str">
        <f t="shared" si="62"/>
        <v/>
      </c>
      <c r="S1950" s="82" t="str">
        <f t="shared" si="63"/>
        <v/>
      </c>
    </row>
    <row r="1951" spans="18:19" x14ac:dyDescent="0.25">
      <c r="R1951" s="8" t="str">
        <f t="shared" si="62"/>
        <v/>
      </c>
      <c r="S1951" s="82" t="str">
        <f t="shared" si="63"/>
        <v/>
      </c>
    </row>
    <row r="1952" spans="18:19" x14ac:dyDescent="0.25">
      <c r="R1952" s="8" t="str">
        <f t="shared" si="62"/>
        <v/>
      </c>
      <c r="S1952" s="82" t="str">
        <f t="shared" si="63"/>
        <v/>
      </c>
    </row>
    <row r="1953" spans="18:19" x14ac:dyDescent="0.25">
      <c r="R1953" s="8" t="str">
        <f t="shared" si="62"/>
        <v/>
      </c>
      <c r="S1953" s="82" t="str">
        <f t="shared" si="63"/>
        <v/>
      </c>
    </row>
    <row r="1954" spans="18:19" x14ac:dyDescent="0.25">
      <c r="R1954" s="8" t="str">
        <f t="shared" si="62"/>
        <v/>
      </c>
      <c r="S1954" s="82" t="str">
        <f t="shared" si="63"/>
        <v/>
      </c>
    </row>
    <row r="1955" spans="18:19" x14ac:dyDescent="0.25">
      <c r="R1955" s="8" t="str">
        <f t="shared" si="62"/>
        <v/>
      </c>
      <c r="S1955" s="82" t="str">
        <f t="shared" si="63"/>
        <v/>
      </c>
    </row>
    <row r="1956" spans="18:19" x14ac:dyDescent="0.25">
      <c r="R1956" s="8" t="str">
        <f t="shared" si="62"/>
        <v/>
      </c>
      <c r="S1956" s="82" t="str">
        <f t="shared" si="63"/>
        <v/>
      </c>
    </row>
    <row r="1957" spans="18:19" x14ac:dyDescent="0.25">
      <c r="R1957" s="8" t="str">
        <f t="shared" si="62"/>
        <v/>
      </c>
      <c r="S1957" s="82" t="str">
        <f t="shared" si="63"/>
        <v/>
      </c>
    </row>
    <row r="1958" spans="18:19" x14ac:dyDescent="0.25">
      <c r="R1958" s="8" t="str">
        <f t="shared" si="62"/>
        <v/>
      </c>
      <c r="S1958" s="82" t="str">
        <f t="shared" si="63"/>
        <v/>
      </c>
    </row>
    <row r="1959" spans="18:19" x14ac:dyDescent="0.25">
      <c r="R1959" s="8" t="str">
        <f t="shared" si="62"/>
        <v/>
      </c>
      <c r="S1959" s="82" t="str">
        <f t="shared" si="63"/>
        <v/>
      </c>
    </row>
    <row r="1960" spans="18:19" x14ac:dyDescent="0.25">
      <c r="R1960" s="8" t="str">
        <f t="shared" si="62"/>
        <v/>
      </c>
      <c r="S1960" s="82" t="str">
        <f t="shared" si="63"/>
        <v/>
      </c>
    </row>
    <row r="1961" spans="18:19" x14ac:dyDescent="0.25">
      <c r="R1961" s="8" t="str">
        <f t="shared" si="62"/>
        <v/>
      </c>
      <c r="S1961" s="82" t="str">
        <f t="shared" si="63"/>
        <v/>
      </c>
    </row>
    <row r="1962" spans="18:19" x14ac:dyDescent="0.25">
      <c r="R1962" s="8" t="str">
        <f t="shared" si="62"/>
        <v/>
      </c>
      <c r="S1962" s="82" t="str">
        <f t="shared" si="63"/>
        <v/>
      </c>
    </row>
    <row r="1963" spans="18:19" x14ac:dyDescent="0.25">
      <c r="R1963" s="8" t="str">
        <f t="shared" si="62"/>
        <v/>
      </c>
      <c r="S1963" s="82" t="str">
        <f t="shared" si="63"/>
        <v/>
      </c>
    </row>
    <row r="1964" spans="18:19" x14ac:dyDescent="0.25">
      <c r="R1964" s="8" t="str">
        <f t="shared" si="62"/>
        <v/>
      </c>
      <c r="S1964" s="82" t="str">
        <f t="shared" si="63"/>
        <v/>
      </c>
    </row>
    <row r="1965" spans="18:19" x14ac:dyDescent="0.25">
      <c r="R1965" s="8" t="str">
        <f t="shared" si="62"/>
        <v/>
      </c>
      <c r="S1965" s="82" t="str">
        <f t="shared" si="63"/>
        <v/>
      </c>
    </row>
    <row r="1966" spans="18:19" x14ac:dyDescent="0.25">
      <c r="R1966" s="8" t="str">
        <f t="shared" si="62"/>
        <v/>
      </c>
      <c r="S1966" s="82" t="str">
        <f t="shared" si="63"/>
        <v/>
      </c>
    </row>
    <row r="1967" spans="18:19" x14ac:dyDescent="0.25">
      <c r="R1967" s="8" t="str">
        <f t="shared" si="62"/>
        <v/>
      </c>
      <c r="S1967" s="82" t="str">
        <f t="shared" si="63"/>
        <v/>
      </c>
    </row>
    <row r="1968" spans="18:19" x14ac:dyDescent="0.25">
      <c r="R1968" s="8" t="str">
        <f t="shared" si="62"/>
        <v/>
      </c>
      <c r="S1968" s="82" t="str">
        <f t="shared" si="63"/>
        <v/>
      </c>
    </row>
    <row r="1969" spans="18:19" x14ac:dyDescent="0.25">
      <c r="R1969" s="8" t="str">
        <f t="shared" si="62"/>
        <v/>
      </c>
      <c r="S1969" s="82" t="str">
        <f t="shared" si="63"/>
        <v/>
      </c>
    </row>
    <row r="1970" spans="18:19" x14ac:dyDescent="0.25">
      <c r="R1970" s="8" t="str">
        <f t="shared" si="62"/>
        <v/>
      </c>
      <c r="S1970" s="82" t="str">
        <f t="shared" si="63"/>
        <v/>
      </c>
    </row>
    <row r="1971" spans="18:19" x14ac:dyDescent="0.25">
      <c r="R1971" s="8" t="str">
        <f t="shared" si="62"/>
        <v/>
      </c>
      <c r="S1971" s="82" t="str">
        <f t="shared" si="63"/>
        <v/>
      </c>
    </row>
    <row r="1972" spans="18:19" x14ac:dyDescent="0.25">
      <c r="R1972" s="8" t="str">
        <f t="shared" si="62"/>
        <v/>
      </c>
      <c r="S1972" s="82" t="str">
        <f t="shared" si="63"/>
        <v/>
      </c>
    </row>
    <row r="1973" spans="18:19" x14ac:dyDescent="0.25">
      <c r="R1973" s="8" t="str">
        <f t="shared" si="62"/>
        <v/>
      </c>
      <c r="S1973" s="82" t="str">
        <f t="shared" si="63"/>
        <v/>
      </c>
    </row>
    <row r="1974" spans="18:19" x14ac:dyDescent="0.25">
      <c r="R1974" s="8" t="str">
        <f t="shared" si="62"/>
        <v/>
      </c>
      <c r="S1974" s="82" t="str">
        <f t="shared" si="63"/>
        <v/>
      </c>
    </row>
    <row r="1975" spans="18:19" x14ac:dyDescent="0.25">
      <c r="R1975" s="8" t="str">
        <f t="shared" si="62"/>
        <v/>
      </c>
      <c r="S1975" s="82" t="str">
        <f t="shared" si="63"/>
        <v/>
      </c>
    </row>
    <row r="1976" spans="18:19" x14ac:dyDescent="0.25">
      <c r="R1976" s="8" t="str">
        <f t="shared" si="62"/>
        <v/>
      </c>
      <c r="S1976" s="82" t="str">
        <f t="shared" si="63"/>
        <v/>
      </c>
    </row>
    <row r="1977" spans="18:19" x14ac:dyDescent="0.25">
      <c r="R1977" s="8" t="str">
        <f t="shared" si="62"/>
        <v/>
      </c>
      <c r="S1977" s="82" t="str">
        <f t="shared" si="63"/>
        <v/>
      </c>
    </row>
    <row r="1978" spans="18:19" x14ac:dyDescent="0.25">
      <c r="R1978" s="8" t="str">
        <f t="shared" si="62"/>
        <v/>
      </c>
      <c r="S1978" s="82" t="str">
        <f t="shared" si="63"/>
        <v/>
      </c>
    </row>
    <row r="1979" spans="18:19" x14ac:dyDescent="0.25">
      <c r="R1979" s="8" t="str">
        <f t="shared" si="62"/>
        <v/>
      </c>
      <c r="S1979" s="82" t="str">
        <f t="shared" si="63"/>
        <v/>
      </c>
    </row>
    <row r="1980" spans="18:19" x14ac:dyDescent="0.25">
      <c r="R1980" s="8" t="str">
        <f t="shared" si="62"/>
        <v/>
      </c>
      <c r="S1980" s="82" t="str">
        <f t="shared" si="63"/>
        <v/>
      </c>
    </row>
    <row r="1981" spans="18:19" x14ac:dyDescent="0.25">
      <c r="R1981" s="8" t="str">
        <f t="shared" si="62"/>
        <v/>
      </c>
      <c r="S1981" s="82" t="str">
        <f t="shared" si="63"/>
        <v/>
      </c>
    </row>
    <row r="1982" spans="18:19" x14ac:dyDescent="0.25">
      <c r="R1982" s="8" t="str">
        <f t="shared" si="62"/>
        <v/>
      </c>
      <c r="S1982" s="82" t="str">
        <f t="shared" si="63"/>
        <v/>
      </c>
    </row>
    <row r="1983" spans="18:19" x14ac:dyDescent="0.25">
      <c r="R1983" s="8" t="str">
        <f t="shared" si="62"/>
        <v/>
      </c>
      <c r="S1983" s="82" t="str">
        <f t="shared" si="63"/>
        <v/>
      </c>
    </row>
    <row r="1984" spans="18:19" x14ac:dyDescent="0.25">
      <c r="R1984" s="8" t="str">
        <f t="shared" si="62"/>
        <v/>
      </c>
      <c r="S1984" s="82" t="str">
        <f t="shared" si="63"/>
        <v/>
      </c>
    </row>
    <row r="1985" spans="18:19" x14ac:dyDescent="0.25">
      <c r="R1985" s="8" t="str">
        <f t="shared" si="62"/>
        <v/>
      </c>
      <c r="S1985" s="82" t="str">
        <f t="shared" si="63"/>
        <v/>
      </c>
    </row>
    <row r="1986" spans="18:19" x14ac:dyDescent="0.25">
      <c r="R1986" s="8" t="str">
        <f t="shared" si="62"/>
        <v/>
      </c>
      <c r="S1986" s="82" t="str">
        <f t="shared" si="63"/>
        <v/>
      </c>
    </row>
    <row r="1987" spans="18:19" x14ac:dyDescent="0.25">
      <c r="R1987" s="8" t="str">
        <f t="shared" si="62"/>
        <v/>
      </c>
      <c r="S1987" s="82" t="str">
        <f t="shared" si="63"/>
        <v/>
      </c>
    </row>
    <row r="1988" spans="18:19" x14ac:dyDescent="0.25">
      <c r="R1988" s="8" t="str">
        <f t="shared" si="62"/>
        <v/>
      </c>
      <c r="S1988" s="82" t="str">
        <f t="shared" si="63"/>
        <v/>
      </c>
    </row>
    <row r="1989" spans="18:19" x14ac:dyDescent="0.25">
      <c r="R1989" s="8" t="str">
        <f t="shared" si="62"/>
        <v/>
      </c>
      <c r="S1989" s="82" t="str">
        <f t="shared" si="63"/>
        <v/>
      </c>
    </row>
    <row r="1990" spans="18:19" x14ac:dyDescent="0.25">
      <c r="R1990" s="8" t="str">
        <f t="shared" si="62"/>
        <v/>
      </c>
      <c r="S1990" s="82" t="str">
        <f t="shared" si="63"/>
        <v/>
      </c>
    </row>
    <row r="1991" spans="18:19" x14ac:dyDescent="0.25">
      <c r="R1991" s="8" t="str">
        <f t="shared" si="62"/>
        <v/>
      </c>
      <c r="S1991" s="82" t="str">
        <f t="shared" si="63"/>
        <v/>
      </c>
    </row>
    <row r="1992" spans="18:19" x14ac:dyDescent="0.25">
      <c r="R1992" s="8" t="str">
        <f t="shared" ref="R1992:R2055" si="64">IF(A1992="",(""),(MONTH(A1992)))</f>
        <v/>
      </c>
      <c r="S1992" s="82" t="str">
        <f t="shared" si="63"/>
        <v/>
      </c>
    </row>
    <row r="1993" spans="18:19" x14ac:dyDescent="0.25">
      <c r="R1993" s="8" t="str">
        <f t="shared" si="64"/>
        <v/>
      </c>
      <c r="S1993" s="82" t="str">
        <f t="shared" si="63"/>
        <v/>
      </c>
    </row>
    <row r="1994" spans="18:19" x14ac:dyDescent="0.25">
      <c r="R1994" s="8" t="str">
        <f t="shared" si="64"/>
        <v/>
      </c>
      <c r="S1994" s="82" t="str">
        <f t="shared" si="63"/>
        <v/>
      </c>
    </row>
    <row r="1995" spans="18:19" x14ac:dyDescent="0.25">
      <c r="R1995" s="8" t="str">
        <f t="shared" si="64"/>
        <v/>
      </c>
      <c r="S1995" s="82" t="str">
        <f t="shared" si="63"/>
        <v/>
      </c>
    </row>
    <row r="1996" spans="18:19" x14ac:dyDescent="0.25">
      <c r="R1996" s="8" t="str">
        <f t="shared" si="64"/>
        <v/>
      </c>
      <c r="S1996" s="82" t="str">
        <f t="shared" si="63"/>
        <v/>
      </c>
    </row>
    <row r="1997" spans="18:19" x14ac:dyDescent="0.25">
      <c r="R1997" s="8" t="str">
        <f t="shared" si="64"/>
        <v/>
      </c>
      <c r="S1997" s="82" t="str">
        <f t="shared" si="63"/>
        <v/>
      </c>
    </row>
    <row r="1998" spans="18:19" x14ac:dyDescent="0.25">
      <c r="R1998" s="8" t="str">
        <f t="shared" si="64"/>
        <v/>
      </c>
      <c r="S1998" s="82" t="str">
        <f t="shared" si="63"/>
        <v/>
      </c>
    </row>
    <row r="1999" spans="18:19" x14ac:dyDescent="0.25">
      <c r="R1999" s="8" t="str">
        <f t="shared" si="64"/>
        <v/>
      </c>
      <c r="S1999" s="82" t="str">
        <f t="shared" si="63"/>
        <v/>
      </c>
    </row>
    <row r="2000" spans="18:19" x14ac:dyDescent="0.25">
      <c r="R2000" s="8" t="str">
        <f t="shared" si="64"/>
        <v/>
      </c>
      <c r="S2000" s="82" t="str">
        <f t="shared" si="63"/>
        <v/>
      </c>
    </row>
    <row r="2001" spans="18:19" x14ac:dyDescent="0.25">
      <c r="R2001" s="8" t="str">
        <f t="shared" si="64"/>
        <v/>
      </c>
      <c r="S2001" s="82" t="str">
        <f t="shared" si="63"/>
        <v/>
      </c>
    </row>
    <row r="2002" spans="18:19" x14ac:dyDescent="0.25">
      <c r="R2002" s="8" t="str">
        <f t="shared" si="64"/>
        <v/>
      </c>
      <c r="S2002" s="82" t="str">
        <f t="shared" si="63"/>
        <v/>
      </c>
    </row>
    <row r="2003" spans="18:19" x14ac:dyDescent="0.25">
      <c r="R2003" s="8" t="str">
        <f t="shared" si="64"/>
        <v/>
      </c>
      <c r="S2003" s="82" t="str">
        <f t="shared" si="63"/>
        <v/>
      </c>
    </row>
    <row r="2004" spans="18:19" x14ac:dyDescent="0.25">
      <c r="R2004" s="8" t="str">
        <f t="shared" si="64"/>
        <v/>
      </c>
      <c r="S2004" s="82" t="str">
        <f t="shared" si="63"/>
        <v/>
      </c>
    </row>
    <row r="2005" spans="18:19" x14ac:dyDescent="0.25">
      <c r="R2005" s="8" t="str">
        <f t="shared" si="64"/>
        <v/>
      </c>
      <c r="S2005" s="82" t="str">
        <f t="shared" si="63"/>
        <v/>
      </c>
    </row>
    <row r="2006" spans="18:19" x14ac:dyDescent="0.25">
      <c r="R2006" s="8" t="str">
        <f t="shared" si="64"/>
        <v/>
      </c>
      <c r="S2006" s="82" t="str">
        <f t="shared" ref="S2006:S2069" si="65">IF(O2006&gt;0,(Q2006-O2006),(IF(K2006="USD",(Q2006*J2006),((IF(B2006="",(""),(SUMIF(B2006,"11 - Factura C",(Q2006))-SUMIF(B2006,"13 - Nota de Crédito C",(Q2006))+SUMIF(B2006,"15 - Recibo C",(Q2006))+SUMIF(B2006,"109 - Tique C",(Q2006)))))))))</f>
        <v/>
      </c>
    </row>
    <row r="2007" spans="18:19" x14ac:dyDescent="0.25">
      <c r="R2007" s="8" t="str">
        <f t="shared" si="64"/>
        <v/>
      </c>
      <c r="S2007" s="82" t="str">
        <f t="shared" si="65"/>
        <v/>
      </c>
    </row>
    <row r="2008" spans="18:19" x14ac:dyDescent="0.25">
      <c r="R2008" s="8" t="str">
        <f t="shared" si="64"/>
        <v/>
      </c>
      <c r="S2008" s="82" t="str">
        <f t="shared" si="65"/>
        <v/>
      </c>
    </row>
    <row r="2009" spans="18:19" x14ac:dyDescent="0.25">
      <c r="R2009" s="8" t="str">
        <f t="shared" si="64"/>
        <v/>
      </c>
      <c r="S2009" s="82" t="str">
        <f t="shared" si="65"/>
        <v/>
      </c>
    </row>
    <row r="2010" spans="18:19" x14ac:dyDescent="0.25">
      <c r="R2010" s="8" t="str">
        <f t="shared" si="64"/>
        <v/>
      </c>
      <c r="S2010" s="82" t="str">
        <f t="shared" si="65"/>
        <v/>
      </c>
    </row>
    <row r="2011" spans="18:19" x14ac:dyDescent="0.25">
      <c r="R2011" s="8" t="str">
        <f t="shared" si="64"/>
        <v/>
      </c>
      <c r="S2011" s="82" t="str">
        <f t="shared" si="65"/>
        <v/>
      </c>
    </row>
    <row r="2012" spans="18:19" x14ac:dyDescent="0.25">
      <c r="R2012" s="8" t="str">
        <f t="shared" si="64"/>
        <v/>
      </c>
      <c r="S2012" s="82" t="str">
        <f t="shared" si="65"/>
        <v/>
      </c>
    </row>
    <row r="2013" spans="18:19" x14ac:dyDescent="0.25">
      <c r="R2013" s="8" t="str">
        <f t="shared" si="64"/>
        <v/>
      </c>
      <c r="S2013" s="82" t="str">
        <f t="shared" si="65"/>
        <v/>
      </c>
    </row>
    <row r="2014" spans="18:19" x14ac:dyDescent="0.25">
      <c r="R2014" s="8" t="str">
        <f t="shared" si="64"/>
        <v/>
      </c>
      <c r="S2014" s="82" t="str">
        <f t="shared" si="65"/>
        <v/>
      </c>
    </row>
    <row r="2015" spans="18:19" x14ac:dyDescent="0.25">
      <c r="R2015" s="8" t="str">
        <f t="shared" si="64"/>
        <v/>
      </c>
      <c r="S2015" s="82" t="str">
        <f t="shared" si="65"/>
        <v/>
      </c>
    </row>
    <row r="2016" spans="18:19" x14ac:dyDescent="0.25">
      <c r="R2016" s="8" t="str">
        <f t="shared" si="64"/>
        <v/>
      </c>
      <c r="S2016" s="82" t="str">
        <f t="shared" si="65"/>
        <v/>
      </c>
    </row>
    <row r="2017" spans="18:19" x14ac:dyDescent="0.25">
      <c r="R2017" s="8" t="str">
        <f t="shared" si="64"/>
        <v/>
      </c>
      <c r="S2017" s="82" t="str">
        <f t="shared" si="65"/>
        <v/>
      </c>
    </row>
    <row r="2018" spans="18:19" x14ac:dyDescent="0.25">
      <c r="R2018" s="8" t="str">
        <f t="shared" si="64"/>
        <v/>
      </c>
      <c r="S2018" s="82" t="str">
        <f t="shared" si="65"/>
        <v/>
      </c>
    </row>
    <row r="2019" spans="18:19" x14ac:dyDescent="0.25">
      <c r="R2019" s="8" t="str">
        <f t="shared" si="64"/>
        <v/>
      </c>
      <c r="S2019" s="82" t="str">
        <f t="shared" si="65"/>
        <v/>
      </c>
    </row>
    <row r="2020" spans="18:19" x14ac:dyDescent="0.25">
      <c r="R2020" s="8" t="str">
        <f t="shared" si="64"/>
        <v/>
      </c>
      <c r="S2020" s="82" t="str">
        <f t="shared" si="65"/>
        <v/>
      </c>
    </row>
    <row r="2021" spans="18:19" x14ac:dyDescent="0.25">
      <c r="R2021" s="8" t="str">
        <f t="shared" si="64"/>
        <v/>
      </c>
      <c r="S2021" s="82" t="str">
        <f t="shared" si="65"/>
        <v/>
      </c>
    </row>
    <row r="2022" spans="18:19" x14ac:dyDescent="0.25">
      <c r="R2022" s="8" t="str">
        <f t="shared" si="64"/>
        <v/>
      </c>
      <c r="S2022" s="82" t="str">
        <f t="shared" si="65"/>
        <v/>
      </c>
    </row>
    <row r="2023" spans="18:19" x14ac:dyDescent="0.25">
      <c r="R2023" s="8" t="str">
        <f t="shared" si="64"/>
        <v/>
      </c>
      <c r="S2023" s="82" t="str">
        <f t="shared" si="65"/>
        <v/>
      </c>
    </row>
    <row r="2024" spans="18:19" x14ac:dyDescent="0.25">
      <c r="R2024" s="8" t="str">
        <f t="shared" si="64"/>
        <v/>
      </c>
      <c r="S2024" s="82" t="str">
        <f t="shared" si="65"/>
        <v/>
      </c>
    </row>
    <row r="2025" spans="18:19" x14ac:dyDescent="0.25">
      <c r="R2025" s="8" t="str">
        <f t="shared" si="64"/>
        <v/>
      </c>
      <c r="S2025" s="82" t="str">
        <f t="shared" si="65"/>
        <v/>
      </c>
    </row>
    <row r="2026" spans="18:19" x14ac:dyDescent="0.25">
      <c r="R2026" s="8" t="str">
        <f t="shared" si="64"/>
        <v/>
      </c>
      <c r="S2026" s="82" t="str">
        <f t="shared" si="65"/>
        <v/>
      </c>
    </row>
    <row r="2027" spans="18:19" x14ac:dyDescent="0.25">
      <c r="R2027" s="8" t="str">
        <f t="shared" si="64"/>
        <v/>
      </c>
      <c r="S2027" s="82" t="str">
        <f t="shared" si="65"/>
        <v/>
      </c>
    </row>
    <row r="2028" spans="18:19" x14ac:dyDescent="0.25">
      <c r="R2028" s="8" t="str">
        <f t="shared" si="64"/>
        <v/>
      </c>
      <c r="S2028" s="82" t="str">
        <f t="shared" si="65"/>
        <v/>
      </c>
    </row>
    <row r="2029" spans="18:19" x14ac:dyDescent="0.25">
      <c r="R2029" s="8" t="str">
        <f t="shared" si="64"/>
        <v/>
      </c>
      <c r="S2029" s="82" t="str">
        <f t="shared" si="65"/>
        <v/>
      </c>
    </row>
    <row r="2030" spans="18:19" x14ac:dyDescent="0.25">
      <c r="R2030" s="8" t="str">
        <f t="shared" si="64"/>
        <v/>
      </c>
      <c r="S2030" s="82" t="str">
        <f t="shared" si="65"/>
        <v/>
      </c>
    </row>
    <row r="2031" spans="18:19" x14ac:dyDescent="0.25">
      <c r="R2031" s="8" t="str">
        <f t="shared" si="64"/>
        <v/>
      </c>
      <c r="S2031" s="82" t="str">
        <f t="shared" si="65"/>
        <v/>
      </c>
    </row>
    <row r="2032" spans="18:19" x14ac:dyDescent="0.25">
      <c r="R2032" s="8" t="str">
        <f t="shared" si="64"/>
        <v/>
      </c>
      <c r="S2032" s="82" t="str">
        <f t="shared" si="65"/>
        <v/>
      </c>
    </row>
    <row r="2033" spans="18:19" x14ac:dyDescent="0.25">
      <c r="R2033" s="8" t="str">
        <f t="shared" si="64"/>
        <v/>
      </c>
      <c r="S2033" s="82" t="str">
        <f t="shared" si="65"/>
        <v/>
      </c>
    </row>
    <row r="2034" spans="18:19" x14ac:dyDescent="0.25">
      <c r="R2034" s="8" t="str">
        <f t="shared" si="64"/>
        <v/>
      </c>
      <c r="S2034" s="82" t="str">
        <f t="shared" si="65"/>
        <v/>
      </c>
    </row>
    <row r="2035" spans="18:19" x14ac:dyDescent="0.25">
      <c r="R2035" s="8" t="str">
        <f t="shared" si="64"/>
        <v/>
      </c>
      <c r="S2035" s="82" t="str">
        <f t="shared" si="65"/>
        <v/>
      </c>
    </row>
    <row r="2036" spans="18:19" x14ac:dyDescent="0.25">
      <c r="R2036" s="8" t="str">
        <f t="shared" si="64"/>
        <v/>
      </c>
      <c r="S2036" s="82" t="str">
        <f t="shared" si="65"/>
        <v/>
      </c>
    </row>
    <row r="2037" spans="18:19" x14ac:dyDescent="0.25">
      <c r="R2037" s="8" t="str">
        <f t="shared" si="64"/>
        <v/>
      </c>
      <c r="S2037" s="82" t="str">
        <f t="shared" si="65"/>
        <v/>
      </c>
    </row>
    <row r="2038" spans="18:19" x14ac:dyDescent="0.25">
      <c r="R2038" s="8" t="str">
        <f t="shared" si="64"/>
        <v/>
      </c>
      <c r="S2038" s="82" t="str">
        <f t="shared" si="65"/>
        <v/>
      </c>
    </row>
    <row r="2039" spans="18:19" x14ac:dyDescent="0.25">
      <c r="R2039" s="8" t="str">
        <f t="shared" si="64"/>
        <v/>
      </c>
      <c r="S2039" s="82" t="str">
        <f t="shared" si="65"/>
        <v/>
      </c>
    </row>
    <row r="2040" spans="18:19" x14ac:dyDescent="0.25">
      <c r="R2040" s="8" t="str">
        <f t="shared" si="64"/>
        <v/>
      </c>
      <c r="S2040" s="82" t="str">
        <f t="shared" si="65"/>
        <v/>
      </c>
    </row>
    <row r="2041" spans="18:19" x14ac:dyDescent="0.25">
      <c r="R2041" s="8" t="str">
        <f t="shared" si="64"/>
        <v/>
      </c>
      <c r="S2041" s="82" t="str">
        <f t="shared" si="65"/>
        <v/>
      </c>
    </row>
    <row r="2042" spans="18:19" x14ac:dyDescent="0.25">
      <c r="R2042" s="8" t="str">
        <f t="shared" si="64"/>
        <v/>
      </c>
      <c r="S2042" s="82" t="str">
        <f t="shared" si="65"/>
        <v/>
      </c>
    </row>
    <row r="2043" spans="18:19" x14ac:dyDescent="0.25">
      <c r="R2043" s="8" t="str">
        <f t="shared" si="64"/>
        <v/>
      </c>
      <c r="S2043" s="82" t="str">
        <f t="shared" si="65"/>
        <v/>
      </c>
    </row>
    <row r="2044" spans="18:19" x14ac:dyDescent="0.25">
      <c r="R2044" s="8" t="str">
        <f t="shared" si="64"/>
        <v/>
      </c>
      <c r="S2044" s="82" t="str">
        <f t="shared" si="65"/>
        <v/>
      </c>
    </row>
    <row r="2045" spans="18:19" x14ac:dyDescent="0.25">
      <c r="R2045" s="8" t="str">
        <f t="shared" si="64"/>
        <v/>
      </c>
      <c r="S2045" s="82" t="str">
        <f t="shared" si="65"/>
        <v/>
      </c>
    </row>
    <row r="2046" spans="18:19" x14ac:dyDescent="0.25">
      <c r="R2046" s="8" t="str">
        <f t="shared" si="64"/>
        <v/>
      </c>
      <c r="S2046" s="82" t="str">
        <f t="shared" si="65"/>
        <v/>
      </c>
    </row>
    <row r="2047" spans="18:19" x14ac:dyDescent="0.25">
      <c r="R2047" s="8" t="str">
        <f t="shared" si="64"/>
        <v/>
      </c>
      <c r="S2047" s="82" t="str">
        <f t="shared" si="65"/>
        <v/>
      </c>
    </row>
    <row r="2048" spans="18:19" x14ac:dyDescent="0.25">
      <c r="R2048" s="8" t="str">
        <f t="shared" si="64"/>
        <v/>
      </c>
      <c r="S2048" s="82" t="str">
        <f t="shared" si="65"/>
        <v/>
      </c>
    </row>
    <row r="2049" spans="18:19" x14ac:dyDescent="0.25">
      <c r="R2049" s="8" t="str">
        <f t="shared" si="64"/>
        <v/>
      </c>
      <c r="S2049" s="82" t="str">
        <f t="shared" si="65"/>
        <v/>
      </c>
    </row>
    <row r="2050" spans="18:19" x14ac:dyDescent="0.25">
      <c r="R2050" s="8" t="str">
        <f t="shared" si="64"/>
        <v/>
      </c>
      <c r="S2050" s="82" t="str">
        <f t="shared" si="65"/>
        <v/>
      </c>
    </row>
    <row r="2051" spans="18:19" x14ac:dyDescent="0.25">
      <c r="R2051" s="8" t="str">
        <f t="shared" si="64"/>
        <v/>
      </c>
      <c r="S2051" s="82" t="str">
        <f t="shared" si="65"/>
        <v/>
      </c>
    </row>
    <row r="2052" spans="18:19" x14ac:dyDescent="0.25">
      <c r="R2052" s="8" t="str">
        <f t="shared" si="64"/>
        <v/>
      </c>
      <c r="S2052" s="82" t="str">
        <f t="shared" si="65"/>
        <v/>
      </c>
    </row>
    <row r="2053" spans="18:19" x14ac:dyDescent="0.25">
      <c r="R2053" s="8" t="str">
        <f t="shared" si="64"/>
        <v/>
      </c>
      <c r="S2053" s="82" t="str">
        <f t="shared" si="65"/>
        <v/>
      </c>
    </row>
    <row r="2054" spans="18:19" x14ac:dyDescent="0.25">
      <c r="R2054" s="8" t="str">
        <f t="shared" si="64"/>
        <v/>
      </c>
      <c r="S2054" s="82" t="str">
        <f t="shared" si="65"/>
        <v/>
      </c>
    </row>
    <row r="2055" spans="18:19" x14ac:dyDescent="0.25">
      <c r="R2055" s="8" t="str">
        <f t="shared" si="64"/>
        <v/>
      </c>
      <c r="S2055" s="82" t="str">
        <f t="shared" si="65"/>
        <v/>
      </c>
    </row>
    <row r="2056" spans="18:19" x14ac:dyDescent="0.25">
      <c r="R2056" s="8" t="str">
        <f t="shared" ref="R2056:R2119" si="66">IF(A2056="",(""),(MONTH(A2056)))</f>
        <v/>
      </c>
      <c r="S2056" s="82" t="str">
        <f t="shared" si="65"/>
        <v/>
      </c>
    </row>
    <row r="2057" spans="18:19" x14ac:dyDescent="0.25">
      <c r="R2057" s="8" t="str">
        <f t="shared" si="66"/>
        <v/>
      </c>
      <c r="S2057" s="82" t="str">
        <f t="shared" si="65"/>
        <v/>
      </c>
    </row>
    <row r="2058" spans="18:19" x14ac:dyDescent="0.25">
      <c r="R2058" s="8" t="str">
        <f t="shared" si="66"/>
        <v/>
      </c>
      <c r="S2058" s="82" t="str">
        <f t="shared" si="65"/>
        <v/>
      </c>
    </row>
    <row r="2059" spans="18:19" x14ac:dyDescent="0.25">
      <c r="R2059" s="8" t="str">
        <f t="shared" si="66"/>
        <v/>
      </c>
      <c r="S2059" s="82" t="str">
        <f t="shared" si="65"/>
        <v/>
      </c>
    </row>
    <row r="2060" spans="18:19" x14ac:dyDescent="0.25">
      <c r="R2060" s="8" t="str">
        <f t="shared" si="66"/>
        <v/>
      </c>
      <c r="S2060" s="82" t="str">
        <f t="shared" si="65"/>
        <v/>
      </c>
    </row>
    <row r="2061" spans="18:19" x14ac:dyDescent="0.25">
      <c r="R2061" s="8" t="str">
        <f t="shared" si="66"/>
        <v/>
      </c>
      <c r="S2061" s="82" t="str">
        <f t="shared" si="65"/>
        <v/>
      </c>
    </row>
    <row r="2062" spans="18:19" x14ac:dyDescent="0.25">
      <c r="R2062" s="8" t="str">
        <f t="shared" si="66"/>
        <v/>
      </c>
      <c r="S2062" s="82" t="str">
        <f t="shared" si="65"/>
        <v/>
      </c>
    </row>
    <row r="2063" spans="18:19" x14ac:dyDescent="0.25">
      <c r="R2063" s="8" t="str">
        <f t="shared" si="66"/>
        <v/>
      </c>
      <c r="S2063" s="82" t="str">
        <f t="shared" si="65"/>
        <v/>
      </c>
    </row>
    <row r="2064" spans="18:19" x14ac:dyDescent="0.25">
      <c r="R2064" s="8" t="str">
        <f t="shared" si="66"/>
        <v/>
      </c>
      <c r="S2064" s="82" t="str">
        <f t="shared" si="65"/>
        <v/>
      </c>
    </row>
    <row r="2065" spans="18:19" x14ac:dyDescent="0.25">
      <c r="R2065" s="8" t="str">
        <f t="shared" si="66"/>
        <v/>
      </c>
      <c r="S2065" s="82" t="str">
        <f t="shared" si="65"/>
        <v/>
      </c>
    </row>
    <row r="2066" spans="18:19" x14ac:dyDescent="0.25">
      <c r="R2066" s="8" t="str">
        <f t="shared" si="66"/>
        <v/>
      </c>
      <c r="S2066" s="82" t="str">
        <f t="shared" si="65"/>
        <v/>
      </c>
    </row>
    <row r="2067" spans="18:19" x14ac:dyDescent="0.25">
      <c r="R2067" s="8" t="str">
        <f t="shared" si="66"/>
        <v/>
      </c>
      <c r="S2067" s="82" t="str">
        <f t="shared" si="65"/>
        <v/>
      </c>
    </row>
    <row r="2068" spans="18:19" x14ac:dyDescent="0.25">
      <c r="R2068" s="8" t="str">
        <f t="shared" si="66"/>
        <v/>
      </c>
      <c r="S2068" s="82" t="str">
        <f t="shared" si="65"/>
        <v/>
      </c>
    </row>
    <row r="2069" spans="18:19" x14ac:dyDescent="0.25">
      <c r="R2069" s="8" t="str">
        <f t="shared" si="66"/>
        <v/>
      </c>
      <c r="S2069" s="82" t="str">
        <f t="shared" si="65"/>
        <v/>
      </c>
    </row>
    <row r="2070" spans="18:19" x14ac:dyDescent="0.25">
      <c r="R2070" s="8" t="str">
        <f t="shared" si="66"/>
        <v/>
      </c>
      <c r="S2070" s="82" t="str">
        <f t="shared" ref="S2070:S2133" si="67">IF(O2070&gt;0,(Q2070-O2070),(IF(K2070="USD",(Q2070*J2070),((IF(B2070="",(""),(SUMIF(B2070,"11 - Factura C",(Q2070))-SUMIF(B2070,"13 - Nota de Crédito C",(Q2070))+SUMIF(B2070,"15 - Recibo C",(Q2070))+SUMIF(B2070,"109 - Tique C",(Q2070)))))))))</f>
        <v/>
      </c>
    </row>
    <row r="2071" spans="18:19" x14ac:dyDescent="0.25">
      <c r="R2071" s="8" t="str">
        <f t="shared" si="66"/>
        <v/>
      </c>
      <c r="S2071" s="82" t="str">
        <f t="shared" si="67"/>
        <v/>
      </c>
    </row>
    <row r="2072" spans="18:19" x14ac:dyDescent="0.25">
      <c r="R2072" s="8" t="str">
        <f t="shared" si="66"/>
        <v/>
      </c>
      <c r="S2072" s="82" t="str">
        <f t="shared" si="67"/>
        <v/>
      </c>
    </row>
    <row r="2073" spans="18:19" x14ac:dyDescent="0.25">
      <c r="R2073" s="8" t="str">
        <f t="shared" si="66"/>
        <v/>
      </c>
      <c r="S2073" s="82" t="str">
        <f t="shared" si="67"/>
        <v/>
      </c>
    </row>
    <row r="2074" spans="18:19" x14ac:dyDescent="0.25">
      <c r="R2074" s="8" t="str">
        <f t="shared" si="66"/>
        <v/>
      </c>
      <c r="S2074" s="82" t="str">
        <f t="shared" si="67"/>
        <v/>
      </c>
    </row>
    <row r="2075" spans="18:19" x14ac:dyDescent="0.25">
      <c r="R2075" s="8" t="str">
        <f t="shared" si="66"/>
        <v/>
      </c>
      <c r="S2075" s="82" t="str">
        <f t="shared" si="67"/>
        <v/>
      </c>
    </row>
    <row r="2076" spans="18:19" x14ac:dyDescent="0.25">
      <c r="R2076" s="8" t="str">
        <f t="shared" si="66"/>
        <v/>
      </c>
      <c r="S2076" s="82" t="str">
        <f t="shared" si="67"/>
        <v/>
      </c>
    </row>
    <row r="2077" spans="18:19" x14ac:dyDescent="0.25">
      <c r="R2077" s="8" t="str">
        <f t="shared" si="66"/>
        <v/>
      </c>
      <c r="S2077" s="82" t="str">
        <f t="shared" si="67"/>
        <v/>
      </c>
    </row>
    <row r="2078" spans="18:19" x14ac:dyDescent="0.25">
      <c r="R2078" s="8" t="str">
        <f t="shared" si="66"/>
        <v/>
      </c>
      <c r="S2078" s="82" t="str">
        <f t="shared" si="67"/>
        <v/>
      </c>
    </row>
    <row r="2079" spans="18:19" x14ac:dyDescent="0.25">
      <c r="R2079" s="8" t="str">
        <f t="shared" si="66"/>
        <v/>
      </c>
      <c r="S2079" s="82" t="str">
        <f t="shared" si="67"/>
        <v/>
      </c>
    </row>
    <row r="2080" spans="18:19" x14ac:dyDescent="0.25">
      <c r="R2080" s="8" t="str">
        <f t="shared" si="66"/>
        <v/>
      </c>
      <c r="S2080" s="82" t="str">
        <f t="shared" si="67"/>
        <v/>
      </c>
    </row>
    <row r="2081" spans="18:19" x14ac:dyDescent="0.25">
      <c r="R2081" s="8" t="str">
        <f t="shared" si="66"/>
        <v/>
      </c>
      <c r="S2081" s="82" t="str">
        <f t="shared" si="67"/>
        <v/>
      </c>
    </row>
    <row r="2082" spans="18:19" x14ac:dyDescent="0.25">
      <c r="R2082" s="8" t="str">
        <f t="shared" si="66"/>
        <v/>
      </c>
      <c r="S2082" s="82" t="str">
        <f t="shared" si="67"/>
        <v/>
      </c>
    </row>
    <row r="2083" spans="18:19" x14ac:dyDescent="0.25">
      <c r="R2083" s="8" t="str">
        <f t="shared" si="66"/>
        <v/>
      </c>
      <c r="S2083" s="82" t="str">
        <f t="shared" si="67"/>
        <v/>
      </c>
    </row>
    <row r="2084" spans="18:19" x14ac:dyDescent="0.25">
      <c r="R2084" s="8" t="str">
        <f t="shared" si="66"/>
        <v/>
      </c>
      <c r="S2084" s="82" t="str">
        <f t="shared" si="67"/>
        <v/>
      </c>
    </row>
    <row r="2085" spans="18:19" x14ac:dyDescent="0.25">
      <c r="R2085" s="8" t="str">
        <f t="shared" si="66"/>
        <v/>
      </c>
      <c r="S2085" s="82" t="str">
        <f t="shared" si="67"/>
        <v/>
      </c>
    </row>
    <row r="2086" spans="18:19" x14ac:dyDescent="0.25">
      <c r="R2086" s="8" t="str">
        <f t="shared" si="66"/>
        <v/>
      </c>
      <c r="S2086" s="82" t="str">
        <f t="shared" si="67"/>
        <v/>
      </c>
    </row>
    <row r="2087" spans="18:19" x14ac:dyDescent="0.25">
      <c r="R2087" s="8" t="str">
        <f t="shared" si="66"/>
        <v/>
      </c>
      <c r="S2087" s="82" t="str">
        <f t="shared" si="67"/>
        <v/>
      </c>
    </row>
    <row r="2088" spans="18:19" x14ac:dyDescent="0.25">
      <c r="R2088" s="8" t="str">
        <f t="shared" si="66"/>
        <v/>
      </c>
      <c r="S2088" s="82" t="str">
        <f t="shared" si="67"/>
        <v/>
      </c>
    </row>
    <row r="2089" spans="18:19" x14ac:dyDescent="0.25">
      <c r="R2089" s="8" t="str">
        <f t="shared" si="66"/>
        <v/>
      </c>
      <c r="S2089" s="82" t="str">
        <f t="shared" si="67"/>
        <v/>
      </c>
    </row>
    <row r="2090" spans="18:19" x14ac:dyDescent="0.25">
      <c r="R2090" s="8" t="str">
        <f t="shared" si="66"/>
        <v/>
      </c>
      <c r="S2090" s="82" t="str">
        <f t="shared" si="67"/>
        <v/>
      </c>
    </row>
    <row r="2091" spans="18:19" x14ac:dyDescent="0.25">
      <c r="R2091" s="8" t="str">
        <f t="shared" si="66"/>
        <v/>
      </c>
      <c r="S2091" s="82" t="str">
        <f t="shared" si="67"/>
        <v/>
      </c>
    </row>
    <row r="2092" spans="18:19" x14ac:dyDescent="0.25">
      <c r="R2092" s="8" t="str">
        <f t="shared" si="66"/>
        <v/>
      </c>
      <c r="S2092" s="82" t="str">
        <f t="shared" si="67"/>
        <v/>
      </c>
    </row>
    <row r="2093" spans="18:19" x14ac:dyDescent="0.25">
      <c r="R2093" s="8" t="str">
        <f t="shared" si="66"/>
        <v/>
      </c>
      <c r="S2093" s="82" t="str">
        <f t="shared" si="67"/>
        <v/>
      </c>
    </row>
    <row r="2094" spans="18:19" x14ac:dyDescent="0.25">
      <c r="R2094" s="8" t="str">
        <f t="shared" si="66"/>
        <v/>
      </c>
      <c r="S2094" s="82" t="str">
        <f t="shared" si="67"/>
        <v/>
      </c>
    </row>
    <row r="2095" spans="18:19" x14ac:dyDescent="0.25">
      <c r="R2095" s="8" t="str">
        <f t="shared" si="66"/>
        <v/>
      </c>
      <c r="S2095" s="82" t="str">
        <f t="shared" si="67"/>
        <v/>
      </c>
    </row>
    <row r="2096" spans="18:19" x14ac:dyDescent="0.25">
      <c r="R2096" s="8" t="str">
        <f t="shared" si="66"/>
        <v/>
      </c>
      <c r="S2096" s="82" t="str">
        <f t="shared" si="67"/>
        <v/>
      </c>
    </row>
    <row r="2097" spans="18:19" x14ac:dyDescent="0.25">
      <c r="R2097" s="8" t="str">
        <f t="shared" si="66"/>
        <v/>
      </c>
      <c r="S2097" s="82" t="str">
        <f t="shared" si="67"/>
        <v/>
      </c>
    </row>
    <row r="2098" spans="18:19" x14ac:dyDescent="0.25">
      <c r="R2098" s="8" t="str">
        <f t="shared" si="66"/>
        <v/>
      </c>
      <c r="S2098" s="82" t="str">
        <f t="shared" si="67"/>
        <v/>
      </c>
    </row>
    <row r="2099" spans="18:19" x14ac:dyDescent="0.25">
      <c r="R2099" s="8" t="str">
        <f t="shared" si="66"/>
        <v/>
      </c>
      <c r="S2099" s="82" t="str">
        <f t="shared" si="67"/>
        <v/>
      </c>
    </row>
    <row r="2100" spans="18:19" x14ac:dyDescent="0.25">
      <c r="R2100" s="8" t="str">
        <f t="shared" si="66"/>
        <v/>
      </c>
      <c r="S2100" s="82" t="str">
        <f t="shared" si="67"/>
        <v/>
      </c>
    </row>
    <row r="2101" spans="18:19" x14ac:dyDescent="0.25">
      <c r="R2101" s="8" t="str">
        <f t="shared" si="66"/>
        <v/>
      </c>
      <c r="S2101" s="82" t="str">
        <f t="shared" si="67"/>
        <v/>
      </c>
    </row>
    <row r="2102" spans="18:19" x14ac:dyDescent="0.25">
      <c r="R2102" s="8" t="str">
        <f t="shared" si="66"/>
        <v/>
      </c>
      <c r="S2102" s="82" t="str">
        <f t="shared" si="67"/>
        <v/>
      </c>
    </row>
    <row r="2103" spans="18:19" x14ac:dyDescent="0.25">
      <c r="R2103" s="8" t="str">
        <f t="shared" si="66"/>
        <v/>
      </c>
      <c r="S2103" s="82" t="str">
        <f t="shared" si="67"/>
        <v/>
      </c>
    </row>
    <row r="2104" spans="18:19" x14ac:dyDescent="0.25">
      <c r="R2104" s="8" t="str">
        <f t="shared" si="66"/>
        <v/>
      </c>
      <c r="S2104" s="82" t="str">
        <f t="shared" si="67"/>
        <v/>
      </c>
    </row>
    <row r="2105" spans="18:19" x14ac:dyDescent="0.25">
      <c r="R2105" s="8" t="str">
        <f t="shared" si="66"/>
        <v/>
      </c>
      <c r="S2105" s="82" t="str">
        <f t="shared" si="67"/>
        <v/>
      </c>
    </row>
    <row r="2106" spans="18:19" x14ac:dyDescent="0.25">
      <c r="R2106" s="8" t="str">
        <f t="shared" si="66"/>
        <v/>
      </c>
      <c r="S2106" s="82" t="str">
        <f t="shared" si="67"/>
        <v/>
      </c>
    </row>
    <row r="2107" spans="18:19" x14ac:dyDescent="0.25">
      <c r="R2107" s="8" t="str">
        <f t="shared" si="66"/>
        <v/>
      </c>
      <c r="S2107" s="82" t="str">
        <f t="shared" si="67"/>
        <v/>
      </c>
    </row>
    <row r="2108" spans="18:19" x14ac:dyDescent="0.25">
      <c r="R2108" s="8" t="str">
        <f t="shared" si="66"/>
        <v/>
      </c>
      <c r="S2108" s="82" t="str">
        <f t="shared" si="67"/>
        <v/>
      </c>
    </row>
    <row r="2109" spans="18:19" x14ac:dyDescent="0.25">
      <c r="R2109" s="8" t="str">
        <f t="shared" si="66"/>
        <v/>
      </c>
      <c r="S2109" s="82" t="str">
        <f t="shared" si="67"/>
        <v/>
      </c>
    </row>
    <row r="2110" spans="18:19" x14ac:dyDescent="0.25">
      <c r="R2110" s="8" t="str">
        <f t="shared" si="66"/>
        <v/>
      </c>
      <c r="S2110" s="82" t="str">
        <f t="shared" si="67"/>
        <v/>
      </c>
    </row>
    <row r="2111" spans="18:19" x14ac:dyDescent="0.25">
      <c r="R2111" s="8" t="str">
        <f t="shared" si="66"/>
        <v/>
      </c>
      <c r="S2111" s="82" t="str">
        <f t="shared" si="67"/>
        <v/>
      </c>
    </row>
    <row r="2112" spans="18:19" x14ac:dyDescent="0.25">
      <c r="R2112" s="8" t="str">
        <f t="shared" si="66"/>
        <v/>
      </c>
      <c r="S2112" s="82" t="str">
        <f t="shared" si="67"/>
        <v/>
      </c>
    </row>
    <row r="2113" spans="18:19" x14ac:dyDescent="0.25">
      <c r="R2113" s="8" t="str">
        <f t="shared" si="66"/>
        <v/>
      </c>
      <c r="S2113" s="82" t="str">
        <f t="shared" si="67"/>
        <v/>
      </c>
    </row>
    <row r="2114" spans="18:19" x14ac:dyDescent="0.25">
      <c r="R2114" s="8" t="str">
        <f t="shared" si="66"/>
        <v/>
      </c>
      <c r="S2114" s="82" t="str">
        <f t="shared" si="67"/>
        <v/>
      </c>
    </row>
    <row r="2115" spans="18:19" x14ac:dyDescent="0.25">
      <c r="R2115" s="8" t="str">
        <f t="shared" si="66"/>
        <v/>
      </c>
      <c r="S2115" s="82" t="str">
        <f t="shared" si="67"/>
        <v/>
      </c>
    </row>
    <row r="2116" spans="18:19" x14ac:dyDescent="0.25">
      <c r="R2116" s="8" t="str">
        <f t="shared" si="66"/>
        <v/>
      </c>
      <c r="S2116" s="82" t="str">
        <f t="shared" si="67"/>
        <v/>
      </c>
    </row>
    <row r="2117" spans="18:19" x14ac:dyDescent="0.25">
      <c r="R2117" s="8" t="str">
        <f t="shared" si="66"/>
        <v/>
      </c>
      <c r="S2117" s="82" t="str">
        <f t="shared" si="67"/>
        <v/>
      </c>
    </row>
    <row r="2118" spans="18:19" x14ac:dyDescent="0.25">
      <c r="R2118" s="8" t="str">
        <f t="shared" si="66"/>
        <v/>
      </c>
      <c r="S2118" s="82" t="str">
        <f t="shared" si="67"/>
        <v/>
      </c>
    </row>
    <row r="2119" spans="18:19" x14ac:dyDescent="0.25">
      <c r="R2119" s="8" t="str">
        <f t="shared" si="66"/>
        <v/>
      </c>
      <c r="S2119" s="82" t="str">
        <f t="shared" si="67"/>
        <v/>
      </c>
    </row>
    <row r="2120" spans="18:19" x14ac:dyDescent="0.25">
      <c r="R2120" s="8" t="str">
        <f t="shared" ref="R2120:R2183" si="68">IF(A2120="",(""),(MONTH(A2120)))</f>
        <v/>
      </c>
      <c r="S2120" s="82" t="str">
        <f t="shared" si="67"/>
        <v/>
      </c>
    </row>
    <row r="2121" spans="18:19" x14ac:dyDescent="0.25">
      <c r="R2121" s="8" t="str">
        <f t="shared" si="68"/>
        <v/>
      </c>
      <c r="S2121" s="82" t="str">
        <f t="shared" si="67"/>
        <v/>
      </c>
    </row>
    <row r="2122" spans="18:19" x14ac:dyDescent="0.25">
      <c r="R2122" s="8" t="str">
        <f t="shared" si="68"/>
        <v/>
      </c>
      <c r="S2122" s="82" t="str">
        <f t="shared" si="67"/>
        <v/>
      </c>
    </row>
    <row r="2123" spans="18:19" x14ac:dyDescent="0.25">
      <c r="R2123" s="8" t="str">
        <f t="shared" si="68"/>
        <v/>
      </c>
      <c r="S2123" s="82" t="str">
        <f t="shared" si="67"/>
        <v/>
      </c>
    </row>
    <row r="2124" spans="18:19" x14ac:dyDescent="0.25">
      <c r="R2124" s="8" t="str">
        <f t="shared" si="68"/>
        <v/>
      </c>
      <c r="S2124" s="82" t="str">
        <f t="shared" si="67"/>
        <v/>
      </c>
    </row>
    <row r="2125" spans="18:19" x14ac:dyDescent="0.25">
      <c r="R2125" s="8" t="str">
        <f t="shared" si="68"/>
        <v/>
      </c>
      <c r="S2125" s="82" t="str">
        <f t="shared" si="67"/>
        <v/>
      </c>
    </row>
    <row r="2126" spans="18:19" x14ac:dyDescent="0.25">
      <c r="R2126" s="8" t="str">
        <f t="shared" si="68"/>
        <v/>
      </c>
      <c r="S2126" s="82" t="str">
        <f t="shared" si="67"/>
        <v/>
      </c>
    </row>
    <row r="2127" spans="18:19" x14ac:dyDescent="0.25">
      <c r="R2127" s="8" t="str">
        <f t="shared" si="68"/>
        <v/>
      </c>
      <c r="S2127" s="82" t="str">
        <f t="shared" si="67"/>
        <v/>
      </c>
    </row>
    <row r="2128" spans="18:19" x14ac:dyDescent="0.25">
      <c r="R2128" s="8" t="str">
        <f t="shared" si="68"/>
        <v/>
      </c>
      <c r="S2128" s="82" t="str">
        <f t="shared" si="67"/>
        <v/>
      </c>
    </row>
    <row r="2129" spans="18:19" x14ac:dyDescent="0.25">
      <c r="R2129" s="8" t="str">
        <f t="shared" si="68"/>
        <v/>
      </c>
      <c r="S2129" s="82" t="str">
        <f t="shared" si="67"/>
        <v/>
      </c>
    </row>
    <row r="2130" spans="18:19" x14ac:dyDescent="0.25">
      <c r="R2130" s="8" t="str">
        <f t="shared" si="68"/>
        <v/>
      </c>
      <c r="S2130" s="82" t="str">
        <f t="shared" si="67"/>
        <v/>
      </c>
    </row>
    <row r="2131" spans="18:19" x14ac:dyDescent="0.25">
      <c r="R2131" s="8" t="str">
        <f t="shared" si="68"/>
        <v/>
      </c>
      <c r="S2131" s="82" t="str">
        <f t="shared" si="67"/>
        <v/>
      </c>
    </row>
    <row r="2132" spans="18:19" x14ac:dyDescent="0.25">
      <c r="R2132" s="8" t="str">
        <f t="shared" si="68"/>
        <v/>
      </c>
      <c r="S2132" s="82" t="str">
        <f t="shared" si="67"/>
        <v/>
      </c>
    </row>
    <row r="2133" spans="18:19" x14ac:dyDescent="0.25">
      <c r="R2133" s="8" t="str">
        <f t="shared" si="68"/>
        <v/>
      </c>
      <c r="S2133" s="82" t="str">
        <f t="shared" si="67"/>
        <v/>
      </c>
    </row>
    <row r="2134" spans="18:19" x14ac:dyDescent="0.25">
      <c r="R2134" s="8" t="str">
        <f t="shared" si="68"/>
        <v/>
      </c>
      <c r="S2134" s="82" t="str">
        <f t="shared" ref="S2134:S2197" si="69">IF(O2134&gt;0,(Q2134-O2134),(IF(K2134="USD",(Q2134*J2134),((IF(B2134="",(""),(SUMIF(B2134,"11 - Factura C",(Q2134))-SUMIF(B2134,"13 - Nota de Crédito C",(Q2134))+SUMIF(B2134,"15 - Recibo C",(Q2134))+SUMIF(B2134,"109 - Tique C",(Q2134)))))))))</f>
        <v/>
      </c>
    </row>
    <row r="2135" spans="18:19" x14ac:dyDescent="0.25">
      <c r="R2135" s="8" t="str">
        <f t="shared" si="68"/>
        <v/>
      </c>
      <c r="S2135" s="82" t="str">
        <f t="shared" si="69"/>
        <v/>
      </c>
    </row>
    <row r="2136" spans="18:19" x14ac:dyDescent="0.25">
      <c r="R2136" s="8" t="str">
        <f t="shared" si="68"/>
        <v/>
      </c>
      <c r="S2136" s="82" t="str">
        <f t="shared" si="69"/>
        <v/>
      </c>
    </row>
    <row r="2137" spans="18:19" x14ac:dyDescent="0.25">
      <c r="R2137" s="8" t="str">
        <f t="shared" si="68"/>
        <v/>
      </c>
      <c r="S2137" s="82" t="str">
        <f t="shared" si="69"/>
        <v/>
      </c>
    </row>
    <row r="2138" spans="18:19" x14ac:dyDescent="0.25">
      <c r="R2138" s="8" t="str">
        <f t="shared" si="68"/>
        <v/>
      </c>
      <c r="S2138" s="82" t="str">
        <f t="shared" si="69"/>
        <v/>
      </c>
    </row>
    <row r="2139" spans="18:19" x14ac:dyDescent="0.25">
      <c r="R2139" s="8" t="str">
        <f t="shared" si="68"/>
        <v/>
      </c>
      <c r="S2139" s="82" t="str">
        <f t="shared" si="69"/>
        <v/>
      </c>
    </row>
    <row r="2140" spans="18:19" x14ac:dyDescent="0.25">
      <c r="R2140" s="8" t="str">
        <f t="shared" si="68"/>
        <v/>
      </c>
      <c r="S2140" s="82" t="str">
        <f t="shared" si="69"/>
        <v/>
      </c>
    </row>
    <row r="2141" spans="18:19" x14ac:dyDescent="0.25">
      <c r="R2141" s="8" t="str">
        <f t="shared" si="68"/>
        <v/>
      </c>
      <c r="S2141" s="82" t="str">
        <f t="shared" si="69"/>
        <v/>
      </c>
    </row>
    <row r="2142" spans="18:19" x14ac:dyDescent="0.25">
      <c r="R2142" s="8" t="str">
        <f t="shared" si="68"/>
        <v/>
      </c>
      <c r="S2142" s="82" t="str">
        <f t="shared" si="69"/>
        <v/>
      </c>
    </row>
    <row r="2143" spans="18:19" x14ac:dyDescent="0.25">
      <c r="R2143" s="8" t="str">
        <f t="shared" si="68"/>
        <v/>
      </c>
      <c r="S2143" s="82" t="str">
        <f t="shared" si="69"/>
        <v/>
      </c>
    </row>
    <row r="2144" spans="18:19" x14ac:dyDescent="0.25">
      <c r="R2144" s="8" t="str">
        <f t="shared" si="68"/>
        <v/>
      </c>
      <c r="S2144" s="82" t="str">
        <f t="shared" si="69"/>
        <v/>
      </c>
    </row>
    <row r="2145" spans="18:19" x14ac:dyDescent="0.25">
      <c r="R2145" s="8" t="str">
        <f t="shared" si="68"/>
        <v/>
      </c>
      <c r="S2145" s="82" t="str">
        <f t="shared" si="69"/>
        <v/>
      </c>
    </row>
    <row r="2146" spans="18:19" x14ac:dyDescent="0.25">
      <c r="R2146" s="8" t="str">
        <f t="shared" si="68"/>
        <v/>
      </c>
      <c r="S2146" s="82" t="str">
        <f t="shared" si="69"/>
        <v/>
      </c>
    </row>
    <row r="2147" spans="18:19" x14ac:dyDescent="0.25">
      <c r="R2147" s="8" t="str">
        <f t="shared" si="68"/>
        <v/>
      </c>
      <c r="S2147" s="82" t="str">
        <f t="shared" si="69"/>
        <v/>
      </c>
    </row>
    <row r="2148" spans="18:19" x14ac:dyDescent="0.25">
      <c r="R2148" s="8" t="str">
        <f t="shared" si="68"/>
        <v/>
      </c>
      <c r="S2148" s="82" t="str">
        <f t="shared" si="69"/>
        <v/>
      </c>
    </row>
    <row r="2149" spans="18:19" x14ac:dyDescent="0.25">
      <c r="R2149" s="8" t="str">
        <f t="shared" si="68"/>
        <v/>
      </c>
      <c r="S2149" s="82" t="str">
        <f t="shared" si="69"/>
        <v/>
      </c>
    </row>
    <row r="2150" spans="18:19" x14ac:dyDescent="0.25">
      <c r="R2150" s="8" t="str">
        <f t="shared" si="68"/>
        <v/>
      </c>
      <c r="S2150" s="82" t="str">
        <f t="shared" si="69"/>
        <v/>
      </c>
    </row>
    <row r="2151" spans="18:19" x14ac:dyDescent="0.25">
      <c r="R2151" s="8" t="str">
        <f t="shared" si="68"/>
        <v/>
      </c>
      <c r="S2151" s="82" t="str">
        <f t="shared" si="69"/>
        <v/>
      </c>
    </row>
    <row r="2152" spans="18:19" x14ac:dyDescent="0.25">
      <c r="R2152" s="8" t="str">
        <f t="shared" si="68"/>
        <v/>
      </c>
      <c r="S2152" s="82" t="str">
        <f t="shared" si="69"/>
        <v/>
      </c>
    </row>
    <row r="2153" spans="18:19" x14ac:dyDescent="0.25">
      <c r="R2153" s="8" t="str">
        <f t="shared" si="68"/>
        <v/>
      </c>
      <c r="S2153" s="82" t="str">
        <f t="shared" si="69"/>
        <v/>
      </c>
    </row>
    <row r="2154" spans="18:19" x14ac:dyDescent="0.25">
      <c r="R2154" s="8" t="str">
        <f t="shared" si="68"/>
        <v/>
      </c>
      <c r="S2154" s="82" t="str">
        <f t="shared" si="69"/>
        <v/>
      </c>
    </row>
    <row r="2155" spans="18:19" x14ac:dyDescent="0.25">
      <c r="R2155" s="8" t="str">
        <f t="shared" si="68"/>
        <v/>
      </c>
      <c r="S2155" s="82" t="str">
        <f t="shared" si="69"/>
        <v/>
      </c>
    </row>
    <row r="2156" spans="18:19" x14ac:dyDescent="0.25">
      <c r="R2156" s="8" t="str">
        <f t="shared" si="68"/>
        <v/>
      </c>
      <c r="S2156" s="82" t="str">
        <f t="shared" si="69"/>
        <v/>
      </c>
    </row>
    <row r="2157" spans="18:19" x14ac:dyDescent="0.25">
      <c r="R2157" s="8" t="str">
        <f t="shared" si="68"/>
        <v/>
      </c>
      <c r="S2157" s="82" t="str">
        <f t="shared" si="69"/>
        <v/>
      </c>
    </row>
    <row r="2158" spans="18:19" x14ac:dyDescent="0.25">
      <c r="R2158" s="8" t="str">
        <f t="shared" si="68"/>
        <v/>
      </c>
      <c r="S2158" s="82" t="str">
        <f t="shared" si="69"/>
        <v/>
      </c>
    </row>
    <row r="2159" spans="18:19" x14ac:dyDescent="0.25">
      <c r="R2159" s="8" t="str">
        <f t="shared" si="68"/>
        <v/>
      </c>
      <c r="S2159" s="82" t="str">
        <f t="shared" si="69"/>
        <v/>
      </c>
    </row>
    <row r="2160" spans="18:19" x14ac:dyDescent="0.25">
      <c r="R2160" s="8" t="str">
        <f t="shared" si="68"/>
        <v/>
      </c>
      <c r="S2160" s="82" t="str">
        <f t="shared" si="69"/>
        <v/>
      </c>
    </row>
    <row r="2161" spans="18:19" x14ac:dyDescent="0.25">
      <c r="R2161" s="8" t="str">
        <f t="shared" si="68"/>
        <v/>
      </c>
      <c r="S2161" s="82" t="str">
        <f t="shared" si="69"/>
        <v/>
      </c>
    </row>
    <row r="2162" spans="18:19" x14ac:dyDescent="0.25">
      <c r="R2162" s="8" t="str">
        <f t="shared" si="68"/>
        <v/>
      </c>
      <c r="S2162" s="82" t="str">
        <f t="shared" si="69"/>
        <v/>
      </c>
    </row>
    <row r="2163" spans="18:19" x14ac:dyDescent="0.25">
      <c r="R2163" s="8" t="str">
        <f t="shared" si="68"/>
        <v/>
      </c>
      <c r="S2163" s="82" t="str">
        <f t="shared" si="69"/>
        <v/>
      </c>
    </row>
    <row r="2164" spans="18:19" x14ac:dyDescent="0.25">
      <c r="R2164" s="8" t="str">
        <f t="shared" si="68"/>
        <v/>
      </c>
      <c r="S2164" s="82" t="str">
        <f t="shared" si="69"/>
        <v/>
      </c>
    </row>
    <row r="2165" spans="18:19" x14ac:dyDescent="0.25">
      <c r="R2165" s="8" t="str">
        <f t="shared" si="68"/>
        <v/>
      </c>
      <c r="S2165" s="82" t="str">
        <f t="shared" si="69"/>
        <v/>
      </c>
    </row>
    <row r="2166" spans="18:19" x14ac:dyDescent="0.25">
      <c r="R2166" s="8" t="str">
        <f t="shared" si="68"/>
        <v/>
      </c>
      <c r="S2166" s="82" t="str">
        <f t="shared" si="69"/>
        <v/>
      </c>
    </row>
    <row r="2167" spans="18:19" x14ac:dyDescent="0.25">
      <c r="R2167" s="8" t="str">
        <f t="shared" si="68"/>
        <v/>
      </c>
      <c r="S2167" s="82" t="str">
        <f t="shared" si="69"/>
        <v/>
      </c>
    </row>
    <row r="2168" spans="18:19" x14ac:dyDescent="0.25">
      <c r="R2168" s="8" t="str">
        <f t="shared" si="68"/>
        <v/>
      </c>
      <c r="S2168" s="82" t="str">
        <f t="shared" si="69"/>
        <v/>
      </c>
    </row>
    <row r="2169" spans="18:19" x14ac:dyDescent="0.25">
      <c r="R2169" s="8" t="str">
        <f t="shared" si="68"/>
        <v/>
      </c>
      <c r="S2169" s="82" t="str">
        <f t="shared" si="69"/>
        <v/>
      </c>
    </row>
    <row r="2170" spans="18:19" x14ac:dyDescent="0.25">
      <c r="R2170" s="8" t="str">
        <f t="shared" si="68"/>
        <v/>
      </c>
      <c r="S2170" s="82" t="str">
        <f t="shared" si="69"/>
        <v/>
      </c>
    </row>
    <row r="2171" spans="18:19" x14ac:dyDescent="0.25">
      <c r="R2171" s="8" t="str">
        <f t="shared" si="68"/>
        <v/>
      </c>
      <c r="S2171" s="82" t="str">
        <f t="shared" si="69"/>
        <v/>
      </c>
    </row>
    <row r="2172" spans="18:19" x14ac:dyDescent="0.25">
      <c r="R2172" s="8" t="str">
        <f t="shared" si="68"/>
        <v/>
      </c>
      <c r="S2172" s="82" t="str">
        <f t="shared" si="69"/>
        <v/>
      </c>
    </row>
    <row r="2173" spans="18:19" x14ac:dyDescent="0.25">
      <c r="R2173" s="8" t="str">
        <f t="shared" si="68"/>
        <v/>
      </c>
      <c r="S2173" s="82" t="str">
        <f t="shared" si="69"/>
        <v/>
      </c>
    </row>
    <row r="2174" spans="18:19" x14ac:dyDescent="0.25">
      <c r="R2174" s="8" t="str">
        <f t="shared" si="68"/>
        <v/>
      </c>
      <c r="S2174" s="82" t="str">
        <f t="shared" si="69"/>
        <v/>
      </c>
    </row>
    <row r="2175" spans="18:19" x14ac:dyDescent="0.25">
      <c r="R2175" s="8" t="str">
        <f t="shared" si="68"/>
        <v/>
      </c>
      <c r="S2175" s="82" t="str">
        <f t="shared" si="69"/>
        <v/>
      </c>
    </row>
    <row r="2176" spans="18:19" x14ac:dyDescent="0.25">
      <c r="R2176" s="8" t="str">
        <f t="shared" si="68"/>
        <v/>
      </c>
      <c r="S2176" s="82" t="str">
        <f t="shared" si="69"/>
        <v/>
      </c>
    </row>
    <row r="2177" spans="18:19" x14ac:dyDescent="0.25">
      <c r="R2177" s="8" t="str">
        <f t="shared" si="68"/>
        <v/>
      </c>
      <c r="S2177" s="82" t="str">
        <f t="shared" si="69"/>
        <v/>
      </c>
    </row>
    <row r="2178" spans="18:19" x14ac:dyDescent="0.25">
      <c r="R2178" s="8" t="str">
        <f t="shared" si="68"/>
        <v/>
      </c>
      <c r="S2178" s="82" t="str">
        <f t="shared" si="69"/>
        <v/>
      </c>
    </row>
    <row r="2179" spans="18:19" x14ac:dyDescent="0.25">
      <c r="R2179" s="8" t="str">
        <f t="shared" si="68"/>
        <v/>
      </c>
      <c r="S2179" s="82" t="str">
        <f t="shared" si="69"/>
        <v/>
      </c>
    </row>
    <row r="2180" spans="18:19" x14ac:dyDescent="0.25">
      <c r="R2180" s="8" t="str">
        <f t="shared" si="68"/>
        <v/>
      </c>
      <c r="S2180" s="82" t="str">
        <f t="shared" si="69"/>
        <v/>
      </c>
    </row>
    <row r="2181" spans="18:19" x14ac:dyDescent="0.25">
      <c r="R2181" s="8" t="str">
        <f t="shared" si="68"/>
        <v/>
      </c>
      <c r="S2181" s="82" t="str">
        <f t="shared" si="69"/>
        <v/>
      </c>
    </row>
    <row r="2182" spans="18:19" x14ac:dyDescent="0.25">
      <c r="R2182" s="8" t="str">
        <f t="shared" si="68"/>
        <v/>
      </c>
      <c r="S2182" s="82" t="str">
        <f t="shared" si="69"/>
        <v/>
      </c>
    </row>
    <row r="2183" spans="18:19" x14ac:dyDescent="0.25">
      <c r="R2183" s="8" t="str">
        <f t="shared" si="68"/>
        <v/>
      </c>
      <c r="S2183" s="82" t="str">
        <f t="shared" si="69"/>
        <v/>
      </c>
    </row>
    <row r="2184" spans="18:19" x14ac:dyDescent="0.25">
      <c r="R2184" s="8" t="str">
        <f t="shared" ref="R2184:R2247" si="70">IF(A2184="",(""),(MONTH(A2184)))</f>
        <v/>
      </c>
      <c r="S2184" s="82" t="str">
        <f t="shared" si="69"/>
        <v/>
      </c>
    </row>
    <row r="2185" spans="18:19" x14ac:dyDescent="0.25">
      <c r="R2185" s="8" t="str">
        <f t="shared" si="70"/>
        <v/>
      </c>
      <c r="S2185" s="82" t="str">
        <f t="shared" si="69"/>
        <v/>
      </c>
    </row>
    <row r="2186" spans="18:19" x14ac:dyDescent="0.25">
      <c r="R2186" s="8" t="str">
        <f t="shared" si="70"/>
        <v/>
      </c>
      <c r="S2186" s="82" t="str">
        <f t="shared" si="69"/>
        <v/>
      </c>
    </row>
    <row r="2187" spans="18:19" x14ac:dyDescent="0.25">
      <c r="R2187" s="8" t="str">
        <f t="shared" si="70"/>
        <v/>
      </c>
      <c r="S2187" s="82" t="str">
        <f t="shared" si="69"/>
        <v/>
      </c>
    </row>
    <row r="2188" spans="18:19" x14ac:dyDescent="0.25">
      <c r="R2188" s="8" t="str">
        <f t="shared" si="70"/>
        <v/>
      </c>
      <c r="S2188" s="82" t="str">
        <f t="shared" si="69"/>
        <v/>
      </c>
    </row>
    <row r="2189" spans="18:19" x14ac:dyDescent="0.25">
      <c r="R2189" s="8" t="str">
        <f t="shared" si="70"/>
        <v/>
      </c>
      <c r="S2189" s="82" t="str">
        <f t="shared" si="69"/>
        <v/>
      </c>
    </row>
    <row r="2190" spans="18:19" x14ac:dyDescent="0.25">
      <c r="R2190" s="8" t="str">
        <f t="shared" si="70"/>
        <v/>
      </c>
      <c r="S2190" s="82" t="str">
        <f t="shared" si="69"/>
        <v/>
      </c>
    </row>
    <row r="2191" spans="18:19" x14ac:dyDescent="0.25">
      <c r="R2191" s="8" t="str">
        <f t="shared" si="70"/>
        <v/>
      </c>
      <c r="S2191" s="82" t="str">
        <f t="shared" si="69"/>
        <v/>
      </c>
    </row>
    <row r="2192" spans="18:19" x14ac:dyDescent="0.25">
      <c r="R2192" s="8" t="str">
        <f t="shared" si="70"/>
        <v/>
      </c>
      <c r="S2192" s="82" t="str">
        <f t="shared" si="69"/>
        <v/>
      </c>
    </row>
    <row r="2193" spans="18:19" x14ac:dyDescent="0.25">
      <c r="R2193" s="8" t="str">
        <f t="shared" si="70"/>
        <v/>
      </c>
      <c r="S2193" s="82" t="str">
        <f t="shared" si="69"/>
        <v/>
      </c>
    </row>
    <row r="2194" spans="18:19" x14ac:dyDescent="0.25">
      <c r="R2194" s="8" t="str">
        <f t="shared" si="70"/>
        <v/>
      </c>
      <c r="S2194" s="82" t="str">
        <f t="shared" si="69"/>
        <v/>
      </c>
    </row>
    <row r="2195" spans="18:19" x14ac:dyDescent="0.25">
      <c r="R2195" s="8" t="str">
        <f t="shared" si="70"/>
        <v/>
      </c>
      <c r="S2195" s="82" t="str">
        <f t="shared" si="69"/>
        <v/>
      </c>
    </row>
    <row r="2196" spans="18:19" x14ac:dyDescent="0.25">
      <c r="R2196" s="8" t="str">
        <f t="shared" si="70"/>
        <v/>
      </c>
      <c r="S2196" s="82" t="str">
        <f t="shared" si="69"/>
        <v/>
      </c>
    </row>
    <row r="2197" spans="18:19" x14ac:dyDescent="0.25">
      <c r="R2197" s="8" t="str">
        <f t="shared" si="70"/>
        <v/>
      </c>
      <c r="S2197" s="82" t="str">
        <f t="shared" si="69"/>
        <v/>
      </c>
    </row>
    <row r="2198" spans="18:19" x14ac:dyDescent="0.25">
      <c r="R2198" s="8" t="str">
        <f t="shared" si="70"/>
        <v/>
      </c>
      <c r="S2198" s="82" t="str">
        <f t="shared" ref="S2198:S2261" si="71">IF(O2198&gt;0,(Q2198-O2198),(IF(K2198="USD",(Q2198*J2198),((IF(B2198="",(""),(SUMIF(B2198,"11 - Factura C",(Q2198))-SUMIF(B2198,"13 - Nota de Crédito C",(Q2198))+SUMIF(B2198,"15 - Recibo C",(Q2198))+SUMIF(B2198,"109 - Tique C",(Q2198)))))))))</f>
        <v/>
      </c>
    </row>
    <row r="2199" spans="18:19" x14ac:dyDescent="0.25">
      <c r="R2199" s="8" t="str">
        <f t="shared" si="70"/>
        <v/>
      </c>
      <c r="S2199" s="82" t="str">
        <f t="shared" si="71"/>
        <v/>
      </c>
    </row>
    <row r="2200" spans="18:19" x14ac:dyDescent="0.25">
      <c r="R2200" s="8" t="str">
        <f t="shared" si="70"/>
        <v/>
      </c>
      <c r="S2200" s="82" t="str">
        <f t="shared" si="71"/>
        <v/>
      </c>
    </row>
    <row r="2201" spans="18:19" x14ac:dyDescent="0.25">
      <c r="R2201" s="8" t="str">
        <f t="shared" si="70"/>
        <v/>
      </c>
      <c r="S2201" s="82" t="str">
        <f t="shared" si="71"/>
        <v/>
      </c>
    </row>
    <row r="2202" spans="18:19" x14ac:dyDescent="0.25">
      <c r="R2202" s="8" t="str">
        <f t="shared" si="70"/>
        <v/>
      </c>
      <c r="S2202" s="82" t="str">
        <f t="shared" si="71"/>
        <v/>
      </c>
    </row>
    <row r="2203" spans="18:19" x14ac:dyDescent="0.25">
      <c r="R2203" s="8" t="str">
        <f t="shared" si="70"/>
        <v/>
      </c>
      <c r="S2203" s="82" t="str">
        <f t="shared" si="71"/>
        <v/>
      </c>
    </row>
    <row r="2204" spans="18:19" x14ac:dyDescent="0.25">
      <c r="R2204" s="8" t="str">
        <f t="shared" si="70"/>
        <v/>
      </c>
      <c r="S2204" s="82" t="str">
        <f t="shared" si="71"/>
        <v/>
      </c>
    </row>
    <row r="2205" spans="18:19" x14ac:dyDescent="0.25">
      <c r="R2205" s="8" t="str">
        <f t="shared" si="70"/>
        <v/>
      </c>
      <c r="S2205" s="82" t="str">
        <f t="shared" si="71"/>
        <v/>
      </c>
    </row>
    <row r="2206" spans="18:19" x14ac:dyDescent="0.25">
      <c r="R2206" s="8" t="str">
        <f t="shared" si="70"/>
        <v/>
      </c>
      <c r="S2206" s="82" t="str">
        <f t="shared" si="71"/>
        <v/>
      </c>
    </row>
    <row r="2207" spans="18:19" x14ac:dyDescent="0.25">
      <c r="R2207" s="8" t="str">
        <f t="shared" si="70"/>
        <v/>
      </c>
      <c r="S2207" s="82" t="str">
        <f t="shared" si="71"/>
        <v/>
      </c>
    </row>
    <row r="2208" spans="18:19" x14ac:dyDescent="0.25">
      <c r="R2208" s="8" t="str">
        <f t="shared" si="70"/>
        <v/>
      </c>
      <c r="S2208" s="82" t="str">
        <f t="shared" si="71"/>
        <v/>
      </c>
    </row>
    <row r="2209" spans="18:19" x14ac:dyDescent="0.25">
      <c r="R2209" s="8" t="str">
        <f t="shared" si="70"/>
        <v/>
      </c>
      <c r="S2209" s="82" t="str">
        <f t="shared" si="71"/>
        <v/>
      </c>
    </row>
    <row r="2210" spans="18:19" x14ac:dyDescent="0.25">
      <c r="R2210" s="8" t="str">
        <f t="shared" si="70"/>
        <v/>
      </c>
      <c r="S2210" s="82" t="str">
        <f t="shared" si="71"/>
        <v/>
      </c>
    </row>
    <row r="2211" spans="18:19" x14ac:dyDescent="0.25">
      <c r="R2211" s="8" t="str">
        <f t="shared" si="70"/>
        <v/>
      </c>
      <c r="S2211" s="82" t="str">
        <f t="shared" si="71"/>
        <v/>
      </c>
    </row>
    <row r="2212" spans="18:19" x14ac:dyDescent="0.25">
      <c r="R2212" s="8" t="str">
        <f t="shared" si="70"/>
        <v/>
      </c>
      <c r="S2212" s="82" t="str">
        <f t="shared" si="71"/>
        <v/>
      </c>
    </row>
    <row r="2213" spans="18:19" x14ac:dyDescent="0.25">
      <c r="R2213" s="8" t="str">
        <f t="shared" si="70"/>
        <v/>
      </c>
      <c r="S2213" s="82" t="str">
        <f t="shared" si="71"/>
        <v/>
      </c>
    </row>
    <row r="2214" spans="18:19" x14ac:dyDescent="0.25">
      <c r="R2214" s="8" t="str">
        <f t="shared" si="70"/>
        <v/>
      </c>
      <c r="S2214" s="82" t="str">
        <f t="shared" si="71"/>
        <v/>
      </c>
    </row>
    <row r="2215" spans="18:19" x14ac:dyDescent="0.25">
      <c r="R2215" s="8" t="str">
        <f t="shared" si="70"/>
        <v/>
      </c>
      <c r="S2215" s="82" t="str">
        <f t="shared" si="71"/>
        <v/>
      </c>
    </row>
    <row r="2216" spans="18:19" x14ac:dyDescent="0.25">
      <c r="R2216" s="8" t="str">
        <f t="shared" si="70"/>
        <v/>
      </c>
      <c r="S2216" s="82" t="str">
        <f t="shared" si="71"/>
        <v/>
      </c>
    </row>
    <row r="2217" spans="18:19" x14ac:dyDescent="0.25">
      <c r="R2217" s="8" t="str">
        <f t="shared" si="70"/>
        <v/>
      </c>
      <c r="S2217" s="82" t="str">
        <f t="shared" si="71"/>
        <v/>
      </c>
    </row>
    <row r="2218" spans="18:19" x14ac:dyDescent="0.25">
      <c r="R2218" s="8" t="str">
        <f t="shared" si="70"/>
        <v/>
      </c>
      <c r="S2218" s="82" t="str">
        <f t="shared" si="71"/>
        <v/>
      </c>
    </row>
    <row r="2219" spans="18:19" x14ac:dyDescent="0.25">
      <c r="R2219" s="8" t="str">
        <f t="shared" si="70"/>
        <v/>
      </c>
      <c r="S2219" s="82" t="str">
        <f t="shared" si="71"/>
        <v/>
      </c>
    </row>
    <row r="2220" spans="18:19" x14ac:dyDescent="0.25">
      <c r="R2220" s="8" t="str">
        <f t="shared" si="70"/>
        <v/>
      </c>
      <c r="S2220" s="82" t="str">
        <f t="shared" si="71"/>
        <v/>
      </c>
    </row>
    <row r="2221" spans="18:19" x14ac:dyDescent="0.25">
      <c r="R2221" s="8" t="str">
        <f t="shared" si="70"/>
        <v/>
      </c>
      <c r="S2221" s="82" t="str">
        <f t="shared" si="71"/>
        <v/>
      </c>
    </row>
    <row r="2222" spans="18:19" x14ac:dyDescent="0.25">
      <c r="R2222" s="8" t="str">
        <f t="shared" si="70"/>
        <v/>
      </c>
      <c r="S2222" s="82" t="str">
        <f t="shared" si="71"/>
        <v/>
      </c>
    </row>
    <row r="2223" spans="18:19" x14ac:dyDescent="0.25">
      <c r="R2223" s="8" t="str">
        <f t="shared" si="70"/>
        <v/>
      </c>
      <c r="S2223" s="82" t="str">
        <f t="shared" si="71"/>
        <v/>
      </c>
    </row>
    <row r="2224" spans="18:19" x14ac:dyDescent="0.25">
      <c r="R2224" s="8" t="str">
        <f t="shared" si="70"/>
        <v/>
      </c>
      <c r="S2224" s="82" t="str">
        <f t="shared" si="71"/>
        <v/>
      </c>
    </row>
    <row r="2225" spans="18:19" x14ac:dyDescent="0.25">
      <c r="R2225" s="8" t="str">
        <f t="shared" si="70"/>
        <v/>
      </c>
      <c r="S2225" s="82" t="str">
        <f t="shared" si="71"/>
        <v/>
      </c>
    </row>
    <row r="2226" spans="18:19" x14ac:dyDescent="0.25">
      <c r="R2226" s="8" t="str">
        <f t="shared" si="70"/>
        <v/>
      </c>
      <c r="S2226" s="82" t="str">
        <f t="shared" si="71"/>
        <v/>
      </c>
    </row>
    <row r="2227" spans="18:19" x14ac:dyDescent="0.25">
      <c r="R2227" s="8" t="str">
        <f t="shared" si="70"/>
        <v/>
      </c>
      <c r="S2227" s="82" t="str">
        <f t="shared" si="71"/>
        <v/>
      </c>
    </row>
    <row r="2228" spans="18:19" x14ac:dyDescent="0.25">
      <c r="R2228" s="8" t="str">
        <f t="shared" si="70"/>
        <v/>
      </c>
      <c r="S2228" s="82" t="str">
        <f t="shared" si="71"/>
        <v/>
      </c>
    </row>
    <row r="2229" spans="18:19" x14ac:dyDescent="0.25">
      <c r="R2229" s="8" t="str">
        <f t="shared" si="70"/>
        <v/>
      </c>
      <c r="S2229" s="82" t="str">
        <f t="shared" si="71"/>
        <v/>
      </c>
    </row>
    <row r="2230" spans="18:19" x14ac:dyDescent="0.25">
      <c r="R2230" s="8" t="str">
        <f t="shared" si="70"/>
        <v/>
      </c>
      <c r="S2230" s="82" t="str">
        <f t="shared" si="71"/>
        <v/>
      </c>
    </row>
    <row r="2231" spans="18:19" x14ac:dyDescent="0.25">
      <c r="R2231" s="8" t="str">
        <f t="shared" si="70"/>
        <v/>
      </c>
      <c r="S2231" s="82" t="str">
        <f t="shared" si="71"/>
        <v/>
      </c>
    </row>
    <row r="2232" spans="18:19" x14ac:dyDescent="0.25">
      <c r="R2232" s="8" t="str">
        <f t="shared" si="70"/>
        <v/>
      </c>
      <c r="S2232" s="82" t="str">
        <f t="shared" si="71"/>
        <v/>
      </c>
    </row>
    <row r="2233" spans="18:19" x14ac:dyDescent="0.25">
      <c r="R2233" s="8" t="str">
        <f t="shared" si="70"/>
        <v/>
      </c>
      <c r="S2233" s="82" t="str">
        <f t="shared" si="71"/>
        <v/>
      </c>
    </row>
    <row r="2234" spans="18:19" x14ac:dyDescent="0.25">
      <c r="R2234" s="8" t="str">
        <f t="shared" si="70"/>
        <v/>
      </c>
      <c r="S2234" s="82" t="str">
        <f t="shared" si="71"/>
        <v/>
      </c>
    </row>
    <row r="2235" spans="18:19" x14ac:dyDescent="0.25">
      <c r="R2235" s="8" t="str">
        <f t="shared" si="70"/>
        <v/>
      </c>
      <c r="S2235" s="82" t="str">
        <f t="shared" si="71"/>
        <v/>
      </c>
    </row>
    <row r="2236" spans="18:19" x14ac:dyDescent="0.25">
      <c r="R2236" s="8" t="str">
        <f t="shared" si="70"/>
        <v/>
      </c>
      <c r="S2236" s="82" t="str">
        <f t="shared" si="71"/>
        <v/>
      </c>
    </row>
    <row r="2237" spans="18:19" x14ac:dyDescent="0.25">
      <c r="R2237" s="8" t="str">
        <f t="shared" si="70"/>
        <v/>
      </c>
      <c r="S2237" s="82" t="str">
        <f t="shared" si="71"/>
        <v/>
      </c>
    </row>
    <row r="2238" spans="18:19" x14ac:dyDescent="0.25">
      <c r="R2238" s="8" t="str">
        <f t="shared" si="70"/>
        <v/>
      </c>
      <c r="S2238" s="82" t="str">
        <f t="shared" si="71"/>
        <v/>
      </c>
    </row>
    <row r="2239" spans="18:19" x14ac:dyDescent="0.25">
      <c r="R2239" s="8" t="str">
        <f t="shared" si="70"/>
        <v/>
      </c>
      <c r="S2239" s="82" t="str">
        <f t="shared" si="71"/>
        <v/>
      </c>
    </row>
    <row r="2240" spans="18:19" x14ac:dyDescent="0.25">
      <c r="R2240" s="8" t="str">
        <f t="shared" si="70"/>
        <v/>
      </c>
      <c r="S2240" s="82" t="str">
        <f t="shared" si="71"/>
        <v/>
      </c>
    </row>
    <row r="2241" spans="18:19" x14ac:dyDescent="0.25">
      <c r="R2241" s="8" t="str">
        <f t="shared" si="70"/>
        <v/>
      </c>
      <c r="S2241" s="82" t="str">
        <f t="shared" si="71"/>
        <v/>
      </c>
    </row>
    <row r="2242" spans="18:19" x14ac:dyDescent="0.25">
      <c r="R2242" s="8" t="str">
        <f t="shared" si="70"/>
        <v/>
      </c>
      <c r="S2242" s="82" t="str">
        <f t="shared" si="71"/>
        <v/>
      </c>
    </row>
    <row r="2243" spans="18:19" x14ac:dyDescent="0.25">
      <c r="R2243" s="8" t="str">
        <f t="shared" si="70"/>
        <v/>
      </c>
      <c r="S2243" s="82" t="str">
        <f t="shared" si="71"/>
        <v/>
      </c>
    </row>
    <row r="2244" spans="18:19" x14ac:dyDescent="0.25">
      <c r="R2244" s="8" t="str">
        <f t="shared" si="70"/>
        <v/>
      </c>
      <c r="S2244" s="82" t="str">
        <f t="shared" si="71"/>
        <v/>
      </c>
    </row>
    <row r="2245" spans="18:19" x14ac:dyDescent="0.25">
      <c r="R2245" s="8" t="str">
        <f t="shared" si="70"/>
        <v/>
      </c>
      <c r="S2245" s="82" t="str">
        <f t="shared" si="71"/>
        <v/>
      </c>
    </row>
    <row r="2246" spans="18:19" x14ac:dyDescent="0.25">
      <c r="R2246" s="8" t="str">
        <f t="shared" si="70"/>
        <v/>
      </c>
      <c r="S2246" s="82" t="str">
        <f t="shared" si="71"/>
        <v/>
      </c>
    </row>
    <row r="2247" spans="18:19" x14ac:dyDescent="0.25">
      <c r="R2247" s="8" t="str">
        <f t="shared" si="70"/>
        <v/>
      </c>
      <c r="S2247" s="82" t="str">
        <f t="shared" si="71"/>
        <v/>
      </c>
    </row>
    <row r="2248" spans="18:19" x14ac:dyDescent="0.25">
      <c r="R2248" s="8" t="str">
        <f t="shared" ref="R2248:R2311" si="72">IF(A2248="",(""),(MONTH(A2248)))</f>
        <v/>
      </c>
      <c r="S2248" s="82" t="str">
        <f t="shared" si="71"/>
        <v/>
      </c>
    </row>
    <row r="2249" spans="18:19" x14ac:dyDescent="0.25">
      <c r="R2249" s="8" t="str">
        <f t="shared" si="72"/>
        <v/>
      </c>
      <c r="S2249" s="82" t="str">
        <f t="shared" si="71"/>
        <v/>
      </c>
    </row>
    <row r="2250" spans="18:19" x14ac:dyDescent="0.25">
      <c r="R2250" s="8" t="str">
        <f t="shared" si="72"/>
        <v/>
      </c>
      <c r="S2250" s="82" t="str">
        <f t="shared" si="71"/>
        <v/>
      </c>
    </row>
    <row r="2251" spans="18:19" x14ac:dyDescent="0.25">
      <c r="R2251" s="8" t="str">
        <f t="shared" si="72"/>
        <v/>
      </c>
      <c r="S2251" s="82" t="str">
        <f t="shared" si="71"/>
        <v/>
      </c>
    </row>
    <row r="2252" spans="18:19" x14ac:dyDescent="0.25">
      <c r="R2252" s="8" t="str">
        <f t="shared" si="72"/>
        <v/>
      </c>
      <c r="S2252" s="82" t="str">
        <f t="shared" si="71"/>
        <v/>
      </c>
    </row>
    <row r="2253" spans="18:19" x14ac:dyDescent="0.25">
      <c r="R2253" s="8" t="str">
        <f t="shared" si="72"/>
        <v/>
      </c>
      <c r="S2253" s="82" t="str">
        <f t="shared" si="71"/>
        <v/>
      </c>
    </row>
    <row r="2254" spans="18:19" x14ac:dyDescent="0.25">
      <c r="R2254" s="8" t="str">
        <f t="shared" si="72"/>
        <v/>
      </c>
      <c r="S2254" s="82" t="str">
        <f t="shared" si="71"/>
        <v/>
      </c>
    </row>
    <row r="2255" spans="18:19" x14ac:dyDescent="0.25">
      <c r="R2255" s="8" t="str">
        <f t="shared" si="72"/>
        <v/>
      </c>
      <c r="S2255" s="82" t="str">
        <f t="shared" si="71"/>
        <v/>
      </c>
    </row>
    <row r="2256" spans="18:19" x14ac:dyDescent="0.25">
      <c r="R2256" s="8" t="str">
        <f t="shared" si="72"/>
        <v/>
      </c>
      <c r="S2256" s="82" t="str">
        <f t="shared" si="71"/>
        <v/>
      </c>
    </row>
    <row r="2257" spans="18:19" x14ac:dyDescent="0.25">
      <c r="R2257" s="8" t="str">
        <f t="shared" si="72"/>
        <v/>
      </c>
      <c r="S2257" s="82" t="str">
        <f t="shared" si="71"/>
        <v/>
      </c>
    </row>
    <row r="2258" spans="18:19" x14ac:dyDescent="0.25">
      <c r="R2258" s="8" t="str">
        <f t="shared" si="72"/>
        <v/>
      </c>
      <c r="S2258" s="82" t="str">
        <f t="shared" si="71"/>
        <v/>
      </c>
    </row>
    <row r="2259" spans="18:19" x14ac:dyDescent="0.25">
      <c r="R2259" s="8" t="str">
        <f t="shared" si="72"/>
        <v/>
      </c>
      <c r="S2259" s="82" t="str">
        <f t="shared" si="71"/>
        <v/>
      </c>
    </row>
    <row r="2260" spans="18:19" x14ac:dyDescent="0.25">
      <c r="R2260" s="8" t="str">
        <f t="shared" si="72"/>
        <v/>
      </c>
      <c r="S2260" s="82" t="str">
        <f t="shared" si="71"/>
        <v/>
      </c>
    </row>
    <row r="2261" spans="18:19" x14ac:dyDescent="0.25">
      <c r="R2261" s="8" t="str">
        <f t="shared" si="72"/>
        <v/>
      </c>
      <c r="S2261" s="82" t="str">
        <f t="shared" si="71"/>
        <v/>
      </c>
    </row>
    <row r="2262" spans="18:19" x14ac:dyDescent="0.25">
      <c r="R2262" s="8" t="str">
        <f t="shared" si="72"/>
        <v/>
      </c>
      <c r="S2262" s="82" t="str">
        <f t="shared" ref="S2262:S2325" si="73">IF(O2262&gt;0,(Q2262-O2262),(IF(K2262="USD",(Q2262*J2262),((IF(B2262="",(""),(SUMIF(B2262,"11 - Factura C",(Q2262))-SUMIF(B2262,"13 - Nota de Crédito C",(Q2262))+SUMIF(B2262,"15 - Recibo C",(Q2262))+SUMIF(B2262,"109 - Tique C",(Q2262)))))))))</f>
        <v/>
      </c>
    </row>
    <row r="2263" spans="18:19" x14ac:dyDescent="0.25">
      <c r="R2263" s="8" t="str">
        <f t="shared" si="72"/>
        <v/>
      </c>
      <c r="S2263" s="82" t="str">
        <f t="shared" si="73"/>
        <v/>
      </c>
    </row>
    <row r="2264" spans="18:19" x14ac:dyDescent="0.25">
      <c r="R2264" s="8" t="str">
        <f t="shared" si="72"/>
        <v/>
      </c>
      <c r="S2264" s="82" t="str">
        <f t="shared" si="73"/>
        <v/>
      </c>
    </row>
    <row r="2265" spans="18:19" x14ac:dyDescent="0.25">
      <c r="R2265" s="8" t="str">
        <f t="shared" si="72"/>
        <v/>
      </c>
      <c r="S2265" s="82" t="str">
        <f t="shared" si="73"/>
        <v/>
      </c>
    </row>
    <row r="2266" spans="18:19" x14ac:dyDescent="0.25">
      <c r="R2266" s="8" t="str">
        <f t="shared" si="72"/>
        <v/>
      </c>
      <c r="S2266" s="82" t="str">
        <f t="shared" si="73"/>
        <v/>
      </c>
    </row>
    <row r="2267" spans="18:19" x14ac:dyDescent="0.25">
      <c r="R2267" s="8" t="str">
        <f t="shared" si="72"/>
        <v/>
      </c>
      <c r="S2267" s="82" t="str">
        <f t="shared" si="73"/>
        <v/>
      </c>
    </row>
    <row r="2268" spans="18:19" x14ac:dyDescent="0.25">
      <c r="R2268" s="8" t="str">
        <f t="shared" si="72"/>
        <v/>
      </c>
      <c r="S2268" s="82" t="str">
        <f t="shared" si="73"/>
        <v/>
      </c>
    </row>
    <row r="2269" spans="18:19" x14ac:dyDescent="0.25">
      <c r="R2269" s="8" t="str">
        <f t="shared" si="72"/>
        <v/>
      </c>
      <c r="S2269" s="82" t="str">
        <f t="shared" si="73"/>
        <v/>
      </c>
    </row>
    <row r="2270" spans="18:19" x14ac:dyDescent="0.25">
      <c r="R2270" s="8" t="str">
        <f t="shared" si="72"/>
        <v/>
      </c>
      <c r="S2270" s="82" t="str">
        <f t="shared" si="73"/>
        <v/>
      </c>
    </row>
    <row r="2271" spans="18:19" x14ac:dyDescent="0.25">
      <c r="R2271" s="8" t="str">
        <f t="shared" si="72"/>
        <v/>
      </c>
      <c r="S2271" s="82" t="str">
        <f t="shared" si="73"/>
        <v/>
      </c>
    </row>
    <row r="2272" spans="18:19" x14ac:dyDescent="0.25">
      <c r="R2272" s="8" t="str">
        <f t="shared" si="72"/>
        <v/>
      </c>
      <c r="S2272" s="82" t="str">
        <f t="shared" si="73"/>
        <v/>
      </c>
    </row>
    <row r="2273" spans="18:19" x14ac:dyDescent="0.25">
      <c r="R2273" s="8" t="str">
        <f t="shared" si="72"/>
        <v/>
      </c>
      <c r="S2273" s="82" t="str">
        <f t="shared" si="73"/>
        <v/>
      </c>
    </row>
    <row r="2274" spans="18:19" x14ac:dyDescent="0.25">
      <c r="R2274" s="8" t="str">
        <f t="shared" si="72"/>
        <v/>
      </c>
      <c r="S2274" s="82" t="str">
        <f t="shared" si="73"/>
        <v/>
      </c>
    </row>
    <row r="2275" spans="18:19" x14ac:dyDescent="0.25">
      <c r="R2275" s="8" t="str">
        <f t="shared" si="72"/>
        <v/>
      </c>
      <c r="S2275" s="82" t="str">
        <f t="shared" si="73"/>
        <v/>
      </c>
    </row>
    <row r="2276" spans="18:19" x14ac:dyDescent="0.25">
      <c r="R2276" s="8" t="str">
        <f t="shared" si="72"/>
        <v/>
      </c>
      <c r="S2276" s="82" t="str">
        <f t="shared" si="73"/>
        <v/>
      </c>
    </row>
    <row r="2277" spans="18:19" x14ac:dyDescent="0.25">
      <c r="R2277" s="8" t="str">
        <f t="shared" si="72"/>
        <v/>
      </c>
      <c r="S2277" s="82" t="str">
        <f t="shared" si="73"/>
        <v/>
      </c>
    </row>
    <row r="2278" spans="18:19" x14ac:dyDescent="0.25">
      <c r="R2278" s="8" t="str">
        <f t="shared" si="72"/>
        <v/>
      </c>
      <c r="S2278" s="82" t="str">
        <f t="shared" si="73"/>
        <v/>
      </c>
    </row>
    <row r="2279" spans="18:19" x14ac:dyDescent="0.25">
      <c r="R2279" s="8" t="str">
        <f t="shared" si="72"/>
        <v/>
      </c>
      <c r="S2279" s="82" t="str">
        <f t="shared" si="73"/>
        <v/>
      </c>
    </row>
    <row r="2280" spans="18:19" x14ac:dyDescent="0.25">
      <c r="R2280" s="8" t="str">
        <f t="shared" si="72"/>
        <v/>
      </c>
      <c r="S2280" s="82" t="str">
        <f t="shared" si="73"/>
        <v/>
      </c>
    </row>
    <row r="2281" spans="18:19" x14ac:dyDescent="0.25">
      <c r="R2281" s="8" t="str">
        <f t="shared" si="72"/>
        <v/>
      </c>
      <c r="S2281" s="82" t="str">
        <f t="shared" si="73"/>
        <v/>
      </c>
    </row>
    <row r="2282" spans="18:19" x14ac:dyDescent="0.25">
      <c r="R2282" s="8" t="str">
        <f t="shared" si="72"/>
        <v/>
      </c>
      <c r="S2282" s="82" t="str">
        <f t="shared" si="73"/>
        <v/>
      </c>
    </row>
    <row r="2283" spans="18:19" x14ac:dyDescent="0.25">
      <c r="R2283" s="8" t="str">
        <f t="shared" si="72"/>
        <v/>
      </c>
      <c r="S2283" s="82" t="str">
        <f t="shared" si="73"/>
        <v/>
      </c>
    </row>
    <row r="2284" spans="18:19" x14ac:dyDescent="0.25">
      <c r="R2284" s="8" t="str">
        <f t="shared" si="72"/>
        <v/>
      </c>
      <c r="S2284" s="82" t="str">
        <f t="shared" si="73"/>
        <v/>
      </c>
    </row>
    <row r="2285" spans="18:19" x14ac:dyDescent="0.25">
      <c r="R2285" s="8" t="str">
        <f t="shared" si="72"/>
        <v/>
      </c>
      <c r="S2285" s="82" t="str">
        <f t="shared" si="73"/>
        <v/>
      </c>
    </row>
    <row r="2286" spans="18:19" x14ac:dyDescent="0.25">
      <c r="R2286" s="8" t="str">
        <f t="shared" si="72"/>
        <v/>
      </c>
      <c r="S2286" s="82" t="str">
        <f t="shared" si="73"/>
        <v/>
      </c>
    </row>
    <row r="2287" spans="18:19" x14ac:dyDescent="0.25">
      <c r="R2287" s="8" t="str">
        <f t="shared" si="72"/>
        <v/>
      </c>
      <c r="S2287" s="82" t="str">
        <f t="shared" si="73"/>
        <v/>
      </c>
    </row>
    <row r="2288" spans="18:19" x14ac:dyDescent="0.25">
      <c r="R2288" s="8" t="str">
        <f t="shared" si="72"/>
        <v/>
      </c>
      <c r="S2288" s="82" t="str">
        <f t="shared" si="73"/>
        <v/>
      </c>
    </row>
    <row r="2289" spans="18:19" x14ac:dyDescent="0.25">
      <c r="R2289" s="8" t="str">
        <f t="shared" si="72"/>
        <v/>
      </c>
      <c r="S2289" s="82" t="str">
        <f t="shared" si="73"/>
        <v/>
      </c>
    </row>
    <row r="2290" spans="18:19" x14ac:dyDescent="0.25">
      <c r="R2290" s="8" t="str">
        <f t="shared" si="72"/>
        <v/>
      </c>
      <c r="S2290" s="82" t="str">
        <f t="shared" si="73"/>
        <v/>
      </c>
    </row>
    <row r="2291" spans="18:19" x14ac:dyDescent="0.25">
      <c r="R2291" s="8" t="str">
        <f t="shared" si="72"/>
        <v/>
      </c>
      <c r="S2291" s="82" t="str">
        <f t="shared" si="73"/>
        <v/>
      </c>
    </row>
    <row r="2292" spans="18:19" x14ac:dyDescent="0.25">
      <c r="R2292" s="8" t="str">
        <f t="shared" si="72"/>
        <v/>
      </c>
      <c r="S2292" s="82" t="str">
        <f t="shared" si="73"/>
        <v/>
      </c>
    </row>
    <row r="2293" spans="18:19" x14ac:dyDescent="0.25">
      <c r="R2293" s="8" t="str">
        <f t="shared" si="72"/>
        <v/>
      </c>
      <c r="S2293" s="82" t="str">
        <f t="shared" si="73"/>
        <v/>
      </c>
    </row>
    <row r="2294" spans="18:19" x14ac:dyDescent="0.25">
      <c r="R2294" s="8" t="str">
        <f t="shared" si="72"/>
        <v/>
      </c>
      <c r="S2294" s="82" t="str">
        <f t="shared" si="73"/>
        <v/>
      </c>
    </row>
    <row r="2295" spans="18:19" x14ac:dyDescent="0.25">
      <c r="R2295" s="8" t="str">
        <f t="shared" si="72"/>
        <v/>
      </c>
      <c r="S2295" s="82" t="str">
        <f t="shared" si="73"/>
        <v/>
      </c>
    </row>
    <row r="2296" spans="18:19" x14ac:dyDescent="0.25">
      <c r="R2296" s="8" t="str">
        <f t="shared" si="72"/>
        <v/>
      </c>
      <c r="S2296" s="82" t="str">
        <f t="shared" si="73"/>
        <v/>
      </c>
    </row>
    <row r="2297" spans="18:19" x14ac:dyDescent="0.25">
      <c r="R2297" s="8" t="str">
        <f t="shared" si="72"/>
        <v/>
      </c>
      <c r="S2297" s="82" t="str">
        <f t="shared" si="73"/>
        <v/>
      </c>
    </row>
    <row r="2298" spans="18:19" x14ac:dyDescent="0.25">
      <c r="R2298" s="8" t="str">
        <f t="shared" si="72"/>
        <v/>
      </c>
      <c r="S2298" s="82" t="str">
        <f t="shared" si="73"/>
        <v/>
      </c>
    </row>
    <row r="2299" spans="18:19" x14ac:dyDescent="0.25">
      <c r="R2299" s="8" t="str">
        <f t="shared" si="72"/>
        <v/>
      </c>
      <c r="S2299" s="82" t="str">
        <f t="shared" si="73"/>
        <v/>
      </c>
    </row>
    <row r="2300" spans="18:19" x14ac:dyDescent="0.25">
      <c r="R2300" s="8" t="str">
        <f t="shared" si="72"/>
        <v/>
      </c>
      <c r="S2300" s="82" t="str">
        <f t="shared" si="73"/>
        <v/>
      </c>
    </row>
    <row r="2301" spans="18:19" x14ac:dyDescent="0.25">
      <c r="R2301" s="8" t="str">
        <f t="shared" si="72"/>
        <v/>
      </c>
      <c r="S2301" s="82" t="str">
        <f t="shared" si="73"/>
        <v/>
      </c>
    </row>
    <row r="2302" spans="18:19" x14ac:dyDescent="0.25">
      <c r="R2302" s="8" t="str">
        <f t="shared" si="72"/>
        <v/>
      </c>
      <c r="S2302" s="82" t="str">
        <f t="shared" si="73"/>
        <v/>
      </c>
    </row>
    <row r="2303" spans="18:19" x14ac:dyDescent="0.25">
      <c r="R2303" s="8" t="str">
        <f t="shared" si="72"/>
        <v/>
      </c>
      <c r="S2303" s="82" t="str">
        <f t="shared" si="73"/>
        <v/>
      </c>
    </row>
    <row r="2304" spans="18:19" x14ac:dyDescent="0.25">
      <c r="R2304" s="8" t="str">
        <f t="shared" si="72"/>
        <v/>
      </c>
      <c r="S2304" s="82" t="str">
        <f t="shared" si="73"/>
        <v/>
      </c>
    </row>
    <row r="2305" spans="18:19" x14ac:dyDescent="0.25">
      <c r="R2305" s="8" t="str">
        <f t="shared" si="72"/>
        <v/>
      </c>
      <c r="S2305" s="82" t="str">
        <f t="shared" si="73"/>
        <v/>
      </c>
    </row>
    <row r="2306" spans="18:19" x14ac:dyDescent="0.25">
      <c r="R2306" s="8" t="str">
        <f t="shared" si="72"/>
        <v/>
      </c>
      <c r="S2306" s="82" t="str">
        <f t="shared" si="73"/>
        <v/>
      </c>
    </row>
    <row r="2307" spans="18:19" x14ac:dyDescent="0.25">
      <c r="R2307" s="8" t="str">
        <f t="shared" si="72"/>
        <v/>
      </c>
      <c r="S2307" s="82" t="str">
        <f t="shared" si="73"/>
        <v/>
      </c>
    </row>
    <row r="2308" spans="18:19" x14ac:dyDescent="0.25">
      <c r="R2308" s="8" t="str">
        <f t="shared" si="72"/>
        <v/>
      </c>
      <c r="S2308" s="82" t="str">
        <f t="shared" si="73"/>
        <v/>
      </c>
    </row>
    <row r="2309" spans="18:19" x14ac:dyDescent="0.25">
      <c r="R2309" s="8" t="str">
        <f t="shared" si="72"/>
        <v/>
      </c>
      <c r="S2309" s="82" t="str">
        <f t="shared" si="73"/>
        <v/>
      </c>
    </row>
    <row r="2310" spans="18:19" x14ac:dyDescent="0.25">
      <c r="R2310" s="8" t="str">
        <f t="shared" si="72"/>
        <v/>
      </c>
      <c r="S2310" s="82" t="str">
        <f t="shared" si="73"/>
        <v/>
      </c>
    </row>
    <row r="2311" spans="18:19" x14ac:dyDescent="0.25">
      <c r="R2311" s="8" t="str">
        <f t="shared" si="72"/>
        <v/>
      </c>
      <c r="S2311" s="82" t="str">
        <f t="shared" si="73"/>
        <v/>
      </c>
    </row>
    <row r="2312" spans="18:19" x14ac:dyDescent="0.25">
      <c r="R2312" s="8" t="str">
        <f t="shared" ref="R2312:R2375" si="74">IF(A2312="",(""),(MONTH(A2312)))</f>
        <v/>
      </c>
      <c r="S2312" s="82" t="str">
        <f t="shared" si="73"/>
        <v/>
      </c>
    </row>
    <row r="2313" spans="18:19" x14ac:dyDescent="0.25">
      <c r="R2313" s="8" t="str">
        <f t="shared" si="74"/>
        <v/>
      </c>
      <c r="S2313" s="82" t="str">
        <f t="shared" si="73"/>
        <v/>
      </c>
    </row>
    <row r="2314" spans="18:19" x14ac:dyDescent="0.25">
      <c r="R2314" s="8" t="str">
        <f t="shared" si="74"/>
        <v/>
      </c>
      <c r="S2314" s="82" t="str">
        <f t="shared" si="73"/>
        <v/>
      </c>
    </row>
    <row r="2315" spans="18:19" x14ac:dyDescent="0.25">
      <c r="R2315" s="8" t="str">
        <f t="shared" si="74"/>
        <v/>
      </c>
      <c r="S2315" s="82" t="str">
        <f t="shared" si="73"/>
        <v/>
      </c>
    </row>
    <row r="2316" spans="18:19" x14ac:dyDescent="0.25">
      <c r="R2316" s="8" t="str">
        <f t="shared" si="74"/>
        <v/>
      </c>
      <c r="S2316" s="82" t="str">
        <f t="shared" si="73"/>
        <v/>
      </c>
    </row>
    <row r="2317" spans="18:19" x14ac:dyDescent="0.25">
      <c r="R2317" s="8" t="str">
        <f t="shared" si="74"/>
        <v/>
      </c>
      <c r="S2317" s="82" t="str">
        <f t="shared" si="73"/>
        <v/>
      </c>
    </row>
    <row r="2318" spans="18:19" x14ac:dyDescent="0.25">
      <c r="R2318" s="8" t="str">
        <f t="shared" si="74"/>
        <v/>
      </c>
      <c r="S2318" s="82" t="str">
        <f t="shared" si="73"/>
        <v/>
      </c>
    </row>
    <row r="2319" spans="18:19" x14ac:dyDescent="0.25">
      <c r="R2319" s="8" t="str">
        <f t="shared" si="74"/>
        <v/>
      </c>
      <c r="S2319" s="82" t="str">
        <f t="shared" si="73"/>
        <v/>
      </c>
    </row>
    <row r="2320" spans="18:19" x14ac:dyDescent="0.25">
      <c r="R2320" s="8" t="str">
        <f t="shared" si="74"/>
        <v/>
      </c>
      <c r="S2320" s="82" t="str">
        <f t="shared" si="73"/>
        <v/>
      </c>
    </row>
    <row r="2321" spans="18:19" x14ac:dyDescent="0.25">
      <c r="R2321" s="8" t="str">
        <f t="shared" si="74"/>
        <v/>
      </c>
      <c r="S2321" s="82" t="str">
        <f t="shared" si="73"/>
        <v/>
      </c>
    </row>
    <row r="2322" spans="18:19" x14ac:dyDescent="0.25">
      <c r="R2322" s="8" t="str">
        <f t="shared" si="74"/>
        <v/>
      </c>
      <c r="S2322" s="82" t="str">
        <f t="shared" si="73"/>
        <v/>
      </c>
    </row>
    <row r="2323" spans="18:19" x14ac:dyDescent="0.25">
      <c r="R2323" s="8" t="str">
        <f t="shared" si="74"/>
        <v/>
      </c>
      <c r="S2323" s="82" t="str">
        <f t="shared" si="73"/>
        <v/>
      </c>
    </row>
    <row r="2324" spans="18:19" x14ac:dyDescent="0.25">
      <c r="R2324" s="8" t="str">
        <f t="shared" si="74"/>
        <v/>
      </c>
      <c r="S2324" s="82" t="str">
        <f t="shared" si="73"/>
        <v/>
      </c>
    </row>
    <row r="2325" spans="18:19" x14ac:dyDescent="0.25">
      <c r="R2325" s="8" t="str">
        <f t="shared" si="74"/>
        <v/>
      </c>
      <c r="S2325" s="82" t="str">
        <f t="shared" si="73"/>
        <v/>
      </c>
    </row>
    <row r="2326" spans="18:19" x14ac:dyDescent="0.25">
      <c r="R2326" s="8" t="str">
        <f t="shared" si="74"/>
        <v/>
      </c>
      <c r="S2326" s="82" t="str">
        <f t="shared" ref="S2326:S2389" si="75">IF(O2326&gt;0,(Q2326-O2326),(IF(K2326="USD",(Q2326*J2326),((IF(B2326="",(""),(SUMIF(B2326,"11 - Factura C",(Q2326))-SUMIF(B2326,"13 - Nota de Crédito C",(Q2326))+SUMIF(B2326,"15 - Recibo C",(Q2326))+SUMIF(B2326,"109 - Tique C",(Q2326)))))))))</f>
        <v/>
      </c>
    </row>
    <row r="2327" spans="18:19" x14ac:dyDescent="0.25">
      <c r="R2327" s="8" t="str">
        <f t="shared" si="74"/>
        <v/>
      </c>
      <c r="S2327" s="82" t="str">
        <f t="shared" si="75"/>
        <v/>
      </c>
    </row>
    <row r="2328" spans="18:19" x14ac:dyDescent="0.25">
      <c r="R2328" s="8" t="str">
        <f t="shared" si="74"/>
        <v/>
      </c>
      <c r="S2328" s="82" t="str">
        <f t="shared" si="75"/>
        <v/>
      </c>
    </row>
    <row r="2329" spans="18:19" x14ac:dyDescent="0.25">
      <c r="R2329" s="8" t="str">
        <f t="shared" si="74"/>
        <v/>
      </c>
      <c r="S2329" s="82" t="str">
        <f t="shared" si="75"/>
        <v/>
      </c>
    </row>
    <row r="2330" spans="18:19" x14ac:dyDescent="0.25">
      <c r="R2330" s="8" t="str">
        <f t="shared" si="74"/>
        <v/>
      </c>
      <c r="S2330" s="82" t="str">
        <f t="shared" si="75"/>
        <v/>
      </c>
    </row>
    <row r="2331" spans="18:19" x14ac:dyDescent="0.25">
      <c r="R2331" s="8" t="str">
        <f t="shared" si="74"/>
        <v/>
      </c>
      <c r="S2331" s="82" t="str">
        <f t="shared" si="75"/>
        <v/>
      </c>
    </row>
    <row r="2332" spans="18:19" x14ac:dyDescent="0.25">
      <c r="R2332" s="8" t="str">
        <f t="shared" si="74"/>
        <v/>
      </c>
      <c r="S2332" s="82" t="str">
        <f t="shared" si="75"/>
        <v/>
      </c>
    </row>
    <row r="2333" spans="18:19" x14ac:dyDescent="0.25">
      <c r="R2333" s="8" t="str">
        <f t="shared" si="74"/>
        <v/>
      </c>
      <c r="S2333" s="82" t="str">
        <f t="shared" si="75"/>
        <v/>
      </c>
    </row>
    <row r="2334" spans="18:19" x14ac:dyDescent="0.25">
      <c r="R2334" s="8" t="str">
        <f t="shared" si="74"/>
        <v/>
      </c>
      <c r="S2334" s="82" t="str">
        <f t="shared" si="75"/>
        <v/>
      </c>
    </row>
    <row r="2335" spans="18:19" x14ac:dyDescent="0.25">
      <c r="R2335" s="8" t="str">
        <f t="shared" si="74"/>
        <v/>
      </c>
      <c r="S2335" s="82" t="str">
        <f t="shared" si="75"/>
        <v/>
      </c>
    </row>
    <row r="2336" spans="18:19" x14ac:dyDescent="0.25">
      <c r="R2336" s="8" t="str">
        <f t="shared" si="74"/>
        <v/>
      </c>
      <c r="S2336" s="82" t="str">
        <f t="shared" si="75"/>
        <v/>
      </c>
    </row>
    <row r="2337" spans="18:19" x14ac:dyDescent="0.25">
      <c r="R2337" s="8" t="str">
        <f t="shared" si="74"/>
        <v/>
      </c>
      <c r="S2337" s="82" t="str">
        <f t="shared" si="75"/>
        <v/>
      </c>
    </row>
    <row r="2338" spans="18:19" x14ac:dyDescent="0.25">
      <c r="R2338" s="8" t="str">
        <f t="shared" si="74"/>
        <v/>
      </c>
      <c r="S2338" s="82" t="str">
        <f t="shared" si="75"/>
        <v/>
      </c>
    </row>
    <row r="2339" spans="18:19" x14ac:dyDescent="0.25">
      <c r="R2339" s="8" t="str">
        <f t="shared" si="74"/>
        <v/>
      </c>
      <c r="S2339" s="82" t="str">
        <f t="shared" si="75"/>
        <v/>
      </c>
    </row>
    <row r="2340" spans="18:19" x14ac:dyDescent="0.25">
      <c r="R2340" s="8" t="str">
        <f t="shared" si="74"/>
        <v/>
      </c>
      <c r="S2340" s="82" t="str">
        <f t="shared" si="75"/>
        <v/>
      </c>
    </row>
    <row r="2341" spans="18:19" x14ac:dyDescent="0.25">
      <c r="R2341" s="8" t="str">
        <f t="shared" si="74"/>
        <v/>
      </c>
      <c r="S2341" s="82" t="str">
        <f t="shared" si="75"/>
        <v/>
      </c>
    </row>
    <row r="2342" spans="18:19" x14ac:dyDescent="0.25">
      <c r="R2342" s="8" t="str">
        <f t="shared" si="74"/>
        <v/>
      </c>
      <c r="S2342" s="82" t="str">
        <f t="shared" si="75"/>
        <v/>
      </c>
    </row>
    <row r="2343" spans="18:19" x14ac:dyDescent="0.25">
      <c r="R2343" s="8" t="str">
        <f t="shared" si="74"/>
        <v/>
      </c>
      <c r="S2343" s="82" t="str">
        <f t="shared" si="75"/>
        <v/>
      </c>
    </row>
    <row r="2344" spans="18:19" x14ac:dyDescent="0.25">
      <c r="R2344" s="8" t="str">
        <f t="shared" si="74"/>
        <v/>
      </c>
      <c r="S2344" s="82" t="str">
        <f t="shared" si="75"/>
        <v/>
      </c>
    </row>
    <row r="2345" spans="18:19" x14ac:dyDescent="0.25">
      <c r="R2345" s="8" t="str">
        <f t="shared" si="74"/>
        <v/>
      </c>
      <c r="S2345" s="82" t="str">
        <f t="shared" si="75"/>
        <v/>
      </c>
    </row>
    <row r="2346" spans="18:19" x14ac:dyDescent="0.25">
      <c r="R2346" s="8" t="str">
        <f t="shared" si="74"/>
        <v/>
      </c>
      <c r="S2346" s="82" t="str">
        <f t="shared" si="75"/>
        <v/>
      </c>
    </row>
    <row r="2347" spans="18:19" x14ac:dyDescent="0.25">
      <c r="R2347" s="8" t="str">
        <f t="shared" si="74"/>
        <v/>
      </c>
      <c r="S2347" s="82" t="str">
        <f t="shared" si="75"/>
        <v/>
      </c>
    </row>
    <row r="2348" spans="18:19" x14ac:dyDescent="0.25">
      <c r="R2348" s="8" t="str">
        <f t="shared" si="74"/>
        <v/>
      </c>
      <c r="S2348" s="82" t="str">
        <f t="shared" si="75"/>
        <v/>
      </c>
    </row>
    <row r="2349" spans="18:19" x14ac:dyDescent="0.25">
      <c r="R2349" s="8" t="str">
        <f t="shared" si="74"/>
        <v/>
      </c>
      <c r="S2349" s="82" t="str">
        <f t="shared" si="75"/>
        <v/>
      </c>
    </row>
    <row r="2350" spans="18:19" x14ac:dyDescent="0.25">
      <c r="R2350" s="8" t="str">
        <f t="shared" si="74"/>
        <v/>
      </c>
      <c r="S2350" s="82" t="str">
        <f t="shared" si="75"/>
        <v/>
      </c>
    </row>
    <row r="2351" spans="18:19" x14ac:dyDescent="0.25">
      <c r="R2351" s="8" t="str">
        <f t="shared" si="74"/>
        <v/>
      </c>
      <c r="S2351" s="82" t="str">
        <f t="shared" si="75"/>
        <v/>
      </c>
    </row>
    <row r="2352" spans="18:19" x14ac:dyDescent="0.25">
      <c r="R2352" s="8" t="str">
        <f t="shared" si="74"/>
        <v/>
      </c>
      <c r="S2352" s="82" t="str">
        <f t="shared" si="75"/>
        <v/>
      </c>
    </row>
    <row r="2353" spans="18:19" x14ac:dyDescent="0.25">
      <c r="R2353" s="8" t="str">
        <f t="shared" si="74"/>
        <v/>
      </c>
      <c r="S2353" s="82" t="str">
        <f t="shared" si="75"/>
        <v/>
      </c>
    </row>
    <row r="2354" spans="18:19" x14ac:dyDescent="0.25">
      <c r="R2354" s="8" t="str">
        <f t="shared" si="74"/>
        <v/>
      </c>
      <c r="S2354" s="82" t="str">
        <f t="shared" si="75"/>
        <v/>
      </c>
    </row>
    <row r="2355" spans="18:19" x14ac:dyDescent="0.25">
      <c r="R2355" s="8" t="str">
        <f t="shared" si="74"/>
        <v/>
      </c>
      <c r="S2355" s="82" t="str">
        <f t="shared" si="75"/>
        <v/>
      </c>
    </row>
    <row r="2356" spans="18:19" x14ac:dyDescent="0.25">
      <c r="R2356" s="8" t="str">
        <f t="shared" si="74"/>
        <v/>
      </c>
      <c r="S2356" s="82" t="str">
        <f t="shared" si="75"/>
        <v/>
      </c>
    </row>
    <row r="2357" spans="18:19" x14ac:dyDescent="0.25">
      <c r="R2357" s="8" t="str">
        <f t="shared" si="74"/>
        <v/>
      </c>
      <c r="S2357" s="82" t="str">
        <f t="shared" si="75"/>
        <v/>
      </c>
    </row>
    <row r="2358" spans="18:19" x14ac:dyDescent="0.25">
      <c r="R2358" s="8" t="str">
        <f t="shared" si="74"/>
        <v/>
      </c>
      <c r="S2358" s="82" t="str">
        <f t="shared" si="75"/>
        <v/>
      </c>
    </row>
    <row r="2359" spans="18:19" x14ac:dyDescent="0.25">
      <c r="R2359" s="8" t="str">
        <f t="shared" si="74"/>
        <v/>
      </c>
      <c r="S2359" s="82" t="str">
        <f t="shared" si="75"/>
        <v/>
      </c>
    </row>
    <row r="2360" spans="18:19" x14ac:dyDescent="0.25">
      <c r="R2360" s="8" t="str">
        <f t="shared" si="74"/>
        <v/>
      </c>
      <c r="S2360" s="82" t="str">
        <f t="shared" si="75"/>
        <v/>
      </c>
    </row>
    <row r="2361" spans="18:19" x14ac:dyDescent="0.25">
      <c r="R2361" s="8" t="str">
        <f t="shared" si="74"/>
        <v/>
      </c>
      <c r="S2361" s="82" t="str">
        <f t="shared" si="75"/>
        <v/>
      </c>
    </row>
    <row r="2362" spans="18:19" x14ac:dyDescent="0.25">
      <c r="R2362" s="8" t="str">
        <f t="shared" si="74"/>
        <v/>
      </c>
      <c r="S2362" s="82" t="str">
        <f t="shared" si="75"/>
        <v/>
      </c>
    </row>
    <row r="2363" spans="18:19" x14ac:dyDescent="0.25">
      <c r="R2363" s="8" t="str">
        <f t="shared" si="74"/>
        <v/>
      </c>
      <c r="S2363" s="82" t="str">
        <f t="shared" si="75"/>
        <v/>
      </c>
    </row>
    <row r="2364" spans="18:19" x14ac:dyDescent="0.25">
      <c r="R2364" s="8" t="str">
        <f t="shared" si="74"/>
        <v/>
      </c>
      <c r="S2364" s="82" t="str">
        <f t="shared" si="75"/>
        <v/>
      </c>
    </row>
    <row r="2365" spans="18:19" x14ac:dyDescent="0.25">
      <c r="R2365" s="8" t="str">
        <f t="shared" si="74"/>
        <v/>
      </c>
      <c r="S2365" s="82" t="str">
        <f t="shared" si="75"/>
        <v/>
      </c>
    </row>
    <row r="2366" spans="18:19" x14ac:dyDescent="0.25">
      <c r="R2366" s="8" t="str">
        <f t="shared" si="74"/>
        <v/>
      </c>
      <c r="S2366" s="82" t="str">
        <f t="shared" si="75"/>
        <v/>
      </c>
    </row>
    <row r="2367" spans="18:19" x14ac:dyDescent="0.25">
      <c r="R2367" s="8" t="str">
        <f t="shared" si="74"/>
        <v/>
      </c>
      <c r="S2367" s="82" t="str">
        <f t="shared" si="75"/>
        <v/>
      </c>
    </row>
    <row r="2368" spans="18:19" x14ac:dyDescent="0.25">
      <c r="R2368" s="8" t="str">
        <f t="shared" si="74"/>
        <v/>
      </c>
      <c r="S2368" s="82" t="str">
        <f t="shared" si="75"/>
        <v/>
      </c>
    </row>
    <row r="2369" spans="18:19" x14ac:dyDescent="0.25">
      <c r="R2369" s="8" t="str">
        <f t="shared" si="74"/>
        <v/>
      </c>
      <c r="S2369" s="82" t="str">
        <f t="shared" si="75"/>
        <v/>
      </c>
    </row>
    <row r="2370" spans="18:19" x14ac:dyDescent="0.25">
      <c r="R2370" s="8" t="str">
        <f t="shared" si="74"/>
        <v/>
      </c>
      <c r="S2370" s="82" t="str">
        <f t="shared" si="75"/>
        <v/>
      </c>
    </row>
    <row r="2371" spans="18:19" x14ac:dyDescent="0.25">
      <c r="R2371" s="8" t="str">
        <f t="shared" si="74"/>
        <v/>
      </c>
      <c r="S2371" s="82" t="str">
        <f t="shared" si="75"/>
        <v/>
      </c>
    </row>
    <row r="2372" spans="18:19" x14ac:dyDescent="0.25">
      <c r="R2372" s="8" t="str">
        <f t="shared" si="74"/>
        <v/>
      </c>
      <c r="S2372" s="82" t="str">
        <f t="shared" si="75"/>
        <v/>
      </c>
    </row>
    <row r="2373" spans="18:19" x14ac:dyDescent="0.25">
      <c r="R2373" s="8" t="str">
        <f t="shared" si="74"/>
        <v/>
      </c>
      <c r="S2373" s="82" t="str">
        <f t="shared" si="75"/>
        <v/>
      </c>
    </row>
    <row r="2374" spans="18:19" x14ac:dyDescent="0.25">
      <c r="R2374" s="8" t="str">
        <f t="shared" si="74"/>
        <v/>
      </c>
      <c r="S2374" s="82" t="str">
        <f t="shared" si="75"/>
        <v/>
      </c>
    </row>
    <row r="2375" spans="18:19" x14ac:dyDescent="0.25">
      <c r="R2375" s="8" t="str">
        <f t="shared" si="74"/>
        <v/>
      </c>
      <c r="S2375" s="82" t="str">
        <f t="shared" si="75"/>
        <v/>
      </c>
    </row>
    <row r="2376" spans="18:19" x14ac:dyDescent="0.25">
      <c r="R2376" s="8" t="str">
        <f t="shared" ref="R2376:R2439" si="76">IF(A2376="",(""),(MONTH(A2376)))</f>
        <v/>
      </c>
      <c r="S2376" s="82" t="str">
        <f t="shared" si="75"/>
        <v/>
      </c>
    </row>
    <row r="2377" spans="18:19" x14ac:dyDescent="0.25">
      <c r="R2377" s="8" t="str">
        <f t="shared" si="76"/>
        <v/>
      </c>
      <c r="S2377" s="82" t="str">
        <f t="shared" si="75"/>
        <v/>
      </c>
    </row>
    <row r="2378" spans="18:19" x14ac:dyDescent="0.25">
      <c r="R2378" s="8" t="str">
        <f t="shared" si="76"/>
        <v/>
      </c>
      <c r="S2378" s="82" t="str">
        <f t="shared" si="75"/>
        <v/>
      </c>
    </row>
    <row r="2379" spans="18:19" x14ac:dyDescent="0.25">
      <c r="R2379" s="8" t="str">
        <f t="shared" si="76"/>
        <v/>
      </c>
      <c r="S2379" s="82" t="str">
        <f t="shared" si="75"/>
        <v/>
      </c>
    </row>
    <row r="2380" spans="18:19" x14ac:dyDescent="0.25">
      <c r="R2380" s="8" t="str">
        <f t="shared" si="76"/>
        <v/>
      </c>
      <c r="S2380" s="82" t="str">
        <f t="shared" si="75"/>
        <v/>
      </c>
    </row>
    <row r="2381" spans="18:19" x14ac:dyDescent="0.25">
      <c r="R2381" s="8" t="str">
        <f t="shared" si="76"/>
        <v/>
      </c>
      <c r="S2381" s="82" t="str">
        <f t="shared" si="75"/>
        <v/>
      </c>
    </row>
    <row r="2382" spans="18:19" x14ac:dyDescent="0.25">
      <c r="R2382" s="8" t="str">
        <f t="shared" si="76"/>
        <v/>
      </c>
      <c r="S2382" s="82" t="str">
        <f t="shared" si="75"/>
        <v/>
      </c>
    </row>
    <row r="2383" spans="18:19" x14ac:dyDescent="0.25">
      <c r="R2383" s="8" t="str">
        <f t="shared" si="76"/>
        <v/>
      </c>
      <c r="S2383" s="82" t="str">
        <f t="shared" si="75"/>
        <v/>
      </c>
    </row>
    <row r="2384" spans="18:19" x14ac:dyDescent="0.25">
      <c r="R2384" s="8" t="str">
        <f t="shared" si="76"/>
        <v/>
      </c>
      <c r="S2384" s="82" t="str">
        <f t="shared" si="75"/>
        <v/>
      </c>
    </row>
    <row r="2385" spans="18:19" x14ac:dyDescent="0.25">
      <c r="R2385" s="8" t="str">
        <f t="shared" si="76"/>
        <v/>
      </c>
      <c r="S2385" s="82" t="str">
        <f t="shared" si="75"/>
        <v/>
      </c>
    </row>
    <row r="2386" spans="18:19" x14ac:dyDescent="0.25">
      <c r="R2386" s="8" t="str">
        <f t="shared" si="76"/>
        <v/>
      </c>
      <c r="S2386" s="82" t="str">
        <f t="shared" si="75"/>
        <v/>
      </c>
    </row>
    <row r="2387" spans="18:19" x14ac:dyDescent="0.25">
      <c r="R2387" s="8" t="str">
        <f t="shared" si="76"/>
        <v/>
      </c>
      <c r="S2387" s="82" t="str">
        <f t="shared" si="75"/>
        <v/>
      </c>
    </row>
    <row r="2388" spans="18:19" x14ac:dyDescent="0.25">
      <c r="R2388" s="8" t="str">
        <f t="shared" si="76"/>
        <v/>
      </c>
      <c r="S2388" s="82" t="str">
        <f t="shared" si="75"/>
        <v/>
      </c>
    </row>
    <row r="2389" spans="18:19" x14ac:dyDescent="0.25">
      <c r="R2389" s="8" t="str">
        <f t="shared" si="76"/>
        <v/>
      </c>
      <c r="S2389" s="82" t="str">
        <f t="shared" si="75"/>
        <v/>
      </c>
    </row>
    <row r="2390" spans="18:19" x14ac:dyDescent="0.25">
      <c r="R2390" s="8" t="str">
        <f t="shared" si="76"/>
        <v/>
      </c>
      <c r="S2390" s="82" t="str">
        <f t="shared" ref="S2390:S2453" si="77">IF(O2390&gt;0,(Q2390-O2390),(IF(K2390="USD",(Q2390*J2390),((IF(B2390="",(""),(SUMIF(B2390,"11 - Factura C",(Q2390))-SUMIF(B2390,"13 - Nota de Crédito C",(Q2390))+SUMIF(B2390,"15 - Recibo C",(Q2390))+SUMIF(B2390,"109 - Tique C",(Q2390)))))))))</f>
        <v/>
      </c>
    </row>
    <row r="2391" spans="18:19" x14ac:dyDescent="0.25">
      <c r="R2391" s="8" t="str">
        <f t="shared" si="76"/>
        <v/>
      </c>
      <c r="S2391" s="82" t="str">
        <f t="shared" si="77"/>
        <v/>
      </c>
    </row>
    <row r="2392" spans="18:19" x14ac:dyDescent="0.25">
      <c r="R2392" s="8" t="str">
        <f t="shared" si="76"/>
        <v/>
      </c>
      <c r="S2392" s="82" t="str">
        <f t="shared" si="77"/>
        <v/>
      </c>
    </row>
    <row r="2393" spans="18:19" x14ac:dyDescent="0.25">
      <c r="R2393" s="8" t="str">
        <f t="shared" si="76"/>
        <v/>
      </c>
      <c r="S2393" s="82" t="str">
        <f t="shared" si="77"/>
        <v/>
      </c>
    </row>
    <row r="2394" spans="18:19" x14ac:dyDescent="0.25">
      <c r="R2394" s="8" t="str">
        <f t="shared" si="76"/>
        <v/>
      </c>
      <c r="S2394" s="82" t="str">
        <f t="shared" si="77"/>
        <v/>
      </c>
    </row>
    <row r="2395" spans="18:19" x14ac:dyDescent="0.25">
      <c r="R2395" s="8" t="str">
        <f t="shared" si="76"/>
        <v/>
      </c>
      <c r="S2395" s="82" t="str">
        <f t="shared" si="77"/>
        <v/>
      </c>
    </row>
    <row r="2396" spans="18:19" x14ac:dyDescent="0.25">
      <c r="R2396" s="8" t="str">
        <f t="shared" si="76"/>
        <v/>
      </c>
      <c r="S2396" s="82" t="str">
        <f t="shared" si="77"/>
        <v/>
      </c>
    </row>
    <row r="2397" spans="18:19" x14ac:dyDescent="0.25">
      <c r="R2397" s="8" t="str">
        <f t="shared" si="76"/>
        <v/>
      </c>
      <c r="S2397" s="82" t="str">
        <f t="shared" si="77"/>
        <v/>
      </c>
    </row>
    <row r="2398" spans="18:19" x14ac:dyDescent="0.25">
      <c r="R2398" s="8" t="str">
        <f t="shared" si="76"/>
        <v/>
      </c>
      <c r="S2398" s="82" t="str">
        <f t="shared" si="77"/>
        <v/>
      </c>
    </row>
    <row r="2399" spans="18:19" x14ac:dyDescent="0.25">
      <c r="R2399" s="8" t="str">
        <f t="shared" si="76"/>
        <v/>
      </c>
      <c r="S2399" s="82" t="str">
        <f t="shared" si="77"/>
        <v/>
      </c>
    </row>
    <row r="2400" spans="18:19" x14ac:dyDescent="0.25">
      <c r="R2400" s="8" t="str">
        <f t="shared" si="76"/>
        <v/>
      </c>
      <c r="S2400" s="82" t="str">
        <f t="shared" si="77"/>
        <v/>
      </c>
    </row>
    <row r="2401" spans="18:19" x14ac:dyDescent="0.25">
      <c r="R2401" s="8" t="str">
        <f t="shared" si="76"/>
        <v/>
      </c>
      <c r="S2401" s="82" t="str">
        <f t="shared" si="77"/>
        <v/>
      </c>
    </row>
    <row r="2402" spans="18:19" x14ac:dyDescent="0.25">
      <c r="R2402" s="8" t="str">
        <f t="shared" si="76"/>
        <v/>
      </c>
      <c r="S2402" s="82" t="str">
        <f t="shared" si="77"/>
        <v/>
      </c>
    </row>
    <row r="2403" spans="18:19" x14ac:dyDescent="0.25">
      <c r="R2403" s="8" t="str">
        <f t="shared" si="76"/>
        <v/>
      </c>
      <c r="S2403" s="82" t="str">
        <f t="shared" si="77"/>
        <v/>
      </c>
    </row>
    <row r="2404" spans="18:19" x14ac:dyDescent="0.25">
      <c r="R2404" s="8" t="str">
        <f t="shared" si="76"/>
        <v/>
      </c>
      <c r="S2404" s="82" t="str">
        <f t="shared" si="77"/>
        <v/>
      </c>
    </row>
    <row r="2405" spans="18:19" x14ac:dyDescent="0.25">
      <c r="R2405" s="8" t="str">
        <f t="shared" si="76"/>
        <v/>
      </c>
      <c r="S2405" s="82" t="str">
        <f t="shared" si="77"/>
        <v/>
      </c>
    </row>
    <row r="2406" spans="18:19" x14ac:dyDescent="0.25">
      <c r="R2406" s="8" t="str">
        <f t="shared" si="76"/>
        <v/>
      </c>
      <c r="S2406" s="82" t="str">
        <f t="shared" si="77"/>
        <v/>
      </c>
    </row>
    <row r="2407" spans="18:19" x14ac:dyDescent="0.25">
      <c r="R2407" s="8" t="str">
        <f t="shared" si="76"/>
        <v/>
      </c>
      <c r="S2407" s="82" t="str">
        <f t="shared" si="77"/>
        <v/>
      </c>
    </row>
    <row r="2408" spans="18:19" x14ac:dyDescent="0.25">
      <c r="R2408" s="8" t="str">
        <f t="shared" si="76"/>
        <v/>
      </c>
      <c r="S2408" s="82" t="str">
        <f t="shared" si="77"/>
        <v/>
      </c>
    </row>
    <row r="2409" spans="18:19" x14ac:dyDescent="0.25">
      <c r="R2409" s="8" t="str">
        <f t="shared" si="76"/>
        <v/>
      </c>
      <c r="S2409" s="82" t="str">
        <f t="shared" si="77"/>
        <v/>
      </c>
    </row>
    <row r="2410" spans="18:19" x14ac:dyDescent="0.25">
      <c r="R2410" s="8" t="str">
        <f t="shared" si="76"/>
        <v/>
      </c>
      <c r="S2410" s="82" t="str">
        <f t="shared" si="77"/>
        <v/>
      </c>
    </row>
    <row r="2411" spans="18:19" x14ac:dyDescent="0.25">
      <c r="R2411" s="8" t="str">
        <f t="shared" si="76"/>
        <v/>
      </c>
      <c r="S2411" s="82" t="str">
        <f t="shared" si="77"/>
        <v/>
      </c>
    </row>
    <row r="2412" spans="18:19" x14ac:dyDescent="0.25">
      <c r="R2412" s="8" t="str">
        <f t="shared" si="76"/>
        <v/>
      </c>
      <c r="S2412" s="82" t="str">
        <f t="shared" si="77"/>
        <v/>
      </c>
    </row>
    <row r="2413" spans="18:19" x14ac:dyDescent="0.25">
      <c r="R2413" s="8" t="str">
        <f t="shared" si="76"/>
        <v/>
      </c>
      <c r="S2413" s="82" t="str">
        <f t="shared" si="77"/>
        <v/>
      </c>
    </row>
    <row r="2414" spans="18:19" x14ac:dyDescent="0.25">
      <c r="R2414" s="8" t="str">
        <f t="shared" si="76"/>
        <v/>
      </c>
      <c r="S2414" s="82" t="str">
        <f t="shared" si="77"/>
        <v/>
      </c>
    </row>
    <row r="2415" spans="18:19" x14ac:dyDescent="0.25">
      <c r="R2415" s="8" t="str">
        <f t="shared" si="76"/>
        <v/>
      </c>
      <c r="S2415" s="82" t="str">
        <f t="shared" si="77"/>
        <v/>
      </c>
    </row>
    <row r="2416" spans="18:19" x14ac:dyDescent="0.25">
      <c r="R2416" s="8" t="str">
        <f t="shared" si="76"/>
        <v/>
      </c>
      <c r="S2416" s="82" t="str">
        <f t="shared" si="77"/>
        <v/>
      </c>
    </row>
    <row r="2417" spans="18:19" x14ac:dyDescent="0.25">
      <c r="R2417" s="8" t="str">
        <f t="shared" si="76"/>
        <v/>
      </c>
      <c r="S2417" s="82" t="str">
        <f t="shared" si="77"/>
        <v/>
      </c>
    </row>
    <row r="2418" spans="18:19" x14ac:dyDescent="0.25">
      <c r="R2418" s="8" t="str">
        <f t="shared" si="76"/>
        <v/>
      </c>
      <c r="S2418" s="82" t="str">
        <f t="shared" si="77"/>
        <v/>
      </c>
    </row>
    <row r="2419" spans="18:19" x14ac:dyDescent="0.25">
      <c r="R2419" s="8" t="str">
        <f t="shared" si="76"/>
        <v/>
      </c>
      <c r="S2419" s="82" t="str">
        <f t="shared" si="77"/>
        <v/>
      </c>
    </row>
    <row r="2420" spans="18:19" x14ac:dyDescent="0.25">
      <c r="R2420" s="8" t="str">
        <f t="shared" si="76"/>
        <v/>
      </c>
      <c r="S2420" s="82" t="str">
        <f t="shared" si="77"/>
        <v/>
      </c>
    </row>
    <row r="2421" spans="18:19" x14ac:dyDescent="0.25">
      <c r="R2421" s="8" t="str">
        <f t="shared" si="76"/>
        <v/>
      </c>
      <c r="S2421" s="82" t="str">
        <f t="shared" si="77"/>
        <v/>
      </c>
    </row>
    <row r="2422" spans="18:19" x14ac:dyDescent="0.25">
      <c r="R2422" s="8" t="str">
        <f t="shared" si="76"/>
        <v/>
      </c>
      <c r="S2422" s="82" t="str">
        <f t="shared" si="77"/>
        <v/>
      </c>
    </row>
    <row r="2423" spans="18:19" x14ac:dyDescent="0.25">
      <c r="R2423" s="8" t="str">
        <f t="shared" si="76"/>
        <v/>
      </c>
      <c r="S2423" s="82" t="str">
        <f t="shared" si="77"/>
        <v/>
      </c>
    </row>
    <row r="2424" spans="18:19" x14ac:dyDescent="0.25">
      <c r="R2424" s="8" t="str">
        <f t="shared" si="76"/>
        <v/>
      </c>
      <c r="S2424" s="82" t="str">
        <f t="shared" si="77"/>
        <v/>
      </c>
    </row>
    <row r="2425" spans="18:19" x14ac:dyDescent="0.25">
      <c r="R2425" s="8" t="str">
        <f t="shared" si="76"/>
        <v/>
      </c>
      <c r="S2425" s="82" t="str">
        <f t="shared" si="77"/>
        <v/>
      </c>
    </row>
    <row r="2426" spans="18:19" x14ac:dyDescent="0.25">
      <c r="R2426" s="8" t="str">
        <f t="shared" si="76"/>
        <v/>
      </c>
      <c r="S2426" s="82" t="str">
        <f t="shared" si="77"/>
        <v/>
      </c>
    </row>
    <row r="2427" spans="18:19" x14ac:dyDescent="0.25">
      <c r="R2427" s="8" t="str">
        <f t="shared" si="76"/>
        <v/>
      </c>
      <c r="S2427" s="82" t="str">
        <f t="shared" si="77"/>
        <v/>
      </c>
    </row>
    <row r="2428" spans="18:19" x14ac:dyDescent="0.25">
      <c r="R2428" s="8" t="str">
        <f t="shared" si="76"/>
        <v/>
      </c>
      <c r="S2428" s="82" t="str">
        <f t="shared" si="77"/>
        <v/>
      </c>
    </row>
    <row r="2429" spans="18:19" x14ac:dyDescent="0.25">
      <c r="R2429" s="8" t="str">
        <f t="shared" si="76"/>
        <v/>
      </c>
      <c r="S2429" s="82" t="str">
        <f t="shared" si="77"/>
        <v/>
      </c>
    </row>
    <row r="2430" spans="18:19" x14ac:dyDescent="0.25">
      <c r="R2430" s="8" t="str">
        <f t="shared" si="76"/>
        <v/>
      </c>
      <c r="S2430" s="82" t="str">
        <f t="shared" si="77"/>
        <v/>
      </c>
    </row>
    <row r="2431" spans="18:19" x14ac:dyDescent="0.25">
      <c r="R2431" s="8" t="str">
        <f t="shared" si="76"/>
        <v/>
      </c>
      <c r="S2431" s="82" t="str">
        <f t="shared" si="77"/>
        <v/>
      </c>
    </row>
    <row r="2432" spans="18:19" x14ac:dyDescent="0.25">
      <c r="R2432" s="8" t="str">
        <f t="shared" si="76"/>
        <v/>
      </c>
      <c r="S2432" s="82" t="str">
        <f t="shared" si="77"/>
        <v/>
      </c>
    </row>
    <row r="2433" spans="18:19" x14ac:dyDescent="0.25">
      <c r="R2433" s="8" t="str">
        <f t="shared" si="76"/>
        <v/>
      </c>
      <c r="S2433" s="82" t="str">
        <f t="shared" si="77"/>
        <v/>
      </c>
    </row>
    <row r="2434" spans="18:19" x14ac:dyDescent="0.25">
      <c r="R2434" s="8" t="str">
        <f t="shared" si="76"/>
        <v/>
      </c>
      <c r="S2434" s="82" t="str">
        <f t="shared" si="77"/>
        <v/>
      </c>
    </row>
    <row r="2435" spans="18:19" x14ac:dyDescent="0.25">
      <c r="R2435" s="8" t="str">
        <f t="shared" si="76"/>
        <v/>
      </c>
      <c r="S2435" s="82" t="str">
        <f t="shared" si="77"/>
        <v/>
      </c>
    </row>
    <row r="2436" spans="18:19" x14ac:dyDescent="0.25">
      <c r="R2436" s="8" t="str">
        <f t="shared" si="76"/>
        <v/>
      </c>
      <c r="S2436" s="82" t="str">
        <f t="shared" si="77"/>
        <v/>
      </c>
    </row>
    <row r="2437" spans="18:19" x14ac:dyDescent="0.25">
      <c r="R2437" s="8" t="str">
        <f t="shared" si="76"/>
        <v/>
      </c>
      <c r="S2437" s="82" t="str">
        <f t="shared" si="77"/>
        <v/>
      </c>
    </row>
    <row r="2438" spans="18:19" x14ac:dyDescent="0.25">
      <c r="R2438" s="8" t="str">
        <f t="shared" si="76"/>
        <v/>
      </c>
      <c r="S2438" s="82" t="str">
        <f t="shared" si="77"/>
        <v/>
      </c>
    </row>
    <row r="2439" spans="18:19" x14ac:dyDescent="0.25">
      <c r="R2439" s="8" t="str">
        <f t="shared" si="76"/>
        <v/>
      </c>
      <c r="S2439" s="82" t="str">
        <f t="shared" si="77"/>
        <v/>
      </c>
    </row>
    <row r="2440" spans="18:19" x14ac:dyDescent="0.25">
      <c r="R2440" s="8" t="str">
        <f t="shared" ref="R2440:R2503" si="78">IF(A2440="",(""),(MONTH(A2440)))</f>
        <v/>
      </c>
      <c r="S2440" s="82" t="str">
        <f t="shared" si="77"/>
        <v/>
      </c>
    </row>
    <row r="2441" spans="18:19" x14ac:dyDescent="0.25">
      <c r="R2441" s="8" t="str">
        <f t="shared" si="78"/>
        <v/>
      </c>
      <c r="S2441" s="82" t="str">
        <f t="shared" si="77"/>
        <v/>
      </c>
    </row>
    <row r="2442" spans="18:19" x14ac:dyDescent="0.25">
      <c r="R2442" s="8" t="str">
        <f t="shared" si="78"/>
        <v/>
      </c>
      <c r="S2442" s="82" t="str">
        <f t="shared" si="77"/>
        <v/>
      </c>
    </row>
    <row r="2443" spans="18:19" x14ac:dyDescent="0.25">
      <c r="R2443" s="8" t="str">
        <f t="shared" si="78"/>
        <v/>
      </c>
      <c r="S2443" s="82" t="str">
        <f t="shared" si="77"/>
        <v/>
      </c>
    </row>
    <row r="2444" spans="18:19" x14ac:dyDescent="0.25">
      <c r="R2444" s="8" t="str">
        <f t="shared" si="78"/>
        <v/>
      </c>
      <c r="S2444" s="82" t="str">
        <f t="shared" si="77"/>
        <v/>
      </c>
    </row>
    <row r="2445" spans="18:19" x14ac:dyDescent="0.25">
      <c r="R2445" s="8" t="str">
        <f t="shared" si="78"/>
        <v/>
      </c>
      <c r="S2445" s="82" t="str">
        <f t="shared" si="77"/>
        <v/>
      </c>
    </row>
    <row r="2446" spans="18:19" x14ac:dyDescent="0.25">
      <c r="R2446" s="8" t="str">
        <f t="shared" si="78"/>
        <v/>
      </c>
      <c r="S2446" s="82" t="str">
        <f t="shared" si="77"/>
        <v/>
      </c>
    </row>
    <row r="2447" spans="18:19" x14ac:dyDescent="0.25">
      <c r="R2447" s="8" t="str">
        <f t="shared" si="78"/>
        <v/>
      </c>
      <c r="S2447" s="82" t="str">
        <f t="shared" si="77"/>
        <v/>
      </c>
    </row>
    <row r="2448" spans="18:19" x14ac:dyDescent="0.25">
      <c r="R2448" s="8" t="str">
        <f t="shared" si="78"/>
        <v/>
      </c>
      <c r="S2448" s="82" t="str">
        <f t="shared" si="77"/>
        <v/>
      </c>
    </row>
    <row r="2449" spans="18:19" x14ac:dyDescent="0.25">
      <c r="R2449" s="8" t="str">
        <f t="shared" si="78"/>
        <v/>
      </c>
      <c r="S2449" s="82" t="str">
        <f t="shared" si="77"/>
        <v/>
      </c>
    </row>
    <row r="2450" spans="18:19" x14ac:dyDescent="0.25">
      <c r="R2450" s="8" t="str">
        <f t="shared" si="78"/>
        <v/>
      </c>
      <c r="S2450" s="82" t="str">
        <f t="shared" si="77"/>
        <v/>
      </c>
    </row>
    <row r="2451" spans="18:19" x14ac:dyDescent="0.25">
      <c r="R2451" s="8" t="str">
        <f t="shared" si="78"/>
        <v/>
      </c>
      <c r="S2451" s="82" t="str">
        <f t="shared" si="77"/>
        <v/>
      </c>
    </row>
    <row r="2452" spans="18:19" x14ac:dyDescent="0.25">
      <c r="R2452" s="8" t="str">
        <f t="shared" si="78"/>
        <v/>
      </c>
      <c r="S2452" s="82" t="str">
        <f t="shared" si="77"/>
        <v/>
      </c>
    </row>
    <row r="2453" spans="18:19" x14ac:dyDescent="0.25">
      <c r="R2453" s="8" t="str">
        <f t="shared" si="78"/>
        <v/>
      </c>
      <c r="S2453" s="82" t="str">
        <f t="shared" si="77"/>
        <v/>
      </c>
    </row>
    <row r="2454" spans="18:19" x14ac:dyDescent="0.25">
      <c r="R2454" s="8" t="str">
        <f t="shared" si="78"/>
        <v/>
      </c>
      <c r="S2454" s="82" t="str">
        <f t="shared" ref="S2454:S2517" si="79">IF(O2454&gt;0,(Q2454-O2454),(IF(K2454="USD",(Q2454*J2454),((IF(B2454="",(""),(SUMIF(B2454,"11 - Factura C",(Q2454))-SUMIF(B2454,"13 - Nota de Crédito C",(Q2454))+SUMIF(B2454,"15 - Recibo C",(Q2454))+SUMIF(B2454,"109 - Tique C",(Q2454)))))))))</f>
        <v/>
      </c>
    </row>
    <row r="2455" spans="18:19" x14ac:dyDescent="0.25">
      <c r="R2455" s="8" t="str">
        <f t="shared" si="78"/>
        <v/>
      </c>
      <c r="S2455" s="82" t="str">
        <f t="shared" si="79"/>
        <v/>
      </c>
    </row>
    <row r="2456" spans="18:19" x14ac:dyDescent="0.25">
      <c r="R2456" s="8" t="str">
        <f t="shared" si="78"/>
        <v/>
      </c>
      <c r="S2456" s="82" t="str">
        <f t="shared" si="79"/>
        <v/>
      </c>
    </row>
    <row r="2457" spans="18:19" x14ac:dyDescent="0.25">
      <c r="R2457" s="8" t="str">
        <f t="shared" si="78"/>
        <v/>
      </c>
      <c r="S2457" s="82" t="str">
        <f t="shared" si="79"/>
        <v/>
      </c>
    </row>
    <row r="2458" spans="18:19" x14ac:dyDescent="0.25">
      <c r="R2458" s="8" t="str">
        <f t="shared" si="78"/>
        <v/>
      </c>
      <c r="S2458" s="82" t="str">
        <f t="shared" si="79"/>
        <v/>
      </c>
    </row>
    <row r="2459" spans="18:19" x14ac:dyDescent="0.25">
      <c r="R2459" s="8" t="str">
        <f t="shared" si="78"/>
        <v/>
      </c>
      <c r="S2459" s="82" t="str">
        <f t="shared" si="79"/>
        <v/>
      </c>
    </row>
    <row r="2460" spans="18:19" x14ac:dyDescent="0.25">
      <c r="R2460" s="8" t="str">
        <f t="shared" si="78"/>
        <v/>
      </c>
      <c r="S2460" s="82" t="str">
        <f t="shared" si="79"/>
        <v/>
      </c>
    </row>
    <row r="2461" spans="18:19" x14ac:dyDescent="0.25">
      <c r="R2461" s="8" t="str">
        <f t="shared" si="78"/>
        <v/>
      </c>
      <c r="S2461" s="82" t="str">
        <f t="shared" si="79"/>
        <v/>
      </c>
    </row>
    <row r="2462" spans="18:19" x14ac:dyDescent="0.25">
      <c r="R2462" s="8" t="str">
        <f t="shared" si="78"/>
        <v/>
      </c>
      <c r="S2462" s="82" t="str">
        <f t="shared" si="79"/>
        <v/>
      </c>
    </row>
    <row r="2463" spans="18:19" x14ac:dyDescent="0.25">
      <c r="R2463" s="8" t="str">
        <f t="shared" si="78"/>
        <v/>
      </c>
      <c r="S2463" s="82" t="str">
        <f t="shared" si="79"/>
        <v/>
      </c>
    </row>
    <row r="2464" spans="18:19" x14ac:dyDescent="0.25">
      <c r="R2464" s="8" t="str">
        <f t="shared" si="78"/>
        <v/>
      </c>
      <c r="S2464" s="82" t="str">
        <f t="shared" si="79"/>
        <v/>
      </c>
    </row>
    <row r="2465" spans="18:19" x14ac:dyDescent="0.25">
      <c r="R2465" s="8" t="str">
        <f t="shared" si="78"/>
        <v/>
      </c>
      <c r="S2465" s="82" t="str">
        <f t="shared" si="79"/>
        <v/>
      </c>
    </row>
    <row r="2466" spans="18:19" x14ac:dyDescent="0.25">
      <c r="R2466" s="8" t="str">
        <f t="shared" si="78"/>
        <v/>
      </c>
      <c r="S2466" s="82" t="str">
        <f t="shared" si="79"/>
        <v/>
      </c>
    </row>
    <row r="2467" spans="18:19" x14ac:dyDescent="0.25">
      <c r="R2467" s="8" t="str">
        <f t="shared" si="78"/>
        <v/>
      </c>
      <c r="S2467" s="82" t="str">
        <f t="shared" si="79"/>
        <v/>
      </c>
    </row>
    <row r="2468" spans="18:19" x14ac:dyDescent="0.25">
      <c r="R2468" s="8" t="str">
        <f t="shared" si="78"/>
        <v/>
      </c>
      <c r="S2468" s="82" t="str">
        <f t="shared" si="79"/>
        <v/>
      </c>
    </row>
    <row r="2469" spans="18:19" x14ac:dyDescent="0.25">
      <c r="R2469" s="8" t="str">
        <f t="shared" si="78"/>
        <v/>
      </c>
      <c r="S2469" s="82" t="str">
        <f t="shared" si="79"/>
        <v/>
      </c>
    </row>
    <row r="2470" spans="18:19" x14ac:dyDescent="0.25">
      <c r="R2470" s="8" t="str">
        <f t="shared" si="78"/>
        <v/>
      </c>
      <c r="S2470" s="82" t="str">
        <f t="shared" si="79"/>
        <v/>
      </c>
    </row>
    <row r="2471" spans="18:19" x14ac:dyDescent="0.25">
      <c r="R2471" s="8" t="str">
        <f t="shared" si="78"/>
        <v/>
      </c>
      <c r="S2471" s="82" t="str">
        <f t="shared" si="79"/>
        <v/>
      </c>
    </row>
    <row r="2472" spans="18:19" x14ac:dyDescent="0.25">
      <c r="R2472" s="8" t="str">
        <f t="shared" si="78"/>
        <v/>
      </c>
      <c r="S2472" s="82" t="str">
        <f t="shared" si="79"/>
        <v/>
      </c>
    </row>
    <row r="2473" spans="18:19" x14ac:dyDescent="0.25">
      <c r="R2473" s="8" t="str">
        <f t="shared" si="78"/>
        <v/>
      </c>
      <c r="S2473" s="82" t="str">
        <f t="shared" si="79"/>
        <v/>
      </c>
    </row>
    <row r="2474" spans="18:19" x14ac:dyDescent="0.25">
      <c r="R2474" s="8" t="str">
        <f t="shared" si="78"/>
        <v/>
      </c>
      <c r="S2474" s="82" t="str">
        <f t="shared" si="79"/>
        <v/>
      </c>
    </row>
    <row r="2475" spans="18:19" x14ac:dyDescent="0.25">
      <c r="R2475" s="8" t="str">
        <f t="shared" si="78"/>
        <v/>
      </c>
      <c r="S2475" s="82" t="str">
        <f t="shared" si="79"/>
        <v/>
      </c>
    </row>
    <row r="2476" spans="18:19" x14ac:dyDescent="0.25">
      <c r="R2476" s="8" t="str">
        <f t="shared" si="78"/>
        <v/>
      </c>
      <c r="S2476" s="82" t="str">
        <f t="shared" si="79"/>
        <v/>
      </c>
    </row>
    <row r="2477" spans="18:19" x14ac:dyDescent="0.25">
      <c r="R2477" s="8" t="str">
        <f t="shared" si="78"/>
        <v/>
      </c>
      <c r="S2477" s="82" t="str">
        <f t="shared" si="79"/>
        <v/>
      </c>
    </row>
    <row r="2478" spans="18:19" x14ac:dyDescent="0.25">
      <c r="R2478" s="8" t="str">
        <f t="shared" si="78"/>
        <v/>
      </c>
      <c r="S2478" s="82" t="str">
        <f t="shared" si="79"/>
        <v/>
      </c>
    </row>
    <row r="2479" spans="18:19" x14ac:dyDescent="0.25">
      <c r="R2479" s="8" t="str">
        <f t="shared" si="78"/>
        <v/>
      </c>
      <c r="S2479" s="82" t="str">
        <f t="shared" si="79"/>
        <v/>
      </c>
    </row>
    <row r="2480" spans="18:19" x14ac:dyDescent="0.25">
      <c r="R2480" s="8" t="str">
        <f t="shared" si="78"/>
        <v/>
      </c>
      <c r="S2480" s="82" t="str">
        <f t="shared" si="79"/>
        <v/>
      </c>
    </row>
    <row r="2481" spans="18:19" x14ac:dyDescent="0.25">
      <c r="R2481" s="8" t="str">
        <f t="shared" si="78"/>
        <v/>
      </c>
      <c r="S2481" s="82" t="str">
        <f t="shared" si="79"/>
        <v/>
      </c>
    </row>
    <row r="2482" spans="18:19" x14ac:dyDescent="0.25">
      <c r="R2482" s="8" t="str">
        <f t="shared" si="78"/>
        <v/>
      </c>
      <c r="S2482" s="82" t="str">
        <f t="shared" si="79"/>
        <v/>
      </c>
    </row>
    <row r="2483" spans="18:19" x14ac:dyDescent="0.25">
      <c r="R2483" s="8" t="str">
        <f t="shared" si="78"/>
        <v/>
      </c>
      <c r="S2483" s="82" t="str">
        <f t="shared" si="79"/>
        <v/>
      </c>
    </row>
    <row r="2484" spans="18:19" x14ac:dyDescent="0.25">
      <c r="R2484" s="8" t="str">
        <f t="shared" si="78"/>
        <v/>
      </c>
      <c r="S2484" s="82" t="str">
        <f t="shared" si="79"/>
        <v/>
      </c>
    </row>
    <row r="2485" spans="18:19" x14ac:dyDescent="0.25">
      <c r="R2485" s="8" t="str">
        <f t="shared" si="78"/>
        <v/>
      </c>
      <c r="S2485" s="82" t="str">
        <f t="shared" si="79"/>
        <v/>
      </c>
    </row>
    <row r="2486" spans="18:19" x14ac:dyDescent="0.25">
      <c r="R2486" s="8" t="str">
        <f t="shared" si="78"/>
        <v/>
      </c>
      <c r="S2486" s="82" t="str">
        <f t="shared" si="79"/>
        <v/>
      </c>
    </row>
    <row r="2487" spans="18:19" x14ac:dyDescent="0.25">
      <c r="R2487" s="8" t="str">
        <f t="shared" si="78"/>
        <v/>
      </c>
      <c r="S2487" s="82" t="str">
        <f t="shared" si="79"/>
        <v/>
      </c>
    </row>
    <row r="2488" spans="18:19" x14ac:dyDescent="0.25">
      <c r="R2488" s="8" t="str">
        <f t="shared" si="78"/>
        <v/>
      </c>
      <c r="S2488" s="82" t="str">
        <f t="shared" si="79"/>
        <v/>
      </c>
    </row>
    <row r="2489" spans="18:19" x14ac:dyDescent="0.25">
      <c r="R2489" s="8" t="str">
        <f t="shared" si="78"/>
        <v/>
      </c>
      <c r="S2489" s="82" t="str">
        <f t="shared" si="79"/>
        <v/>
      </c>
    </row>
    <row r="2490" spans="18:19" x14ac:dyDescent="0.25">
      <c r="R2490" s="8" t="str">
        <f t="shared" si="78"/>
        <v/>
      </c>
      <c r="S2490" s="82" t="str">
        <f t="shared" si="79"/>
        <v/>
      </c>
    </row>
    <row r="2491" spans="18:19" x14ac:dyDescent="0.25">
      <c r="R2491" s="8" t="str">
        <f t="shared" si="78"/>
        <v/>
      </c>
      <c r="S2491" s="82" t="str">
        <f t="shared" si="79"/>
        <v/>
      </c>
    </row>
    <row r="2492" spans="18:19" x14ac:dyDescent="0.25">
      <c r="R2492" s="8" t="str">
        <f t="shared" si="78"/>
        <v/>
      </c>
      <c r="S2492" s="82" t="str">
        <f t="shared" si="79"/>
        <v/>
      </c>
    </row>
    <row r="2493" spans="18:19" x14ac:dyDescent="0.25">
      <c r="R2493" s="8" t="str">
        <f t="shared" si="78"/>
        <v/>
      </c>
      <c r="S2493" s="82" t="str">
        <f t="shared" si="79"/>
        <v/>
      </c>
    </row>
    <row r="2494" spans="18:19" x14ac:dyDescent="0.25">
      <c r="R2494" s="8" t="str">
        <f t="shared" si="78"/>
        <v/>
      </c>
      <c r="S2494" s="82" t="str">
        <f t="shared" si="79"/>
        <v/>
      </c>
    </row>
    <row r="2495" spans="18:19" x14ac:dyDescent="0.25">
      <c r="R2495" s="8" t="str">
        <f t="shared" si="78"/>
        <v/>
      </c>
      <c r="S2495" s="82" t="str">
        <f t="shared" si="79"/>
        <v/>
      </c>
    </row>
    <row r="2496" spans="18:19" x14ac:dyDescent="0.25">
      <c r="R2496" s="8" t="str">
        <f t="shared" si="78"/>
        <v/>
      </c>
      <c r="S2496" s="82" t="str">
        <f t="shared" si="79"/>
        <v/>
      </c>
    </row>
    <row r="2497" spans="18:19" x14ac:dyDescent="0.25">
      <c r="R2497" s="8" t="str">
        <f t="shared" si="78"/>
        <v/>
      </c>
      <c r="S2497" s="82" t="str">
        <f t="shared" si="79"/>
        <v/>
      </c>
    </row>
    <row r="2498" spans="18:19" x14ac:dyDescent="0.25">
      <c r="R2498" s="8" t="str">
        <f t="shared" si="78"/>
        <v/>
      </c>
      <c r="S2498" s="82" t="str">
        <f t="shared" si="79"/>
        <v/>
      </c>
    </row>
    <row r="2499" spans="18:19" x14ac:dyDescent="0.25">
      <c r="R2499" s="8" t="str">
        <f t="shared" si="78"/>
        <v/>
      </c>
      <c r="S2499" s="82" t="str">
        <f t="shared" si="79"/>
        <v/>
      </c>
    </row>
    <row r="2500" spans="18:19" x14ac:dyDescent="0.25">
      <c r="R2500" s="8" t="str">
        <f t="shared" si="78"/>
        <v/>
      </c>
      <c r="S2500" s="82" t="str">
        <f t="shared" si="79"/>
        <v/>
      </c>
    </row>
    <row r="2501" spans="18:19" x14ac:dyDescent="0.25">
      <c r="R2501" s="8" t="str">
        <f t="shared" si="78"/>
        <v/>
      </c>
      <c r="S2501" s="82" t="str">
        <f t="shared" si="79"/>
        <v/>
      </c>
    </row>
    <row r="2502" spans="18:19" x14ac:dyDescent="0.25">
      <c r="R2502" s="8" t="str">
        <f t="shared" si="78"/>
        <v/>
      </c>
      <c r="S2502" s="82" t="str">
        <f t="shared" si="79"/>
        <v/>
      </c>
    </row>
    <row r="2503" spans="18:19" x14ac:dyDescent="0.25">
      <c r="R2503" s="8" t="str">
        <f t="shared" si="78"/>
        <v/>
      </c>
      <c r="S2503" s="82" t="str">
        <f t="shared" si="79"/>
        <v/>
      </c>
    </row>
    <row r="2504" spans="18:19" x14ac:dyDescent="0.25">
      <c r="R2504" s="8" t="str">
        <f t="shared" ref="R2504:R2567" si="80">IF(A2504="",(""),(MONTH(A2504)))</f>
        <v/>
      </c>
      <c r="S2504" s="82" t="str">
        <f t="shared" si="79"/>
        <v/>
      </c>
    </row>
    <row r="2505" spans="18:19" x14ac:dyDescent="0.25">
      <c r="R2505" s="8" t="str">
        <f t="shared" si="80"/>
        <v/>
      </c>
      <c r="S2505" s="82" t="str">
        <f t="shared" si="79"/>
        <v/>
      </c>
    </row>
    <row r="2506" spans="18:19" x14ac:dyDescent="0.25">
      <c r="R2506" s="8" t="str">
        <f t="shared" si="80"/>
        <v/>
      </c>
      <c r="S2506" s="82" t="str">
        <f t="shared" si="79"/>
        <v/>
      </c>
    </row>
    <row r="2507" spans="18:19" x14ac:dyDescent="0.25">
      <c r="R2507" s="8" t="str">
        <f t="shared" si="80"/>
        <v/>
      </c>
      <c r="S2507" s="82" t="str">
        <f t="shared" si="79"/>
        <v/>
      </c>
    </row>
    <row r="2508" spans="18:19" x14ac:dyDescent="0.25">
      <c r="R2508" s="8" t="str">
        <f t="shared" si="80"/>
        <v/>
      </c>
      <c r="S2508" s="82" t="str">
        <f t="shared" si="79"/>
        <v/>
      </c>
    </row>
    <row r="2509" spans="18:19" x14ac:dyDescent="0.25">
      <c r="R2509" s="8" t="str">
        <f t="shared" si="80"/>
        <v/>
      </c>
      <c r="S2509" s="82" t="str">
        <f t="shared" si="79"/>
        <v/>
      </c>
    </row>
    <row r="2510" spans="18:19" x14ac:dyDescent="0.25">
      <c r="R2510" s="8" t="str">
        <f t="shared" si="80"/>
        <v/>
      </c>
      <c r="S2510" s="82" t="str">
        <f t="shared" si="79"/>
        <v/>
      </c>
    </row>
    <row r="2511" spans="18:19" x14ac:dyDescent="0.25">
      <c r="R2511" s="8" t="str">
        <f t="shared" si="80"/>
        <v/>
      </c>
      <c r="S2511" s="82" t="str">
        <f t="shared" si="79"/>
        <v/>
      </c>
    </row>
    <row r="2512" spans="18:19" x14ac:dyDescent="0.25">
      <c r="R2512" s="8" t="str">
        <f t="shared" si="80"/>
        <v/>
      </c>
      <c r="S2512" s="82" t="str">
        <f t="shared" si="79"/>
        <v/>
      </c>
    </row>
    <row r="2513" spans="18:19" x14ac:dyDescent="0.25">
      <c r="R2513" s="8" t="str">
        <f t="shared" si="80"/>
        <v/>
      </c>
      <c r="S2513" s="82" t="str">
        <f t="shared" si="79"/>
        <v/>
      </c>
    </row>
    <row r="2514" spans="18:19" x14ac:dyDescent="0.25">
      <c r="R2514" s="8" t="str">
        <f t="shared" si="80"/>
        <v/>
      </c>
      <c r="S2514" s="82" t="str">
        <f t="shared" si="79"/>
        <v/>
      </c>
    </row>
    <row r="2515" spans="18:19" x14ac:dyDescent="0.25">
      <c r="R2515" s="8" t="str">
        <f t="shared" si="80"/>
        <v/>
      </c>
      <c r="S2515" s="82" t="str">
        <f t="shared" si="79"/>
        <v/>
      </c>
    </row>
    <row r="2516" spans="18:19" x14ac:dyDescent="0.25">
      <c r="R2516" s="8" t="str">
        <f t="shared" si="80"/>
        <v/>
      </c>
      <c r="S2516" s="82" t="str">
        <f t="shared" si="79"/>
        <v/>
      </c>
    </row>
    <row r="2517" spans="18:19" x14ac:dyDescent="0.25">
      <c r="R2517" s="8" t="str">
        <f t="shared" si="80"/>
        <v/>
      </c>
      <c r="S2517" s="82" t="str">
        <f t="shared" si="79"/>
        <v/>
      </c>
    </row>
    <row r="2518" spans="18:19" x14ac:dyDescent="0.25">
      <c r="R2518" s="8" t="str">
        <f t="shared" si="80"/>
        <v/>
      </c>
      <c r="S2518" s="82" t="str">
        <f t="shared" ref="S2518:S2581" si="81">IF(O2518&gt;0,(Q2518-O2518),(IF(K2518="USD",(Q2518*J2518),((IF(B2518="",(""),(SUMIF(B2518,"11 - Factura C",(Q2518))-SUMIF(B2518,"13 - Nota de Crédito C",(Q2518))+SUMIF(B2518,"15 - Recibo C",(Q2518))+SUMIF(B2518,"109 - Tique C",(Q2518)))))))))</f>
        <v/>
      </c>
    </row>
    <row r="2519" spans="18:19" x14ac:dyDescent="0.25">
      <c r="R2519" s="8" t="str">
        <f t="shared" si="80"/>
        <v/>
      </c>
      <c r="S2519" s="82" t="str">
        <f t="shared" si="81"/>
        <v/>
      </c>
    </row>
    <row r="2520" spans="18:19" x14ac:dyDescent="0.25">
      <c r="R2520" s="8" t="str">
        <f t="shared" si="80"/>
        <v/>
      </c>
      <c r="S2520" s="82" t="str">
        <f t="shared" si="81"/>
        <v/>
      </c>
    </row>
    <row r="2521" spans="18:19" x14ac:dyDescent="0.25">
      <c r="R2521" s="8" t="str">
        <f t="shared" si="80"/>
        <v/>
      </c>
      <c r="S2521" s="82" t="str">
        <f t="shared" si="81"/>
        <v/>
      </c>
    </row>
    <row r="2522" spans="18:19" x14ac:dyDescent="0.25">
      <c r="R2522" s="8" t="str">
        <f t="shared" si="80"/>
        <v/>
      </c>
      <c r="S2522" s="82" t="str">
        <f t="shared" si="81"/>
        <v/>
      </c>
    </row>
    <row r="2523" spans="18:19" x14ac:dyDescent="0.25">
      <c r="R2523" s="8" t="str">
        <f t="shared" si="80"/>
        <v/>
      </c>
      <c r="S2523" s="82" t="str">
        <f t="shared" si="81"/>
        <v/>
      </c>
    </row>
    <row r="2524" spans="18:19" x14ac:dyDescent="0.25">
      <c r="R2524" s="8" t="str">
        <f t="shared" si="80"/>
        <v/>
      </c>
      <c r="S2524" s="82" t="str">
        <f t="shared" si="81"/>
        <v/>
      </c>
    </row>
    <row r="2525" spans="18:19" x14ac:dyDescent="0.25">
      <c r="R2525" s="8" t="str">
        <f t="shared" si="80"/>
        <v/>
      </c>
      <c r="S2525" s="82" t="str">
        <f t="shared" si="81"/>
        <v/>
      </c>
    </row>
    <row r="2526" spans="18:19" x14ac:dyDescent="0.25">
      <c r="R2526" s="8" t="str">
        <f t="shared" si="80"/>
        <v/>
      </c>
      <c r="S2526" s="82" t="str">
        <f t="shared" si="81"/>
        <v/>
      </c>
    </row>
    <row r="2527" spans="18:19" x14ac:dyDescent="0.25">
      <c r="R2527" s="8" t="str">
        <f t="shared" si="80"/>
        <v/>
      </c>
      <c r="S2527" s="82" t="str">
        <f t="shared" si="81"/>
        <v/>
      </c>
    </row>
    <row r="2528" spans="18:19" x14ac:dyDescent="0.25">
      <c r="R2528" s="8" t="str">
        <f t="shared" si="80"/>
        <v/>
      </c>
      <c r="S2528" s="82" t="str">
        <f t="shared" si="81"/>
        <v/>
      </c>
    </row>
    <row r="2529" spans="18:19" x14ac:dyDescent="0.25">
      <c r="R2529" s="8" t="str">
        <f t="shared" si="80"/>
        <v/>
      </c>
      <c r="S2529" s="82" t="str">
        <f t="shared" si="81"/>
        <v/>
      </c>
    </row>
    <row r="2530" spans="18:19" x14ac:dyDescent="0.25">
      <c r="R2530" s="8" t="str">
        <f t="shared" si="80"/>
        <v/>
      </c>
      <c r="S2530" s="82" t="str">
        <f t="shared" si="81"/>
        <v/>
      </c>
    </row>
    <row r="2531" spans="18:19" x14ac:dyDescent="0.25">
      <c r="R2531" s="8" t="str">
        <f t="shared" si="80"/>
        <v/>
      </c>
      <c r="S2531" s="82" t="str">
        <f t="shared" si="81"/>
        <v/>
      </c>
    </row>
    <row r="2532" spans="18:19" x14ac:dyDescent="0.25">
      <c r="R2532" s="8" t="str">
        <f t="shared" si="80"/>
        <v/>
      </c>
      <c r="S2532" s="82" t="str">
        <f t="shared" si="81"/>
        <v/>
      </c>
    </row>
    <row r="2533" spans="18:19" x14ac:dyDescent="0.25">
      <c r="R2533" s="8" t="str">
        <f t="shared" si="80"/>
        <v/>
      </c>
      <c r="S2533" s="82" t="str">
        <f t="shared" si="81"/>
        <v/>
      </c>
    </row>
    <row r="2534" spans="18:19" x14ac:dyDescent="0.25">
      <c r="R2534" s="8" t="str">
        <f t="shared" si="80"/>
        <v/>
      </c>
      <c r="S2534" s="82" t="str">
        <f t="shared" si="81"/>
        <v/>
      </c>
    </row>
    <row r="2535" spans="18:19" x14ac:dyDescent="0.25">
      <c r="R2535" s="8" t="str">
        <f t="shared" si="80"/>
        <v/>
      </c>
      <c r="S2535" s="82" t="str">
        <f t="shared" si="81"/>
        <v/>
      </c>
    </row>
    <row r="2536" spans="18:19" x14ac:dyDescent="0.25">
      <c r="R2536" s="8" t="str">
        <f t="shared" si="80"/>
        <v/>
      </c>
      <c r="S2536" s="82" t="str">
        <f t="shared" si="81"/>
        <v/>
      </c>
    </row>
    <row r="2537" spans="18:19" x14ac:dyDescent="0.25">
      <c r="R2537" s="8" t="str">
        <f t="shared" si="80"/>
        <v/>
      </c>
      <c r="S2537" s="82" t="str">
        <f t="shared" si="81"/>
        <v/>
      </c>
    </row>
    <row r="2538" spans="18:19" x14ac:dyDescent="0.25">
      <c r="R2538" s="8" t="str">
        <f t="shared" si="80"/>
        <v/>
      </c>
      <c r="S2538" s="82" t="str">
        <f t="shared" si="81"/>
        <v/>
      </c>
    </row>
    <row r="2539" spans="18:19" x14ac:dyDescent="0.25">
      <c r="R2539" s="8" t="str">
        <f t="shared" si="80"/>
        <v/>
      </c>
      <c r="S2539" s="82" t="str">
        <f t="shared" si="81"/>
        <v/>
      </c>
    </row>
    <row r="2540" spans="18:19" x14ac:dyDescent="0.25">
      <c r="R2540" s="8" t="str">
        <f t="shared" si="80"/>
        <v/>
      </c>
      <c r="S2540" s="82" t="str">
        <f t="shared" si="81"/>
        <v/>
      </c>
    </row>
    <row r="2541" spans="18:19" x14ac:dyDescent="0.25">
      <c r="R2541" s="8" t="str">
        <f t="shared" si="80"/>
        <v/>
      </c>
      <c r="S2541" s="82" t="str">
        <f t="shared" si="81"/>
        <v/>
      </c>
    </row>
    <row r="2542" spans="18:19" x14ac:dyDescent="0.25">
      <c r="R2542" s="8" t="str">
        <f t="shared" si="80"/>
        <v/>
      </c>
      <c r="S2542" s="82" t="str">
        <f t="shared" si="81"/>
        <v/>
      </c>
    </row>
    <row r="2543" spans="18:19" x14ac:dyDescent="0.25">
      <c r="R2543" s="8" t="str">
        <f t="shared" si="80"/>
        <v/>
      </c>
      <c r="S2543" s="82" t="str">
        <f t="shared" si="81"/>
        <v/>
      </c>
    </row>
    <row r="2544" spans="18:19" x14ac:dyDescent="0.25">
      <c r="R2544" s="8" t="str">
        <f t="shared" si="80"/>
        <v/>
      </c>
      <c r="S2544" s="82" t="str">
        <f t="shared" si="81"/>
        <v/>
      </c>
    </row>
    <row r="2545" spans="18:19" x14ac:dyDescent="0.25">
      <c r="R2545" s="8" t="str">
        <f t="shared" si="80"/>
        <v/>
      </c>
      <c r="S2545" s="82" t="str">
        <f t="shared" si="81"/>
        <v/>
      </c>
    </row>
    <row r="2546" spans="18:19" x14ac:dyDescent="0.25">
      <c r="R2546" s="8" t="str">
        <f t="shared" si="80"/>
        <v/>
      </c>
      <c r="S2546" s="82" t="str">
        <f t="shared" si="81"/>
        <v/>
      </c>
    </row>
    <row r="2547" spans="18:19" x14ac:dyDescent="0.25">
      <c r="R2547" s="8" t="str">
        <f t="shared" si="80"/>
        <v/>
      </c>
      <c r="S2547" s="82" t="str">
        <f t="shared" si="81"/>
        <v/>
      </c>
    </row>
    <row r="2548" spans="18:19" x14ac:dyDescent="0.25">
      <c r="R2548" s="8" t="str">
        <f t="shared" si="80"/>
        <v/>
      </c>
      <c r="S2548" s="82" t="str">
        <f t="shared" si="81"/>
        <v/>
      </c>
    </row>
    <row r="2549" spans="18:19" x14ac:dyDescent="0.25">
      <c r="R2549" s="8" t="str">
        <f t="shared" si="80"/>
        <v/>
      </c>
      <c r="S2549" s="82" t="str">
        <f t="shared" si="81"/>
        <v/>
      </c>
    </row>
    <row r="2550" spans="18:19" x14ac:dyDescent="0.25">
      <c r="R2550" s="8" t="str">
        <f t="shared" si="80"/>
        <v/>
      </c>
      <c r="S2550" s="82" t="str">
        <f t="shared" si="81"/>
        <v/>
      </c>
    </row>
    <row r="2551" spans="18:19" x14ac:dyDescent="0.25">
      <c r="R2551" s="8" t="str">
        <f t="shared" si="80"/>
        <v/>
      </c>
      <c r="S2551" s="82" t="str">
        <f t="shared" si="81"/>
        <v/>
      </c>
    </row>
    <row r="2552" spans="18:19" x14ac:dyDescent="0.25">
      <c r="R2552" s="8" t="str">
        <f t="shared" si="80"/>
        <v/>
      </c>
      <c r="S2552" s="82" t="str">
        <f t="shared" si="81"/>
        <v/>
      </c>
    </row>
    <row r="2553" spans="18:19" x14ac:dyDescent="0.25">
      <c r="R2553" s="8" t="str">
        <f t="shared" si="80"/>
        <v/>
      </c>
      <c r="S2553" s="82" t="str">
        <f t="shared" si="81"/>
        <v/>
      </c>
    </row>
    <row r="2554" spans="18:19" x14ac:dyDescent="0.25">
      <c r="R2554" s="8" t="str">
        <f t="shared" si="80"/>
        <v/>
      </c>
      <c r="S2554" s="82" t="str">
        <f t="shared" si="81"/>
        <v/>
      </c>
    </row>
    <row r="2555" spans="18:19" x14ac:dyDescent="0.25">
      <c r="R2555" s="8" t="str">
        <f t="shared" si="80"/>
        <v/>
      </c>
      <c r="S2555" s="82" t="str">
        <f t="shared" si="81"/>
        <v/>
      </c>
    </row>
    <row r="2556" spans="18:19" x14ac:dyDescent="0.25">
      <c r="R2556" s="8" t="str">
        <f t="shared" si="80"/>
        <v/>
      </c>
      <c r="S2556" s="82" t="str">
        <f t="shared" si="81"/>
        <v/>
      </c>
    </row>
    <row r="2557" spans="18:19" x14ac:dyDescent="0.25">
      <c r="R2557" s="8" t="str">
        <f t="shared" si="80"/>
        <v/>
      </c>
      <c r="S2557" s="82" t="str">
        <f t="shared" si="81"/>
        <v/>
      </c>
    </row>
    <row r="2558" spans="18:19" x14ac:dyDescent="0.25">
      <c r="R2558" s="8" t="str">
        <f t="shared" si="80"/>
        <v/>
      </c>
      <c r="S2558" s="82" t="str">
        <f t="shared" si="81"/>
        <v/>
      </c>
    </row>
    <row r="2559" spans="18:19" x14ac:dyDescent="0.25">
      <c r="R2559" s="8" t="str">
        <f t="shared" si="80"/>
        <v/>
      </c>
      <c r="S2559" s="82" t="str">
        <f t="shared" si="81"/>
        <v/>
      </c>
    </row>
    <row r="2560" spans="18:19" x14ac:dyDescent="0.25">
      <c r="R2560" s="8" t="str">
        <f t="shared" si="80"/>
        <v/>
      </c>
      <c r="S2560" s="82" t="str">
        <f t="shared" si="81"/>
        <v/>
      </c>
    </row>
    <row r="2561" spans="18:19" x14ac:dyDescent="0.25">
      <c r="R2561" s="8" t="str">
        <f t="shared" si="80"/>
        <v/>
      </c>
      <c r="S2561" s="82" t="str">
        <f t="shared" si="81"/>
        <v/>
      </c>
    </row>
    <row r="2562" spans="18:19" x14ac:dyDescent="0.25">
      <c r="R2562" s="8" t="str">
        <f t="shared" si="80"/>
        <v/>
      </c>
      <c r="S2562" s="82" t="str">
        <f t="shared" si="81"/>
        <v/>
      </c>
    </row>
    <row r="2563" spans="18:19" x14ac:dyDescent="0.25">
      <c r="R2563" s="8" t="str">
        <f t="shared" si="80"/>
        <v/>
      </c>
      <c r="S2563" s="82" t="str">
        <f t="shared" si="81"/>
        <v/>
      </c>
    </row>
    <row r="2564" spans="18:19" x14ac:dyDescent="0.25">
      <c r="R2564" s="8" t="str">
        <f t="shared" si="80"/>
        <v/>
      </c>
      <c r="S2564" s="82" t="str">
        <f t="shared" si="81"/>
        <v/>
      </c>
    </row>
    <row r="2565" spans="18:19" x14ac:dyDescent="0.25">
      <c r="R2565" s="8" t="str">
        <f t="shared" si="80"/>
        <v/>
      </c>
      <c r="S2565" s="82" t="str">
        <f t="shared" si="81"/>
        <v/>
      </c>
    </row>
    <row r="2566" spans="18:19" x14ac:dyDescent="0.25">
      <c r="R2566" s="8" t="str">
        <f t="shared" si="80"/>
        <v/>
      </c>
      <c r="S2566" s="82" t="str">
        <f t="shared" si="81"/>
        <v/>
      </c>
    </row>
    <row r="2567" spans="18:19" x14ac:dyDescent="0.25">
      <c r="R2567" s="8" t="str">
        <f t="shared" si="80"/>
        <v/>
      </c>
      <c r="S2567" s="82" t="str">
        <f t="shared" si="81"/>
        <v/>
      </c>
    </row>
    <row r="2568" spans="18:19" x14ac:dyDescent="0.25">
      <c r="R2568" s="8" t="str">
        <f t="shared" ref="R2568:R2631" si="82">IF(A2568="",(""),(MONTH(A2568)))</f>
        <v/>
      </c>
      <c r="S2568" s="82" t="str">
        <f t="shared" si="81"/>
        <v/>
      </c>
    </row>
    <row r="2569" spans="18:19" x14ac:dyDescent="0.25">
      <c r="R2569" s="8" t="str">
        <f t="shared" si="82"/>
        <v/>
      </c>
      <c r="S2569" s="82" t="str">
        <f t="shared" si="81"/>
        <v/>
      </c>
    </row>
    <row r="2570" spans="18:19" x14ac:dyDescent="0.25">
      <c r="R2570" s="8" t="str">
        <f t="shared" si="82"/>
        <v/>
      </c>
      <c r="S2570" s="82" t="str">
        <f t="shared" si="81"/>
        <v/>
      </c>
    </row>
    <row r="2571" spans="18:19" x14ac:dyDescent="0.25">
      <c r="R2571" s="8" t="str">
        <f t="shared" si="82"/>
        <v/>
      </c>
      <c r="S2571" s="82" t="str">
        <f t="shared" si="81"/>
        <v/>
      </c>
    </row>
    <row r="2572" spans="18:19" x14ac:dyDescent="0.25">
      <c r="R2572" s="8" t="str">
        <f t="shared" si="82"/>
        <v/>
      </c>
      <c r="S2572" s="82" t="str">
        <f t="shared" si="81"/>
        <v/>
      </c>
    </row>
    <row r="2573" spans="18:19" x14ac:dyDescent="0.25">
      <c r="R2573" s="8" t="str">
        <f t="shared" si="82"/>
        <v/>
      </c>
      <c r="S2573" s="82" t="str">
        <f t="shared" si="81"/>
        <v/>
      </c>
    </row>
    <row r="2574" spans="18:19" x14ac:dyDescent="0.25">
      <c r="R2574" s="8" t="str">
        <f t="shared" si="82"/>
        <v/>
      </c>
      <c r="S2574" s="82" t="str">
        <f t="shared" si="81"/>
        <v/>
      </c>
    </row>
    <row r="2575" spans="18:19" x14ac:dyDescent="0.25">
      <c r="R2575" s="8" t="str">
        <f t="shared" si="82"/>
        <v/>
      </c>
      <c r="S2575" s="82" t="str">
        <f t="shared" si="81"/>
        <v/>
      </c>
    </row>
    <row r="2576" spans="18:19" x14ac:dyDescent="0.25">
      <c r="R2576" s="8" t="str">
        <f t="shared" si="82"/>
        <v/>
      </c>
      <c r="S2576" s="82" t="str">
        <f t="shared" si="81"/>
        <v/>
      </c>
    </row>
    <row r="2577" spans="18:19" x14ac:dyDescent="0.25">
      <c r="R2577" s="8" t="str">
        <f t="shared" si="82"/>
        <v/>
      </c>
      <c r="S2577" s="82" t="str">
        <f t="shared" si="81"/>
        <v/>
      </c>
    </row>
    <row r="2578" spans="18:19" x14ac:dyDescent="0.25">
      <c r="R2578" s="8" t="str">
        <f t="shared" si="82"/>
        <v/>
      </c>
      <c r="S2578" s="82" t="str">
        <f t="shared" si="81"/>
        <v/>
      </c>
    </row>
    <row r="2579" spans="18:19" x14ac:dyDescent="0.25">
      <c r="R2579" s="8" t="str">
        <f t="shared" si="82"/>
        <v/>
      </c>
      <c r="S2579" s="82" t="str">
        <f t="shared" si="81"/>
        <v/>
      </c>
    </row>
    <row r="2580" spans="18:19" x14ac:dyDescent="0.25">
      <c r="R2580" s="8" t="str">
        <f t="shared" si="82"/>
        <v/>
      </c>
      <c r="S2580" s="82" t="str">
        <f t="shared" si="81"/>
        <v/>
      </c>
    </row>
    <row r="2581" spans="18:19" x14ac:dyDescent="0.25">
      <c r="R2581" s="8" t="str">
        <f t="shared" si="82"/>
        <v/>
      </c>
      <c r="S2581" s="82" t="str">
        <f t="shared" si="81"/>
        <v/>
      </c>
    </row>
    <row r="2582" spans="18:19" x14ac:dyDescent="0.25">
      <c r="R2582" s="8" t="str">
        <f t="shared" si="82"/>
        <v/>
      </c>
      <c r="S2582" s="82" t="str">
        <f t="shared" ref="S2582:S2645" si="83">IF(O2582&gt;0,(Q2582-O2582),(IF(K2582="USD",(Q2582*J2582),((IF(B2582="",(""),(SUMIF(B2582,"11 - Factura C",(Q2582))-SUMIF(B2582,"13 - Nota de Crédito C",(Q2582))+SUMIF(B2582,"15 - Recibo C",(Q2582))+SUMIF(B2582,"109 - Tique C",(Q2582)))))))))</f>
        <v/>
      </c>
    </row>
    <row r="2583" spans="18:19" x14ac:dyDescent="0.25">
      <c r="R2583" s="8" t="str">
        <f t="shared" si="82"/>
        <v/>
      </c>
      <c r="S2583" s="82" t="str">
        <f t="shared" si="83"/>
        <v/>
      </c>
    </row>
    <row r="2584" spans="18:19" x14ac:dyDescent="0.25">
      <c r="R2584" s="8" t="str">
        <f t="shared" si="82"/>
        <v/>
      </c>
      <c r="S2584" s="82" t="str">
        <f t="shared" si="83"/>
        <v/>
      </c>
    </row>
    <row r="2585" spans="18:19" x14ac:dyDescent="0.25">
      <c r="R2585" s="8" t="str">
        <f t="shared" si="82"/>
        <v/>
      </c>
      <c r="S2585" s="82" t="str">
        <f t="shared" si="83"/>
        <v/>
      </c>
    </row>
    <row r="2586" spans="18:19" x14ac:dyDescent="0.25">
      <c r="R2586" s="8" t="str">
        <f t="shared" si="82"/>
        <v/>
      </c>
      <c r="S2586" s="82" t="str">
        <f t="shared" si="83"/>
        <v/>
      </c>
    </row>
    <row r="2587" spans="18:19" x14ac:dyDescent="0.25">
      <c r="R2587" s="8" t="str">
        <f t="shared" si="82"/>
        <v/>
      </c>
      <c r="S2587" s="82" t="str">
        <f t="shared" si="83"/>
        <v/>
      </c>
    </row>
    <row r="2588" spans="18:19" x14ac:dyDescent="0.25">
      <c r="R2588" s="8" t="str">
        <f t="shared" si="82"/>
        <v/>
      </c>
      <c r="S2588" s="82" t="str">
        <f t="shared" si="83"/>
        <v/>
      </c>
    </row>
    <row r="2589" spans="18:19" x14ac:dyDescent="0.25">
      <c r="R2589" s="8" t="str">
        <f t="shared" si="82"/>
        <v/>
      </c>
      <c r="S2589" s="82" t="str">
        <f t="shared" si="83"/>
        <v/>
      </c>
    </row>
    <row r="2590" spans="18:19" x14ac:dyDescent="0.25">
      <c r="R2590" s="8" t="str">
        <f t="shared" si="82"/>
        <v/>
      </c>
      <c r="S2590" s="82" t="str">
        <f t="shared" si="83"/>
        <v/>
      </c>
    </row>
    <row r="2591" spans="18:19" x14ac:dyDescent="0.25">
      <c r="R2591" s="8" t="str">
        <f t="shared" si="82"/>
        <v/>
      </c>
      <c r="S2591" s="82" t="str">
        <f t="shared" si="83"/>
        <v/>
      </c>
    </row>
    <row r="2592" spans="18:19" x14ac:dyDescent="0.25">
      <c r="R2592" s="8" t="str">
        <f t="shared" si="82"/>
        <v/>
      </c>
      <c r="S2592" s="82" t="str">
        <f t="shared" si="83"/>
        <v/>
      </c>
    </row>
    <row r="2593" spans="18:19" x14ac:dyDescent="0.25">
      <c r="R2593" s="8" t="str">
        <f t="shared" si="82"/>
        <v/>
      </c>
      <c r="S2593" s="82" t="str">
        <f t="shared" si="83"/>
        <v/>
      </c>
    </row>
    <row r="2594" spans="18:19" x14ac:dyDescent="0.25">
      <c r="R2594" s="8" t="str">
        <f t="shared" si="82"/>
        <v/>
      </c>
      <c r="S2594" s="82" t="str">
        <f t="shared" si="83"/>
        <v/>
      </c>
    </row>
    <row r="2595" spans="18:19" x14ac:dyDescent="0.25">
      <c r="R2595" s="8" t="str">
        <f t="shared" si="82"/>
        <v/>
      </c>
      <c r="S2595" s="82" t="str">
        <f t="shared" si="83"/>
        <v/>
      </c>
    </row>
    <row r="2596" spans="18:19" x14ac:dyDescent="0.25">
      <c r="R2596" s="8" t="str">
        <f t="shared" si="82"/>
        <v/>
      </c>
      <c r="S2596" s="82" t="str">
        <f t="shared" si="83"/>
        <v/>
      </c>
    </row>
    <row r="2597" spans="18:19" x14ac:dyDescent="0.25">
      <c r="R2597" s="8" t="str">
        <f t="shared" si="82"/>
        <v/>
      </c>
      <c r="S2597" s="82" t="str">
        <f t="shared" si="83"/>
        <v/>
      </c>
    </row>
    <row r="2598" spans="18:19" x14ac:dyDescent="0.25">
      <c r="R2598" s="8" t="str">
        <f t="shared" si="82"/>
        <v/>
      </c>
      <c r="S2598" s="82" t="str">
        <f t="shared" si="83"/>
        <v/>
      </c>
    </row>
    <row r="2599" spans="18:19" x14ac:dyDescent="0.25">
      <c r="R2599" s="8" t="str">
        <f t="shared" si="82"/>
        <v/>
      </c>
      <c r="S2599" s="82" t="str">
        <f t="shared" si="83"/>
        <v/>
      </c>
    </row>
    <row r="2600" spans="18:19" x14ac:dyDescent="0.25">
      <c r="R2600" s="8" t="str">
        <f t="shared" si="82"/>
        <v/>
      </c>
      <c r="S2600" s="82" t="str">
        <f t="shared" si="83"/>
        <v/>
      </c>
    </row>
    <row r="2601" spans="18:19" x14ac:dyDescent="0.25">
      <c r="R2601" s="8" t="str">
        <f t="shared" si="82"/>
        <v/>
      </c>
      <c r="S2601" s="82" t="str">
        <f t="shared" si="83"/>
        <v/>
      </c>
    </row>
    <row r="2602" spans="18:19" x14ac:dyDescent="0.25">
      <c r="R2602" s="8" t="str">
        <f t="shared" si="82"/>
        <v/>
      </c>
      <c r="S2602" s="82" t="str">
        <f t="shared" si="83"/>
        <v/>
      </c>
    </row>
    <row r="2603" spans="18:19" x14ac:dyDescent="0.25">
      <c r="R2603" s="8" t="str">
        <f t="shared" si="82"/>
        <v/>
      </c>
      <c r="S2603" s="82" t="str">
        <f t="shared" si="83"/>
        <v/>
      </c>
    </row>
    <row r="2604" spans="18:19" x14ac:dyDescent="0.25">
      <c r="R2604" s="8" t="str">
        <f t="shared" si="82"/>
        <v/>
      </c>
      <c r="S2604" s="82" t="str">
        <f t="shared" si="83"/>
        <v/>
      </c>
    </row>
    <row r="2605" spans="18:19" x14ac:dyDescent="0.25">
      <c r="R2605" s="8" t="str">
        <f t="shared" si="82"/>
        <v/>
      </c>
      <c r="S2605" s="82" t="str">
        <f t="shared" si="83"/>
        <v/>
      </c>
    </row>
    <row r="2606" spans="18:19" x14ac:dyDescent="0.25">
      <c r="R2606" s="8" t="str">
        <f t="shared" si="82"/>
        <v/>
      </c>
      <c r="S2606" s="82" t="str">
        <f t="shared" si="83"/>
        <v/>
      </c>
    </row>
    <row r="2607" spans="18:19" x14ac:dyDescent="0.25">
      <c r="R2607" s="8" t="str">
        <f t="shared" si="82"/>
        <v/>
      </c>
      <c r="S2607" s="82" t="str">
        <f t="shared" si="83"/>
        <v/>
      </c>
    </row>
    <row r="2608" spans="18:19" x14ac:dyDescent="0.25">
      <c r="R2608" s="8" t="str">
        <f t="shared" si="82"/>
        <v/>
      </c>
      <c r="S2608" s="82" t="str">
        <f t="shared" si="83"/>
        <v/>
      </c>
    </row>
    <row r="2609" spans="18:19" x14ac:dyDescent="0.25">
      <c r="R2609" s="8" t="str">
        <f t="shared" si="82"/>
        <v/>
      </c>
      <c r="S2609" s="82" t="str">
        <f t="shared" si="83"/>
        <v/>
      </c>
    </row>
    <row r="2610" spans="18:19" x14ac:dyDescent="0.25">
      <c r="R2610" s="8" t="str">
        <f t="shared" si="82"/>
        <v/>
      </c>
      <c r="S2610" s="82" t="str">
        <f t="shared" si="83"/>
        <v/>
      </c>
    </row>
    <row r="2611" spans="18:19" x14ac:dyDescent="0.25">
      <c r="R2611" s="8" t="str">
        <f t="shared" si="82"/>
        <v/>
      </c>
      <c r="S2611" s="82" t="str">
        <f t="shared" si="83"/>
        <v/>
      </c>
    </row>
    <row r="2612" spans="18:19" x14ac:dyDescent="0.25">
      <c r="R2612" s="8" t="str">
        <f t="shared" si="82"/>
        <v/>
      </c>
      <c r="S2612" s="82" t="str">
        <f t="shared" si="83"/>
        <v/>
      </c>
    </row>
    <row r="2613" spans="18:19" x14ac:dyDescent="0.25">
      <c r="R2613" s="8" t="str">
        <f t="shared" si="82"/>
        <v/>
      </c>
      <c r="S2613" s="82" t="str">
        <f t="shared" si="83"/>
        <v/>
      </c>
    </row>
    <row r="2614" spans="18:19" x14ac:dyDescent="0.25">
      <c r="R2614" s="8" t="str">
        <f t="shared" si="82"/>
        <v/>
      </c>
      <c r="S2614" s="82" t="str">
        <f t="shared" si="83"/>
        <v/>
      </c>
    </row>
    <row r="2615" spans="18:19" x14ac:dyDescent="0.25">
      <c r="R2615" s="8" t="str">
        <f t="shared" si="82"/>
        <v/>
      </c>
      <c r="S2615" s="82" t="str">
        <f t="shared" si="83"/>
        <v/>
      </c>
    </row>
    <row r="2616" spans="18:19" x14ac:dyDescent="0.25">
      <c r="R2616" s="8" t="str">
        <f t="shared" si="82"/>
        <v/>
      </c>
      <c r="S2616" s="82" t="str">
        <f t="shared" si="83"/>
        <v/>
      </c>
    </row>
    <row r="2617" spans="18:19" x14ac:dyDescent="0.25">
      <c r="R2617" s="8" t="str">
        <f t="shared" si="82"/>
        <v/>
      </c>
      <c r="S2617" s="82" t="str">
        <f t="shared" si="83"/>
        <v/>
      </c>
    </row>
    <row r="2618" spans="18:19" x14ac:dyDescent="0.25">
      <c r="R2618" s="8" t="str">
        <f t="shared" si="82"/>
        <v/>
      </c>
      <c r="S2618" s="82" t="str">
        <f t="shared" si="83"/>
        <v/>
      </c>
    </row>
    <row r="2619" spans="18:19" x14ac:dyDescent="0.25">
      <c r="R2619" s="8" t="str">
        <f t="shared" si="82"/>
        <v/>
      </c>
      <c r="S2619" s="82" t="str">
        <f t="shared" si="83"/>
        <v/>
      </c>
    </row>
    <row r="2620" spans="18:19" x14ac:dyDescent="0.25">
      <c r="R2620" s="8" t="str">
        <f t="shared" si="82"/>
        <v/>
      </c>
      <c r="S2620" s="82" t="str">
        <f t="shared" si="83"/>
        <v/>
      </c>
    </row>
    <row r="2621" spans="18:19" x14ac:dyDescent="0.25">
      <c r="R2621" s="8" t="str">
        <f t="shared" si="82"/>
        <v/>
      </c>
      <c r="S2621" s="82" t="str">
        <f t="shared" si="83"/>
        <v/>
      </c>
    </row>
    <row r="2622" spans="18:19" x14ac:dyDescent="0.25">
      <c r="R2622" s="8" t="str">
        <f t="shared" si="82"/>
        <v/>
      </c>
      <c r="S2622" s="82" t="str">
        <f t="shared" si="83"/>
        <v/>
      </c>
    </row>
    <row r="2623" spans="18:19" x14ac:dyDescent="0.25">
      <c r="R2623" s="8" t="str">
        <f t="shared" si="82"/>
        <v/>
      </c>
      <c r="S2623" s="82" t="str">
        <f t="shared" si="83"/>
        <v/>
      </c>
    </row>
    <row r="2624" spans="18:19" x14ac:dyDescent="0.25">
      <c r="R2624" s="8" t="str">
        <f t="shared" si="82"/>
        <v/>
      </c>
      <c r="S2624" s="82" t="str">
        <f t="shared" si="83"/>
        <v/>
      </c>
    </row>
    <row r="2625" spans="18:19" x14ac:dyDescent="0.25">
      <c r="R2625" s="8" t="str">
        <f t="shared" si="82"/>
        <v/>
      </c>
      <c r="S2625" s="82" t="str">
        <f t="shared" si="83"/>
        <v/>
      </c>
    </row>
    <row r="2626" spans="18:19" x14ac:dyDescent="0.25">
      <c r="R2626" s="8" t="str">
        <f t="shared" si="82"/>
        <v/>
      </c>
      <c r="S2626" s="82" t="str">
        <f t="shared" si="83"/>
        <v/>
      </c>
    </row>
    <row r="2627" spans="18:19" x14ac:dyDescent="0.25">
      <c r="R2627" s="8" t="str">
        <f t="shared" si="82"/>
        <v/>
      </c>
      <c r="S2627" s="82" t="str">
        <f t="shared" si="83"/>
        <v/>
      </c>
    </row>
    <row r="2628" spans="18:19" x14ac:dyDescent="0.25">
      <c r="R2628" s="8" t="str">
        <f t="shared" si="82"/>
        <v/>
      </c>
      <c r="S2628" s="82" t="str">
        <f t="shared" si="83"/>
        <v/>
      </c>
    </row>
    <row r="2629" spans="18:19" x14ac:dyDescent="0.25">
      <c r="R2629" s="8" t="str">
        <f t="shared" si="82"/>
        <v/>
      </c>
      <c r="S2629" s="82" t="str">
        <f t="shared" si="83"/>
        <v/>
      </c>
    </row>
    <row r="2630" spans="18:19" x14ac:dyDescent="0.25">
      <c r="R2630" s="8" t="str">
        <f t="shared" si="82"/>
        <v/>
      </c>
      <c r="S2630" s="82" t="str">
        <f t="shared" si="83"/>
        <v/>
      </c>
    </row>
    <row r="2631" spans="18:19" x14ac:dyDescent="0.25">
      <c r="R2631" s="8" t="str">
        <f t="shared" si="82"/>
        <v/>
      </c>
      <c r="S2631" s="82" t="str">
        <f t="shared" si="83"/>
        <v/>
      </c>
    </row>
    <row r="2632" spans="18:19" x14ac:dyDescent="0.25">
      <c r="R2632" s="8" t="str">
        <f t="shared" ref="R2632:R2695" si="84">IF(A2632="",(""),(MONTH(A2632)))</f>
        <v/>
      </c>
      <c r="S2632" s="82" t="str">
        <f t="shared" si="83"/>
        <v/>
      </c>
    </row>
    <row r="2633" spans="18:19" x14ac:dyDescent="0.25">
      <c r="R2633" s="8" t="str">
        <f t="shared" si="84"/>
        <v/>
      </c>
      <c r="S2633" s="82" t="str">
        <f t="shared" si="83"/>
        <v/>
      </c>
    </row>
    <row r="2634" spans="18:19" x14ac:dyDescent="0.25">
      <c r="R2634" s="8" t="str">
        <f t="shared" si="84"/>
        <v/>
      </c>
      <c r="S2634" s="82" t="str">
        <f t="shared" si="83"/>
        <v/>
      </c>
    </row>
    <row r="2635" spans="18:19" x14ac:dyDescent="0.25">
      <c r="R2635" s="8" t="str">
        <f t="shared" si="84"/>
        <v/>
      </c>
      <c r="S2635" s="82" t="str">
        <f t="shared" si="83"/>
        <v/>
      </c>
    </row>
    <row r="2636" spans="18:19" x14ac:dyDescent="0.25">
      <c r="R2636" s="8" t="str">
        <f t="shared" si="84"/>
        <v/>
      </c>
      <c r="S2636" s="82" t="str">
        <f t="shared" si="83"/>
        <v/>
      </c>
    </row>
    <row r="2637" spans="18:19" x14ac:dyDescent="0.25">
      <c r="R2637" s="8" t="str">
        <f t="shared" si="84"/>
        <v/>
      </c>
      <c r="S2637" s="82" t="str">
        <f t="shared" si="83"/>
        <v/>
      </c>
    </row>
    <row r="2638" spans="18:19" x14ac:dyDescent="0.25">
      <c r="R2638" s="8" t="str">
        <f t="shared" si="84"/>
        <v/>
      </c>
      <c r="S2638" s="82" t="str">
        <f t="shared" si="83"/>
        <v/>
      </c>
    </row>
    <row r="2639" spans="18:19" x14ac:dyDescent="0.25">
      <c r="R2639" s="8" t="str">
        <f t="shared" si="84"/>
        <v/>
      </c>
      <c r="S2639" s="82" t="str">
        <f t="shared" si="83"/>
        <v/>
      </c>
    </row>
    <row r="2640" spans="18:19" x14ac:dyDescent="0.25">
      <c r="R2640" s="8" t="str">
        <f t="shared" si="84"/>
        <v/>
      </c>
      <c r="S2640" s="82" t="str">
        <f t="shared" si="83"/>
        <v/>
      </c>
    </row>
    <row r="2641" spans="18:19" x14ac:dyDescent="0.25">
      <c r="R2641" s="8" t="str">
        <f t="shared" si="84"/>
        <v/>
      </c>
      <c r="S2641" s="82" t="str">
        <f t="shared" si="83"/>
        <v/>
      </c>
    </row>
    <row r="2642" spans="18:19" x14ac:dyDescent="0.25">
      <c r="R2642" s="8" t="str">
        <f t="shared" si="84"/>
        <v/>
      </c>
      <c r="S2642" s="82" t="str">
        <f t="shared" si="83"/>
        <v/>
      </c>
    </row>
    <row r="2643" spans="18:19" x14ac:dyDescent="0.25">
      <c r="R2643" s="8" t="str">
        <f t="shared" si="84"/>
        <v/>
      </c>
      <c r="S2643" s="82" t="str">
        <f t="shared" si="83"/>
        <v/>
      </c>
    </row>
    <row r="2644" spans="18:19" x14ac:dyDescent="0.25">
      <c r="R2644" s="8" t="str">
        <f t="shared" si="84"/>
        <v/>
      </c>
      <c r="S2644" s="82" t="str">
        <f t="shared" si="83"/>
        <v/>
      </c>
    </row>
    <row r="2645" spans="18:19" x14ac:dyDescent="0.25">
      <c r="R2645" s="8" t="str">
        <f t="shared" si="84"/>
        <v/>
      </c>
      <c r="S2645" s="82" t="str">
        <f t="shared" si="83"/>
        <v/>
      </c>
    </row>
    <row r="2646" spans="18:19" x14ac:dyDescent="0.25">
      <c r="R2646" s="8" t="str">
        <f t="shared" si="84"/>
        <v/>
      </c>
      <c r="S2646" s="82" t="str">
        <f t="shared" ref="S2646:S2709" si="85">IF(O2646&gt;0,(Q2646-O2646),(IF(K2646="USD",(Q2646*J2646),((IF(B2646="",(""),(SUMIF(B2646,"11 - Factura C",(Q2646))-SUMIF(B2646,"13 - Nota de Crédito C",(Q2646))+SUMIF(B2646,"15 - Recibo C",(Q2646))+SUMIF(B2646,"109 - Tique C",(Q2646)))))))))</f>
        <v/>
      </c>
    </row>
    <row r="2647" spans="18:19" x14ac:dyDescent="0.25">
      <c r="R2647" s="8" t="str">
        <f t="shared" si="84"/>
        <v/>
      </c>
      <c r="S2647" s="82" t="str">
        <f t="shared" si="85"/>
        <v/>
      </c>
    </row>
    <row r="2648" spans="18:19" x14ac:dyDescent="0.25">
      <c r="R2648" s="8" t="str">
        <f t="shared" si="84"/>
        <v/>
      </c>
      <c r="S2648" s="82" t="str">
        <f t="shared" si="85"/>
        <v/>
      </c>
    </row>
    <row r="2649" spans="18:19" x14ac:dyDescent="0.25">
      <c r="R2649" s="8" t="str">
        <f t="shared" si="84"/>
        <v/>
      </c>
      <c r="S2649" s="82" t="str">
        <f t="shared" si="85"/>
        <v/>
      </c>
    </row>
    <row r="2650" spans="18:19" x14ac:dyDescent="0.25">
      <c r="R2650" s="8" t="str">
        <f t="shared" si="84"/>
        <v/>
      </c>
      <c r="S2650" s="82" t="str">
        <f t="shared" si="85"/>
        <v/>
      </c>
    </row>
    <row r="2651" spans="18:19" x14ac:dyDescent="0.25">
      <c r="R2651" s="8" t="str">
        <f t="shared" si="84"/>
        <v/>
      </c>
      <c r="S2651" s="82" t="str">
        <f t="shared" si="85"/>
        <v/>
      </c>
    </row>
    <row r="2652" spans="18:19" x14ac:dyDescent="0.25">
      <c r="R2652" s="8" t="str">
        <f t="shared" si="84"/>
        <v/>
      </c>
      <c r="S2652" s="82" t="str">
        <f t="shared" si="85"/>
        <v/>
      </c>
    </row>
    <row r="2653" spans="18:19" x14ac:dyDescent="0.25">
      <c r="R2653" s="8" t="str">
        <f t="shared" si="84"/>
        <v/>
      </c>
      <c r="S2653" s="82" t="str">
        <f t="shared" si="85"/>
        <v/>
      </c>
    </row>
    <row r="2654" spans="18:19" x14ac:dyDescent="0.25">
      <c r="R2654" s="8" t="str">
        <f t="shared" si="84"/>
        <v/>
      </c>
      <c r="S2654" s="82" t="str">
        <f t="shared" si="85"/>
        <v/>
      </c>
    </row>
    <row r="2655" spans="18:19" x14ac:dyDescent="0.25">
      <c r="R2655" s="8" t="str">
        <f t="shared" si="84"/>
        <v/>
      </c>
      <c r="S2655" s="82" t="str">
        <f t="shared" si="85"/>
        <v/>
      </c>
    </row>
    <row r="2656" spans="18:19" x14ac:dyDescent="0.25">
      <c r="R2656" s="8" t="str">
        <f t="shared" si="84"/>
        <v/>
      </c>
      <c r="S2656" s="82" t="str">
        <f t="shared" si="85"/>
        <v/>
      </c>
    </row>
    <row r="2657" spans="18:19" x14ac:dyDescent="0.25">
      <c r="R2657" s="8" t="str">
        <f t="shared" si="84"/>
        <v/>
      </c>
      <c r="S2657" s="82" t="str">
        <f t="shared" si="85"/>
        <v/>
      </c>
    </row>
    <row r="2658" spans="18:19" x14ac:dyDescent="0.25">
      <c r="R2658" s="8" t="str">
        <f t="shared" si="84"/>
        <v/>
      </c>
      <c r="S2658" s="82" t="str">
        <f t="shared" si="85"/>
        <v/>
      </c>
    </row>
    <row r="2659" spans="18:19" x14ac:dyDescent="0.25">
      <c r="R2659" s="8" t="str">
        <f t="shared" si="84"/>
        <v/>
      </c>
      <c r="S2659" s="82" t="str">
        <f t="shared" si="85"/>
        <v/>
      </c>
    </row>
    <row r="2660" spans="18:19" x14ac:dyDescent="0.25">
      <c r="R2660" s="8" t="str">
        <f t="shared" si="84"/>
        <v/>
      </c>
      <c r="S2660" s="82" t="str">
        <f t="shared" si="85"/>
        <v/>
      </c>
    </row>
    <row r="2661" spans="18:19" x14ac:dyDescent="0.25">
      <c r="R2661" s="8" t="str">
        <f t="shared" si="84"/>
        <v/>
      </c>
      <c r="S2661" s="82" t="str">
        <f t="shared" si="85"/>
        <v/>
      </c>
    </row>
    <row r="2662" spans="18:19" x14ac:dyDescent="0.25">
      <c r="R2662" s="8" t="str">
        <f t="shared" si="84"/>
        <v/>
      </c>
      <c r="S2662" s="82" t="str">
        <f t="shared" si="85"/>
        <v/>
      </c>
    </row>
    <row r="2663" spans="18:19" x14ac:dyDescent="0.25">
      <c r="R2663" s="8" t="str">
        <f t="shared" si="84"/>
        <v/>
      </c>
      <c r="S2663" s="82" t="str">
        <f t="shared" si="85"/>
        <v/>
      </c>
    </row>
    <row r="2664" spans="18:19" x14ac:dyDescent="0.25">
      <c r="R2664" s="8" t="str">
        <f t="shared" si="84"/>
        <v/>
      </c>
      <c r="S2664" s="82" t="str">
        <f t="shared" si="85"/>
        <v/>
      </c>
    </row>
    <row r="2665" spans="18:19" x14ac:dyDescent="0.25">
      <c r="R2665" s="8" t="str">
        <f t="shared" si="84"/>
        <v/>
      </c>
      <c r="S2665" s="82" t="str">
        <f t="shared" si="85"/>
        <v/>
      </c>
    </row>
    <row r="2666" spans="18:19" x14ac:dyDescent="0.25">
      <c r="R2666" s="8" t="str">
        <f t="shared" si="84"/>
        <v/>
      </c>
      <c r="S2666" s="82" t="str">
        <f t="shared" si="85"/>
        <v/>
      </c>
    </row>
    <row r="2667" spans="18:19" x14ac:dyDescent="0.25">
      <c r="R2667" s="8" t="str">
        <f t="shared" si="84"/>
        <v/>
      </c>
      <c r="S2667" s="82" t="str">
        <f t="shared" si="85"/>
        <v/>
      </c>
    </row>
    <row r="2668" spans="18:19" x14ac:dyDescent="0.25">
      <c r="R2668" s="8" t="str">
        <f t="shared" si="84"/>
        <v/>
      </c>
      <c r="S2668" s="82" t="str">
        <f t="shared" si="85"/>
        <v/>
      </c>
    </row>
    <row r="2669" spans="18:19" x14ac:dyDescent="0.25">
      <c r="R2669" s="8" t="str">
        <f t="shared" si="84"/>
        <v/>
      </c>
      <c r="S2669" s="82" t="str">
        <f t="shared" si="85"/>
        <v/>
      </c>
    </row>
    <row r="2670" spans="18:19" x14ac:dyDescent="0.25">
      <c r="R2670" s="8" t="str">
        <f t="shared" si="84"/>
        <v/>
      </c>
      <c r="S2670" s="82" t="str">
        <f t="shared" si="85"/>
        <v/>
      </c>
    </row>
    <row r="2671" spans="18:19" x14ac:dyDescent="0.25">
      <c r="R2671" s="8" t="str">
        <f t="shared" si="84"/>
        <v/>
      </c>
      <c r="S2671" s="82" t="str">
        <f t="shared" si="85"/>
        <v/>
      </c>
    </row>
    <row r="2672" spans="18:19" x14ac:dyDescent="0.25">
      <c r="R2672" s="8" t="str">
        <f t="shared" si="84"/>
        <v/>
      </c>
      <c r="S2672" s="82" t="str">
        <f t="shared" si="85"/>
        <v/>
      </c>
    </row>
    <row r="2673" spans="18:19" x14ac:dyDescent="0.25">
      <c r="R2673" s="8" t="str">
        <f t="shared" si="84"/>
        <v/>
      </c>
      <c r="S2673" s="82" t="str">
        <f t="shared" si="85"/>
        <v/>
      </c>
    </row>
    <row r="2674" spans="18:19" x14ac:dyDescent="0.25">
      <c r="R2674" s="8" t="str">
        <f t="shared" si="84"/>
        <v/>
      </c>
      <c r="S2674" s="82" t="str">
        <f t="shared" si="85"/>
        <v/>
      </c>
    </row>
    <row r="2675" spans="18:19" x14ac:dyDescent="0.25">
      <c r="R2675" s="8" t="str">
        <f t="shared" si="84"/>
        <v/>
      </c>
      <c r="S2675" s="82" t="str">
        <f t="shared" si="85"/>
        <v/>
      </c>
    </row>
    <row r="2676" spans="18:19" x14ac:dyDescent="0.25">
      <c r="R2676" s="8" t="str">
        <f t="shared" si="84"/>
        <v/>
      </c>
      <c r="S2676" s="82" t="str">
        <f t="shared" si="85"/>
        <v/>
      </c>
    </row>
    <row r="2677" spans="18:19" x14ac:dyDescent="0.25">
      <c r="R2677" s="8" t="str">
        <f t="shared" si="84"/>
        <v/>
      </c>
      <c r="S2677" s="82" t="str">
        <f t="shared" si="85"/>
        <v/>
      </c>
    </row>
    <row r="2678" spans="18:19" x14ac:dyDescent="0.25">
      <c r="R2678" s="8" t="str">
        <f t="shared" si="84"/>
        <v/>
      </c>
      <c r="S2678" s="82" t="str">
        <f t="shared" si="85"/>
        <v/>
      </c>
    </row>
    <row r="2679" spans="18:19" x14ac:dyDescent="0.25">
      <c r="R2679" s="8" t="str">
        <f t="shared" si="84"/>
        <v/>
      </c>
      <c r="S2679" s="82" t="str">
        <f t="shared" si="85"/>
        <v/>
      </c>
    </row>
    <row r="2680" spans="18:19" x14ac:dyDescent="0.25">
      <c r="R2680" s="8" t="str">
        <f t="shared" si="84"/>
        <v/>
      </c>
      <c r="S2680" s="82" t="str">
        <f t="shared" si="85"/>
        <v/>
      </c>
    </row>
    <row r="2681" spans="18:19" x14ac:dyDescent="0.25">
      <c r="R2681" s="8" t="str">
        <f t="shared" si="84"/>
        <v/>
      </c>
      <c r="S2681" s="82" t="str">
        <f t="shared" si="85"/>
        <v/>
      </c>
    </row>
    <row r="2682" spans="18:19" x14ac:dyDescent="0.25">
      <c r="R2682" s="8" t="str">
        <f t="shared" si="84"/>
        <v/>
      </c>
      <c r="S2682" s="82" t="str">
        <f t="shared" si="85"/>
        <v/>
      </c>
    </row>
    <row r="2683" spans="18:19" x14ac:dyDescent="0.25">
      <c r="R2683" s="8" t="str">
        <f t="shared" si="84"/>
        <v/>
      </c>
      <c r="S2683" s="82" t="str">
        <f t="shared" si="85"/>
        <v/>
      </c>
    </row>
    <row r="2684" spans="18:19" x14ac:dyDescent="0.25">
      <c r="R2684" s="8" t="str">
        <f t="shared" si="84"/>
        <v/>
      </c>
      <c r="S2684" s="82" t="str">
        <f t="shared" si="85"/>
        <v/>
      </c>
    </row>
    <row r="2685" spans="18:19" x14ac:dyDescent="0.25">
      <c r="R2685" s="8" t="str">
        <f t="shared" si="84"/>
        <v/>
      </c>
      <c r="S2685" s="82" t="str">
        <f t="shared" si="85"/>
        <v/>
      </c>
    </row>
    <row r="2686" spans="18:19" x14ac:dyDescent="0.25">
      <c r="R2686" s="8" t="str">
        <f t="shared" si="84"/>
        <v/>
      </c>
      <c r="S2686" s="82" t="str">
        <f t="shared" si="85"/>
        <v/>
      </c>
    </row>
    <row r="2687" spans="18:19" x14ac:dyDescent="0.25">
      <c r="R2687" s="8" t="str">
        <f t="shared" si="84"/>
        <v/>
      </c>
      <c r="S2687" s="82" t="str">
        <f t="shared" si="85"/>
        <v/>
      </c>
    </row>
    <row r="2688" spans="18:19" x14ac:dyDescent="0.25">
      <c r="R2688" s="8" t="str">
        <f t="shared" si="84"/>
        <v/>
      </c>
      <c r="S2688" s="82" t="str">
        <f t="shared" si="85"/>
        <v/>
      </c>
    </row>
    <row r="2689" spans="18:19" x14ac:dyDescent="0.25">
      <c r="R2689" s="8" t="str">
        <f t="shared" si="84"/>
        <v/>
      </c>
      <c r="S2689" s="82" t="str">
        <f t="shared" si="85"/>
        <v/>
      </c>
    </row>
    <row r="2690" spans="18:19" x14ac:dyDescent="0.25">
      <c r="R2690" s="8" t="str">
        <f t="shared" si="84"/>
        <v/>
      </c>
      <c r="S2690" s="82" t="str">
        <f t="shared" si="85"/>
        <v/>
      </c>
    </row>
    <row r="2691" spans="18:19" x14ac:dyDescent="0.25">
      <c r="R2691" s="8" t="str">
        <f t="shared" si="84"/>
        <v/>
      </c>
      <c r="S2691" s="82" t="str">
        <f t="shared" si="85"/>
        <v/>
      </c>
    </row>
    <row r="2692" spans="18:19" x14ac:dyDescent="0.25">
      <c r="R2692" s="8" t="str">
        <f t="shared" si="84"/>
        <v/>
      </c>
      <c r="S2692" s="82" t="str">
        <f t="shared" si="85"/>
        <v/>
      </c>
    </row>
    <row r="2693" spans="18:19" x14ac:dyDescent="0.25">
      <c r="R2693" s="8" t="str">
        <f t="shared" si="84"/>
        <v/>
      </c>
      <c r="S2693" s="82" t="str">
        <f t="shared" si="85"/>
        <v/>
      </c>
    </row>
    <row r="2694" spans="18:19" x14ac:dyDescent="0.25">
      <c r="R2694" s="8" t="str">
        <f t="shared" si="84"/>
        <v/>
      </c>
      <c r="S2694" s="82" t="str">
        <f t="shared" si="85"/>
        <v/>
      </c>
    </row>
    <row r="2695" spans="18:19" x14ac:dyDescent="0.25">
      <c r="R2695" s="8" t="str">
        <f t="shared" si="84"/>
        <v/>
      </c>
      <c r="S2695" s="82" t="str">
        <f t="shared" si="85"/>
        <v/>
      </c>
    </row>
    <row r="2696" spans="18:19" x14ac:dyDescent="0.25">
      <c r="R2696" s="8" t="str">
        <f t="shared" ref="R2696:R2759" si="86">IF(A2696="",(""),(MONTH(A2696)))</f>
        <v/>
      </c>
      <c r="S2696" s="82" t="str">
        <f t="shared" si="85"/>
        <v/>
      </c>
    </row>
    <row r="2697" spans="18:19" x14ac:dyDescent="0.25">
      <c r="R2697" s="8" t="str">
        <f t="shared" si="86"/>
        <v/>
      </c>
      <c r="S2697" s="82" t="str">
        <f t="shared" si="85"/>
        <v/>
      </c>
    </row>
    <row r="2698" spans="18:19" x14ac:dyDescent="0.25">
      <c r="R2698" s="8" t="str">
        <f t="shared" si="86"/>
        <v/>
      </c>
      <c r="S2698" s="82" t="str">
        <f t="shared" si="85"/>
        <v/>
      </c>
    </row>
    <row r="2699" spans="18:19" x14ac:dyDescent="0.25">
      <c r="R2699" s="8" t="str">
        <f t="shared" si="86"/>
        <v/>
      </c>
      <c r="S2699" s="82" t="str">
        <f t="shared" si="85"/>
        <v/>
      </c>
    </row>
    <row r="2700" spans="18:19" x14ac:dyDescent="0.25">
      <c r="R2700" s="8" t="str">
        <f t="shared" si="86"/>
        <v/>
      </c>
      <c r="S2700" s="82" t="str">
        <f t="shared" si="85"/>
        <v/>
      </c>
    </row>
    <row r="2701" spans="18:19" x14ac:dyDescent="0.25">
      <c r="R2701" s="8" t="str">
        <f t="shared" si="86"/>
        <v/>
      </c>
      <c r="S2701" s="82" t="str">
        <f t="shared" si="85"/>
        <v/>
      </c>
    </row>
    <row r="2702" spans="18:19" x14ac:dyDescent="0.25">
      <c r="R2702" s="8" t="str">
        <f t="shared" si="86"/>
        <v/>
      </c>
      <c r="S2702" s="82" t="str">
        <f t="shared" si="85"/>
        <v/>
      </c>
    </row>
    <row r="2703" spans="18:19" x14ac:dyDescent="0.25">
      <c r="R2703" s="8" t="str">
        <f t="shared" si="86"/>
        <v/>
      </c>
      <c r="S2703" s="82" t="str">
        <f t="shared" si="85"/>
        <v/>
      </c>
    </row>
    <row r="2704" spans="18:19" x14ac:dyDescent="0.25">
      <c r="R2704" s="8" t="str">
        <f t="shared" si="86"/>
        <v/>
      </c>
      <c r="S2704" s="82" t="str">
        <f t="shared" si="85"/>
        <v/>
      </c>
    </row>
    <row r="2705" spans="18:19" x14ac:dyDescent="0.25">
      <c r="R2705" s="8" t="str">
        <f t="shared" si="86"/>
        <v/>
      </c>
      <c r="S2705" s="82" t="str">
        <f t="shared" si="85"/>
        <v/>
      </c>
    </row>
    <row r="2706" spans="18:19" x14ac:dyDescent="0.25">
      <c r="R2706" s="8" t="str">
        <f t="shared" si="86"/>
        <v/>
      </c>
      <c r="S2706" s="82" t="str">
        <f t="shared" si="85"/>
        <v/>
      </c>
    </row>
    <row r="2707" spans="18:19" x14ac:dyDescent="0.25">
      <c r="R2707" s="8" t="str">
        <f t="shared" si="86"/>
        <v/>
      </c>
      <c r="S2707" s="82" t="str">
        <f t="shared" si="85"/>
        <v/>
      </c>
    </row>
    <row r="2708" spans="18:19" x14ac:dyDescent="0.25">
      <c r="R2708" s="8" t="str">
        <f t="shared" si="86"/>
        <v/>
      </c>
      <c r="S2708" s="82" t="str">
        <f t="shared" si="85"/>
        <v/>
      </c>
    </row>
    <row r="2709" spans="18:19" x14ac:dyDescent="0.25">
      <c r="R2709" s="8" t="str">
        <f t="shared" si="86"/>
        <v/>
      </c>
      <c r="S2709" s="82" t="str">
        <f t="shared" si="85"/>
        <v/>
      </c>
    </row>
    <row r="2710" spans="18:19" x14ac:dyDescent="0.25">
      <c r="R2710" s="8" t="str">
        <f t="shared" si="86"/>
        <v/>
      </c>
      <c r="S2710" s="82" t="str">
        <f t="shared" ref="S2710:S2773" si="87">IF(O2710&gt;0,(Q2710-O2710),(IF(K2710="USD",(Q2710*J2710),((IF(B2710="",(""),(SUMIF(B2710,"11 - Factura C",(Q2710))-SUMIF(B2710,"13 - Nota de Crédito C",(Q2710))+SUMIF(B2710,"15 - Recibo C",(Q2710))+SUMIF(B2710,"109 - Tique C",(Q2710)))))))))</f>
        <v/>
      </c>
    </row>
    <row r="2711" spans="18:19" x14ac:dyDescent="0.25">
      <c r="R2711" s="8" t="str">
        <f t="shared" si="86"/>
        <v/>
      </c>
      <c r="S2711" s="82" t="str">
        <f t="shared" si="87"/>
        <v/>
      </c>
    </row>
    <row r="2712" spans="18:19" x14ac:dyDescent="0.25">
      <c r="R2712" s="8" t="str">
        <f t="shared" si="86"/>
        <v/>
      </c>
      <c r="S2712" s="82" t="str">
        <f t="shared" si="87"/>
        <v/>
      </c>
    </row>
    <row r="2713" spans="18:19" x14ac:dyDescent="0.25">
      <c r="R2713" s="8" t="str">
        <f t="shared" si="86"/>
        <v/>
      </c>
      <c r="S2713" s="82" t="str">
        <f t="shared" si="87"/>
        <v/>
      </c>
    </row>
    <row r="2714" spans="18:19" x14ac:dyDescent="0.25">
      <c r="R2714" s="8" t="str">
        <f t="shared" si="86"/>
        <v/>
      </c>
      <c r="S2714" s="82" t="str">
        <f t="shared" si="87"/>
        <v/>
      </c>
    </row>
    <row r="2715" spans="18:19" x14ac:dyDescent="0.25">
      <c r="R2715" s="8" t="str">
        <f t="shared" si="86"/>
        <v/>
      </c>
      <c r="S2715" s="82" t="str">
        <f t="shared" si="87"/>
        <v/>
      </c>
    </row>
    <row r="2716" spans="18:19" x14ac:dyDescent="0.25">
      <c r="R2716" s="8" t="str">
        <f t="shared" si="86"/>
        <v/>
      </c>
      <c r="S2716" s="82" t="str">
        <f t="shared" si="87"/>
        <v/>
      </c>
    </row>
    <row r="2717" spans="18:19" x14ac:dyDescent="0.25">
      <c r="R2717" s="8" t="str">
        <f t="shared" si="86"/>
        <v/>
      </c>
      <c r="S2717" s="82" t="str">
        <f t="shared" si="87"/>
        <v/>
      </c>
    </row>
    <row r="2718" spans="18:19" x14ac:dyDescent="0.25">
      <c r="R2718" s="8" t="str">
        <f t="shared" si="86"/>
        <v/>
      </c>
      <c r="S2718" s="82" t="str">
        <f t="shared" si="87"/>
        <v/>
      </c>
    </row>
    <row r="2719" spans="18:19" x14ac:dyDescent="0.25">
      <c r="R2719" s="8" t="str">
        <f t="shared" si="86"/>
        <v/>
      </c>
      <c r="S2719" s="82" t="str">
        <f t="shared" si="87"/>
        <v/>
      </c>
    </row>
    <row r="2720" spans="18:19" x14ac:dyDescent="0.25">
      <c r="R2720" s="8" t="str">
        <f t="shared" si="86"/>
        <v/>
      </c>
      <c r="S2720" s="82" t="str">
        <f t="shared" si="87"/>
        <v/>
      </c>
    </row>
    <row r="2721" spans="18:19" x14ac:dyDescent="0.25">
      <c r="R2721" s="8" t="str">
        <f t="shared" si="86"/>
        <v/>
      </c>
      <c r="S2721" s="82" t="str">
        <f t="shared" si="87"/>
        <v/>
      </c>
    </row>
    <row r="2722" spans="18:19" x14ac:dyDescent="0.25">
      <c r="R2722" s="8" t="str">
        <f t="shared" si="86"/>
        <v/>
      </c>
      <c r="S2722" s="82" t="str">
        <f t="shared" si="87"/>
        <v/>
      </c>
    </row>
    <row r="2723" spans="18:19" x14ac:dyDescent="0.25">
      <c r="R2723" s="8" t="str">
        <f t="shared" si="86"/>
        <v/>
      </c>
      <c r="S2723" s="82" t="str">
        <f t="shared" si="87"/>
        <v/>
      </c>
    </row>
    <row r="2724" spans="18:19" x14ac:dyDescent="0.25">
      <c r="R2724" s="8" t="str">
        <f t="shared" si="86"/>
        <v/>
      </c>
      <c r="S2724" s="82" t="str">
        <f t="shared" si="87"/>
        <v/>
      </c>
    </row>
    <row r="2725" spans="18:19" x14ac:dyDescent="0.25">
      <c r="R2725" s="8" t="str">
        <f t="shared" si="86"/>
        <v/>
      </c>
      <c r="S2725" s="82" t="str">
        <f t="shared" si="87"/>
        <v/>
      </c>
    </row>
    <row r="2726" spans="18:19" x14ac:dyDescent="0.25">
      <c r="R2726" s="8" t="str">
        <f t="shared" si="86"/>
        <v/>
      </c>
      <c r="S2726" s="82" t="str">
        <f t="shared" si="87"/>
        <v/>
      </c>
    </row>
    <row r="2727" spans="18:19" x14ac:dyDescent="0.25">
      <c r="R2727" s="8" t="str">
        <f t="shared" si="86"/>
        <v/>
      </c>
      <c r="S2727" s="82" t="str">
        <f t="shared" si="87"/>
        <v/>
      </c>
    </row>
    <row r="2728" spans="18:19" x14ac:dyDescent="0.25">
      <c r="R2728" s="8" t="str">
        <f t="shared" si="86"/>
        <v/>
      </c>
      <c r="S2728" s="82" t="str">
        <f t="shared" si="87"/>
        <v/>
      </c>
    </row>
    <row r="2729" spans="18:19" x14ac:dyDescent="0.25">
      <c r="R2729" s="8" t="str">
        <f t="shared" si="86"/>
        <v/>
      </c>
      <c r="S2729" s="82" t="str">
        <f t="shared" si="87"/>
        <v/>
      </c>
    </row>
    <row r="2730" spans="18:19" x14ac:dyDescent="0.25">
      <c r="R2730" s="8" t="str">
        <f t="shared" si="86"/>
        <v/>
      </c>
      <c r="S2730" s="82" t="str">
        <f t="shared" si="87"/>
        <v/>
      </c>
    </row>
    <row r="2731" spans="18:19" x14ac:dyDescent="0.25">
      <c r="R2731" s="8" t="str">
        <f t="shared" si="86"/>
        <v/>
      </c>
      <c r="S2731" s="82" t="str">
        <f t="shared" si="87"/>
        <v/>
      </c>
    </row>
    <row r="2732" spans="18:19" x14ac:dyDescent="0.25">
      <c r="R2732" s="8" t="str">
        <f t="shared" si="86"/>
        <v/>
      </c>
      <c r="S2732" s="82" t="str">
        <f t="shared" si="87"/>
        <v/>
      </c>
    </row>
    <row r="2733" spans="18:19" x14ac:dyDescent="0.25">
      <c r="R2733" s="8" t="str">
        <f t="shared" si="86"/>
        <v/>
      </c>
      <c r="S2733" s="82" t="str">
        <f t="shared" si="87"/>
        <v/>
      </c>
    </row>
    <row r="2734" spans="18:19" x14ac:dyDescent="0.25">
      <c r="R2734" s="8" t="str">
        <f t="shared" si="86"/>
        <v/>
      </c>
      <c r="S2734" s="82" t="str">
        <f t="shared" si="87"/>
        <v/>
      </c>
    </row>
    <row r="2735" spans="18:19" x14ac:dyDescent="0.25">
      <c r="R2735" s="8" t="str">
        <f t="shared" si="86"/>
        <v/>
      </c>
      <c r="S2735" s="82" t="str">
        <f t="shared" si="87"/>
        <v/>
      </c>
    </row>
    <row r="2736" spans="18:19" x14ac:dyDescent="0.25">
      <c r="R2736" s="8" t="str">
        <f t="shared" si="86"/>
        <v/>
      </c>
      <c r="S2736" s="82" t="str">
        <f t="shared" si="87"/>
        <v/>
      </c>
    </row>
    <row r="2737" spans="18:19" x14ac:dyDescent="0.25">
      <c r="R2737" s="8" t="str">
        <f t="shared" si="86"/>
        <v/>
      </c>
      <c r="S2737" s="82" t="str">
        <f t="shared" si="87"/>
        <v/>
      </c>
    </row>
    <row r="2738" spans="18:19" x14ac:dyDescent="0.25">
      <c r="R2738" s="8" t="str">
        <f t="shared" si="86"/>
        <v/>
      </c>
      <c r="S2738" s="82" t="str">
        <f t="shared" si="87"/>
        <v/>
      </c>
    </row>
    <row r="2739" spans="18:19" x14ac:dyDescent="0.25">
      <c r="R2739" s="8" t="str">
        <f t="shared" si="86"/>
        <v/>
      </c>
      <c r="S2739" s="82" t="str">
        <f t="shared" si="87"/>
        <v/>
      </c>
    </row>
    <row r="2740" spans="18:19" x14ac:dyDescent="0.25">
      <c r="R2740" s="8" t="str">
        <f t="shared" si="86"/>
        <v/>
      </c>
      <c r="S2740" s="82" t="str">
        <f t="shared" si="87"/>
        <v/>
      </c>
    </row>
    <row r="2741" spans="18:19" x14ac:dyDescent="0.25">
      <c r="R2741" s="8" t="str">
        <f t="shared" si="86"/>
        <v/>
      </c>
      <c r="S2741" s="82" t="str">
        <f t="shared" si="87"/>
        <v/>
      </c>
    </row>
    <row r="2742" spans="18:19" x14ac:dyDescent="0.25">
      <c r="R2742" s="8" t="str">
        <f t="shared" si="86"/>
        <v/>
      </c>
      <c r="S2742" s="82" t="str">
        <f t="shared" si="87"/>
        <v/>
      </c>
    </row>
    <row r="2743" spans="18:19" x14ac:dyDescent="0.25">
      <c r="R2743" s="8" t="str">
        <f t="shared" si="86"/>
        <v/>
      </c>
      <c r="S2743" s="82" t="str">
        <f t="shared" si="87"/>
        <v/>
      </c>
    </row>
    <row r="2744" spans="18:19" x14ac:dyDescent="0.25">
      <c r="R2744" s="8" t="str">
        <f t="shared" si="86"/>
        <v/>
      </c>
      <c r="S2744" s="82" t="str">
        <f t="shared" si="87"/>
        <v/>
      </c>
    </row>
    <row r="2745" spans="18:19" x14ac:dyDescent="0.25">
      <c r="R2745" s="8" t="str">
        <f t="shared" si="86"/>
        <v/>
      </c>
      <c r="S2745" s="82" t="str">
        <f t="shared" si="87"/>
        <v/>
      </c>
    </row>
    <row r="2746" spans="18:19" x14ac:dyDescent="0.25">
      <c r="R2746" s="8" t="str">
        <f t="shared" si="86"/>
        <v/>
      </c>
      <c r="S2746" s="82" t="str">
        <f t="shared" si="87"/>
        <v/>
      </c>
    </row>
    <row r="2747" spans="18:19" x14ac:dyDescent="0.25">
      <c r="R2747" s="8" t="str">
        <f t="shared" si="86"/>
        <v/>
      </c>
      <c r="S2747" s="82" t="str">
        <f t="shared" si="87"/>
        <v/>
      </c>
    </row>
    <row r="2748" spans="18:19" x14ac:dyDescent="0.25">
      <c r="R2748" s="8" t="str">
        <f t="shared" si="86"/>
        <v/>
      </c>
      <c r="S2748" s="82" t="str">
        <f t="shared" si="87"/>
        <v/>
      </c>
    </row>
    <row r="2749" spans="18:19" x14ac:dyDescent="0.25">
      <c r="R2749" s="8" t="str">
        <f t="shared" si="86"/>
        <v/>
      </c>
      <c r="S2749" s="82" t="str">
        <f t="shared" si="87"/>
        <v/>
      </c>
    </row>
    <row r="2750" spans="18:19" x14ac:dyDescent="0.25">
      <c r="R2750" s="8" t="str">
        <f t="shared" si="86"/>
        <v/>
      </c>
      <c r="S2750" s="82" t="str">
        <f t="shared" si="87"/>
        <v/>
      </c>
    </row>
    <row r="2751" spans="18:19" x14ac:dyDescent="0.25">
      <c r="R2751" s="8" t="str">
        <f t="shared" si="86"/>
        <v/>
      </c>
      <c r="S2751" s="82" t="str">
        <f t="shared" si="87"/>
        <v/>
      </c>
    </row>
    <row r="2752" spans="18:19" x14ac:dyDescent="0.25">
      <c r="R2752" s="8" t="str">
        <f t="shared" si="86"/>
        <v/>
      </c>
      <c r="S2752" s="82" t="str">
        <f t="shared" si="87"/>
        <v/>
      </c>
    </row>
    <row r="2753" spans="18:19" x14ac:dyDescent="0.25">
      <c r="R2753" s="8" t="str">
        <f t="shared" si="86"/>
        <v/>
      </c>
      <c r="S2753" s="82" t="str">
        <f t="shared" si="87"/>
        <v/>
      </c>
    </row>
    <row r="2754" spans="18:19" x14ac:dyDescent="0.25">
      <c r="R2754" s="8" t="str">
        <f t="shared" si="86"/>
        <v/>
      </c>
      <c r="S2754" s="82" t="str">
        <f t="shared" si="87"/>
        <v/>
      </c>
    </row>
    <row r="2755" spans="18:19" x14ac:dyDescent="0.25">
      <c r="R2755" s="8" t="str">
        <f t="shared" si="86"/>
        <v/>
      </c>
      <c r="S2755" s="82" t="str">
        <f t="shared" si="87"/>
        <v/>
      </c>
    </row>
    <row r="2756" spans="18:19" x14ac:dyDescent="0.25">
      <c r="R2756" s="8" t="str">
        <f t="shared" si="86"/>
        <v/>
      </c>
      <c r="S2756" s="82" t="str">
        <f t="shared" si="87"/>
        <v/>
      </c>
    </row>
    <row r="2757" spans="18:19" x14ac:dyDescent="0.25">
      <c r="R2757" s="8" t="str">
        <f t="shared" si="86"/>
        <v/>
      </c>
      <c r="S2757" s="82" t="str">
        <f t="shared" si="87"/>
        <v/>
      </c>
    </row>
    <row r="2758" spans="18:19" x14ac:dyDescent="0.25">
      <c r="R2758" s="8" t="str">
        <f t="shared" si="86"/>
        <v/>
      </c>
      <c r="S2758" s="82" t="str">
        <f t="shared" si="87"/>
        <v/>
      </c>
    </row>
    <row r="2759" spans="18:19" x14ac:dyDescent="0.25">
      <c r="R2759" s="8" t="str">
        <f t="shared" si="86"/>
        <v/>
      </c>
      <c r="S2759" s="82" t="str">
        <f t="shared" si="87"/>
        <v/>
      </c>
    </row>
    <row r="2760" spans="18:19" x14ac:dyDescent="0.25">
      <c r="R2760" s="8" t="str">
        <f t="shared" ref="R2760:R2823" si="88">IF(A2760="",(""),(MONTH(A2760)))</f>
        <v/>
      </c>
      <c r="S2760" s="82" t="str">
        <f t="shared" si="87"/>
        <v/>
      </c>
    </row>
    <row r="2761" spans="18:19" x14ac:dyDescent="0.25">
      <c r="R2761" s="8" t="str">
        <f t="shared" si="88"/>
        <v/>
      </c>
      <c r="S2761" s="82" t="str">
        <f t="shared" si="87"/>
        <v/>
      </c>
    </row>
    <row r="2762" spans="18:19" x14ac:dyDescent="0.25">
      <c r="R2762" s="8" t="str">
        <f t="shared" si="88"/>
        <v/>
      </c>
      <c r="S2762" s="82" t="str">
        <f t="shared" si="87"/>
        <v/>
      </c>
    </row>
    <row r="2763" spans="18:19" x14ac:dyDescent="0.25">
      <c r="R2763" s="8" t="str">
        <f t="shared" si="88"/>
        <v/>
      </c>
      <c r="S2763" s="82" t="str">
        <f t="shared" si="87"/>
        <v/>
      </c>
    </row>
    <row r="2764" spans="18:19" x14ac:dyDescent="0.25">
      <c r="R2764" s="8" t="str">
        <f t="shared" si="88"/>
        <v/>
      </c>
      <c r="S2764" s="82" t="str">
        <f t="shared" si="87"/>
        <v/>
      </c>
    </row>
    <row r="2765" spans="18:19" x14ac:dyDescent="0.25">
      <c r="R2765" s="8" t="str">
        <f t="shared" si="88"/>
        <v/>
      </c>
      <c r="S2765" s="82" t="str">
        <f t="shared" si="87"/>
        <v/>
      </c>
    </row>
    <row r="2766" spans="18:19" x14ac:dyDescent="0.25">
      <c r="R2766" s="8" t="str">
        <f t="shared" si="88"/>
        <v/>
      </c>
      <c r="S2766" s="82" t="str">
        <f t="shared" si="87"/>
        <v/>
      </c>
    </row>
    <row r="2767" spans="18:19" x14ac:dyDescent="0.25">
      <c r="R2767" s="8" t="str">
        <f t="shared" si="88"/>
        <v/>
      </c>
      <c r="S2767" s="82" t="str">
        <f t="shared" si="87"/>
        <v/>
      </c>
    </row>
    <row r="2768" spans="18:19" x14ac:dyDescent="0.25">
      <c r="R2768" s="8" t="str">
        <f t="shared" si="88"/>
        <v/>
      </c>
      <c r="S2768" s="82" t="str">
        <f t="shared" si="87"/>
        <v/>
      </c>
    </row>
    <row r="2769" spans="18:19" x14ac:dyDescent="0.25">
      <c r="R2769" s="8" t="str">
        <f t="shared" si="88"/>
        <v/>
      </c>
      <c r="S2769" s="82" t="str">
        <f t="shared" si="87"/>
        <v/>
      </c>
    </row>
    <row r="2770" spans="18:19" x14ac:dyDescent="0.25">
      <c r="R2770" s="8" t="str">
        <f t="shared" si="88"/>
        <v/>
      </c>
      <c r="S2770" s="82" t="str">
        <f t="shared" si="87"/>
        <v/>
      </c>
    </row>
    <row r="2771" spans="18:19" x14ac:dyDescent="0.25">
      <c r="R2771" s="8" t="str">
        <f t="shared" si="88"/>
        <v/>
      </c>
      <c r="S2771" s="82" t="str">
        <f t="shared" si="87"/>
        <v/>
      </c>
    </row>
    <row r="2772" spans="18:19" x14ac:dyDescent="0.25">
      <c r="R2772" s="8" t="str">
        <f t="shared" si="88"/>
        <v/>
      </c>
      <c r="S2772" s="82" t="str">
        <f t="shared" si="87"/>
        <v/>
      </c>
    </row>
    <row r="2773" spans="18:19" x14ac:dyDescent="0.25">
      <c r="R2773" s="8" t="str">
        <f t="shared" si="88"/>
        <v/>
      </c>
      <c r="S2773" s="82" t="str">
        <f t="shared" si="87"/>
        <v/>
      </c>
    </row>
    <row r="2774" spans="18:19" x14ac:dyDescent="0.25">
      <c r="R2774" s="8" t="str">
        <f t="shared" si="88"/>
        <v/>
      </c>
      <c r="S2774" s="82" t="str">
        <f t="shared" ref="S2774:S2837" si="89">IF(O2774&gt;0,(Q2774-O2774),(IF(K2774="USD",(Q2774*J2774),((IF(B2774="",(""),(SUMIF(B2774,"11 - Factura C",(Q2774))-SUMIF(B2774,"13 - Nota de Crédito C",(Q2774))+SUMIF(B2774,"15 - Recibo C",(Q2774))+SUMIF(B2774,"109 - Tique C",(Q2774)))))))))</f>
        <v/>
      </c>
    </row>
    <row r="2775" spans="18:19" x14ac:dyDescent="0.25">
      <c r="R2775" s="8" t="str">
        <f t="shared" si="88"/>
        <v/>
      </c>
      <c r="S2775" s="82" t="str">
        <f t="shared" si="89"/>
        <v/>
      </c>
    </row>
    <row r="2776" spans="18:19" x14ac:dyDescent="0.25">
      <c r="R2776" s="8" t="str">
        <f t="shared" si="88"/>
        <v/>
      </c>
      <c r="S2776" s="82" t="str">
        <f t="shared" si="89"/>
        <v/>
      </c>
    </row>
    <row r="2777" spans="18:19" x14ac:dyDescent="0.25">
      <c r="R2777" s="8" t="str">
        <f t="shared" si="88"/>
        <v/>
      </c>
      <c r="S2777" s="82" t="str">
        <f t="shared" si="89"/>
        <v/>
      </c>
    </row>
    <row r="2778" spans="18:19" x14ac:dyDescent="0.25">
      <c r="R2778" s="8" t="str">
        <f t="shared" si="88"/>
        <v/>
      </c>
      <c r="S2778" s="82" t="str">
        <f t="shared" si="89"/>
        <v/>
      </c>
    </row>
    <row r="2779" spans="18:19" x14ac:dyDescent="0.25">
      <c r="R2779" s="8" t="str">
        <f t="shared" si="88"/>
        <v/>
      </c>
      <c r="S2779" s="82" t="str">
        <f t="shared" si="89"/>
        <v/>
      </c>
    </row>
    <row r="2780" spans="18:19" x14ac:dyDescent="0.25">
      <c r="R2780" s="8" t="str">
        <f t="shared" si="88"/>
        <v/>
      </c>
      <c r="S2780" s="82" t="str">
        <f t="shared" si="89"/>
        <v/>
      </c>
    </row>
    <row r="2781" spans="18:19" x14ac:dyDescent="0.25">
      <c r="R2781" s="8" t="str">
        <f t="shared" si="88"/>
        <v/>
      </c>
      <c r="S2781" s="82" t="str">
        <f t="shared" si="89"/>
        <v/>
      </c>
    </row>
    <row r="2782" spans="18:19" x14ac:dyDescent="0.25">
      <c r="R2782" s="8" t="str">
        <f t="shared" si="88"/>
        <v/>
      </c>
      <c r="S2782" s="82" t="str">
        <f t="shared" si="89"/>
        <v/>
      </c>
    </row>
    <row r="2783" spans="18:19" x14ac:dyDescent="0.25">
      <c r="R2783" s="8" t="str">
        <f t="shared" si="88"/>
        <v/>
      </c>
      <c r="S2783" s="82" t="str">
        <f t="shared" si="89"/>
        <v/>
      </c>
    </row>
    <row r="2784" spans="18:19" x14ac:dyDescent="0.25">
      <c r="R2784" s="8" t="str">
        <f t="shared" si="88"/>
        <v/>
      </c>
      <c r="S2784" s="82" t="str">
        <f t="shared" si="89"/>
        <v/>
      </c>
    </row>
    <row r="2785" spans="18:19" x14ac:dyDescent="0.25">
      <c r="R2785" s="8" t="str">
        <f t="shared" si="88"/>
        <v/>
      </c>
      <c r="S2785" s="82" t="str">
        <f t="shared" si="89"/>
        <v/>
      </c>
    </row>
    <row r="2786" spans="18:19" x14ac:dyDescent="0.25">
      <c r="R2786" s="8" t="str">
        <f t="shared" si="88"/>
        <v/>
      </c>
      <c r="S2786" s="82" t="str">
        <f t="shared" si="89"/>
        <v/>
      </c>
    </row>
    <row r="2787" spans="18:19" x14ac:dyDescent="0.25">
      <c r="R2787" s="8" t="str">
        <f t="shared" si="88"/>
        <v/>
      </c>
      <c r="S2787" s="82" t="str">
        <f t="shared" si="89"/>
        <v/>
      </c>
    </row>
    <row r="2788" spans="18:19" x14ac:dyDescent="0.25">
      <c r="R2788" s="8" t="str">
        <f t="shared" si="88"/>
        <v/>
      </c>
      <c r="S2788" s="82" t="str">
        <f t="shared" si="89"/>
        <v/>
      </c>
    </row>
    <row r="2789" spans="18:19" x14ac:dyDescent="0.25">
      <c r="R2789" s="8" t="str">
        <f t="shared" si="88"/>
        <v/>
      </c>
      <c r="S2789" s="82" t="str">
        <f t="shared" si="89"/>
        <v/>
      </c>
    </row>
    <row r="2790" spans="18:19" x14ac:dyDescent="0.25">
      <c r="R2790" s="8" t="str">
        <f t="shared" si="88"/>
        <v/>
      </c>
      <c r="S2790" s="82" t="str">
        <f t="shared" si="89"/>
        <v/>
      </c>
    </row>
    <row r="2791" spans="18:19" x14ac:dyDescent="0.25">
      <c r="R2791" s="8" t="str">
        <f t="shared" si="88"/>
        <v/>
      </c>
      <c r="S2791" s="82" t="str">
        <f t="shared" si="89"/>
        <v/>
      </c>
    </row>
    <row r="2792" spans="18:19" x14ac:dyDescent="0.25">
      <c r="R2792" s="8" t="str">
        <f t="shared" si="88"/>
        <v/>
      </c>
      <c r="S2792" s="82" t="str">
        <f t="shared" si="89"/>
        <v/>
      </c>
    </row>
    <row r="2793" spans="18:19" x14ac:dyDescent="0.25">
      <c r="R2793" s="8" t="str">
        <f t="shared" si="88"/>
        <v/>
      </c>
      <c r="S2793" s="82" t="str">
        <f t="shared" si="89"/>
        <v/>
      </c>
    </row>
    <row r="2794" spans="18:19" x14ac:dyDescent="0.25">
      <c r="R2794" s="8" t="str">
        <f t="shared" si="88"/>
        <v/>
      </c>
      <c r="S2794" s="82" t="str">
        <f t="shared" si="89"/>
        <v/>
      </c>
    </row>
    <row r="2795" spans="18:19" x14ac:dyDescent="0.25">
      <c r="R2795" s="8" t="str">
        <f t="shared" si="88"/>
        <v/>
      </c>
      <c r="S2795" s="82" t="str">
        <f t="shared" si="89"/>
        <v/>
      </c>
    </row>
    <row r="2796" spans="18:19" x14ac:dyDescent="0.25">
      <c r="R2796" s="8" t="str">
        <f t="shared" si="88"/>
        <v/>
      </c>
      <c r="S2796" s="82" t="str">
        <f t="shared" si="89"/>
        <v/>
      </c>
    </row>
    <row r="2797" spans="18:19" x14ac:dyDescent="0.25">
      <c r="R2797" s="8" t="str">
        <f t="shared" si="88"/>
        <v/>
      </c>
      <c r="S2797" s="82" t="str">
        <f t="shared" si="89"/>
        <v/>
      </c>
    </row>
    <row r="2798" spans="18:19" x14ac:dyDescent="0.25">
      <c r="R2798" s="8" t="str">
        <f t="shared" si="88"/>
        <v/>
      </c>
      <c r="S2798" s="82" t="str">
        <f t="shared" si="89"/>
        <v/>
      </c>
    </row>
    <row r="2799" spans="18:19" x14ac:dyDescent="0.25">
      <c r="R2799" s="8" t="str">
        <f t="shared" si="88"/>
        <v/>
      </c>
      <c r="S2799" s="82" t="str">
        <f t="shared" si="89"/>
        <v/>
      </c>
    </row>
    <row r="2800" spans="18:19" x14ac:dyDescent="0.25">
      <c r="R2800" s="8" t="str">
        <f t="shared" si="88"/>
        <v/>
      </c>
      <c r="S2800" s="82" t="str">
        <f t="shared" si="89"/>
        <v/>
      </c>
    </row>
    <row r="2801" spans="18:19" x14ac:dyDescent="0.25">
      <c r="R2801" s="8" t="str">
        <f t="shared" si="88"/>
        <v/>
      </c>
      <c r="S2801" s="82" t="str">
        <f t="shared" si="89"/>
        <v/>
      </c>
    </row>
    <row r="2802" spans="18:19" x14ac:dyDescent="0.25">
      <c r="R2802" s="8" t="str">
        <f t="shared" si="88"/>
        <v/>
      </c>
      <c r="S2802" s="82" t="str">
        <f t="shared" si="89"/>
        <v/>
      </c>
    </row>
    <row r="2803" spans="18:19" x14ac:dyDescent="0.25">
      <c r="R2803" s="8" t="str">
        <f t="shared" si="88"/>
        <v/>
      </c>
      <c r="S2803" s="82" t="str">
        <f t="shared" si="89"/>
        <v/>
      </c>
    </row>
    <row r="2804" spans="18:19" x14ac:dyDescent="0.25">
      <c r="R2804" s="8" t="str">
        <f t="shared" si="88"/>
        <v/>
      </c>
      <c r="S2804" s="82" t="str">
        <f t="shared" si="89"/>
        <v/>
      </c>
    </row>
    <row r="2805" spans="18:19" x14ac:dyDescent="0.25">
      <c r="R2805" s="8" t="str">
        <f t="shared" si="88"/>
        <v/>
      </c>
      <c r="S2805" s="82" t="str">
        <f t="shared" si="89"/>
        <v/>
      </c>
    </row>
    <row r="2806" spans="18:19" x14ac:dyDescent="0.25">
      <c r="R2806" s="8" t="str">
        <f t="shared" si="88"/>
        <v/>
      </c>
      <c r="S2806" s="82" t="str">
        <f t="shared" si="89"/>
        <v/>
      </c>
    </row>
    <row r="2807" spans="18:19" x14ac:dyDescent="0.25">
      <c r="R2807" s="8" t="str">
        <f t="shared" si="88"/>
        <v/>
      </c>
      <c r="S2807" s="82" t="str">
        <f t="shared" si="89"/>
        <v/>
      </c>
    </row>
    <row r="2808" spans="18:19" x14ac:dyDescent="0.25">
      <c r="R2808" s="8" t="str">
        <f t="shared" si="88"/>
        <v/>
      </c>
      <c r="S2808" s="82" t="str">
        <f t="shared" si="89"/>
        <v/>
      </c>
    </row>
    <row r="2809" spans="18:19" x14ac:dyDescent="0.25">
      <c r="R2809" s="8" t="str">
        <f t="shared" si="88"/>
        <v/>
      </c>
      <c r="S2809" s="82" t="str">
        <f t="shared" si="89"/>
        <v/>
      </c>
    </row>
    <row r="2810" spans="18:19" x14ac:dyDescent="0.25">
      <c r="R2810" s="8" t="str">
        <f t="shared" si="88"/>
        <v/>
      </c>
      <c r="S2810" s="82" t="str">
        <f t="shared" si="89"/>
        <v/>
      </c>
    </row>
    <row r="2811" spans="18:19" x14ac:dyDescent="0.25">
      <c r="R2811" s="8" t="str">
        <f t="shared" si="88"/>
        <v/>
      </c>
      <c r="S2811" s="82" t="str">
        <f t="shared" si="89"/>
        <v/>
      </c>
    </row>
    <row r="2812" spans="18:19" x14ac:dyDescent="0.25">
      <c r="R2812" s="8" t="str">
        <f t="shared" si="88"/>
        <v/>
      </c>
      <c r="S2812" s="82" t="str">
        <f t="shared" si="89"/>
        <v/>
      </c>
    </row>
    <row r="2813" spans="18:19" x14ac:dyDescent="0.25">
      <c r="R2813" s="8" t="str">
        <f t="shared" si="88"/>
        <v/>
      </c>
      <c r="S2813" s="82" t="str">
        <f t="shared" si="89"/>
        <v/>
      </c>
    </row>
    <row r="2814" spans="18:19" x14ac:dyDescent="0.25">
      <c r="R2814" s="8" t="str">
        <f t="shared" si="88"/>
        <v/>
      </c>
      <c r="S2814" s="82" t="str">
        <f t="shared" si="89"/>
        <v/>
      </c>
    </row>
    <row r="2815" spans="18:19" x14ac:dyDescent="0.25">
      <c r="R2815" s="8" t="str">
        <f t="shared" si="88"/>
        <v/>
      </c>
      <c r="S2815" s="82" t="str">
        <f t="shared" si="89"/>
        <v/>
      </c>
    </row>
    <row r="2816" spans="18:19" x14ac:dyDescent="0.25">
      <c r="R2816" s="8" t="str">
        <f t="shared" si="88"/>
        <v/>
      </c>
      <c r="S2816" s="82" t="str">
        <f t="shared" si="89"/>
        <v/>
      </c>
    </row>
    <row r="2817" spans="18:19" x14ac:dyDescent="0.25">
      <c r="R2817" s="8" t="str">
        <f t="shared" si="88"/>
        <v/>
      </c>
      <c r="S2817" s="82" t="str">
        <f t="shared" si="89"/>
        <v/>
      </c>
    </row>
    <row r="2818" spans="18:19" x14ac:dyDescent="0.25">
      <c r="R2818" s="8" t="str">
        <f t="shared" si="88"/>
        <v/>
      </c>
      <c r="S2818" s="82" t="str">
        <f t="shared" si="89"/>
        <v/>
      </c>
    </row>
    <row r="2819" spans="18:19" x14ac:dyDescent="0.25">
      <c r="R2819" s="8" t="str">
        <f t="shared" si="88"/>
        <v/>
      </c>
      <c r="S2819" s="82" t="str">
        <f t="shared" si="89"/>
        <v/>
      </c>
    </row>
    <row r="2820" spans="18:19" x14ac:dyDescent="0.25">
      <c r="R2820" s="8" t="str">
        <f t="shared" si="88"/>
        <v/>
      </c>
      <c r="S2820" s="82" t="str">
        <f t="shared" si="89"/>
        <v/>
      </c>
    </row>
    <row r="2821" spans="18:19" x14ac:dyDescent="0.25">
      <c r="R2821" s="8" t="str">
        <f t="shared" si="88"/>
        <v/>
      </c>
      <c r="S2821" s="82" t="str">
        <f t="shared" si="89"/>
        <v/>
      </c>
    </row>
    <row r="2822" spans="18:19" x14ac:dyDescent="0.25">
      <c r="R2822" s="8" t="str">
        <f t="shared" si="88"/>
        <v/>
      </c>
      <c r="S2822" s="82" t="str">
        <f t="shared" si="89"/>
        <v/>
      </c>
    </row>
    <row r="2823" spans="18:19" x14ac:dyDescent="0.25">
      <c r="R2823" s="8" t="str">
        <f t="shared" si="88"/>
        <v/>
      </c>
      <c r="S2823" s="82" t="str">
        <f t="shared" si="89"/>
        <v/>
      </c>
    </row>
    <row r="2824" spans="18:19" x14ac:dyDescent="0.25">
      <c r="R2824" s="8" t="str">
        <f t="shared" ref="R2824:R2887" si="90">IF(A2824="",(""),(MONTH(A2824)))</f>
        <v/>
      </c>
      <c r="S2824" s="82" t="str">
        <f t="shared" si="89"/>
        <v/>
      </c>
    </row>
    <row r="2825" spans="18:19" x14ac:dyDescent="0.25">
      <c r="R2825" s="8" t="str">
        <f t="shared" si="90"/>
        <v/>
      </c>
      <c r="S2825" s="82" t="str">
        <f t="shared" si="89"/>
        <v/>
      </c>
    </row>
    <row r="2826" spans="18:19" x14ac:dyDescent="0.25">
      <c r="R2826" s="8" t="str">
        <f t="shared" si="90"/>
        <v/>
      </c>
      <c r="S2826" s="82" t="str">
        <f t="shared" si="89"/>
        <v/>
      </c>
    </row>
    <row r="2827" spans="18:19" x14ac:dyDescent="0.25">
      <c r="R2827" s="8" t="str">
        <f t="shared" si="90"/>
        <v/>
      </c>
      <c r="S2827" s="82" t="str">
        <f t="shared" si="89"/>
        <v/>
      </c>
    </row>
    <row r="2828" spans="18:19" x14ac:dyDescent="0.25">
      <c r="R2828" s="8" t="str">
        <f t="shared" si="90"/>
        <v/>
      </c>
      <c r="S2828" s="82" t="str">
        <f t="shared" si="89"/>
        <v/>
      </c>
    </row>
    <row r="2829" spans="18:19" x14ac:dyDescent="0.25">
      <c r="R2829" s="8" t="str">
        <f t="shared" si="90"/>
        <v/>
      </c>
      <c r="S2829" s="82" t="str">
        <f t="shared" si="89"/>
        <v/>
      </c>
    </row>
    <row r="2830" spans="18:19" x14ac:dyDescent="0.25">
      <c r="R2830" s="8" t="str">
        <f t="shared" si="90"/>
        <v/>
      </c>
      <c r="S2830" s="82" t="str">
        <f t="shared" si="89"/>
        <v/>
      </c>
    </row>
    <row r="2831" spans="18:19" x14ac:dyDescent="0.25">
      <c r="R2831" s="8" t="str">
        <f t="shared" si="90"/>
        <v/>
      </c>
      <c r="S2831" s="82" t="str">
        <f t="shared" si="89"/>
        <v/>
      </c>
    </row>
    <row r="2832" spans="18:19" x14ac:dyDescent="0.25">
      <c r="R2832" s="8" t="str">
        <f t="shared" si="90"/>
        <v/>
      </c>
      <c r="S2832" s="82" t="str">
        <f t="shared" si="89"/>
        <v/>
      </c>
    </row>
    <row r="2833" spans="18:19" x14ac:dyDescent="0.25">
      <c r="R2833" s="8" t="str">
        <f t="shared" si="90"/>
        <v/>
      </c>
      <c r="S2833" s="82" t="str">
        <f t="shared" si="89"/>
        <v/>
      </c>
    </row>
    <row r="2834" spans="18:19" x14ac:dyDescent="0.25">
      <c r="R2834" s="8" t="str">
        <f t="shared" si="90"/>
        <v/>
      </c>
      <c r="S2834" s="82" t="str">
        <f t="shared" si="89"/>
        <v/>
      </c>
    </row>
    <row r="2835" spans="18:19" x14ac:dyDescent="0.25">
      <c r="R2835" s="8" t="str">
        <f t="shared" si="90"/>
        <v/>
      </c>
      <c r="S2835" s="82" t="str">
        <f t="shared" si="89"/>
        <v/>
      </c>
    </row>
    <row r="2836" spans="18:19" x14ac:dyDescent="0.25">
      <c r="R2836" s="8" t="str">
        <f t="shared" si="90"/>
        <v/>
      </c>
      <c r="S2836" s="82" t="str">
        <f t="shared" si="89"/>
        <v/>
      </c>
    </row>
    <row r="2837" spans="18:19" x14ac:dyDescent="0.25">
      <c r="R2837" s="8" t="str">
        <f t="shared" si="90"/>
        <v/>
      </c>
      <c r="S2837" s="82" t="str">
        <f t="shared" si="89"/>
        <v/>
      </c>
    </row>
    <row r="2838" spans="18:19" x14ac:dyDescent="0.25">
      <c r="R2838" s="8" t="str">
        <f t="shared" si="90"/>
        <v/>
      </c>
      <c r="S2838" s="82" t="str">
        <f t="shared" ref="S2838:S2901" si="91">IF(O2838&gt;0,(Q2838-O2838),(IF(K2838="USD",(Q2838*J2838),((IF(B2838="",(""),(SUMIF(B2838,"11 - Factura C",(Q2838))-SUMIF(B2838,"13 - Nota de Crédito C",(Q2838))+SUMIF(B2838,"15 - Recibo C",(Q2838))+SUMIF(B2838,"109 - Tique C",(Q2838)))))))))</f>
        <v/>
      </c>
    </row>
    <row r="2839" spans="18:19" x14ac:dyDescent="0.25">
      <c r="R2839" s="8" t="str">
        <f t="shared" si="90"/>
        <v/>
      </c>
      <c r="S2839" s="82" t="str">
        <f t="shared" si="91"/>
        <v/>
      </c>
    </row>
    <row r="2840" spans="18:19" x14ac:dyDescent="0.25">
      <c r="R2840" s="8" t="str">
        <f t="shared" si="90"/>
        <v/>
      </c>
      <c r="S2840" s="82" t="str">
        <f t="shared" si="91"/>
        <v/>
      </c>
    </row>
    <row r="2841" spans="18:19" x14ac:dyDescent="0.25">
      <c r="R2841" s="8" t="str">
        <f t="shared" si="90"/>
        <v/>
      </c>
      <c r="S2841" s="82" t="str">
        <f t="shared" si="91"/>
        <v/>
      </c>
    </row>
    <row r="2842" spans="18:19" x14ac:dyDescent="0.25">
      <c r="R2842" s="8" t="str">
        <f t="shared" si="90"/>
        <v/>
      </c>
      <c r="S2842" s="82" t="str">
        <f t="shared" si="91"/>
        <v/>
      </c>
    </row>
    <row r="2843" spans="18:19" x14ac:dyDescent="0.25">
      <c r="R2843" s="8" t="str">
        <f t="shared" si="90"/>
        <v/>
      </c>
      <c r="S2843" s="82" t="str">
        <f t="shared" si="91"/>
        <v/>
      </c>
    </row>
    <row r="2844" spans="18:19" x14ac:dyDescent="0.25">
      <c r="R2844" s="8" t="str">
        <f t="shared" si="90"/>
        <v/>
      </c>
      <c r="S2844" s="82" t="str">
        <f t="shared" si="91"/>
        <v/>
      </c>
    </row>
    <row r="2845" spans="18:19" x14ac:dyDescent="0.25">
      <c r="R2845" s="8" t="str">
        <f t="shared" si="90"/>
        <v/>
      </c>
      <c r="S2845" s="82" t="str">
        <f t="shared" si="91"/>
        <v/>
      </c>
    </row>
    <row r="2846" spans="18:19" x14ac:dyDescent="0.25">
      <c r="R2846" s="8" t="str">
        <f t="shared" si="90"/>
        <v/>
      </c>
      <c r="S2846" s="82" t="str">
        <f t="shared" si="91"/>
        <v/>
      </c>
    </row>
    <row r="2847" spans="18:19" x14ac:dyDescent="0.25">
      <c r="R2847" s="8" t="str">
        <f t="shared" si="90"/>
        <v/>
      </c>
      <c r="S2847" s="82" t="str">
        <f t="shared" si="91"/>
        <v/>
      </c>
    </row>
    <row r="2848" spans="18:19" x14ac:dyDescent="0.25">
      <c r="R2848" s="8" t="str">
        <f t="shared" si="90"/>
        <v/>
      </c>
      <c r="S2848" s="82" t="str">
        <f t="shared" si="91"/>
        <v/>
      </c>
    </row>
    <row r="2849" spans="18:19" x14ac:dyDescent="0.25">
      <c r="R2849" s="8" t="str">
        <f t="shared" si="90"/>
        <v/>
      </c>
      <c r="S2849" s="82" t="str">
        <f t="shared" si="91"/>
        <v/>
      </c>
    </row>
    <row r="2850" spans="18:19" x14ac:dyDescent="0.25">
      <c r="R2850" s="8" t="str">
        <f t="shared" si="90"/>
        <v/>
      </c>
      <c r="S2850" s="82" t="str">
        <f t="shared" si="91"/>
        <v/>
      </c>
    </row>
    <row r="2851" spans="18:19" x14ac:dyDescent="0.25">
      <c r="R2851" s="8" t="str">
        <f t="shared" si="90"/>
        <v/>
      </c>
      <c r="S2851" s="82" t="str">
        <f t="shared" si="91"/>
        <v/>
      </c>
    </row>
    <row r="2852" spans="18:19" x14ac:dyDescent="0.25">
      <c r="R2852" s="8" t="str">
        <f t="shared" si="90"/>
        <v/>
      </c>
      <c r="S2852" s="82" t="str">
        <f t="shared" si="91"/>
        <v/>
      </c>
    </row>
    <row r="2853" spans="18:19" x14ac:dyDescent="0.25">
      <c r="R2853" s="8" t="str">
        <f t="shared" si="90"/>
        <v/>
      </c>
      <c r="S2853" s="82" t="str">
        <f t="shared" si="91"/>
        <v/>
      </c>
    </row>
    <row r="2854" spans="18:19" x14ac:dyDescent="0.25">
      <c r="R2854" s="8" t="str">
        <f t="shared" si="90"/>
        <v/>
      </c>
      <c r="S2854" s="82" t="str">
        <f t="shared" si="91"/>
        <v/>
      </c>
    </row>
    <row r="2855" spans="18:19" x14ac:dyDescent="0.25">
      <c r="R2855" s="8" t="str">
        <f t="shared" si="90"/>
        <v/>
      </c>
      <c r="S2855" s="82" t="str">
        <f t="shared" si="91"/>
        <v/>
      </c>
    </row>
    <row r="2856" spans="18:19" x14ac:dyDescent="0.25">
      <c r="R2856" s="8" t="str">
        <f t="shared" si="90"/>
        <v/>
      </c>
      <c r="S2856" s="82" t="str">
        <f t="shared" si="91"/>
        <v/>
      </c>
    </row>
    <row r="2857" spans="18:19" x14ac:dyDescent="0.25">
      <c r="R2857" s="8" t="str">
        <f t="shared" si="90"/>
        <v/>
      </c>
      <c r="S2857" s="82" t="str">
        <f t="shared" si="91"/>
        <v/>
      </c>
    </row>
    <row r="2858" spans="18:19" x14ac:dyDescent="0.25">
      <c r="R2858" s="8" t="str">
        <f t="shared" si="90"/>
        <v/>
      </c>
      <c r="S2858" s="82" t="str">
        <f t="shared" si="91"/>
        <v/>
      </c>
    </row>
    <row r="2859" spans="18:19" x14ac:dyDescent="0.25">
      <c r="R2859" s="8" t="str">
        <f t="shared" si="90"/>
        <v/>
      </c>
      <c r="S2859" s="82" t="str">
        <f t="shared" si="91"/>
        <v/>
      </c>
    </row>
    <row r="2860" spans="18:19" x14ac:dyDescent="0.25">
      <c r="R2860" s="8" t="str">
        <f t="shared" si="90"/>
        <v/>
      </c>
      <c r="S2860" s="82" t="str">
        <f t="shared" si="91"/>
        <v/>
      </c>
    </row>
    <row r="2861" spans="18:19" x14ac:dyDescent="0.25">
      <c r="R2861" s="8" t="str">
        <f t="shared" si="90"/>
        <v/>
      </c>
      <c r="S2861" s="82" t="str">
        <f t="shared" si="91"/>
        <v/>
      </c>
    </row>
    <row r="2862" spans="18:19" x14ac:dyDescent="0.25">
      <c r="R2862" s="8" t="str">
        <f t="shared" si="90"/>
        <v/>
      </c>
      <c r="S2862" s="82" t="str">
        <f t="shared" si="91"/>
        <v/>
      </c>
    </row>
    <row r="2863" spans="18:19" x14ac:dyDescent="0.25">
      <c r="R2863" s="8" t="str">
        <f t="shared" si="90"/>
        <v/>
      </c>
      <c r="S2863" s="82" t="str">
        <f t="shared" si="91"/>
        <v/>
      </c>
    </row>
    <row r="2864" spans="18:19" x14ac:dyDescent="0.25">
      <c r="R2864" s="8" t="str">
        <f t="shared" si="90"/>
        <v/>
      </c>
      <c r="S2864" s="82" t="str">
        <f t="shared" si="91"/>
        <v/>
      </c>
    </row>
    <row r="2865" spans="18:19" x14ac:dyDescent="0.25">
      <c r="R2865" s="8" t="str">
        <f t="shared" si="90"/>
        <v/>
      </c>
      <c r="S2865" s="82" t="str">
        <f t="shared" si="91"/>
        <v/>
      </c>
    </row>
    <row r="2866" spans="18:19" x14ac:dyDescent="0.25">
      <c r="R2866" s="8" t="str">
        <f t="shared" si="90"/>
        <v/>
      </c>
      <c r="S2866" s="82" t="str">
        <f t="shared" si="91"/>
        <v/>
      </c>
    </row>
    <row r="2867" spans="18:19" x14ac:dyDescent="0.25">
      <c r="R2867" s="8" t="str">
        <f t="shared" si="90"/>
        <v/>
      </c>
      <c r="S2867" s="82" t="str">
        <f t="shared" si="91"/>
        <v/>
      </c>
    </row>
    <row r="2868" spans="18:19" x14ac:dyDescent="0.25">
      <c r="R2868" s="8" t="str">
        <f t="shared" si="90"/>
        <v/>
      </c>
      <c r="S2868" s="82" t="str">
        <f t="shared" si="91"/>
        <v/>
      </c>
    </row>
    <row r="2869" spans="18:19" x14ac:dyDescent="0.25">
      <c r="R2869" s="8" t="str">
        <f t="shared" si="90"/>
        <v/>
      </c>
      <c r="S2869" s="82" t="str">
        <f t="shared" si="91"/>
        <v/>
      </c>
    </row>
    <row r="2870" spans="18:19" x14ac:dyDescent="0.25">
      <c r="R2870" s="8" t="str">
        <f t="shared" si="90"/>
        <v/>
      </c>
      <c r="S2870" s="82" t="str">
        <f t="shared" si="91"/>
        <v/>
      </c>
    </row>
    <row r="2871" spans="18:19" x14ac:dyDescent="0.25">
      <c r="R2871" s="8" t="str">
        <f t="shared" si="90"/>
        <v/>
      </c>
      <c r="S2871" s="82" t="str">
        <f t="shared" si="91"/>
        <v/>
      </c>
    </row>
    <row r="2872" spans="18:19" x14ac:dyDescent="0.25">
      <c r="R2872" s="8" t="str">
        <f t="shared" si="90"/>
        <v/>
      </c>
      <c r="S2872" s="82" t="str">
        <f t="shared" si="91"/>
        <v/>
      </c>
    </row>
    <row r="2873" spans="18:19" x14ac:dyDescent="0.25">
      <c r="R2873" s="8" t="str">
        <f t="shared" si="90"/>
        <v/>
      </c>
      <c r="S2873" s="82" t="str">
        <f t="shared" si="91"/>
        <v/>
      </c>
    </row>
    <row r="2874" spans="18:19" x14ac:dyDescent="0.25">
      <c r="R2874" s="8" t="str">
        <f t="shared" si="90"/>
        <v/>
      </c>
      <c r="S2874" s="82" t="str">
        <f t="shared" si="91"/>
        <v/>
      </c>
    </row>
    <row r="2875" spans="18:19" x14ac:dyDescent="0.25">
      <c r="R2875" s="8" t="str">
        <f t="shared" si="90"/>
        <v/>
      </c>
      <c r="S2875" s="82" t="str">
        <f t="shared" si="91"/>
        <v/>
      </c>
    </row>
    <row r="2876" spans="18:19" x14ac:dyDescent="0.25">
      <c r="R2876" s="8" t="str">
        <f t="shared" si="90"/>
        <v/>
      </c>
      <c r="S2876" s="82" t="str">
        <f t="shared" si="91"/>
        <v/>
      </c>
    </row>
    <row r="2877" spans="18:19" x14ac:dyDescent="0.25">
      <c r="R2877" s="8" t="str">
        <f t="shared" si="90"/>
        <v/>
      </c>
      <c r="S2877" s="82" t="str">
        <f t="shared" si="91"/>
        <v/>
      </c>
    </row>
    <row r="2878" spans="18:19" x14ac:dyDescent="0.25">
      <c r="R2878" s="8" t="str">
        <f t="shared" si="90"/>
        <v/>
      </c>
      <c r="S2878" s="82" t="str">
        <f t="shared" si="91"/>
        <v/>
      </c>
    </row>
    <row r="2879" spans="18:19" x14ac:dyDescent="0.25">
      <c r="R2879" s="8" t="str">
        <f t="shared" si="90"/>
        <v/>
      </c>
      <c r="S2879" s="82" t="str">
        <f t="shared" si="91"/>
        <v/>
      </c>
    </row>
    <row r="2880" spans="18:19" x14ac:dyDescent="0.25">
      <c r="R2880" s="8" t="str">
        <f t="shared" si="90"/>
        <v/>
      </c>
      <c r="S2880" s="82" t="str">
        <f t="shared" si="91"/>
        <v/>
      </c>
    </row>
    <row r="2881" spans="18:19" x14ac:dyDescent="0.25">
      <c r="R2881" s="8" t="str">
        <f t="shared" si="90"/>
        <v/>
      </c>
      <c r="S2881" s="82" t="str">
        <f t="shared" si="91"/>
        <v/>
      </c>
    </row>
    <row r="2882" spans="18:19" x14ac:dyDescent="0.25">
      <c r="R2882" s="8" t="str">
        <f t="shared" si="90"/>
        <v/>
      </c>
      <c r="S2882" s="82" t="str">
        <f t="shared" si="91"/>
        <v/>
      </c>
    </row>
    <row r="2883" spans="18:19" x14ac:dyDescent="0.25">
      <c r="R2883" s="8" t="str">
        <f t="shared" si="90"/>
        <v/>
      </c>
      <c r="S2883" s="82" t="str">
        <f t="shared" si="91"/>
        <v/>
      </c>
    </row>
    <row r="2884" spans="18:19" x14ac:dyDescent="0.25">
      <c r="R2884" s="8" t="str">
        <f t="shared" si="90"/>
        <v/>
      </c>
      <c r="S2884" s="82" t="str">
        <f t="shared" si="91"/>
        <v/>
      </c>
    </row>
    <row r="2885" spans="18:19" x14ac:dyDescent="0.25">
      <c r="R2885" s="8" t="str">
        <f t="shared" si="90"/>
        <v/>
      </c>
      <c r="S2885" s="82" t="str">
        <f t="shared" si="91"/>
        <v/>
      </c>
    </row>
    <row r="2886" spans="18:19" x14ac:dyDescent="0.25">
      <c r="R2886" s="8" t="str">
        <f t="shared" si="90"/>
        <v/>
      </c>
      <c r="S2886" s="82" t="str">
        <f t="shared" si="91"/>
        <v/>
      </c>
    </row>
    <row r="2887" spans="18:19" x14ac:dyDescent="0.25">
      <c r="R2887" s="8" t="str">
        <f t="shared" si="90"/>
        <v/>
      </c>
      <c r="S2887" s="82" t="str">
        <f t="shared" si="91"/>
        <v/>
      </c>
    </row>
    <row r="2888" spans="18:19" x14ac:dyDescent="0.25">
      <c r="R2888" s="8" t="str">
        <f t="shared" ref="R2888:R2951" si="92">IF(A2888="",(""),(MONTH(A2888)))</f>
        <v/>
      </c>
      <c r="S2888" s="82" t="str">
        <f t="shared" si="91"/>
        <v/>
      </c>
    </row>
    <row r="2889" spans="18:19" x14ac:dyDescent="0.25">
      <c r="R2889" s="8" t="str">
        <f t="shared" si="92"/>
        <v/>
      </c>
      <c r="S2889" s="82" t="str">
        <f t="shared" si="91"/>
        <v/>
      </c>
    </row>
    <row r="2890" spans="18:19" x14ac:dyDescent="0.25">
      <c r="R2890" s="8" t="str">
        <f t="shared" si="92"/>
        <v/>
      </c>
      <c r="S2890" s="82" t="str">
        <f t="shared" si="91"/>
        <v/>
      </c>
    </row>
    <row r="2891" spans="18:19" x14ac:dyDescent="0.25">
      <c r="R2891" s="8" t="str">
        <f t="shared" si="92"/>
        <v/>
      </c>
      <c r="S2891" s="82" t="str">
        <f t="shared" si="91"/>
        <v/>
      </c>
    </row>
    <row r="2892" spans="18:19" x14ac:dyDescent="0.25">
      <c r="R2892" s="8" t="str">
        <f t="shared" si="92"/>
        <v/>
      </c>
      <c r="S2892" s="82" t="str">
        <f t="shared" si="91"/>
        <v/>
      </c>
    </row>
    <row r="2893" spans="18:19" x14ac:dyDescent="0.25">
      <c r="R2893" s="8" t="str">
        <f t="shared" si="92"/>
        <v/>
      </c>
      <c r="S2893" s="82" t="str">
        <f t="shared" si="91"/>
        <v/>
      </c>
    </row>
    <row r="2894" spans="18:19" x14ac:dyDescent="0.25">
      <c r="R2894" s="8" t="str">
        <f t="shared" si="92"/>
        <v/>
      </c>
      <c r="S2894" s="82" t="str">
        <f t="shared" si="91"/>
        <v/>
      </c>
    </row>
    <row r="2895" spans="18:19" x14ac:dyDescent="0.25">
      <c r="R2895" s="8" t="str">
        <f t="shared" si="92"/>
        <v/>
      </c>
      <c r="S2895" s="82" t="str">
        <f t="shared" si="91"/>
        <v/>
      </c>
    </row>
    <row r="2896" spans="18:19" x14ac:dyDescent="0.25">
      <c r="R2896" s="8" t="str">
        <f t="shared" si="92"/>
        <v/>
      </c>
      <c r="S2896" s="82" t="str">
        <f t="shared" si="91"/>
        <v/>
      </c>
    </row>
    <row r="2897" spans="18:19" x14ac:dyDescent="0.25">
      <c r="R2897" s="8" t="str">
        <f t="shared" si="92"/>
        <v/>
      </c>
      <c r="S2897" s="82" t="str">
        <f t="shared" si="91"/>
        <v/>
      </c>
    </row>
    <row r="2898" spans="18:19" x14ac:dyDescent="0.25">
      <c r="R2898" s="8" t="str">
        <f t="shared" si="92"/>
        <v/>
      </c>
      <c r="S2898" s="82" t="str">
        <f t="shared" si="91"/>
        <v/>
      </c>
    </row>
    <row r="2899" spans="18:19" x14ac:dyDescent="0.25">
      <c r="R2899" s="8" t="str">
        <f t="shared" si="92"/>
        <v/>
      </c>
      <c r="S2899" s="82" t="str">
        <f t="shared" si="91"/>
        <v/>
      </c>
    </row>
    <row r="2900" spans="18:19" x14ac:dyDescent="0.25">
      <c r="R2900" s="8" t="str">
        <f t="shared" si="92"/>
        <v/>
      </c>
      <c r="S2900" s="82" t="str">
        <f t="shared" si="91"/>
        <v/>
      </c>
    </row>
    <row r="2901" spans="18:19" x14ac:dyDescent="0.25">
      <c r="R2901" s="8" t="str">
        <f t="shared" si="92"/>
        <v/>
      </c>
      <c r="S2901" s="82" t="str">
        <f t="shared" si="91"/>
        <v/>
      </c>
    </row>
    <row r="2902" spans="18:19" x14ac:dyDescent="0.25">
      <c r="R2902" s="8" t="str">
        <f t="shared" si="92"/>
        <v/>
      </c>
      <c r="S2902" s="82" t="str">
        <f t="shared" ref="S2902:S2965" si="93">IF(O2902&gt;0,(Q2902-O2902),(IF(K2902="USD",(Q2902*J2902),((IF(B2902="",(""),(SUMIF(B2902,"11 - Factura C",(Q2902))-SUMIF(B2902,"13 - Nota de Crédito C",(Q2902))+SUMIF(B2902,"15 - Recibo C",(Q2902))+SUMIF(B2902,"109 - Tique C",(Q2902)))))))))</f>
        <v/>
      </c>
    </row>
    <row r="2903" spans="18:19" x14ac:dyDescent="0.25">
      <c r="R2903" s="8" t="str">
        <f t="shared" si="92"/>
        <v/>
      </c>
      <c r="S2903" s="82" t="str">
        <f t="shared" si="93"/>
        <v/>
      </c>
    </row>
    <row r="2904" spans="18:19" x14ac:dyDescent="0.25">
      <c r="R2904" s="8" t="str">
        <f t="shared" si="92"/>
        <v/>
      </c>
      <c r="S2904" s="82" t="str">
        <f t="shared" si="93"/>
        <v/>
      </c>
    </row>
    <row r="2905" spans="18:19" x14ac:dyDescent="0.25">
      <c r="R2905" s="8" t="str">
        <f t="shared" si="92"/>
        <v/>
      </c>
      <c r="S2905" s="82" t="str">
        <f t="shared" si="93"/>
        <v/>
      </c>
    </row>
    <row r="2906" spans="18:19" x14ac:dyDescent="0.25">
      <c r="R2906" s="8" t="str">
        <f t="shared" si="92"/>
        <v/>
      </c>
      <c r="S2906" s="82" t="str">
        <f t="shared" si="93"/>
        <v/>
      </c>
    </row>
    <row r="2907" spans="18:19" x14ac:dyDescent="0.25">
      <c r="R2907" s="8" t="str">
        <f t="shared" si="92"/>
        <v/>
      </c>
      <c r="S2907" s="82" t="str">
        <f t="shared" si="93"/>
        <v/>
      </c>
    </row>
    <row r="2908" spans="18:19" x14ac:dyDescent="0.25">
      <c r="R2908" s="8" t="str">
        <f t="shared" si="92"/>
        <v/>
      </c>
      <c r="S2908" s="82" t="str">
        <f t="shared" si="93"/>
        <v/>
      </c>
    </row>
    <row r="2909" spans="18:19" x14ac:dyDescent="0.25">
      <c r="R2909" s="8" t="str">
        <f t="shared" si="92"/>
        <v/>
      </c>
      <c r="S2909" s="82" t="str">
        <f t="shared" si="93"/>
        <v/>
      </c>
    </row>
    <row r="2910" spans="18:19" x14ac:dyDescent="0.25">
      <c r="R2910" s="8" t="str">
        <f t="shared" si="92"/>
        <v/>
      </c>
      <c r="S2910" s="82" t="str">
        <f t="shared" si="93"/>
        <v/>
      </c>
    </row>
    <row r="2911" spans="18:19" x14ac:dyDescent="0.25">
      <c r="R2911" s="8" t="str">
        <f t="shared" si="92"/>
        <v/>
      </c>
      <c r="S2911" s="82" t="str">
        <f t="shared" si="93"/>
        <v/>
      </c>
    </row>
    <row r="2912" spans="18:19" x14ac:dyDescent="0.25">
      <c r="R2912" s="8" t="str">
        <f t="shared" si="92"/>
        <v/>
      </c>
      <c r="S2912" s="82" t="str">
        <f t="shared" si="93"/>
        <v/>
      </c>
    </row>
    <row r="2913" spans="18:19" x14ac:dyDescent="0.25">
      <c r="R2913" s="8" t="str">
        <f t="shared" si="92"/>
        <v/>
      </c>
      <c r="S2913" s="82" t="str">
        <f t="shared" si="93"/>
        <v/>
      </c>
    </row>
    <row r="2914" spans="18:19" x14ac:dyDescent="0.25">
      <c r="R2914" s="8" t="str">
        <f t="shared" si="92"/>
        <v/>
      </c>
      <c r="S2914" s="82" t="str">
        <f t="shared" si="93"/>
        <v/>
      </c>
    </row>
    <row r="2915" spans="18:19" x14ac:dyDescent="0.25">
      <c r="R2915" s="8" t="str">
        <f t="shared" si="92"/>
        <v/>
      </c>
      <c r="S2915" s="82" t="str">
        <f t="shared" si="93"/>
        <v/>
      </c>
    </row>
    <row r="2916" spans="18:19" x14ac:dyDescent="0.25">
      <c r="R2916" s="8" t="str">
        <f t="shared" si="92"/>
        <v/>
      </c>
      <c r="S2916" s="82" t="str">
        <f t="shared" si="93"/>
        <v/>
      </c>
    </row>
    <row r="2917" spans="18:19" x14ac:dyDescent="0.25">
      <c r="R2917" s="8" t="str">
        <f t="shared" si="92"/>
        <v/>
      </c>
      <c r="S2917" s="82" t="str">
        <f t="shared" si="93"/>
        <v/>
      </c>
    </row>
    <row r="2918" spans="18:19" x14ac:dyDescent="0.25">
      <c r="R2918" s="8" t="str">
        <f t="shared" si="92"/>
        <v/>
      </c>
      <c r="S2918" s="82" t="str">
        <f t="shared" si="93"/>
        <v/>
      </c>
    </row>
    <row r="2919" spans="18:19" x14ac:dyDescent="0.25">
      <c r="R2919" s="8" t="str">
        <f t="shared" si="92"/>
        <v/>
      </c>
      <c r="S2919" s="82" t="str">
        <f t="shared" si="93"/>
        <v/>
      </c>
    </row>
    <row r="2920" spans="18:19" x14ac:dyDescent="0.25">
      <c r="R2920" s="8" t="str">
        <f t="shared" si="92"/>
        <v/>
      </c>
      <c r="S2920" s="82" t="str">
        <f t="shared" si="93"/>
        <v/>
      </c>
    </row>
    <row r="2921" spans="18:19" x14ac:dyDescent="0.25">
      <c r="R2921" s="8" t="str">
        <f t="shared" si="92"/>
        <v/>
      </c>
      <c r="S2921" s="82" t="str">
        <f t="shared" si="93"/>
        <v/>
      </c>
    </row>
    <row r="2922" spans="18:19" x14ac:dyDescent="0.25">
      <c r="R2922" s="8" t="str">
        <f t="shared" si="92"/>
        <v/>
      </c>
      <c r="S2922" s="82" t="str">
        <f t="shared" si="93"/>
        <v/>
      </c>
    </row>
    <row r="2923" spans="18:19" x14ac:dyDescent="0.25">
      <c r="R2923" s="8" t="str">
        <f t="shared" si="92"/>
        <v/>
      </c>
      <c r="S2923" s="82" t="str">
        <f t="shared" si="93"/>
        <v/>
      </c>
    </row>
    <row r="2924" spans="18:19" x14ac:dyDescent="0.25">
      <c r="R2924" s="8" t="str">
        <f t="shared" si="92"/>
        <v/>
      </c>
      <c r="S2924" s="82" t="str">
        <f t="shared" si="93"/>
        <v/>
      </c>
    </row>
    <row r="2925" spans="18:19" x14ac:dyDescent="0.25">
      <c r="R2925" s="8" t="str">
        <f t="shared" si="92"/>
        <v/>
      </c>
      <c r="S2925" s="82" t="str">
        <f t="shared" si="93"/>
        <v/>
      </c>
    </row>
    <row r="2926" spans="18:19" x14ac:dyDescent="0.25">
      <c r="R2926" s="8" t="str">
        <f t="shared" si="92"/>
        <v/>
      </c>
      <c r="S2926" s="82" t="str">
        <f t="shared" si="93"/>
        <v/>
      </c>
    </row>
    <row r="2927" spans="18:19" x14ac:dyDescent="0.25">
      <c r="R2927" s="8" t="str">
        <f t="shared" si="92"/>
        <v/>
      </c>
      <c r="S2927" s="82" t="str">
        <f t="shared" si="93"/>
        <v/>
      </c>
    </row>
    <row r="2928" spans="18:19" x14ac:dyDescent="0.25">
      <c r="R2928" s="8" t="str">
        <f t="shared" si="92"/>
        <v/>
      </c>
      <c r="S2928" s="82" t="str">
        <f t="shared" si="93"/>
        <v/>
      </c>
    </row>
    <row r="2929" spans="18:19" x14ac:dyDescent="0.25">
      <c r="R2929" s="8" t="str">
        <f t="shared" si="92"/>
        <v/>
      </c>
      <c r="S2929" s="82" t="str">
        <f t="shared" si="93"/>
        <v/>
      </c>
    </row>
    <row r="2930" spans="18:19" x14ac:dyDescent="0.25">
      <c r="R2930" s="8" t="str">
        <f t="shared" si="92"/>
        <v/>
      </c>
      <c r="S2930" s="82" t="str">
        <f t="shared" si="93"/>
        <v/>
      </c>
    </row>
    <row r="2931" spans="18:19" x14ac:dyDescent="0.25">
      <c r="R2931" s="8" t="str">
        <f t="shared" si="92"/>
        <v/>
      </c>
      <c r="S2931" s="82" t="str">
        <f t="shared" si="93"/>
        <v/>
      </c>
    </row>
    <row r="2932" spans="18:19" x14ac:dyDescent="0.25">
      <c r="R2932" s="8" t="str">
        <f t="shared" si="92"/>
        <v/>
      </c>
      <c r="S2932" s="82" t="str">
        <f t="shared" si="93"/>
        <v/>
      </c>
    </row>
    <row r="2933" spans="18:19" x14ac:dyDescent="0.25">
      <c r="R2933" s="8" t="str">
        <f t="shared" si="92"/>
        <v/>
      </c>
      <c r="S2933" s="82" t="str">
        <f t="shared" si="93"/>
        <v/>
      </c>
    </row>
    <row r="2934" spans="18:19" x14ac:dyDescent="0.25">
      <c r="R2934" s="8" t="str">
        <f t="shared" si="92"/>
        <v/>
      </c>
      <c r="S2934" s="82" t="str">
        <f t="shared" si="93"/>
        <v/>
      </c>
    </row>
    <row r="2935" spans="18:19" x14ac:dyDescent="0.25">
      <c r="R2935" s="8" t="str">
        <f t="shared" si="92"/>
        <v/>
      </c>
      <c r="S2935" s="82" t="str">
        <f t="shared" si="93"/>
        <v/>
      </c>
    </row>
    <row r="2936" spans="18:19" x14ac:dyDescent="0.25">
      <c r="R2936" s="8" t="str">
        <f t="shared" si="92"/>
        <v/>
      </c>
      <c r="S2936" s="82" t="str">
        <f t="shared" si="93"/>
        <v/>
      </c>
    </row>
    <row r="2937" spans="18:19" x14ac:dyDescent="0.25">
      <c r="R2937" s="8" t="str">
        <f t="shared" si="92"/>
        <v/>
      </c>
      <c r="S2937" s="82" t="str">
        <f t="shared" si="93"/>
        <v/>
      </c>
    </row>
    <row r="2938" spans="18:19" x14ac:dyDescent="0.25">
      <c r="R2938" s="8" t="str">
        <f t="shared" si="92"/>
        <v/>
      </c>
      <c r="S2938" s="82" t="str">
        <f t="shared" si="93"/>
        <v/>
      </c>
    </row>
    <row r="2939" spans="18:19" x14ac:dyDescent="0.25">
      <c r="R2939" s="8" t="str">
        <f t="shared" si="92"/>
        <v/>
      </c>
      <c r="S2939" s="82" t="str">
        <f t="shared" si="93"/>
        <v/>
      </c>
    </row>
    <row r="2940" spans="18:19" x14ac:dyDescent="0.25">
      <c r="R2940" s="8" t="str">
        <f t="shared" si="92"/>
        <v/>
      </c>
      <c r="S2940" s="82" t="str">
        <f t="shared" si="93"/>
        <v/>
      </c>
    </row>
    <row r="2941" spans="18:19" x14ac:dyDescent="0.25">
      <c r="R2941" s="8" t="str">
        <f t="shared" si="92"/>
        <v/>
      </c>
      <c r="S2941" s="82" t="str">
        <f t="shared" si="93"/>
        <v/>
      </c>
    </row>
    <row r="2942" spans="18:19" x14ac:dyDescent="0.25">
      <c r="R2942" s="8" t="str">
        <f t="shared" si="92"/>
        <v/>
      </c>
      <c r="S2942" s="82" t="str">
        <f t="shared" si="93"/>
        <v/>
      </c>
    </row>
    <row r="2943" spans="18:19" x14ac:dyDescent="0.25">
      <c r="R2943" s="8" t="str">
        <f t="shared" si="92"/>
        <v/>
      </c>
      <c r="S2943" s="82" t="str">
        <f t="shared" si="93"/>
        <v/>
      </c>
    </row>
    <row r="2944" spans="18:19" x14ac:dyDescent="0.25">
      <c r="R2944" s="8" t="str">
        <f t="shared" si="92"/>
        <v/>
      </c>
      <c r="S2944" s="82" t="str">
        <f t="shared" si="93"/>
        <v/>
      </c>
    </row>
    <row r="2945" spans="18:19" x14ac:dyDescent="0.25">
      <c r="R2945" s="8" t="str">
        <f t="shared" si="92"/>
        <v/>
      </c>
      <c r="S2945" s="82" t="str">
        <f t="shared" si="93"/>
        <v/>
      </c>
    </row>
    <row r="2946" spans="18:19" x14ac:dyDescent="0.25">
      <c r="R2946" s="8" t="str">
        <f t="shared" si="92"/>
        <v/>
      </c>
      <c r="S2946" s="82" t="str">
        <f t="shared" si="93"/>
        <v/>
      </c>
    </row>
    <row r="2947" spans="18:19" x14ac:dyDescent="0.25">
      <c r="R2947" s="8" t="str">
        <f t="shared" si="92"/>
        <v/>
      </c>
      <c r="S2947" s="82" t="str">
        <f t="shared" si="93"/>
        <v/>
      </c>
    </row>
    <row r="2948" spans="18:19" x14ac:dyDescent="0.25">
      <c r="R2948" s="8" t="str">
        <f t="shared" si="92"/>
        <v/>
      </c>
      <c r="S2948" s="82" t="str">
        <f t="shared" si="93"/>
        <v/>
      </c>
    </row>
    <row r="2949" spans="18:19" x14ac:dyDescent="0.25">
      <c r="R2949" s="8" t="str">
        <f t="shared" si="92"/>
        <v/>
      </c>
      <c r="S2949" s="82" t="str">
        <f t="shared" si="93"/>
        <v/>
      </c>
    </row>
    <row r="2950" spans="18:19" x14ac:dyDescent="0.25">
      <c r="R2950" s="8" t="str">
        <f t="shared" si="92"/>
        <v/>
      </c>
      <c r="S2950" s="82" t="str">
        <f t="shared" si="93"/>
        <v/>
      </c>
    </row>
    <row r="2951" spans="18:19" x14ac:dyDescent="0.25">
      <c r="R2951" s="8" t="str">
        <f t="shared" si="92"/>
        <v/>
      </c>
      <c r="S2951" s="82" t="str">
        <f t="shared" si="93"/>
        <v/>
      </c>
    </row>
    <row r="2952" spans="18:19" x14ac:dyDescent="0.25">
      <c r="R2952" s="8" t="str">
        <f t="shared" ref="R2952:R3015" si="94">IF(A2952="",(""),(MONTH(A2952)))</f>
        <v/>
      </c>
      <c r="S2952" s="82" t="str">
        <f t="shared" si="93"/>
        <v/>
      </c>
    </row>
    <row r="2953" spans="18:19" x14ac:dyDescent="0.25">
      <c r="R2953" s="8" t="str">
        <f t="shared" si="94"/>
        <v/>
      </c>
      <c r="S2953" s="82" t="str">
        <f t="shared" si="93"/>
        <v/>
      </c>
    </row>
    <row r="2954" spans="18:19" x14ac:dyDescent="0.25">
      <c r="R2954" s="8" t="str">
        <f t="shared" si="94"/>
        <v/>
      </c>
      <c r="S2954" s="82" t="str">
        <f t="shared" si="93"/>
        <v/>
      </c>
    </row>
    <row r="2955" spans="18:19" x14ac:dyDescent="0.25">
      <c r="R2955" s="8" t="str">
        <f t="shared" si="94"/>
        <v/>
      </c>
      <c r="S2955" s="82" t="str">
        <f t="shared" si="93"/>
        <v/>
      </c>
    </row>
    <row r="2956" spans="18:19" x14ac:dyDescent="0.25">
      <c r="R2956" s="8" t="str">
        <f t="shared" si="94"/>
        <v/>
      </c>
      <c r="S2956" s="82" t="str">
        <f t="shared" si="93"/>
        <v/>
      </c>
    </row>
    <row r="2957" spans="18:19" x14ac:dyDescent="0.25">
      <c r="R2957" s="8" t="str">
        <f t="shared" si="94"/>
        <v/>
      </c>
      <c r="S2957" s="82" t="str">
        <f t="shared" si="93"/>
        <v/>
      </c>
    </row>
    <row r="2958" spans="18:19" x14ac:dyDescent="0.25">
      <c r="R2958" s="8" t="str">
        <f t="shared" si="94"/>
        <v/>
      </c>
      <c r="S2958" s="82" t="str">
        <f t="shared" si="93"/>
        <v/>
      </c>
    </row>
    <row r="2959" spans="18:19" x14ac:dyDescent="0.25">
      <c r="R2959" s="8" t="str">
        <f t="shared" si="94"/>
        <v/>
      </c>
      <c r="S2959" s="82" t="str">
        <f t="shared" si="93"/>
        <v/>
      </c>
    </row>
    <row r="2960" spans="18:19" x14ac:dyDescent="0.25">
      <c r="R2960" s="8" t="str">
        <f t="shared" si="94"/>
        <v/>
      </c>
      <c r="S2960" s="82" t="str">
        <f t="shared" si="93"/>
        <v/>
      </c>
    </row>
    <row r="2961" spans="18:19" x14ac:dyDescent="0.25">
      <c r="R2961" s="8" t="str">
        <f t="shared" si="94"/>
        <v/>
      </c>
      <c r="S2961" s="82" t="str">
        <f t="shared" si="93"/>
        <v/>
      </c>
    </row>
    <row r="2962" spans="18:19" x14ac:dyDescent="0.25">
      <c r="R2962" s="8" t="str">
        <f t="shared" si="94"/>
        <v/>
      </c>
      <c r="S2962" s="82" t="str">
        <f t="shared" si="93"/>
        <v/>
      </c>
    </row>
    <row r="2963" spans="18:19" x14ac:dyDescent="0.25">
      <c r="R2963" s="8" t="str">
        <f t="shared" si="94"/>
        <v/>
      </c>
      <c r="S2963" s="82" t="str">
        <f t="shared" si="93"/>
        <v/>
      </c>
    </row>
    <row r="2964" spans="18:19" x14ac:dyDescent="0.25">
      <c r="R2964" s="8" t="str">
        <f t="shared" si="94"/>
        <v/>
      </c>
      <c r="S2964" s="82" t="str">
        <f t="shared" si="93"/>
        <v/>
      </c>
    </row>
    <row r="2965" spans="18:19" x14ac:dyDescent="0.25">
      <c r="R2965" s="8" t="str">
        <f t="shared" si="94"/>
        <v/>
      </c>
      <c r="S2965" s="82" t="str">
        <f t="shared" si="93"/>
        <v/>
      </c>
    </row>
    <row r="2966" spans="18:19" x14ac:dyDescent="0.25">
      <c r="R2966" s="8" t="str">
        <f t="shared" si="94"/>
        <v/>
      </c>
      <c r="S2966" s="82" t="str">
        <f t="shared" ref="S2966:S3029" si="95">IF(O2966&gt;0,(Q2966-O2966),(IF(K2966="USD",(Q2966*J2966),((IF(B2966="",(""),(SUMIF(B2966,"11 - Factura C",(Q2966))-SUMIF(B2966,"13 - Nota de Crédito C",(Q2966))+SUMIF(B2966,"15 - Recibo C",(Q2966))+SUMIF(B2966,"109 - Tique C",(Q2966)))))))))</f>
        <v/>
      </c>
    </row>
    <row r="2967" spans="18:19" x14ac:dyDescent="0.25">
      <c r="R2967" s="8" t="str">
        <f t="shared" si="94"/>
        <v/>
      </c>
      <c r="S2967" s="82" t="str">
        <f t="shared" si="95"/>
        <v/>
      </c>
    </row>
    <row r="2968" spans="18:19" x14ac:dyDescent="0.25">
      <c r="R2968" s="8" t="str">
        <f t="shared" si="94"/>
        <v/>
      </c>
      <c r="S2968" s="82" t="str">
        <f t="shared" si="95"/>
        <v/>
      </c>
    </row>
    <row r="2969" spans="18:19" x14ac:dyDescent="0.25">
      <c r="R2969" s="8" t="str">
        <f t="shared" si="94"/>
        <v/>
      </c>
      <c r="S2969" s="82" t="str">
        <f t="shared" si="95"/>
        <v/>
      </c>
    </row>
    <row r="2970" spans="18:19" x14ac:dyDescent="0.25">
      <c r="R2970" s="8" t="str">
        <f t="shared" si="94"/>
        <v/>
      </c>
      <c r="S2970" s="82" t="str">
        <f t="shared" si="95"/>
        <v/>
      </c>
    </row>
    <row r="2971" spans="18:19" x14ac:dyDescent="0.25">
      <c r="R2971" s="8" t="str">
        <f t="shared" si="94"/>
        <v/>
      </c>
      <c r="S2971" s="82" t="str">
        <f t="shared" si="95"/>
        <v/>
      </c>
    </row>
    <row r="2972" spans="18:19" x14ac:dyDescent="0.25">
      <c r="R2972" s="8" t="str">
        <f t="shared" si="94"/>
        <v/>
      </c>
      <c r="S2972" s="82" t="str">
        <f t="shared" si="95"/>
        <v/>
      </c>
    </row>
    <row r="2973" spans="18:19" x14ac:dyDescent="0.25">
      <c r="R2973" s="8" t="str">
        <f t="shared" si="94"/>
        <v/>
      </c>
      <c r="S2973" s="82" t="str">
        <f t="shared" si="95"/>
        <v/>
      </c>
    </row>
    <row r="2974" spans="18:19" x14ac:dyDescent="0.25">
      <c r="R2974" s="8" t="str">
        <f t="shared" si="94"/>
        <v/>
      </c>
      <c r="S2974" s="82" t="str">
        <f t="shared" si="95"/>
        <v/>
      </c>
    </row>
    <row r="2975" spans="18:19" x14ac:dyDescent="0.25">
      <c r="R2975" s="8" t="str">
        <f t="shared" si="94"/>
        <v/>
      </c>
      <c r="S2975" s="82" t="str">
        <f t="shared" si="95"/>
        <v/>
      </c>
    </row>
    <row r="2976" spans="18:19" x14ac:dyDescent="0.25">
      <c r="R2976" s="8" t="str">
        <f t="shared" si="94"/>
        <v/>
      </c>
      <c r="S2976" s="82" t="str">
        <f t="shared" si="95"/>
        <v/>
      </c>
    </row>
    <row r="2977" spans="18:19" x14ac:dyDescent="0.25">
      <c r="R2977" s="8" t="str">
        <f t="shared" si="94"/>
        <v/>
      </c>
      <c r="S2977" s="82" t="str">
        <f t="shared" si="95"/>
        <v/>
      </c>
    </row>
    <row r="2978" spans="18:19" x14ac:dyDescent="0.25">
      <c r="R2978" s="8" t="str">
        <f t="shared" si="94"/>
        <v/>
      </c>
      <c r="S2978" s="82" t="str">
        <f t="shared" si="95"/>
        <v/>
      </c>
    </row>
    <row r="2979" spans="18:19" x14ac:dyDescent="0.25">
      <c r="R2979" s="8" t="str">
        <f t="shared" si="94"/>
        <v/>
      </c>
      <c r="S2979" s="82" t="str">
        <f t="shared" si="95"/>
        <v/>
      </c>
    </row>
    <row r="2980" spans="18:19" x14ac:dyDescent="0.25">
      <c r="R2980" s="8" t="str">
        <f t="shared" si="94"/>
        <v/>
      </c>
      <c r="S2980" s="82" t="str">
        <f t="shared" si="95"/>
        <v/>
      </c>
    </row>
    <row r="2981" spans="18:19" x14ac:dyDescent="0.25">
      <c r="R2981" s="8" t="str">
        <f t="shared" si="94"/>
        <v/>
      </c>
      <c r="S2981" s="82" t="str">
        <f t="shared" si="95"/>
        <v/>
      </c>
    </row>
    <row r="2982" spans="18:19" x14ac:dyDescent="0.25">
      <c r="R2982" s="8" t="str">
        <f t="shared" si="94"/>
        <v/>
      </c>
      <c r="S2982" s="82" t="str">
        <f t="shared" si="95"/>
        <v/>
      </c>
    </row>
    <row r="2983" spans="18:19" x14ac:dyDescent="0.25">
      <c r="R2983" s="8" t="str">
        <f t="shared" si="94"/>
        <v/>
      </c>
      <c r="S2983" s="82" t="str">
        <f t="shared" si="95"/>
        <v/>
      </c>
    </row>
    <row r="2984" spans="18:19" x14ac:dyDescent="0.25">
      <c r="R2984" s="8" t="str">
        <f t="shared" si="94"/>
        <v/>
      </c>
      <c r="S2984" s="82" t="str">
        <f t="shared" si="95"/>
        <v/>
      </c>
    </row>
    <row r="2985" spans="18:19" x14ac:dyDescent="0.25">
      <c r="R2985" s="8" t="str">
        <f t="shared" si="94"/>
        <v/>
      </c>
      <c r="S2985" s="82" t="str">
        <f t="shared" si="95"/>
        <v/>
      </c>
    </row>
    <row r="2986" spans="18:19" x14ac:dyDescent="0.25">
      <c r="R2986" s="8" t="str">
        <f t="shared" si="94"/>
        <v/>
      </c>
      <c r="S2986" s="82" t="str">
        <f t="shared" si="95"/>
        <v/>
      </c>
    </row>
    <row r="2987" spans="18:19" x14ac:dyDescent="0.25">
      <c r="R2987" s="8" t="str">
        <f t="shared" si="94"/>
        <v/>
      </c>
      <c r="S2987" s="82" t="str">
        <f t="shared" si="95"/>
        <v/>
      </c>
    </row>
    <row r="2988" spans="18:19" x14ac:dyDescent="0.25">
      <c r="R2988" s="8" t="str">
        <f t="shared" si="94"/>
        <v/>
      </c>
      <c r="S2988" s="82" t="str">
        <f t="shared" si="95"/>
        <v/>
      </c>
    </row>
    <row r="2989" spans="18:19" x14ac:dyDescent="0.25">
      <c r="R2989" s="8" t="str">
        <f t="shared" si="94"/>
        <v/>
      </c>
      <c r="S2989" s="82" t="str">
        <f t="shared" si="95"/>
        <v/>
      </c>
    </row>
    <row r="2990" spans="18:19" x14ac:dyDescent="0.25">
      <c r="R2990" s="8" t="str">
        <f t="shared" si="94"/>
        <v/>
      </c>
      <c r="S2990" s="82" t="str">
        <f t="shared" si="95"/>
        <v/>
      </c>
    </row>
    <row r="2991" spans="18:19" x14ac:dyDescent="0.25">
      <c r="R2991" s="8" t="str">
        <f t="shared" si="94"/>
        <v/>
      </c>
      <c r="S2991" s="82" t="str">
        <f t="shared" si="95"/>
        <v/>
      </c>
    </row>
    <row r="2992" spans="18:19" x14ac:dyDescent="0.25">
      <c r="R2992" s="8" t="str">
        <f t="shared" si="94"/>
        <v/>
      </c>
      <c r="S2992" s="82" t="str">
        <f t="shared" si="95"/>
        <v/>
      </c>
    </row>
    <row r="2993" spans="18:19" x14ac:dyDescent="0.25">
      <c r="R2993" s="8" t="str">
        <f t="shared" si="94"/>
        <v/>
      </c>
      <c r="S2993" s="82" t="str">
        <f t="shared" si="95"/>
        <v/>
      </c>
    </row>
    <row r="2994" spans="18:19" x14ac:dyDescent="0.25">
      <c r="R2994" s="8" t="str">
        <f t="shared" si="94"/>
        <v/>
      </c>
      <c r="S2994" s="82" t="str">
        <f t="shared" si="95"/>
        <v/>
      </c>
    </row>
    <row r="2995" spans="18:19" x14ac:dyDescent="0.25">
      <c r="R2995" s="8" t="str">
        <f t="shared" si="94"/>
        <v/>
      </c>
      <c r="S2995" s="82" t="str">
        <f t="shared" si="95"/>
        <v/>
      </c>
    </row>
    <row r="2996" spans="18:19" x14ac:dyDescent="0.25">
      <c r="R2996" s="8" t="str">
        <f t="shared" si="94"/>
        <v/>
      </c>
      <c r="S2996" s="82" t="str">
        <f t="shared" si="95"/>
        <v/>
      </c>
    </row>
    <row r="2997" spans="18:19" x14ac:dyDescent="0.25">
      <c r="R2997" s="8" t="str">
        <f t="shared" si="94"/>
        <v/>
      </c>
      <c r="S2997" s="82" t="str">
        <f t="shared" si="95"/>
        <v/>
      </c>
    </row>
    <row r="2998" spans="18:19" x14ac:dyDescent="0.25">
      <c r="R2998" s="8" t="str">
        <f t="shared" si="94"/>
        <v/>
      </c>
      <c r="S2998" s="82" t="str">
        <f t="shared" si="95"/>
        <v/>
      </c>
    </row>
    <row r="2999" spans="18:19" x14ac:dyDescent="0.25">
      <c r="R2999" s="8" t="str">
        <f t="shared" si="94"/>
        <v/>
      </c>
      <c r="S2999" s="82" t="str">
        <f t="shared" si="95"/>
        <v/>
      </c>
    </row>
    <row r="3000" spans="18:19" x14ac:dyDescent="0.25">
      <c r="R3000" s="8" t="str">
        <f t="shared" si="94"/>
        <v/>
      </c>
      <c r="S3000" s="82" t="str">
        <f t="shared" si="95"/>
        <v/>
      </c>
    </row>
    <row r="3001" spans="18:19" x14ac:dyDescent="0.25">
      <c r="R3001" s="8" t="str">
        <f t="shared" si="94"/>
        <v/>
      </c>
      <c r="S3001" s="82" t="str">
        <f t="shared" si="95"/>
        <v/>
      </c>
    </row>
    <row r="3002" spans="18:19" x14ac:dyDescent="0.25">
      <c r="R3002" s="8" t="str">
        <f t="shared" si="94"/>
        <v/>
      </c>
      <c r="S3002" s="82" t="str">
        <f t="shared" si="95"/>
        <v/>
      </c>
    </row>
    <row r="3003" spans="18:19" x14ac:dyDescent="0.25">
      <c r="R3003" s="8" t="str">
        <f t="shared" si="94"/>
        <v/>
      </c>
      <c r="S3003" s="82" t="str">
        <f t="shared" si="95"/>
        <v/>
      </c>
    </row>
    <row r="3004" spans="18:19" x14ac:dyDescent="0.25">
      <c r="R3004" s="8" t="str">
        <f t="shared" si="94"/>
        <v/>
      </c>
      <c r="S3004" s="82" t="str">
        <f t="shared" si="95"/>
        <v/>
      </c>
    </row>
    <row r="3005" spans="18:19" x14ac:dyDescent="0.25">
      <c r="R3005" s="8" t="str">
        <f t="shared" si="94"/>
        <v/>
      </c>
      <c r="S3005" s="82" t="str">
        <f t="shared" si="95"/>
        <v/>
      </c>
    </row>
    <row r="3006" spans="18:19" x14ac:dyDescent="0.25">
      <c r="R3006" s="8" t="str">
        <f t="shared" si="94"/>
        <v/>
      </c>
      <c r="S3006" s="82" t="str">
        <f t="shared" si="95"/>
        <v/>
      </c>
    </row>
    <row r="3007" spans="18:19" x14ac:dyDescent="0.25">
      <c r="R3007" s="8" t="str">
        <f t="shared" si="94"/>
        <v/>
      </c>
      <c r="S3007" s="82" t="str">
        <f t="shared" si="95"/>
        <v/>
      </c>
    </row>
    <row r="3008" spans="18:19" x14ac:dyDescent="0.25">
      <c r="R3008" s="8" t="str">
        <f t="shared" si="94"/>
        <v/>
      </c>
      <c r="S3008" s="82" t="str">
        <f t="shared" si="95"/>
        <v/>
      </c>
    </row>
    <row r="3009" spans="18:19" x14ac:dyDescent="0.25">
      <c r="R3009" s="8" t="str">
        <f t="shared" si="94"/>
        <v/>
      </c>
      <c r="S3009" s="82" t="str">
        <f t="shared" si="95"/>
        <v/>
      </c>
    </row>
    <row r="3010" spans="18:19" x14ac:dyDescent="0.25">
      <c r="R3010" s="8" t="str">
        <f t="shared" si="94"/>
        <v/>
      </c>
      <c r="S3010" s="82" t="str">
        <f t="shared" si="95"/>
        <v/>
      </c>
    </row>
    <row r="3011" spans="18:19" x14ac:dyDescent="0.25">
      <c r="R3011" s="8" t="str">
        <f t="shared" si="94"/>
        <v/>
      </c>
      <c r="S3011" s="82" t="str">
        <f t="shared" si="95"/>
        <v/>
      </c>
    </row>
    <row r="3012" spans="18:19" x14ac:dyDescent="0.25">
      <c r="R3012" s="8" t="str">
        <f t="shared" si="94"/>
        <v/>
      </c>
      <c r="S3012" s="82" t="str">
        <f t="shared" si="95"/>
        <v/>
      </c>
    </row>
    <row r="3013" spans="18:19" x14ac:dyDescent="0.25">
      <c r="R3013" s="8" t="str">
        <f t="shared" si="94"/>
        <v/>
      </c>
      <c r="S3013" s="82" t="str">
        <f t="shared" si="95"/>
        <v/>
      </c>
    </row>
    <row r="3014" spans="18:19" x14ac:dyDescent="0.25">
      <c r="R3014" s="8" t="str">
        <f t="shared" si="94"/>
        <v/>
      </c>
      <c r="S3014" s="82" t="str">
        <f t="shared" si="95"/>
        <v/>
      </c>
    </row>
    <row r="3015" spans="18:19" x14ac:dyDescent="0.25">
      <c r="R3015" s="8" t="str">
        <f t="shared" si="94"/>
        <v/>
      </c>
      <c r="S3015" s="82" t="str">
        <f t="shared" si="95"/>
        <v/>
      </c>
    </row>
    <row r="3016" spans="18:19" x14ac:dyDescent="0.25">
      <c r="R3016" s="8" t="str">
        <f t="shared" ref="R3016:R3079" si="96">IF(A3016="",(""),(MONTH(A3016)))</f>
        <v/>
      </c>
      <c r="S3016" s="82" t="str">
        <f t="shared" si="95"/>
        <v/>
      </c>
    </row>
    <row r="3017" spans="18:19" x14ac:dyDescent="0.25">
      <c r="R3017" s="8" t="str">
        <f t="shared" si="96"/>
        <v/>
      </c>
      <c r="S3017" s="82" t="str">
        <f t="shared" si="95"/>
        <v/>
      </c>
    </row>
    <row r="3018" spans="18:19" x14ac:dyDescent="0.25">
      <c r="R3018" s="8" t="str">
        <f t="shared" si="96"/>
        <v/>
      </c>
      <c r="S3018" s="82" t="str">
        <f t="shared" si="95"/>
        <v/>
      </c>
    </row>
    <row r="3019" spans="18:19" x14ac:dyDescent="0.25">
      <c r="R3019" s="8" t="str">
        <f t="shared" si="96"/>
        <v/>
      </c>
      <c r="S3019" s="82" t="str">
        <f t="shared" si="95"/>
        <v/>
      </c>
    </row>
    <row r="3020" spans="18:19" x14ac:dyDescent="0.25">
      <c r="R3020" s="8" t="str">
        <f t="shared" si="96"/>
        <v/>
      </c>
      <c r="S3020" s="82" t="str">
        <f t="shared" si="95"/>
        <v/>
      </c>
    </row>
    <row r="3021" spans="18:19" x14ac:dyDescent="0.25">
      <c r="R3021" s="8" t="str">
        <f t="shared" si="96"/>
        <v/>
      </c>
      <c r="S3021" s="82" t="str">
        <f t="shared" si="95"/>
        <v/>
      </c>
    </row>
    <row r="3022" spans="18:19" x14ac:dyDescent="0.25">
      <c r="R3022" s="8" t="str">
        <f t="shared" si="96"/>
        <v/>
      </c>
      <c r="S3022" s="82" t="str">
        <f t="shared" si="95"/>
        <v/>
      </c>
    </row>
    <row r="3023" spans="18:19" x14ac:dyDescent="0.25">
      <c r="R3023" s="8" t="str">
        <f t="shared" si="96"/>
        <v/>
      </c>
      <c r="S3023" s="82" t="str">
        <f t="shared" si="95"/>
        <v/>
      </c>
    </row>
    <row r="3024" spans="18:19" x14ac:dyDescent="0.25">
      <c r="R3024" s="8" t="str">
        <f t="shared" si="96"/>
        <v/>
      </c>
      <c r="S3024" s="82" t="str">
        <f t="shared" si="95"/>
        <v/>
      </c>
    </row>
    <row r="3025" spans="18:19" x14ac:dyDescent="0.25">
      <c r="R3025" s="8" t="str">
        <f t="shared" si="96"/>
        <v/>
      </c>
      <c r="S3025" s="82" t="str">
        <f t="shared" si="95"/>
        <v/>
      </c>
    </row>
    <row r="3026" spans="18:19" x14ac:dyDescent="0.25">
      <c r="R3026" s="8" t="str">
        <f t="shared" si="96"/>
        <v/>
      </c>
      <c r="S3026" s="82" t="str">
        <f t="shared" si="95"/>
        <v/>
      </c>
    </row>
    <row r="3027" spans="18:19" x14ac:dyDescent="0.25">
      <c r="R3027" s="8" t="str">
        <f t="shared" si="96"/>
        <v/>
      </c>
      <c r="S3027" s="82" t="str">
        <f t="shared" si="95"/>
        <v/>
      </c>
    </row>
    <row r="3028" spans="18:19" x14ac:dyDescent="0.25">
      <c r="R3028" s="8" t="str">
        <f t="shared" si="96"/>
        <v/>
      </c>
      <c r="S3028" s="82" t="str">
        <f t="shared" si="95"/>
        <v/>
      </c>
    </row>
    <row r="3029" spans="18:19" x14ac:dyDescent="0.25">
      <c r="R3029" s="8" t="str">
        <f t="shared" si="96"/>
        <v/>
      </c>
      <c r="S3029" s="82" t="str">
        <f t="shared" si="95"/>
        <v/>
      </c>
    </row>
    <row r="3030" spans="18:19" x14ac:dyDescent="0.25">
      <c r="R3030" s="8" t="str">
        <f t="shared" si="96"/>
        <v/>
      </c>
      <c r="S3030" s="82" t="str">
        <f t="shared" ref="S3030:S3093" si="97">IF(O3030&gt;0,(Q3030-O3030),(IF(K3030="USD",(Q3030*J3030),((IF(B3030="",(""),(SUMIF(B3030,"11 - Factura C",(Q3030))-SUMIF(B3030,"13 - Nota de Crédito C",(Q3030))+SUMIF(B3030,"15 - Recibo C",(Q3030))+SUMIF(B3030,"109 - Tique C",(Q3030)))))))))</f>
        <v/>
      </c>
    </row>
    <row r="3031" spans="18:19" x14ac:dyDescent="0.25">
      <c r="R3031" s="8" t="str">
        <f t="shared" si="96"/>
        <v/>
      </c>
      <c r="S3031" s="82" t="str">
        <f t="shared" si="97"/>
        <v/>
      </c>
    </row>
    <row r="3032" spans="18:19" x14ac:dyDescent="0.25">
      <c r="R3032" s="8" t="str">
        <f t="shared" si="96"/>
        <v/>
      </c>
      <c r="S3032" s="82" t="str">
        <f t="shared" si="97"/>
        <v/>
      </c>
    </row>
    <row r="3033" spans="18:19" x14ac:dyDescent="0.25">
      <c r="R3033" s="8" t="str">
        <f t="shared" si="96"/>
        <v/>
      </c>
      <c r="S3033" s="82" t="str">
        <f t="shared" si="97"/>
        <v/>
      </c>
    </row>
    <row r="3034" spans="18:19" x14ac:dyDescent="0.25">
      <c r="R3034" s="8" t="str">
        <f t="shared" si="96"/>
        <v/>
      </c>
      <c r="S3034" s="82" t="str">
        <f t="shared" si="97"/>
        <v/>
      </c>
    </row>
    <row r="3035" spans="18:19" x14ac:dyDescent="0.25">
      <c r="R3035" s="8" t="str">
        <f t="shared" si="96"/>
        <v/>
      </c>
      <c r="S3035" s="82" t="str">
        <f t="shared" si="97"/>
        <v/>
      </c>
    </row>
    <row r="3036" spans="18:19" x14ac:dyDescent="0.25">
      <c r="R3036" s="8" t="str">
        <f t="shared" si="96"/>
        <v/>
      </c>
      <c r="S3036" s="82" t="str">
        <f t="shared" si="97"/>
        <v/>
      </c>
    </row>
    <row r="3037" spans="18:19" x14ac:dyDescent="0.25">
      <c r="R3037" s="8" t="str">
        <f t="shared" si="96"/>
        <v/>
      </c>
      <c r="S3037" s="82" t="str">
        <f t="shared" si="97"/>
        <v/>
      </c>
    </row>
    <row r="3038" spans="18:19" x14ac:dyDescent="0.25">
      <c r="R3038" s="8" t="str">
        <f t="shared" si="96"/>
        <v/>
      </c>
      <c r="S3038" s="82" t="str">
        <f t="shared" si="97"/>
        <v/>
      </c>
    </row>
    <row r="3039" spans="18:19" x14ac:dyDescent="0.25">
      <c r="R3039" s="8" t="str">
        <f t="shared" si="96"/>
        <v/>
      </c>
      <c r="S3039" s="82" t="str">
        <f t="shared" si="97"/>
        <v/>
      </c>
    </row>
    <row r="3040" spans="18:19" x14ac:dyDescent="0.25">
      <c r="R3040" s="8" t="str">
        <f t="shared" si="96"/>
        <v/>
      </c>
      <c r="S3040" s="82" t="str">
        <f t="shared" si="97"/>
        <v/>
      </c>
    </row>
    <row r="3041" spans="18:19" x14ac:dyDescent="0.25">
      <c r="R3041" s="8" t="str">
        <f t="shared" si="96"/>
        <v/>
      </c>
      <c r="S3041" s="82" t="str">
        <f t="shared" si="97"/>
        <v/>
      </c>
    </row>
    <row r="3042" spans="18:19" x14ac:dyDescent="0.25">
      <c r="R3042" s="8" t="str">
        <f t="shared" si="96"/>
        <v/>
      </c>
      <c r="S3042" s="82" t="str">
        <f t="shared" si="97"/>
        <v/>
      </c>
    </row>
    <row r="3043" spans="18:19" x14ac:dyDescent="0.25">
      <c r="R3043" s="8" t="str">
        <f t="shared" si="96"/>
        <v/>
      </c>
      <c r="S3043" s="82" t="str">
        <f t="shared" si="97"/>
        <v/>
      </c>
    </row>
    <row r="3044" spans="18:19" x14ac:dyDescent="0.25">
      <c r="R3044" s="8" t="str">
        <f t="shared" si="96"/>
        <v/>
      </c>
      <c r="S3044" s="82" t="str">
        <f t="shared" si="97"/>
        <v/>
      </c>
    </row>
    <row r="3045" spans="18:19" x14ac:dyDescent="0.25">
      <c r="R3045" s="8" t="str">
        <f t="shared" si="96"/>
        <v/>
      </c>
      <c r="S3045" s="82" t="str">
        <f t="shared" si="97"/>
        <v/>
      </c>
    </row>
    <row r="3046" spans="18:19" x14ac:dyDescent="0.25">
      <c r="R3046" s="8" t="str">
        <f t="shared" si="96"/>
        <v/>
      </c>
      <c r="S3046" s="82" t="str">
        <f t="shared" si="97"/>
        <v/>
      </c>
    </row>
    <row r="3047" spans="18:19" x14ac:dyDescent="0.25">
      <c r="R3047" s="8" t="str">
        <f t="shared" si="96"/>
        <v/>
      </c>
      <c r="S3047" s="82" t="str">
        <f t="shared" si="97"/>
        <v/>
      </c>
    </row>
    <row r="3048" spans="18:19" x14ac:dyDescent="0.25">
      <c r="R3048" s="8" t="str">
        <f t="shared" si="96"/>
        <v/>
      </c>
      <c r="S3048" s="82" t="str">
        <f t="shared" si="97"/>
        <v/>
      </c>
    </row>
    <row r="3049" spans="18:19" x14ac:dyDescent="0.25">
      <c r="R3049" s="8" t="str">
        <f t="shared" si="96"/>
        <v/>
      </c>
      <c r="S3049" s="82" t="str">
        <f t="shared" si="97"/>
        <v/>
      </c>
    </row>
    <row r="3050" spans="18:19" x14ac:dyDescent="0.25">
      <c r="R3050" s="8" t="str">
        <f t="shared" si="96"/>
        <v/>
      </c>
      <c r="S3050" s="82" t="str">
        <f t="shared" si="97"/>
        <v/>
      </c>
    </row>
    <row r="3051" spans="18:19" x14ac:dyDescent="0.25">
      <c r="R3051" s="8" t="str">
        <f t="shared" si="96"/>
        <v/>
      </c>
      <c r="S3051" s="82" t="str">
        <f t="shared" si="97"/>
        <v/>
      </c>
    </row>
    <row r="3052" spans="18:19" x14ac:dyDescent="0.25">
      <c r="R3052" s="8" t="str">
        <f t="shared" si="96"/>
        <v/>
      </c>
      <c r="S3052" s="82" t="str">
        <f t="shared" si="97"/>
        <v/>
      </c>
    </row>
    <row r="3053" spans="18:19" x14ac:dyDescent="0.25">
      <c r="R3053" s="8" t="str">
        <f t="shared" si="96"/>
        <v/>
      </c>
      <c r="S3053" s="82" t="str">
        <f t="shared" si="97"/>
        <v/>
      </c>
    </row>
    <row r="3054" spans="18:19" x14ac:dyDescent="0.25">
      <c r="R3054" s="8" t="str">
        <f t="shared" si="96"/>
        <v/>
      </c>
      <c r="S3054" s="82" t="str">
        <f t="shared" si="97"/>
        <v/>
      </c>
    </row>
    <row r="3055" spans="18:19" x14ac:dyDescent="0.25">
      <c r="R3055" s="8" t="str">
        <f t="shared" si="96"/>
        <v/>
      </c>
      <c r="S3055" s="82" t="str">
        <f t="shared" si="97"/>
        <v/>
      </c>
    </row>
    <row r="3056" spans="18:19" x14ac:dyDescent="0.25">
      <c r="R3056" s="8" t="str">
        <f t="shared" si="96"/>
        <v/>
      </c>
      <c r="S3056" s="82" t="str">
        <f t="shared" si="97"/>
        <v/>
      </c>
    </row>
    <row r="3057" spans="18:19" x14ac:dyDescent="0.25">
      <c r="R3057" s="8" t="str">
        <f t="shared" si="96"/>
        <v/>
      </c>
      <c r="S3057" s="82" t="str">
        <f t="shared" si="97"/>
        <v/>
      </c>
    </row>
    <row r="3058" spans="18:19" x14ac:dyDescent="0.25">
      <c r="R3058" s="8" t="str">
        <f t="shared" si="96"/>
        <v/>
      </c>
      <c r="S3058" s="82" t="str">
        <f t="shared" si="97"/>
        <v/>
      </c>
    </row>
    <row r="3059" spans="18:19" x14ac:dyDescent="0.25">
      <c r="R3059" s="8" t="str">
        <f t="shared" si="96"/>
        <v/>
      </c>
      <c r="S3059" s="82" t="str">
        <f t="shared" si="97"/>
        <v/>
      </c>
    </row>
    <row r="3060" spans="18:19" x14ac:dyDescent="0.25">
      <c r="R3060" s="8" t="str">
        <f t="shared" si="96"/>
        <v/>
      </c>
      <c r="S3060" s="82" t="str">
        <f t="shared" si="97"/>
        <v/>
      </c>
    </row>
    <row r="3061" spans="18:19" x14ac:dyDescent="0.25">
      <c r="R3061" s="8" t="str">
        <f t="shared" si="96"/>
        <v/>
      </c>
      <c r="S3061" s="82" t="str">
        <f t="shared" si="97"/>
        <v/>
      </c>
    </row>
    <row r="3062" spans="18:19" x14ac:dyDescent="0.25">
      <c r="R3062" s="8" t="str">
        <f t="shared" si="96"/>
        <v/>
      </c>
      <c r="S3062" s="82" t="str">
        <f t="shared" si="97"/>
        <v/>
      </c>
    </row>
    <row r="3063" spans="18:19" x14ac:dyDescent="0.25">
      <c r="R3063" s="8" t="str">
        <f t="shared" si="96"/>
        <v/>
      </c>
      <c r="S3063" s="82" t="str">
        <f t="shared" si="97"/>
        <v/>
      </c>
    </row>
    <row r="3064" spans="18:19" x14ac:dyDescent="0.25">
      <c r="R3064" s="8" t="str">
        <f t="shared" si="96"/>
        <v/>
      </c>
      <c r="S3064" s="82" t="str">
        <f t="shared" si="97"/>
        <v/>
      </c>
    </row>
    <row r="3065" spans="18:19" x14ac:dyDescent="0.25">
      <c r="R3065" s="8" t="str">
        <f t="shared" si="96"/>
        <v/>
      </c>
      <c r="S3065" s="82" t="str">
        <f t="shared" si="97"/>
        <v/>
      </c>
    </row>
    <row r="3066" spans="18:19" x14ac:dyDescent="0.25">
      <c r="R3066" s="8" t="str">
        <f t="shared" si="96"/>
        <v/>
      </c>
      <c r="S3066" s="82" t="str">
        <f t="shared" si="97"/>
        <v/>
      </c>
    </row>
    <row r="3067" spans="18:19" x14ac:dyDescent="0.25">
      <c r="R3067" s="8" t="str">
        <f t="shared" si="96"/>
        <v/>
      </c>
      <c r="S3067" s="82" t="str">
        <f t="shared" si="97"/>
        <v/>
      </c>
    </row>
    <row r="3068" spans="18:19" x14ac:dyDescent="0.25">
      <c r="R3068" s="8" t="str">
        <f t="shared" si="96"/>
        <v/>
      </c>
      <c r="S3068" s="82" t="str">
        <f t="shared" si="97"/>
        <v/>
      </c>
    </row>
    <row r="3069" spans="18:19" x14ac:dyDescent="0.25">
      <c r="R3069" s="8" t="str">
        <f t="shared" si="96"/>
        <v/>
      </c>
      <c r="S3069" s="82" t="str">
        <f t="shared" si="97"/>
        <v/>
      </c>
    </row>
    <row r="3070" spans="18:19" x14ac:dyDescent="0.25">
      <c r="R3070" s="8" t="str">
        <f t="shared" si="96"/>
        <v/>
      </c>
      <c r="S3070" s="82" t="str">
        <f t="shared" si="97"/>
        <v/>
      </c>
    </row>
    <row r="3071" spans="18:19" x14ac:dyDescent="0.25">
      <c r="R3071" s="8" t="str">
        <f t="shared" si="96"/>
        <v/>
      </c>
      <c r="S3071" s="82" t="str">
        <f t="shared" si="97"/>
        <v/>
      </c>
    </row>
    <row r="3072" spans="18:19" x14ac:dyDescent="0.25">
      <c r="R3072" s="8" t="str">
        <f t="shared" si="96"/>
        <v/>
      </c>
      <c r="S3072" s="82" t="str">
        <f t="shared" si="97"/>
        <v/>
      </c>
    </row>
    <row r="3073" spans="18:19" x14ac:dyDescent="0.25">
      <c r="R3073" s="8" t="str">
        <f t="shared" si="96"/>
        <v/>
      </c>
      <c r="S3073" s="82" t="str">
        <f t="shared" si="97"/>
        <v/>
      </c>
    </row>
    <row r="3074" spans="18:19" x14ac:dyDescent="0.25">
      <c r="R3074" s="8" t="str">
        <f t="shared" si="96"/>
        <v/>
      </c>
      <c r="S3074" s="82" t="str">
        <f t="shared" si="97"/>
        <v/>
      </c>
    </row>
    <row r="3075" spans="18:19" x14ac:dyDescent="0.25">
      <c r="R3075" s="8" t="str">
        <f t="shared" si="96"/>
        <v/>
      </c>
      <c r="S3075" s="82" t="str">
        <f t="shared" si="97"/>
        <v/>
      </c>
    </row>
    <row r="3076" spans="18:19" x14ac:dyDescent="0.25">
      <c r="R3076" s="8" t="str">
        <f t="shared" si="96"/>
        <v/>
      </c>
      <c r="S3076" s="82" t="str">
        <f t="shared" si="97"/>
        <v/>
      </c>
    </row>
    <row r="3077" spans="18:19" x14ac:dyDescent="0.25">
      <c r="R3077" s="8" t="str">
        <f t="shared" si="96"/>
        <v/>
      </c>
      <c r="S3077" s="82" t="str">
        <f t="shared" si="97"/>
        <v/>
      </c>
    </row>
    <row r="3078" spans="18:19" x14ac:dyDescent="0.25">
      <c r="R3078" s="8" t="str">
        <f t="shared" si="96"/>
        <v/>
      </c>
      <c r="S3078" s="82" t="str">
        <f t="shared" si="97"/>
        <v/>
      </c>
    </row>
    <row r="3079" spans="18:19" x14ac:dyDescent="0.25">
      <c r="R3079" s="8" t="str">
        <f t="shared" si="96"/>
        <v/>
      </c>
      <c r="S3079" s="82" t="str">
        <f t="shared" si="97"/>
        <v/>
      </c>
    </row>
    <row r="3080" spans="18:19" x14ac:dyDescent="0.25">
      <c r="R3080" s="8" t="str">
        <f t="shared" ref="R3080:R3143" si="98">IF(A3080="",(""),(MONTH(A3080)))</f>
        <v/>
      </c>
      <c r="S3080" s="82" t="str">
        <f t="shared" si="97"/>
        <v/>
      </c>
    </row>
    <row r="3081" spans="18:19" x14ac:dyDescent="0.25">
      <c r="R3081" s="8" t="str">
        <f t="shared" si="98"/>
        <v/>
      </c>
      <c r="S3081" s="82" t="str">
        <f t="shared" si="97"/>
        <v/>
      </c>
    </row>
    <row r="3082" spans="18:19" x14ac:dyDescent="0.25">
      <c r="R3082" s="8" t="str">
        <f t="shared" si="98"/>
        <v/>
      </c>
      <c r="S3082" s="82" t="str">
        <f t="shared" si="97"/>
        <v/>
      </c>
    </row>
    <row r="3083" spans="18:19" x14ac:dyDescent="0.25">
      <c r="R3083" s="8" t="str">
        <f t="shared" si="98"/>
        <v/>
      </c>
      <c r="S3083" s="82" t="str">
        <f t="shared" si="97"/>
        <v/>
      </c>
    </row>
    <row r="3084" spans="18:19" x14ac:dyDescent="0.25">
      <c r="R3084" s="8" t="str">
        <f t="shared" si="98"/>
        <v/>
      </c>
      <c r="S3084" s="82" t="str">
        <f t="shared" si="97"/>
        <v/>
      </c>
    </row>
    <row r="3085" spans="18:19" x14ac:dyDescent="0.25">
      <c r="R3085" s="8" t="str">
        <f t="shared" si="98"/>
        <v/>
      </c>
      <c r="S3085" s="82" t="str">
        <f t="shared" si="97"/>
        <v/>
      </c>
    </row>
    <row r="3086" spans="18:19" x14ac:dyDescent="0.25">
      <c r="R3086" s="8" t="str">
        <f t="shared" si="98"/>
        <v/>
      </c>
      <c r="S3086" s="82" t="str">
        <f t="shared" si="97"/>
        <v/>
      </c>
    </row>
    <row r="3087" spans="18:19" x14ac:dyDescent="0.25">
      <c r="R3087" s="8" t="str">
        <f t="shared" si="98"/>
        <v/>
      </c>
      <c r="S3087" s="82" t="str">
        <f t="shared" si="97"/>
        <v/>
      </c>
    </row>
    <row r="3088" spans="18:19" x14ac:dyDescent="0.25">
      <c r="R3088" s="8" t="str">
        <f t="shared" si="98"/>
        <v/>
      </c>
      <c r="S3088" s="82" t="str">
        <f t="shared" si="97"/>
        <v/>
      </c>
    </row>
    <row r="3089" spans="18:19" x14ac:dyDescent="0.25">
      <c r="R3089" s="8" t="str">
        <f t="shared" si="98"/>
        <v/>
      </c>
      <c r="S3089" s="82" t="str">
        <f t="shared" si="97"/>
        <v/>
      </c>
    </row>
    <row r="3090" spans="18:19" x14ac:dyDescent="0.25">
      <c r="R3090" s="8" t="str">
        <f t="shared" si="98"/>
        <v/>
      </c>
      <c r="S3090" s="82" t="str">
        <f t="shared" si="97"/>
        <v/>
      </c>
    </row>
    <row r="3091" spans="18:19" x14ac:dyDescent="0.25">
      <c r="R3091" s="8" t="str">
        <f t="shared" si="98"/>
        <v/>
      </c>
      <c r="S3091" s="82" t="str">
        <f t="shared" si="97"/>
        <v/>
      </c>
    </row>
    <row r="3092" spans="18:19" x14ac:dyDescent="0.25">
      <c r="R3092" s="8" t="str">
        <f t="shared" si="98"/>
        <v/>
      </c>
      <c r="S3092" s="82" t="str">
        <f t="shared" si="97"/>
        <v/>
      </c>
    </row>
    <row r="3093" spans="18:19" x14ac:dyDescent="0.25">
      <c r="R3093" s="8" t="str">
        <f t="shared" si="98"/>
        <v/>
      </c>
      <c r="S3093" s="82" t="str">
        <f t="shared" si="97"/>
        <v/>
      </c>
    </row>
    <row r="3094" spans="18:19" x14ac:dyDescent="0.25">
      <c r="R3094" s="8" t="str">
        <f t="shared" si="98"/>
        <v/>
      </c>
      <c r="S3094" s="82" t="str">
        <f t="shared" ref="S3094:S3157" si="99">IF(O3094&gt;0,(Q3094-O3094),(IF(K3094="USD",(Q3094*J3094),((IF(B3094="",(""),(SUMIF(B3094,"11 - Factura C",(Q3094))-SUMIF(B3094,"13 - Nota de Crédito C",(Q3094))+SUMIF(B3094,"15 - Recibo C",(Q3094))+SUMIF(B3094,"109 - Tique C",(Q3094)))))))))</f>
        <v/>
      </c>
    </row>
    <row r="3095" spans="18:19" x14ac:dyDescent="0.25">
      <c r="R3095" s="8" t="str">
        <f t="shared" si="98"/>
        <v/>
      </c>
      <c r="S3095" s="82" t="str">
        <f t="shared" si="99"/>
        <v/>
      </c>
    </row>
    <row r="3096" spans="18:19" x14ac:dyDescent="0.25">
      <c r="R3096" s="8" t="str">
        <f t="shared" si="98"/>
        <v/>
      </c>
      <c r="S3096" s="82" t="str">
        <f t="shared" si="99"/>
        <v/>
      </c>
    </row>
    <row r="3097" spans="18:19" x14ac:dyDescent="0.25">
      <c r="R3097" s="8" t="str">
        <f t="shared" si="98"/>
        <v/>
      </c>
      <c r="S3097" s="82" t="str">
        <f t="shared" si="99"/>
        <v/>
      </c>
    </row>
    <row r="3098" spans="18:19" x14ac:dyDescent="0.25">
      <c r="R3098" s="8" t="str">
        <f t="shared" si="98"/>
        <v/>
      </c>
      <c r="S3098" s="82" t="str">
        <f t="shared" si="99"/>
        <v/>
      </c>
    </row>
    <row r="3099" spans="18:19" x14ac:dyDescent="0.25">
      <c r="R3099" s="8" t="str">
        <f t="shared" si="98"/>
        <v/>
      </c>
      <c r="S3099" s="82" t="str">
        <f t="shared" si="99"/>
        <v/>
      </c>
    </row>
    <row r="3100" spans="18:19" x14ac:dyDescent="0.25">
      <c r="R3100" s="8" t="str">
        <f t="shared" si="98"/>
        <v/>
      </c>
      <c r="S3100" s="82" t="str">
        <f t="shared" si="99"/>
        <v/>
      </c>
    </row>
    <row r="3101" spans="18:19" x14ac:dyDescent="0.25">
      <c r="R3101" s="8" t="str">
        <f t="shared" si="98"/>
        <v/>
      </c>
      <c r="S3101" s="82" t="str">
        <f t="shared" si="99"/>
        <v/>
      </c>
    </row>
    <row r="3102" spans="18:19" x14ac:dyDescent="0.25">
      <c r="R3102" s="8" t="str">
        <f t="shared" si="98"/>
        <v/>
      </c>
      <c r="S3102" s="82" t="str">
        <f t="shared" si="99"/>
        <v/>
      </c>
    </row>
    <row r="3103" spans="18:19" x14ac:dyDescent="0.25">
      <c r="R3103" s="8" t="str">
        <f t="shared" si="98"/>
        <v/>
      </c>
      <c r="S3103" s="82" t="str">
        <f t="shared" si="99"/>
        <v/>
      </c>
    </row>
    <row r="3104" spans="18:19" x14ac:dyDescent="0.25">
      <c r="R3104" s="8" t="str">
        <f t="shared" si="98"/>
        <v/>
      </c>
      <c r="S3104" s="82" t="str">
        <f t="shared" si="99"/>
        <v/>
      </c>
    </row>
    <row r="3105" spans="18:19" x14ac:dyDescent="0.25">
      <c r="R3105" s="8" t="str">
        <f t="shared" si="98"/>
        <v/>
      </c>
      <c r="S3105" s="82" t="str">
        <f t="shared" si="99"/>
        <v/>
      </c>
    </row>
    <row r="3106" spans="18:19" x14ac:dyDescent="0.25">
      <c r="R3106" s="8" t="str">
        <f t="shared" si="98"/>
        <v/>
      </c>
      <c r="S3106" s="82" t="str">
        <f t="shared" si="99"/>
        <v/>
      </c>
    </row>
    <row r="3107" spans="18:19" x14ac:dyDescent="0.25">
      <c r="R3107" s="8" t="str">
        <f t="shared" si="98"/>
        <v/>
      </c>
      <c r="S3107" s="82" t="str">
        <f t="shared" si="99"/>
        <v/>
      </c>
    </row>
    <row r="3108" spans="18:19" x14ac:dyDescent="0.25">
      <c r="R3108" s="8" t="str">
        <f t="shared" si="98"/>
        <v/>
      </c>
      <c r="S3108" s="82" t="str">
        <f t="shared" si="99"/>
        <v/>
      </c>
    </row>
    <row r="3109" spans="18:19" x14ac:dyDescent="0.25">
      <c r="R3109" s="8" t="str">
        <f t="shared" si="98"/>
        <v/>
      </c>
      <c r="S3109" s="82" t="str">
        <f t="shared" si="99"/>
        <v/>
      </c>
    </row>
    <row r="3110" spans="18:19" x14ac:dyDescent="0.25">
      <c r="R3110" s="8" t="str">
        <f t="shared" si="98"/>
        <v/>
      </c>
      <c r="S3110" s="82" t="str">
        <f t="shared" si="99"/>
        <v/>
      </c>
    </row>
    <row r="3111" spans="18:19" x14ac:dyDescent="0.25">
      <c r="R3111" s="8" t="str">
        <f t="shared" si="98"/>
        <v/>
      </c>
      <c r="S3111" s="82" t="str">
        <f t="shared" si="99"/>
        <v/>
      </c>
    </row>
    <row r="3112" spans="18:19" x14ac:dyDescent="0.25">
      <c r="R3112" s="8" t="str">
        <f t="shared" si="98"/>
        <v/>
      </c>
      <c r="S3112" s="82" t="str">
        <f t="shared" si="99"/>
        <v/>
      </c>
    </row>
    <row r="3113" spans="18:19" x14ac:dyDescent="0.25">
      <c r="R3113" s="8" t="str">
        <f t="shared" si="98"/>
        <v/>
      </c>
      <c r="S3113" s="82" t="str">
        <f t="shared" si="99"/>
        <v/>
      </c>
    </row>
    <row r="3114" spans="18:19" x14ac:dyDescent="0.25">
      <c r="R3114" s="8" t="str">
        <f t="shared" si="98"/>
        <v/>
      </c>
      <c r="S3114" s="82" t="str">
        <f t="shared" si="99"/>
        <v/>
      </c>
    </row>
    <row r="3115" spans="18:19" x14ac:dyDescent="0.25">
      <c r="R3115" s="8" t="str">
        <f t="shared" si="98"/>
        <v/>
      </c>
      <c r="S3115" s="82" t="str">
        <f t="shared" si="99"/>
        <v/>
      </c>
    </row>
    <row r="3116" spans="18:19" x14ac:dyDescent="0.25">
      <c r="R3116" s="8" t="str">
        <f t="shared" si="98"/>
        <v/>
      </c>
      <c r="S3116" s="82" t="str">
        <f t="shared" si="99"/>
        <v/>
      </c>
    </row>
    <row r="3117" spans="18:19" x14ac:dyDescent="0.25">
      <c r="R3117" s="8" t="str">
        <f t="shared" si="98"/>
        <v/>
      </c>
      <c r="S3117" s="82" t="str">
        <f t="shared" si="99"/>
        <v/>
      </c>
    </row>
    <row r="3118" spans="18:19" x14ac:dyDescent="0.25">
      <c r="R3118" s="8" t="str">
        <f t="shared" si="98"/>
        <v/>
      </c>
      <c r="S3118" s="82" t="str">
        <f t="shared" si="99"/>
        <v/>
      </c>
    </row>
    <row r="3119" spans="18:19" x14ac:dyDescent="0.25">
      <c r="R3119" s="8" t="str">
        <f t="shared" si="98"/>
        <v/>
      </c>
      <c r="S3119" s="82" t="str">
        <f t="shared" si="99"/>
        <v/>
      </c>
    </row>
    <row r="3120" spans="18:19" x14ac:dyDescent="0.25">
      <c r="R3120" s="8" t="str">
        <f t="shared" si="98"/>
        <v/>
      </c>
      <c r="S3120" s="82" t="str">
        <f t="shared" si="99"/>
        <v/>
      </c>
    </row>
    <row r="3121" spans="18:19" x14ac:dyDescent="0.25">
      <c r="R3121" s="8" t="str">
        <f t="shared" si="98"/>
        <v/>
      </c>
      <c r="S3121" s="82" t="str">
        <f t="shared" si="99"/>
        <v/>
      </c>
    </row>
    <row r="3122" spans="18:19" x14ac:dyDescent="0.25">
      <c r="R3122" s="8" t="str">
        <f t="shared" si="98"/>
        <v/>
      </c>
      <c r="S3122" s="82" t="str">
        <f t="shared" si="99"/>
        <v/>
      </c>
    </row>
    <row r="3123" spans="18:19" x14ac:dyDescent="0.25">
      <c r="R3123" s="8" t="str">
        <f t="shared" si="98"/>
        <v/>
      </c>
      <c r="S3123" s="82" t="str">
        <f t="shared" si="99"/>
        <v/>
      </c>
    </row>
    <row r="3124" spans="18:19" x14ac:dyDescent="0.25">
      <c r="R3124" s="8" t="str">
        <f t="shared" si="98"/>
        <v/>
      </c>
      <c r="S3124" s="82" t="str">
        <f t="shared" si="99"/>
        <v/>
      </c>
    </row>
    <row r="3125" spans="18:19" x14ac:dyDescent="0.25">
      <c r="R3125" s="8" t="str">
        <f t="shared" si="98"/>
        <v/>
      </c>
      <c r="S3125" s="82" t="str">
        <f t="shared" si="99"/>
        <v/>
      </c>
    </row>
    <row r="3126" spans="18:19" x14ac:dyDescent="0.25">
      <c r="R3126" s="8" t="str">
        <f t="shared" si="98"/>
        <v/>
      </c>
      <c r="S3126" s="82" t="str">
        <f t="shared" si="99"/>
        <v/>
      </c>
    </row>
    <row r="3127" spans="18:19" x14ac:dyDescent="0.25">
      <c r="R3127" s="8" t="str">
        <f t="shared" si="98"/>
        <v/>
      </c>
      <c r="S3127" s="82" t="str">
        <f t="shared" si="99"/>
        <v/>
      </c>
    </row>
    <row r="3128" spans="18:19" x14ac:dyDescent="0.25">
      <c r="R3128" s="8" t="str">
        <f t="shared" si="98"/>
        <v/>
      </c>
      <c r="S3128" s="82" t="str">
        <f t="shared" si="99"/>
        <v/>
      </c>
    </row>
    <row r="3129" spans="18:19" x14ac:dyDescent="0.25">
      <c r="R3129" s="8" t="str">
        <f t="shared" si="98"/>
        <v/>
      </c>
      <c r="S3129" s="82" t="str">
        <f t="shared" si="99"/>
        <v/>
      </c>
    </row>
    <row r="3130" spans="18:19" x14ac:dyDescent="0.25">
      <c r="R3130" s="8" t="str">
        <f t="shared" si="98"/>
        <v/>
      </c>
      <c r="S3130" s="82" t="str">
        <f t="shared" si="99"/>
        <v/>
      </c>
    </row>
    <row r="3131" spans="18:19" x14ac:dyDescent="0.25">
      <c r="R3131" s="8" t="str">
        <f t="shared" si="98"/>
        <v/>
      </c>
      <c r="S3131" s="82" t="str">
        <f t="shared" si="99"/>
        <v/>
      </c>
    </row>
    <row r="3132" spans="18:19" x14ac:dyDescent="0.25">
      <c r="R3132" s="8" t="str">
        <f t="shared" si="98"/>
        <v/>
      </c>
      <c r="S3132" s="82" t="str">
        <f t="shared" si="99"/>
        <v/>
      </c>
    </row>
    <row r="3133" spans="18:19" x14ac:dyDescent="0.25">
      <c r="R3133" s="8" t="str">
        <f t="shared" si="98"/>
        <v/>
      </c>
      <c r="S3133" s="82" t="str">
        <f t="shared" si="99"/>
        <v/>
      </c>
    </row>
    <row r="3134" spans="18:19" x14ac:dyDescent="0.25">
      <c r="R3134" s="8" t="str">
        <f t="shared" si="98"/>
        <v/>
      </c>
      <c r="S3134" s="82" t="str">
        <f t="shared" si="99"/>
        <v/>
      </c>
    </row>
    <row r="3135" spans="18:19" x14ac:dyDescent="0.25">
      <c r="R3135" s="8" t="str">
        <f t="shared" si="98"/>
        <v/>
      </c>
      <c r="S3135" s="82" t="str">
        <f t="shared" si="99"/>
        <v/>
      </c>
    </row>
    <row r="3136" spans="18:19" x14ac:dyDescent="0.25">
      <c r="R3136" s="8" t="str">
        <f t="shared" si="98"/>
        <v/>
      </c>
      <c r="S3136" s="82" t="str">
        <f t="shared" si="99"/>
        <v/>
      </c>
    </row>
    <row r="3137" spans="18:19" x14ac:dyDescent="0.25">
      <c r="R3137" s="8" t="str">
        <f t="shared" si="98"/>
        <v/>
      </c>
      <c r="S3137" s="82" t="str">
        <f t="shared" si="99"/>
        <v/>
      </c>
    </row>
    <row r="3138" spans="18:19" x14ac:dyDescent="0.25">
      <c r="R3138" s="8" t="str">
        <f t="shared" si="98"/>
        <v/>
      </c>
      <c r="S3138" s="82" t="str">
        <f t="shared" si="99"/>
        <v/>
      </c>
    </row>
    <row r="3139" spans="18:19" x14ac:dyDescent="0.25">
      <c r="R3139" s="8" t="str">
        <f t="shared" si="98"/>
        <v/>
      </c>
      <c r="S3139" s="82" t="str">
        <f t="shared" si="99"/>
        <v/>
      </c>
    </row>
    <row r="3140" spans="18:19" x14ac:dyDescent="0.25">
      <c r="R3140" s="8" t="str">
        <f t="shared" si="98"/>
        <v/>
      </c>
      <c r="S3140" s="82" t="str">
        <f t="shared" si="99"/>
        <v/>
      </c>
    </row>
    <row r="3141" spans="18:19" x14ac:dyDescent="0.25">
      <c r="R3141" s="8" t="str">
        <f t="shared" si="98"/>
        <v/>
      </c>
      <c r="S3141" s="82" t="str">
        <f t="shared" si="99"/>
        <v/>
      </c>
    </row>
    <row r="3142" spans="18:19" x14ac:dyDescent="0.25">
      <c r="R3142" s="8" t="str">
        <f t="shared" si="98"/>
        <v/>
      </c>
      <c r="S3142" s="82" t="str">
        <f t="shared" si="99"/>
        <v/>
      </c>
    </row>
    <row r="3143" spans="18:19" x14ac:dyDescent="0.25">
      <c r="R3143" s="8" t="str">
        <f t="shared" si="98"/>
        <v/>
      </c>
      <c r="S3143" s="82" t="str">
        <f t="shared" si="99"/>
        <v/>
      </c>
    </row>
    <row r="3144" spans="18:19" x14ac:dyDescent="0.25">
      <c r="R3144" s="8" t="str">
        <f t="shared" ref="R3144:R3207" si="100">IF(A3144="",(""),(MONTH(A3144)))</f>
        <v/>
      </c>
      <c r="S3144" s="82" t="str">
        <f t="shared" si="99"/>
        <v/>
      </c>
    </row>
    <row r="3145" spans="18:19" x14ac:dyDescent="0.25">
      <c r="R3145" s="8" t="str">
        <f t="shared" si="100"/>
        <v/>
      </c>
      <c r="S3145" s="82" t="str">
        <f t="shared" si="99"/>
        <v/>
      </c>
    </row>
    <row r="3146" spans="18:19" x14ac:dyDescent="0.25">
      <c r="R3146" s="8" t="str">
        <f t="shared" si="100"/>
        <v/>
      </c>
      <c r="S3146" s="82" t="str">
        <f t="shared" si="99"/>
        <v/>
      </c>
    </row>
    <row r="3147" spans="18:19" x14ac:dyDescent="0.25">
      <c r="R3147" s="8" t="str">
        <f t="shared" si="100"/>
        <v/>
      </c>
      <c r="S3147" s="82" t="str">
        <f t="shared" si="99"/>
        <v/>
      </c>
    </row>
    <row r="3148" spans="18:19" x14ac:dyDescent="0.25">
      <c r="R3148" s="8" t="str">
        <f t="shared" si="100"/>
        <v/>
      </c>
      <c r="S3148" s="82" t="str">
        <f t="shared" si="99"/>
        <v/>
      </c>
    </row>
    <row r="3149" spans="18:19" x14ac:dyDescent="0.25">
      <c r="R3149" s="8" t="str">
        <f t="shared" si="100"/>
        <v/>
      </c>
      <c r="S3149" s="82" t="str">
        <f t="shared" si="99"/>
        <v/>
      </c>
    </row>
    <row r="3150" spans="18:19" x14ac:dyDescent="0.25">
      <c r="R3150" s="8" t="str">
        <f t="shared" si="100"/>
        <v/>
      </c>
      <c r="S3150" s="82" t="str">
        <f t="shared" si="99"/>
        <v/>
      </c>
    </row>
    <row r="3151" spans="18:19" x14ac:dyDescent="0.25">
      <c r="R3151" s="8" t="str">
        <f t="shared" si="100"/>
        <v/>
      </c>
      <c r="S3151" s="82" t="str">
        <f t="shared" si="99"/>
        <v/>
      </c>
    </row>
    <row r="3152" spans="18:19" x14ac:dyDescent="0.25">
      <c r="R3152" s="8" t="str">
        <f t="shared" si="100"/>
        <v/>
      </c>
      <c r="S3152" s="82" t="str">
        <f t="shared" si="99"/>
        <v/>
      </c>
    </row>
    <row r="3153" spans="18:19" x14ac:dyDescent="0.25">
      <c r="R3153" s="8" t="str">
        <f t="shared" si="100"/>
        <v/>
      </c>
      <c r="S3153" s="82" t="str">
        <f t="shared" si="99"/>
        <v/>
      </c>
    </row>
    <row r="3154" spans="18:19" x14ac:dyDescent="0.25">
      <c r="R3154" s="8" t="str">
        <f t="shared" si="100"/>
        <v/>
      </c>
      <c r="S3154" s="82" t="str">
        <f t="shared" si="99"/>
        <v/>
      </c>
    </row>
    <row r="3155" spans="18:19" x14ac:dyDescent="0.25">
      <c r="R3155" s="8" t="str">
        <f t="shared" si="100"/>
        <v/>
      </c>
      <c r="S3155" s="82" t="str">
        <f t="shared" si="99"/>
        <v/>
      </c>
    </row>
    <row r="3156" spans="18:19" x14ac:dyDescent="0.25">
      <c r="R3156" s="8" t="str">
        <f t="shared" si="100"/>
        <v/>
      </c>
      <c r="S3156" s="82" t="str">
        <f t="shared" si="99"/>
        <v/>
      </c>
    </row>
    <row r="3157" spans="18:19" x14ac:dyDescent="0.25">
      <c r="R3157" s="8" t="str">
        <f t="shared" si="100"/>
        <v/>
      </c>
      <c r="S3157" s="82" t="str">
        <f t="shared" si="99"/>
        <v/>
      </c>
    </row>
    <row r="3158" spans="18:19" x14ac:dyDescent="0.25">
      <c r="R3158" s="8" t="str">
        <f t="shared" si="100"/>
        <v/>
      </c>
      <c r="S3158" s="82" t="str">
        <f t="shared" ref="S3158:S3221" si="101">IF(O3158&gt;0,(Q3158-O3158),(IF(K3158="USD",(Q3158*J3158),((IF(B3158="",(""),(SUMIF(B3158,"11 - Factura C",(Q3158))-SUMIF(B3158,"13 - Nota de Crédito C",(Q3158))+SUMIF(B3158,"15 - Recibo C",(Q3158))+SUMIF(B3158,"109 - Tique C",(Q3158)))))))))</f>
        <v/>
      </c>
    </row>
    <row r="3159" spans="18:19" x14ac:dyDescent="0.25">
      <c r="R3159" s="8" t="str">
        <f t="shared" si="100"/>
        <v/>
      </c>
      <c r="S3159" s="82" t="str">
        <f t="shared" si="101"/>
        <v/>
      </c>
    </row>
    <row r="3160" spans="18:19" x14ac:dyDescent="0.25">
      <c r="R3160" s="8" t="str">
        <f t="shared" si="100"/>
        <v/>
      </c>
      <c r="S3160" s="82" t="str">
        <f t="shared" si="101"/>
        <v/>
      </c>
    </row>
    <row r="3161" spans="18:19" x14ac:dyDescent="0.25">
      <c r="R3161" s="8" t="str">
        <f t="shared" si="100"/>
        <v/>
      </c>
      <c r="S3161" s="82" t="str">
        <f t="shared" si="101"/>
        <v/>
      </c>
    </row>
    <row r="3162" spans="18:19" x14ac:dyDescent="0.25">
      <c r="R3162" s="8" t="str">
        <f t="shared" si="100"/>
        <v/>
      </c>
      <c r="S3162" s="82" t="str">
        <f t="shared" si="101"/>
        <v/>
      </c>
    </row>
    <row r="3163" spans="18:19" x14ac:dyDescent="0.25">
      <c r="R3163" s="8" t="str">
        <f t="shared" si="100"/>
        <v/>
      </c>
      <c r="S3163" s="82" t="str">
        <f t="shared" si="101"/>
        <v/>
      </c>
    </row>
    <row r="3164" spans="18:19" x14ac:dyDescent="0.25">
      <c r="R3164" s="8" t="str">
        <f t="shared" si="100"/>
        <v/>
      </c>
      <c r="S3164" s="82" t="str">
        <f t="shared" si="101"/>
        <v/>
      </c>
    </row>
    <row r="3165" spans="18:19" x14ac:dyDescent="0.25">
      <c r="R3165" s="8" t="str">
        <f t="shared" si="100"/>
        <v/>
      </c>
      <c r="S3165" s="82" t="str">
        <f t="shared" si="101"/>
        <v/>
      </c>
    </row>
    <row r="3166" spans="18:19" x14ac:dyDescent="0.25">
      <c r="R3166" s="8" t="str">
        <f t="shared" si="100"/>
        <v/>
      </c>
      <c r="S3166" s="82" t="str">
        <f t="shared" si="101"/>
        <v/>
      </c>
    </row>
    <row r="3167" spans="18:19" x14ac:dyDescent="0.25">
      <c r="R3167" s="8" t="str">
        <f t="shared" si="100"/>
        <v/>
      </c>
      <c r="S3167" s="82" t="str">
        <f t="shared" si="101"/>
        <v/>
      </c>
    </row>
    <row r="3168" spans="18:19" x14ac:dyDescent="0.25">
      <c r="R3168" s="8" t="str">
        <f t="shared" si="100"/>
        <v/>
      </c>
      <c r="S3168" s="82" t="str">
        <f t="shared" si="101"/>
        <v/>
      </c>
    </row>
    <row r="3169" spans="18:19" x14ac:dyDescent="0.25">
      <c r="R3169" s="8" t="str">
        <f t="shared" si="100"/>
        <v/>
      </c>
      <c r="S3169" s="82" t="str">
        <f t="shared" si="101"/>
        <v/>
      </c>
    </row>
    <row r="3170" spans="18:19" x14ac:dyDescent="0.25">
      <c r="R3170" s="8" t="str">
        <f t="shared" si="100"/>
        <v/>
      </c>
      <c r="S3170" s="82" t="str">
        <f t="shared" si="101"/>
        <v/>
      </c>
    </row>
    <row r="3171" spans="18:19" x14ac:dyDescent="0.25">
      <c r="R3171" s="8" t="str">
        <f t="shared" si="100"/>
        <v/>
      </c>
      <c r="S3171" s="82" t="str">
        <f t="shared" si="101"/>
        <v/>
      </c>
    </row>
    <row r="3172" spans="18:19" x14ac:dyDescent="0.25">
      <c r="R3172" s="8" t="str">
        <f t="shared" si="100"/>
        <v/>
      </c>
      <c r="S3172" s="82" t="str">
        <f t="shared" si="101"/>
        <v/>
      </c>
    </row>
    <row r="3173" spans="18:19" x14ac:dyDescent="0.25">
      <c r="R3173" s="8" t="str">
        <f t="shared" si="100"/>
        <v/>
      </c>
      <c r="S3173" s="82" t="str">
        <f t="shared" si="101"/>
        <v/>
      </c>
    </row>
    <row r="3174" spans="18:19" x14ac:dyDescent="0.25">
      <c r="R3174" s="8" t="str">
        <f t="shared" si="100"/>
        <v/>
      </c>
      <c r="S3174" s="82" t="str">
        <f t="shared" si="101"/>
        <v/>
      </c>
    </row>
    <row r="3175" spans="18:19" x14ac:dyDescent="0.25">
      <c r="R3175" s="8" t="str">
        <f t="shared" si="100"/>
        <v/>
      </c>
      <c r="S3175" s="82" t="str">
        <f t="shared" si="101"/>
        <v/>
      </c>
    </row>
    <row r="3176" spans="18:19" x14ac:dyDescent="0.25">
      <c r="R3176" s="8" t="str">
        <f t="shared" si="100"/>
        <v/>
      </c>
      <c r="S3176" s="82" t="str">
        <f t="shared" si="101"/>
        <v/>
      </c>
    </row>
    <row r="3177" spans="18:19" x14ac:dyDescent="0.25">
      <c r="R3177" s="8" t="str">
        <f t="shared" si="100"/>
        <v/>
      </c>
      <c r="S3177" s="82" t="str">
        <f t="shared" si="101"/>
        <v/>
      </c>
    </row>
    <row r="3178" spans="18:19" x14ac:dyDescent="0.25">
      <c r="R3178" s="8" t="str">
        <f t="shared" si="100"/>
        <v/>
      </c>
      <c r="S3178" s="82" t="str">
        <f t="shared" si="101"/>
        <v/>
      </c>
    </row>
    <row r="3179" spans="18:19" x14ac:dyDescent="0.25">
      <c r="R3179" s="8" t="str">
        <f t="shared" si="100"/>
        <v/>
      </c>
      <c r="S3179" s="82" t="str">
        <f t="shared" si="101"/>
        <v/>
      </c>
    </row>
    <row r="3180" spans="18:19" x14ac:dyDescent="0.25">
      <c r="R3180" s="8" t="str">
        <f t="shared" si="100"/>
        <v/>
      </c>
      <c r="S3180" s="82" t="str">
        <f t="shared" si="101"/>
        <v/>
      </c>
    </row>
    <row r="3181" spans="18:19" x14ac:dyDescent="0.25">
      <c r="R3181" s="8" t="str">
        <f t="shared" si="100"/>
        <v/>
      </c>
      <c r="S3181" s="82" t="str">
        <f t="shared" si="101"/>
        <v/>
      </c>
    </row>
    <row r="3182" spans="18:19" x14ac:dyDescent="0.25">
      <c r="R3182" s="8" t="str">
        <f t="shared" si="100"/>
        <v/>
      </c>
      <c r="S3182" s="82" t="str">
        <f t="shared" si="101"/>
        <v/>
      </c>
    </row>
    <row r="3183" spans="18:19" x14ac:dyDescent="0.25">
      <c r="R3183" s="8" t="str">
        <f t="shared" si="100"/>
        <v/>
      </c>
      <c r="S3183" s="82" t="str">
        <f t="shared" si="101"/>
        <v/>
      </c>
    </row>
    <row r="3184" spans="18:19" x14ac:dyDescent="0.25">
      <c r="R3184" s="8" t="str">
        <f t="shared" si="100"/>
        <v/>
      </c>
      <c r="S3184" s="82" t="str">
        <f t="shared" si="101"/>
        <v/>
      </c>
    </row>
    <row r="3185" spans="18:19" x14ac:dyDescent="0.25">
      <c r="R3185" s="8" t="str">
        <f t="shared" si="100"/>
        <v/>
      </c>
      <c r="S3185" s="82" t="str">
        <f t="shared" si="101"/>
        <v/>
      </c>
    </row>
    <row r="3186" spans="18:19" x14ac:dyDescent="0.25">
      <c r="R3186" s="8" t="str">
        <f t="shared" si="100"/>
        <v/>
      </c>
      <c r="S3186" s="82" t="str">
        <f t="shared" si="101"/>
        <v/>
      </c>
    </row>
    <row r="3187" spans="18:19" x14ac:dyDescent="0.25">
      <c r="R3187" s="8" t="str">
        <f t="shared" si="100"/>
        <v/>
      </c>
      <c r="S3187" s="82" t="str">
        <f t="shared" si="101"/>
        <v/>
      </c>
    </row>
    <row r="3188" spans="18:19" x14ac:dyDescent="0.25">
      <c r="R3188" s="8" t="str">
        <f t="shared" si="100"/>
        <v/>
      </c>
      <c r="S3188" s="82" t="str">
        <f t="shared" si="101"/>
        <v/>
      </c>
    </row>
    <row r="3189" spans="18:19" x14ac:dyDescent="0.25">
      <c r="R3189" s="8" t="str">
        <f t="shared" si="100"/>
        <v/>
      </c>
      <c r="S3189" s="82" t="str">
        <f t="shared" si="101"/>
        <v/>
      </c>
    </row>
    <row r="3190" spans="18:19" x14ac:dyDescent="0.25">
      <c r="R3190" s="8" t="str">
        <f t="shared" si="100"/>
        <v/>
      </c>
      <c r="S3190" s="82" t="str">
        <f t="shared" si="101"/>
        <v/>
      </c>
    </row>
    <row r="3191" spans="18:19" x14ac:dyDescent="0.25">
      <c r="R3191" s="8" t="str">
        <f t="shared" si="100"/>
        <v/>
      </c>
      <c r="S3191" s="82" t="str">
        <f t="shared" si="101"/>
        <v/>
      </c>
    </row>
    <row r="3192" spans="18:19" x14ac:dyDescent="0.25">
      <c r="R3192" s="8" t="str">
        <f t="shared" si="100"/>
        <v/>
      </c>
      <c r="S3192" s="82" t="str">
        <f t="shared" si="101"/>
        <v/>
      </c>
    </row>
    <row r="3193" spans="18:19" x14ac:dyDescent="0.25">
      <c r="R3193" s="8" t="str">
        <f t="shared" si="100"/>
        <v/>
      </c>
      <c r="S3193" s="82" t="str">
        <f t="shared" si="101"/>
        <v/>
      </c>
    </row>
    <row r="3194" spans="18:19" x14ac:dyDescent="0.25">
      <c r="R3194" s="8" t="str">
        <f t="shared" si="100"/>
        <v/>
      </c>
      <c r="S3194" s="82" t="str">
        <f t="shared" si="101"/>
        <v/>
      </c>
    </row>
    <row r="3195" spans="18:19" x14ac:dyDescent="0.25">
      <c r="R3195" s="8" t="str">
        <f t="shared" si="100"/>
        <v/>
      </c>
      <c r="S3195" s="82" t="str">
        <f t="shared" si="101"/>
        <v/>
      </c>
    </row>
    <row r="3196" spans="18:19" x14ac:dyDescent="0.25">
      <c r="R3196" s="8" t="str">
        <f t="shared" si="100"/>
        <v/>
      </c>
      <c r="S3196" s="82" t="str">
        <f t="shared" si="101"/>
        <v/>
      </c>
    </row>
    <row r="3197" spans="18:19" x14ac:dyDescent="0.25">
      <c r="R3197" s="8" t="str">
        <f t="shared" si="100"/>
        <v/>
      </c>
      <c r="S3197" s="82" t="str">
        <f t="shared" si="101"/>
        <v/>
      </c>
    </row>
    <row r="3198" spans="18:19" x14ac:dyDescent="0.25">
      <c r="R3198" s="8" t="str">
        <f t="shared" si="100"/>
        <v/>
      </c>
      <c r="S3198" s="82" t="str">
        <f t="shared" si="101"/>
        <v/>
      </c>
    </row>
    <row r="3199" spans="18:19" x14ac:dyDescent="0.25">
      <c r="R3199" s="8" t="str">
        <f t="shared" si="100"/>
        <v/>
      </c>
      <c r="S3199" s="82" t="str">
        <f t="shared" si="101"/>
        <v/>
      </c>
    </row>
    <row r="3200" spans="18:19" x14ac:dyDescent="0.25">
      <c r="R3200" s="8" t="str">
        <f t="shared" si="100"/>
        <v/>
      </c>
      <c r="S3200" s="82" t="str">
        <f t="shared" si="101"/>
        <v/>
      </c>
    </row>
    <row r="3201" spans="18:19" x14ac:dyDescent="0.25">
      <c r="R3201" s="8" t="str">
        <f t="shared" si="100"/>
        <v/>
      </c>
      <c r="S3201" s="82" t="str">
        <f t="shared" si="101"/>
        <v/>
      </c>
    </row>
    <row r="3202" spans="18:19" x14ac:dyDescent="0.25">
      <c r="R3202" s="8" t="str">
        <f t="shared" si="100"/>
        <v/>
      </c>
      <c r="S3202" s="82" t="str">
        <f t="shared" si="101"/>
        <v/>
      </c>
    </row>
    <row r="3203" spans="18:19" x14ac:dyDescent="0.25">
      <c r="R3203" s="8" t="str">
        <f t="shared" si="100"/>
        <v/>
      </c>
      <c r="S3203" s="82" t="str">
        <f t="shared" si="101"/>
        <v/>
      </c>
    </row>
    <row r="3204" spans="18:19" x14ac:dyDescent="0.25">
      <c r="R3204" s="8" t="str">
        <f t="shared" si="100"/>
        <v/>
      </c>
      <c r="S3204" s="82" t="str">
        <f t="shared" si="101"/>
        <v/>
      </c>
    </row>
    <row r="3205" spans="18:19" x14ac:dyDescent="0.25">
      <c r="R3205" s="8" t="str">
        <f t="shared" si="100"/>
        <v/>
      </c>
      <c r="S3205" s="82" t="str">
        <f t="shared" si="101"/>
        <v/>
      </c>
    </row>
    <row r="3206" spans="18:19" x14ac:dyDescent="0.25">
      <c r="R3206" s="8" t="str">
        <f t="shared" si="100"/>
        <v/>
      </c>
      <c r="S3206" s="82" t="str">
        <f t="shared" si="101"/>
        <v/>
      </c>
    </row>
    <row r="3207" spans="18:19" x14ac:dyDescent="0.25">
      <c r="R3207" s="8" t="str">
        <f t="shared" si="100"/>
        <v/>
      </c>
      <c r="S3207" s="82" t="str">
        <f t="shared" si="101"/>
        <v/>
      </c>
    </row>
    <row r="3208" spans="18:19" x14ac:dyDescent="0.25">
      <c r="R3208" s="8" t="str">
        <f t="shared" ref="R3208:R3271" si="102">IF(A3208="",(""),(MONTH(A3208)))</f>
        <v/>
      </c>
      <c r="S3208" s="82" t="str">
        <f t="shared" si="101"/>
        <v/>
      </c>
    </row>
    <row r="3209" spans="18:19" x14ac:dyDescent="0.25">
      <c r="R3209" s="8" t="str">
        <f t="shared" si="102"/>
        <v/>
      </c>
      <c r="S3209" s="82" t="str">
        <f t="shared" si="101"/>
        <v/>
      </c>
    </row>
    <row r="3210" spans="18:19" x14ac:dyDescent="0.25">
      <c r="R3210" s="8" t="str">
        <f t="shared" si="102"/>
        <v/>
      </c>
      <c r="S3210" s="82" t="str">
        <f t="shared" si="101"/>
        <v/>
      </c>
    </row>
    <row r="3211" spans="18:19" x14ac:dyDescent="0.25">
      <c r="R3211" s="8" t="str">
        <f t="shared" si="102"/>
        <v/>
      </c>
      <c r="S3211" s="82" t="str">
        <f t="shared" si="101"/>
        <v/>
      </c>
    </row>
    <row r="3212" spans="18:19" x14ac:dyDescent="0.25">
      <c r="R3212" s="8" t="str">
        <f t="shared" si="102"/>
        <v/>
      </c>
      <c r="S3212" s="82" t="str">
        <f t="shared" si="101"/>
        <v/>
      </c>
    </row>
    <row r="3213" spans="18:19" x14ac:dyDescent="0.25">
      <c r="R3213" s="8" t="str">
        <f t="shared" si="102"/>
        <v/>
      </c>
      <c r="S3213" s="82" t="str">
        <f t="shared" si="101"/>
        <v/>
      </c>
    </row>
    <row r="3214" spans="18:19" x14ac:dyDescent="0.25">
      <c r="R3214" s="8" t="str">
        <f t="shared" si="102"/>
        <v/>
      </c>
      <c r="S3214" s="82" t="str">
        <f t="shared" si="101"/>
        <v/>
      </c>
    </row>
    <row r="3215" spans="18:19" x14ac:dyDescent="0.25">
      <c r="R3215" s="8" t="str">
        <f t="shared" si="102"/>
        <v/>
      </c>
      <c r="S3215" s="82" t="str">
        <f t="shared" si="101"/>
        <v/>
      </c>
    </row>
    <row r="3216" spans="18:19" x14ac:dyDescent="0.25">
      <c r="R3216" s="8" t="str">
        <f t="shared" si="102"/>
        <v/>
      </c>
      <c r="S3216" s="82" t="str">
        <f t="shared" si="101"/>
        <v/>
      </c>
    </row>
    <row r="3217" spans="18:19" x14ac:dyDescent="0.25">
      <c r="R3217" s="8" t="str">
        <f t="shared" si="102"/>
        <v/>
      </c>
      <c r="S3217" s="82" t="str">
        <f t="shared" si="101"/>
        <v/>
      </c>
    </row>
    <row r="3218" spans="18:19" x14ac:dyDescent="0.25">
      <c r="R3218" s="8" t="str">
        <f t="shared" si="102"/>
        <v/>
      </c>
      <c r="S3218" s="82" t="str">
        <f t="shared" si="101"/>
        <v/>
      </c>
    </row>
    <row r="3219" spans="18:19" x14ac:dyDescent="0.25">
      <c r="R3219" s="8" t="str">
        <f t="shared" si="102"/>
        <v/>
      </c>
      <c r="S3219" s="82" t="str">
        <f t="shared" si="101"/>
        <v/>
      </c>
    </row>
    <row r="3220" spans="18:19" x14ac:dyDescent="0.25">
      <c r="R3220" s="8" t="str">
        <f t="shared" si="102"/>
        <v/>
      </c>
      <c r="S3220" s="82" t="str">
        <f t="shared" si="101"/>
        <v/>
      </c>
    </row>
    <row r="3221" spans="18:19" x14ac:dyDescent="0.25">
      <c r="R3221" s="8" t="str">
        <f t="shared" si="102"/>
        <v/>
      </c>
      <c r="S3221" s="82" t="str">
        <f t="shared" si="101"/>
        <v/>
      </c>
    </row>
    <row r="3222" spans="18:19" x14ac:dyDescent="0.25">
      <c r="R3222" s="8" t="str">
        <f t="shared" si="102"/>
        <v/>
      </c>
      <c r="S3222" s="82" t="str">
        <f t="shared" ref="S3222:S3285" si="103">IF(O3222&gt;0,(Q3222-O3222),(IF(K3222="USD",(Q3222*J3222),((IF(B3222="",(""),(SUMIF(B3222,"11 - Factura C",(Q3222))-SUMIF(B3222,"13 - Nota de Crédito C",(Q3222))+SUMIF(B3222,"15 - Recibo C",(Q3222))+SUMIF(B3222,"109 - Tique C",(Q3222)))))))))</f>
        <v/>
      </c>
    </row>
    <row r="3223" spans="18:19" x14ac:dyDescent="0.25">
      <c r="R3223" s="8" t="str">
        <f t="shared" si="102"/>
        <v/>
      </c>
      <c r="S3223" s="82" t="str">
        <f t="shared" si="103"/>
        <v/>
      </c>
    </row>
    <row r="3224" spans="18:19" x14ac:dyDescent="0.25">
      <c r="R3224" s="8" t="str">
        <f t="shared" si="102"/>
        <v/>
      </c>
      <c r="S3224" s="82" t="str">
        <f t="shared" si="103"/>
        <v/>
      </c>
    </row>
    <row r="3225" spans="18:19" x14ac:dyDescent="0.25">
      <c r="R3225" s="8" t="str">
        <f t="shared" si="102"/>
        <v/>
      </c>
      <c r="S3225" s="82" t="str">
        <f t="shared" si="103"/>
        <v/>
      </c>
    </row>
    <row r="3226" spans="18:19" x14ac:dyDescent="0.25">
      <c r="R3226" s="8" t="str">
        <f t="shared" si="102"/>
        <v/>
      </c>
      <c r="S3226" s="82" t="str">
        <f t="shared" si="103"/>
        <v/>
      </c>
    </row>
    <row r="3227" spans="18:19" x14ac:dyDescent="0.25">
      <c r="R3227" s="8" t="str">
        <f t="shared" si="102"/>
        <v/>
      </c>
      <c r="S3227" s="82" t="str">
        <f t="shared" si="103"/>
        <v/>
      </c>
    </row>
    <row r="3228" spans="18:19" x14ac:dyDescent="0.25">
      <c r="R3228" s="8" t="str">
        <f t="shared" si="102"/>
        <v/>
      </c>
      <c r="S3228" s="82" t="str">
        <f t="shared" si="103"/>
        <v/>
      </c>
    </row>
    <row r="3229" spans="18:19" x14ac:dyDescent="0.25">
      <c r="R3229" s="8" t="str">
        <f t="shared" si="102"/>
        <v/>
      </c>
      <c r="S3229" s="82" t="str">
        <f t="shared" si="103"/>
        <v/>
      </c>
    </row>
    <row r="3230" spans="18:19" x14ac:dyDescent="0.25">
      <c r="R3230" s="8" t="str">
        <f t="shared" si="102"/>
        <v/>
      </c>
      <c r="S3230" s="82" t="str">
        <f t="shared" si="103"/>
        <v/>
      </c>
    </row>
    <row r="3231" spans="18:19" x14ac:dyDescent="0.25">
      <c r="R3231" s="8" t="str">
        <f t="shared" si="102"/>
        <v/>
      </c>
      <c r="S3231" s="82" t="str">
        <f t="shared" si="103"/>
        <v/>
      </c>
    </row>
    <row r="3232" spans="18:19" x14ac:dyDescent="0.25">
      <c r="R3232" s="8" t="str">
        <f t="shared" si="102"/>
        <v/>
      </c>
      <c r="S3232" s="82" t="str">
        <f t="shared" si="103"/>
        <v/>
      </c>
    </row>
    <row r="3233" spans="18:19" x14ac:dyDescent="0.25">
      <c r="R3233" s="8" t="str">
        <f t="shared" si="102"/>
        <v/>
      </c>
      <c r="S3233" s="82" t="str">
        <f t="shared" si="103"/>
        <v/>
      </c>
    </row>
    <row r="3234" spans="18:19" x14ac:dyDescent="0.25">
      <c r="R3234" s="8" t="str">
        <f t="shared" si="102"/>
        <v/>
      </c>
      <c r="S3234" s="82" t="str">
        <f t="shared" si="103"/>
        <v/>
      </c>
    </row>
    <row r="3235" spans="18:19" x14ac:dyDescent="0.25">
      <c r="R3235" s="8" t="str">
        <f t="shared" si="102"/>
        <v/>
      </c>
      <c r="S3235" s="82" t="str">
        <f t="shared" si="103"/>
        <v/>
      </c>
    </row>
    <row r="3236" spans="18:19" x14ac:dyDescent="0.25">
      <c r="R3236" s="8" t="str">
        <f t="shared" si="102"/>
        <v/>
      </c>
      <c r="S3236" s="82" t="str">
        <f t="shared" si="103"/>
        <v/>
      </c>
    </row>
    <row r="3237" spans="18:19" x14ac:dyDescent="0.25">
      <c r="R3237" s="8" t="str">
        <f t="shared" si="102"/>
        <v/>
      </c>
      <c r="S3237" s="82" t="str">
        <f t="shared" si="103"/>
        <v/>
      </c>
    </row>
    <row r="3238" spans="18:19" x14ac:dyDescent="0.25">
      <c r="R3238" s="8" t="str">
        <f t="shared" si="102"/>
        <v/>
      </c>
      <c r="S3238" s="82" t="str">
        <f t="shared" si="103"/>
        <v/>
      </c>
    </row>
    <row r="3239" spans="18:19" x14ac:dyDescent="0.25">
      <c r="R3239" s="8" t="str">
        <f t="shared" si="102"/>
        <v/>
      </c>
      <c r="S3239" s="82" t="str">
        <f t="shared" si="103"/>
        <v/>
      </c>
    </row>
    <row r="3240" spans="18:19" x14ac:dyDescent="0.25">
      <c r="R3240" s="8" t="str">
        <f t="shared" si="102"/>
        <v/>
      </c>
      <c r="S3240" s="82" t="str">
        <f t="shared" si="103"/>
        <v/>
      </c>
    </row>
    <row r="3241" spans="18:19" x14ac:dyDescent="0.25">
      <c r="R3241" s="8" t="str">
        <f t="shared" si="102"/>
        <v/>
      </c>
      <c r="S3241" s="82" t="str">
        <f t="shared" si="103"/>
        <v/>
      </c>
    </row>
    <row r="3242" spans="18:19" x14ac:dyDescent="0.25">
      <c r="R3242" s="8" t="str">
        <f t="shared" si="102"/>
        <v/>
      </c>
      <c r="S3242" s="82" t="str">
        <f t="shared" si="103"/>
        <v/>
      </c>
    </row>
    <row r="3243" spans="18:19" x14ac:dyDescent="0.25">
      <c r="R3243" s="8" t="str">
        <f t="shared" si="102"/>
        <v/>
      </c>
      <c r="S3243" s="82" t="str">
        <f t="shared" si="103"/>
        <v/>
      </c>
    </row>
    <row r="3244" spans="18:19" x14ac:dyDescent="0.25">
      <c r="R3244" s="8" t="str">
        <f t="shared" si="102"/>
        <v/>
      </c>
      <c r="S3244" s="82" t="str">
        <f t="shared" si="103"/>
        <v/>
      </c>
    </row>
    <row r="3245" spans="18:19" x14ac:dyDescent="0.25">
      <c r="R3245" s="8" t="str">
        <f t="shared" si="102"/>
        <v/>
      </c>
      <c r="S3245" s="82" t="str">
        <f t="shared" si="103"/>
        <v/>
      </c>
    </row>
    <row r="3246" spans="18:19" x14ac:dyDescent="0.25">
      <c r="R3246" s="8" t="str">
        <f t="shared" si="102"/>
        <v/>
      </c>
      <c r="S3246" s="82" t="str">
        <f t="shared" si="103"/>
        <v/>
      </c>
    </row>
    <row r="3247" spans="18:19" x14ac:dyDescent="0.25">
      <c r="R3247" s="8" t="str">
        <f t="shared" si="102"/>
        <v/>
      </c>
      <c r="S3247" s="82" t="str">
        <f t="shared" si="103"/>
        <v/>
      </c>
    </row>
    <row r="3248" spans="18:19" x14ac:dyDescent="0.25">
      <c r="R3248" s="8" t="str">
        <f t="shared" si="102"/>
        <v/>
      </c>
      <c r="S3248" s="82" t="str">
        <f t="shared" si="103"/>
        <v/>
      </c>
    </row>
    <row r="3249" spans="18:19" x14ac:dyDescent="0.25">
      <c r="R3249" s="8" t="str">
        <f t="shared" si="102"/>
        <v/>
      </c>
      <c r="S3249" s="82" t="str">
        <f t="shared" si="103"/>
        <v/>
      </c>
    </row>
    <row r="3250" spans="18:19" x14ac:dyDescent="0.25">
      <c r="R3250" s="8" t="str">
        <f t="shared" si="102"/>
        <v/>
      </c>
      <c r="S3250" s="82" t="str">
        <f t="shared" si="103"/>
        <v/>
      </c>
    </row>
    <row r="3251" spans="18:19" x14ac:dyDescent="0.25">
      <c r="R3251" s="8" t="str">
        <f t="shared" si="102"/>
        <v/>
      </c>
      <c r="S3251" s="82" t="str">
        <f t="shared" si="103"/>
        <v/>
      </c>
    </row>
    <row r="3252" spans="18:19" x14ac:dyDescent="0.25">
      <c r="R3252" s="8" t="str">
        <f t="shared" si="102"/>
        <v/>
      </c>
      <c r="S3252" s="82" t="str">
        <f t="shared" si="103"/>
        <v/>
      </c>
    </row>
    <row r="3253" spans="18:19" x14ac:dyDescent="0.25">
      <c r="R3253" s="8" t="str">
        <f t="shared" si="102"/>
        <v/>
      </c>
      <c r="S3253" s="82" t="str">
        <f t="shared" si="103"/>
        <v/>
      </c>
    </row>
    <row r="3254" spans="18:19" x14ac:dyDescent="0.25">
      <c r="R3254" s="8" t="str">
        <f t="shared" si="102"/>
        <v/>
      </c>
      <c r="S3254" s="82" t="str">
        <f t="shared" si="103"/>
        <v/>
      </c>
    </row>
    <row r="3255" spans="18:19" x14ac:dyDescent="0.25">
      <c r="R3255" s="8" t="str">
        <f t="shared" si="102"/>
        <v/>
      </c>
      <c r="S3255" s="82" t="str">
        <f t="shared" si="103"/>
        <v/>
      </c>
    </row>
    <row r="3256" spans="18:19" x14ac:dyDescent="0.25">
      <c r="R3256" s="8" t="str">
        <f t="shared" si="102"/>
        <v/>
      </c>
      <c r="S3256" s="82" t="str">
        <f t="shared" si="103"/>
        <v/>
      </c>
    </row>
    <row r="3257" spans="18:19" x14ac:dyDescent="0.25">
      <c r="R3257" s="8" t="str">
        <f t="shared" si="102"/>
        <v/>
      </c>
      <c r="S3257" s="82" t="str">
        <f t="shared" si="103"/>
        <v/>
      </c>
    </row>
    <row r="3258" spans="18:19" x14ac:dyDescent="0.25">
      <c r="R3258" s="8" t="str">
        <f t="shared" si="102"/>
        <v/>
      </c>
      <c r="S3258" s="82" t="str">
        <f t="shared" si="103"/>
        <v/>
      </c>
    </row>
    <row r="3259" spans="18:19" x14ac:dyDescent="0.25">
      <c r="R3259" s="8" t="str">
        <f t="shared" si="102"/>
        <v/>
      </c>
      <c r="S3259" s="82" t="str">
        <f t="shared" si="103"/>
        <v/>
      </c>
    </row>
    <row r="3260" spans="18:19" x14ac:dyDescent="0.25">
      <c r="R3260" s="8" t="str">
        <f t="shared" si="102"/>
        <v/>
      </c>
      <c r="S3260" s="82" t="str">
        <f t="shared" si="103"/>
        <v/>
      </c>
    </row>
    <row r="3261" spans="18:19" x14ac:dyDescent="0.25">
      <c r="R3261" s="8" t="str">
        <f t="shared" si="102"/>
        <v/>
      </c>
      <c r="S3261" s="82" t="str">
        <f t="shared" si="103"/>
        <v/>
      </c>
    </row>
    <row r="3262" spans="18:19" x14ac:dyDescent="0.25">
      <c r="R3262" s="8" t="str">
        <f t="shared" si="102"/>
        <v/>
      </c>
      <c r="S3262" s="82" t="str">
        <f t="shared" si="103"/>
        <v/>
      </c>
    </row>
    <row r="3263" spans="18:19" x14ac:dyDescent="0.25">
      <c r="R3263" s="8" t="str">
        <f t="shared" si="102"/>
        <v/>
      </c>
      <c r="S3263" s="82" t="str">
        <f t="shared" si="103"/>
        <v/>
      </c>
    </row>
    <row r="3264" spans="18:19" x14ac:dyDescent="0.25">
      <c r="R3264" s="8" t="str">
        <f t="shared" si="102"/>
        <v/>
      </c>
      <c r="S3264" s="82" t="str">
        <f t="shared" si="103"/>
        <v/>
      </c>
    </row>
    <row r="3265" spans="18:19" x14ac:dyDescent="0.25">
      <c r="R3265" s="8" t="str">
        <f t="shared" si="102"/>
        <v/>
      </c>
      <c r="S3265" s="82" t="str">
        <f t="shared" si="103"/>
        <v/>
      </c>
    </row>
    <row r="3266" spans="18:19" x14ac:dyDescent="0.25">
      <c r="R3266" s="8" t="str">
        <f t="shared" si="102"/>
        <v/>
      </c>
      <c r="S3266" s="82" t="str">
        <f t="shared" si="103"/>
        <v/>
      </c>
    </row>
    <row r="3267" spans="18:19" x14ac:dyDescent="0.25">
      <c r="R3267" s="8" t="str">
        <f t="shared" si="102"/>
        <v/>
      </c>
      <c r="S3267" s="82" t="str">
        <f t="shared" si="103"/>
        <v/>
      </c>
    </row>
    <row r="3268" spans="18:19" x14ac:dyDescent="0.25">
      <c r="R3268" s="8" t="str">
        <f t="shared" si="102"/>
        <v/>
      </c>
      <c r="S3268" s="82" t="str">
        <f t="shared" si="103"/>
        <v/>
      </c>
    </row>
    <row r="3269" spans="18:19" x14ac:dyDescent="0.25">
      <c r="R3269" s="8" t="str">
        <f t="shared" si="102"/>
        <v/>
      </c>
      <c r="S3269" s="82" t="str">
        <f t="shared" si="103"/>
        <v/>
      </c>
    </row>
    <row r="3270" spans="18:19" x14ac:dyDescent="0.25">
      <c r="R3270" s="8" t="str">
        <f t="shared" si="102"/>
        <v/>
      </c>
      <c r="S3270" s="82" t="str">
        <f t="shared" si="103"/>
        <v/>
      </c>
    </row>
    <row r="3271" spans="18:19" x14ac:dyDescent="0.25">
      <c r="R3271" s="8" t="str">
        <f t="shared" si="102"/>
        <v/>
      </c>
      <c r="S3271" s="82" t="str">
        <f t="shared" si="103"/>
        <v/>
      </c>
    </row>
    <row r="3272" spans="18:19" x14ac:dyDescent="0.25">
      <c r="R3272" s="8" t="str">
        <f t="shared" ref="R3272:R3335" si="104">IF(A3272="",(""),(MONTH(A3272)))</f>
        <v/>
      </c>
      <c r="S3272" s="82" t="str">
        <f t="shared" si="103"/>
        <v/>
      </c>
    </row>
    <row r="3273" spans="18:19" x14ac:dyDescent="0.25">
      <c r="R3273" s="8" t="str">
        <f t="shared" si="104"/>
        <v/>
      </c>
      <c r="S3273" s="82" t="str">
        <f t="shared" si="103"/>
        <v/>
      </c>
    </row>
    <row r="3274" spans="18:19" x14ac:dyDescent="0.25">
      <c r="R3274" s="8" t="str">
        <f t="shared" si="104"/>
        <v/>
      </c>
      <c r="S3274" s="82" t="str">
        <f t="shared" si="103"/>
        <v/>
      </c>
    </row>
    <row r="3275" spans="18:19" x14ac:dyDescent="0.25">
      <c r="R3275" s="8" t="str">
        <f t="shared" si="104"/>
        <v/>
      </c>
      <c r="S3275" s="82" t="str">
        <f t="shared" si="103"/>
        <v/>
      </c>
    </row>
    <row r="3276" spans="18:19" x14ac:dyDescent="0.25">
      <c r="R3276" s="8" t="str">
        <f t="shared" si="104"/>
        <v/>
      </c>
      <c r="S3276" s="82" t="str">
        <f t="shared" si="103"/>
        <v/>
      </c>
    </row>
    <row r="3277" spans="18:19" x14ac:dyDescent="0.25">
      <c r="R3277" s="8" t="str">
        <f t="shared" si="104"/>
        <v/>
      </c>
      <c r="S3277" s="82" t="str">
        <f t="shared" si="103"/>
        <v/>
      </c>
    </row>
    <row r="3278" spans="18:19" x14ac:dyDescent="0.25">
      <c r="R3278" s="8" t="str">
        <f t="shared" si="104"/>
        <v/>
      </c>
      <c r="S3278" s="82" t="str">
        <f t="shared" si="103"/>
        <v/>
      </c>
    </row>
    <row r="3279" spans="18:19" x14ac:dyDescent="0.25">
      <c r="R3279" s="8" t="str">
        <f t="shared" si="104"/>
        <v/>
      </c>
      <c r="S3279" s="82" t="str">
        <f t="shared" si="103"/>
        <v/>
      </c>
    </row>
    <row r="3280" spans="18:19" x14ac:dyDescent="0.25">
      <c r="R3280" s="8" t="str">
        <f t="shared" si="104"/>
        <v/>
      </c>
      <c r="S3280" s="82" t="str">
        <f t="shared" si="103"/>
        <v/>
      </c>
    </row>
    <row r="3281" spans="18:19" x14ac:dyDescent="0.25">
      <c r="R3281" s="8" t="str">
        <f t="shared" si="104"/>
        <v/>
      </c>
      <c r="S3281" s="82" t="str">
        <f t="shared" si="103"/>
        <v/>
      </c>
    </row>
    <row r="3282" spans="18:19" x14ac:dyDescent="0.25">
      <c r="R3282" s="8" t="str">
        <f t="shared" si="104"/>
        <v/>
      </c>
      <c r="S3282" s="82" t="str">
        <f t="shared" si="103"/>
        <v/>
      </c>
    </row>
    <row r="3283" spans="18:19" x14ac:dyDescent="0.25">
      <c r="R3283" s="8" t="str">
        <f t="shared" si="104"/>
        <v/>
      </c>
      <c r="S3283" s="82" t="str">
        <f t="shared" si="103"/>
        <v/>
      </c>
    </row>
    <row r="3284" spans="18:19" x14ac:dyDescent="0.25">
      <c r="R3284" s="8" t="str">
        <f t="shared" si="104"/>
        <v/>
      </c>
      <c r="S3284" s="82" t="str">
        <f t="shared" si="103"/>
        <v/>
      </c>
    </row>
    <row r="3285" spans="18:19" x14ac:dyDescent="0.25">
      <c r="R3285" s="8" t="str">
        <f t="shared" si="104"/>
        <v/>
      </c>
      <c r="S3285" s="82" t="str">
        <f t="shared" si="103"/>
        <v/>
      </c>
    </row>
    <row r="3286" spans="18:19" x14ac:dyDescent="0.25">
      <c r="R3286" s="8" t="str">
        <f t="shared" si="104"/>
        <v/>
      </c>
      <c r="S3286" s="82" t="str">
        <f t="shared" ref="S3286:S3349" si="105">IF(O3286&gt;0,(Q3286-O3286),(IF(K3286="USD",(Q3286*J3286),((IF(B3286="",(""),(SUMIF(B3286,"11 - Factura C",(Q3286))-SUMIF(B3286,"13 - Nota de Crédito C",(Q3286))+SUMIF(B3286,"15 - Recibo C",(Q3286))+SUMIF(B3286,"109 - Tique C",(Q3286)))))))))</f>
        <v/>
      </c>
    </row>
    <row r="3287" spans="18:19" x14ac:dyDescent="0.25">
      <c r="R3287" s="8" t="str">
        <f t="shared" si="104"/>
        <v/>
      </c>
      <c r="S3287" s="82" t="str">
        <f t="shared" si="105"/>
        <v/>
      </c>
    </row>
    <row r="3288" spans="18:19" x14ac:dyDescent="0.25">
      <c r="R3288" s="8" t="str">
        <f t="shared" si="104"/>
        <v/>
      </c>
      <c r="S3288" s="82" t="str">
        <f t="shared" si="105"/>
        <v/>
      </c>
    </row>
    <row r="3289" spans="18:19" x14ac:dyDescent="0.25">
      <c r="R3289" s="8" t="str">
        <f t="shared" si="104"/>
        <v/>
      </c>
      <c r="S3289" s="82" t="str">
        <f t="shared" si="105"/>
        <v/>
      </c>
    </row>
    <row r="3290" spans="18:19" x14ac:dyDescent="0.25">
      <c r="R3290" s="8" t="str">
        <f t="shared" si="104"/>
        <v/>
      </c>
      <c r="S3290" s="82" t="str">
        <f t="shared" si="105"/>
        <v/>
      </c>
    </row>
    <row r="3291" spans="18:19" x14ac:dyDescent="0.25">
      <c r="R3291" s="8" t="str">
        <f t="shared" si="104"/>
        <v/>
      </c>
      <c r="S3291" s="82" t="str">
        <f t="shared" si="105"/>
        <v/>
      </c>
    </row>
    <row r="3292" spans="18:19" x14ac:dyDescent="0.25">
      <c r="R3292" s="8" t="str">
        <f t="shared" si="104"/>
        <v/>
      </c>
      <c r="S3292" s="82" t="str">
        <f t="shared" si="105"/>
        <v/>
      </c>
    </row>
    <row r="3293" spans="18:19" x14ac:dyDescent="0.25">
      <c r="R3293" s="8" t="str">
        <f t="shared" si="104"/>
        <v/>
      </c>
      <c r="S3293" s="82" t="str">
        <f t="shared" si="105"/>
        <v/>
      </c>
    </row>
    <row r="3294" spans="18:19" x14ac:dyDescent="0.25">
      <c r="R3294" s="8" t="str">
        <f t="shared" si="104"/>
        <v/>
      </c>
      <c r="S3294" s="82" t="str">
        <f t="shared" si="105"/>
        <v/>
      </c>
    </row>
    <row r="3295" spans="18:19" x14ac:dyDescent="0.25">
      <c r="R3295" s="8" t="str">
        <f t="shared" si="104"/>
        <v/>
      </c>
      <c r="S3295" s="82" t="str">
        <f t="shared" si="105"/>
        <v/>
      </c>
    </row>
    <row r="3296" spans="18:19" x14ac:dyDescent="0.25">
      <c r="R3296" s="8" t="str">
        <f t="shared" si="104"/>
        <v/>
      </c>
      <c r="S3296" s="82" t="str">
        <f t="shared" si="105"/>
        <v/>
      </c>
    </row>
    <row r="3297" spans="18:19" x14ac:dyDescent="0.25">
      <c r="R3297" s="8" t="str">
        <f t="shared" si="104"/>
        <v/>
      </c>
      <c r="S3297" s="82" t="str">
        <f t="shared" si="105"/>
        <v/>
      </c>
    </row>
    <row r="3298" spans="18:19" x14ac:dyDescent="0.25">
      <c r="R3298" s="8" t="str">
        <f t="shared" si="104"/>
        <v/>
      </c>
      <c r="S3298" s="82" t="str">
        <f t="shared" si="105"/>
        <v/>
      </c>
    </row>
    <row r="3299" spans="18:19" x14ac:dyDescent="0.25">
      <c r="R3299" s="8" t="str">
        <f t="shared" si="104"/>
        <v/>
      </c>
      <c r="S3299" s="82" t="str">
        <f t="shared" si="105"/>
        <v/>
      </c>
    </row>
    <row r="3300" spans="18:19" x14ac:dyDescent="0.25">
      <c r="R3300" s="8" t="str">
        <f t="shared" si="104"/>
        <v/>
      </c>
      <c r="S3300" s="82" t="str">
        <f t="shared" si="105"/>
        <v/>
      </c>
    </row>
    <row r="3301" spans="18:19" x14ac:dyDescent="0.25">
      <c r="R3301" s="8" t="str">
        <f t="shared" si="104"/>
        <v/>
      </c>
      <c r="S3301" s="82" t="str">
        <f t="shared" si="105"/>
        <v/>
      </c>
    </row>
    <row r="3302" spans="18:19" x14ac:dyDescent="0.25">
      <c r="R3302" s="8" t="str">
        <f t="shared" si="104"/>
        <v/>
      </c>
      <c r="S3302" s="82" t="str">
        <f t="shared" si="105"/>
        <v/>
      </c>
    </row>
    <row r="3303" spans="18:19" x14ac:dyDescent="0.25">
      <c r="R3303" s="8" t="str">
        <f t="shared" si="104"/>
        <v/>
      </c>
      <c r="S3303" s="82" t="str">
        <f t="shared" si="105"/>
        <v/>
      </c>
    </row>
    <row r="3304" spans="18:19" x14ac:dyDescent="0.25">
      <c r="R3304" s="8" t="str">
        <f t="shared" si="104"/>
        <v/>
      </c>
      <c r="S3304" s="82" t="str">
        <f t="shared" si="105"/>
        <v/>
      </c>
    </row>
    <row r="3305" spans="18:19" x14ac:dyDescent="0.25">
      <c r="R3305" s="8" t="str">
        <f t="shared" si="104"/>
        <v/>
      </c>
      <c r="S3305" s="82" t="str">
        <f t="shared" si="105"/>
        <v/>
      </c>
    </row>
    <row r="3306" spans="18:19" x14ac:dyDescent="0.25">
      <c r="R3306" s="8" t="str">
        <f t="shared" si="104"/>
        <v/>
      </c>
      <c r="S3306" s="82" t="str">
        <f t="shared" si="105"/>
        <v/>
      </c>
    </row>
    <row r="3307" spans="18:19" x14ac:dyDescent="0.25">
      <c r="R3307" s="8" t="str">
        <f t="shared" si="104"/>
        <v/>
      </c>
      <c r="S3307" s="82" t="str">
        <f t="shared" si="105"/>
        <v/>
      </c>
    </row>
    <row r="3308" spans="18:19" x14ac:dyDescent="0.25">
      <c r="R3308" s="8" t="str">
        <f t="shared" si="104"/>
        <v/>
      </c>
      <c r="S3308" s="82" t="str">
        <f t="shared" si="105"/>
        <v/>
      </c>
    </row>
    <row r="3309" spans="18:19" x14ac:dyDescent="0.25">
      <c r="R3309" s="8" t="str">
        <f t="shared" si="104"/>
        <v/>
      </c>
      <c r="S3309" s="82" t="str">
        <f t="shared" si="105"/>
        <v/>
      </c>
    </row>
    <row r="3310" spans="18:19" x14ac:dyDescent="0.25">
      <c r="R3310" s="8" t="str">
        <f t="shared" si="104"/>
        <v/>
      </c>
      <c r="S3310" s="82" t="str">
        <f t="shared" si="105"/>
        <v/>
      </c>
    </row>
    <row r="3311" spans="18:19" x14ac:dyDescent="0.25">
      <c r="R3311" s="8" t="str">
        <f t="shared" si="104"/>
        <v/>
      </c>
      <c r="S3311" s="82" t="str">
        <f t="shared" si="105"/>
        <v/>
      </c>
    </row>
    <row r="3312" spans="18:19" x14ac:dyDescent="0.25">
      <c r="R3312" s="8" t="str">
        <f t="shared" si="104"/>
        <v/>
      </c>
      <c r="S3312" s="82" t="str">
        <f t="shared" si="105"/>
        <v/>
      </c>
    </row>
    <row r="3313" spans="18:19" x14ac:dyDescent="0.25">
      <c r="R3313" s="8" t="str">
        <f t="shared" si="104"/>
        <v/>
      </c>
      <c r="S3313" s="82" t="str">
        <f t="shared" si="105"/>
        <v/>
      </c>
    </row>
    <row r="3314" spans="18:19" x14ac:dyDescent="0.25">
      <c r="R3314" s="8" t="str">
        <f t="shared" si="104"/>
        <v/>
      </c>
      <c r="S3314" s="82" t="str">
        <f t="shared" si="105"/>
        <v/>
      </c>
    </row>
    <row r="3315" spans="18:19" x14ac:dyDescent="0.25">
      <c r="R3315" s="8" t="str">
        <f t="shared" si="104"/>
        <v/>
      </c>
      <c r="S3315" s="82" t="str">
        <f t="shared" si="105"/>
        <v/>
      </c>
    </row>
    <row r="3316" spans="18:19" x14ac:dyDescent="0.25">
      <c r="R3316" s="8" t="str">
        <f t="shared" si="104"/>
        <v/>
      </c>
      <c r="S3316" s="82" t="str">
        <f t="shared" si="105"/>
        <v/>
      </c>
    </row>
    <row r="3317" spans="18:19" x14ac:dyDescent="0.25">
      <c r="R3317" s="8" t="str">
        <f t="shared" si="104"/>
        <v/>
      </c>
      <c r="S3317" s="82" t="str">
        <f t="shared" si="105"/>
        <v/>
      </c>
    </row>
    <row r="3318" spans="18:19" x14ac:dyDescent="0.25">
      <c r="R3318" s="8" t="str">
        <f t="shared" si="104"/>
        <v/>
      </c>
      <c r="S3318" s="82" t="str">
        <f t="shared" si="105"/>
        <v/>
      </c>
    </row>
    <row r="3319" spans="18:19" x14ac:dyDescent="0.25">
      <c r="R3319" s="8" t="str">
        <f t="shared" si="104"/>
        <v/>
      </c>
      <c r="S3319" s="82" t="str">
        <f t="shared" si="105"/>
        <v/>
      </c>
    </row>
    <row r="3320" spans="18:19" x14ac:dyDescent="0.25">
      <c r="R3320" s="8" t="str">
        <f t="shared" si="104"/>
        <v/>
      </c>
      <c r="S3320" s="82" t="str">
        <f t="shared" si="105"/>
        <v/>
      </c>
    </row>
    <row r="3321" spans="18:19" x14ac:dyDescent="0.25">
      <c r="R3321" s="8" t="str">
        <f t="shared" si="104"/>
        <v/>
      </c>
      <c r="S3321" s="82" t="str">
        <f t="shared" si="105"/>
        <v/>
      </c>
    </row>
    <row r="3322" spans="18:19" x14ac:dyDescent="0.25">
      <c r="R3322" s="8" t="str">
        <f t="shared" si="104"/>
        <v/>
      </c>
      <c r="S3322" s="82" t="str">
        <f t="shared" si="105"/>
        <v/>
      </c>
    </row>
    <row r="3323" spans="18:19" x14ac:dyDescent="0.25">
      <c r="R3323" s="8" t="str">
        <f t="shared" si="104"/>
        <v/>
      </c>
      <c r="S3323" s="82" t="str">
        <f t="shared" si="105"/>
        <v/>
      </c>
    </row>
    <row r="3324" spans="18:19" x14ac:dyDescent="0.25">
      <c r="R3324" s="8" t="str">
        <f t="shared" si="104"/>
        <v/>
      </c>
      <c r="S3324" s="82" t="str">
        <f t="shared" si="105"/>
        <v/>
      </c>
    </row>
    <row r="3325" spans="18:19" x14ac:dyDescent="0.25">
      <c r="R3325" s="8" t="str">
        <f t="shared" si="104"/>
        <v/>
      </c>
      <c r="S3325" s="82" t="str">
        <f t="shared" si="105"/>
        <v/>
      </c>
    </row>
    <row r="3326" spans="18:19" x14ac:dyDescent="0.25">
      <c r="R3326" s="8" t="str">
        <f t="shared" si="104"/>
        <v/>
      </c>
      <c r="S3326" s="82" t="str">
        <f t="shared" si="105"/>
        <v/>
      </c>
    </row>
    <row r="3327" spans="18:19" x14ac:dyDescent="0.25">
      <c r="R3327" s="8" t="str">
        <f t="shared" si="104"/>
        <v/>
      </c>
      <c r="S3327" s="82" t="str">
        <f t="shared" si="105"/>
        <v/>
      </c>
    </row>
    <row r="3328" spans="18:19" x14ac:dyDescent="0.25">
      <c r="R3328" s="8" t="str">
        <f t="shared" si="104"/>
        <v/>
      </c>
      <c r="S3328" s="82" t="str">
        <f t="shared" si="105"/>
        <v/>
      </c>
    </row>
    <row r="3329" spans="18:19" x14ac:dyDescent="0.25">
      <c r="R3329" s="8" t="str">
        <f t="shared" si="104"/>
        <v/>
      </c>
      <c r="S3329" s="82" t="str">
        <f t="shared" si="105"/>
        <v/>
      </c>
    </row>
    <row r="3330" spans="18:19" x14ac:dyDescent="0.25">
      <c r="R3330" s="8" t="str">
        <f t="shared" si="104"/>
        <v/>
      </c>
      <c r="S3330" s="82" t="str">
        <f t="shared" si="105"/>
        <v/>
      </c>
    </row>
    <row r="3331" spans="18:19" x14ac:dyDescent="0.25">
      <c r="R3331" s="8" t="str">
        <f t="shared" si="104"/>
        <v/>
      </c>
      <c r="S3331" s="82" t="str">
        <f t="shared" si="105"/>
        <v/>
      </c>
    </row>
    <row r="3332" spans="18:19" x14ac:dyDescent="0.25">
      <c r="R3332" s="8" t="str">
        <f t="shared" si="104"/>
        <v/>
      </c>
      <c r="S3332" s="82" t="str">
        <f t="shared" si="105"/>
        <v/>
      </c>
    </row>
    <row r="3333" spans="18:19" x14ac:dyDescent="0.25">
      <c r="R3333" s="8" t="str">
        <f t="shared" si="104"/>
        <v/>
      </c>
      <c r="S3333" s="82" t="str">
        <f t="shared" si="105"/>
        <v/>
      </c>
    </row>
    <row r="3334" spans="18:19" x14ac:dyDescent="0.25">
      <c r="R3334" s="8" t="str">
        <f t="shared" si="104"/>
        <v/>
      </c>
      <c r="S3334" s="82" t="str">
        <f t="shared" si="105"/>
        <v/>
      </c>
    </row>
    <row r="3335" spans="18:19" x14ac:dyDescent="0.25">
      <c r="R3335" s="8" t="str">
        <f t="shared" si="104"/>
        <v/>
      </c>
      <c r="S3335" s="82" t="str">
        <f t="shared" si="105"/>
        <v/>
      </c>
    </row>
    <row r="3336" spans="18:19" x14ac:dyDescent="0.25">
      <c r="R3336" s="8" t="str">
        <f t="shared" ref="R3336:R3399" si="106">IF(A3336="",(""),(MONTH(A3336)))</f>
        <v/>
      </c>
      <c r="S3336" s="82" t="str">
        <f t="shared" si="105"/>
        <v/>
      </c>
    </row>
    <row r="3337" spans="18:19" x14ac:dyDescent="0.25">
      <c r="R3337" s="8" t="str">
        <f t="shared" si="106"/>
        <v/>
      </c>
      <c r="S3337" s="82" t="str">
        <f t="shared" si="105"/>
        <v/>
      </c>
    </row>
    <row r="3338" spans="18:19" x14ac:dyDescent="0.25">
      <c r="R3338" s="8" t="str">
        <f t="shared" si="106"/>
        <v/>
      </c>
      <c r="S3338" s="82" t="str">
        <f t="shared" si="105"/>
        <v/>
      </c>
    </row>
    <row r="3339" spans="18:19" x14ac:dyDescent="0.25">
      <c r="R3339" s="8" t="str">
        <f t="shared" si="106"/>
        <v/>
      </c>
      <c r="S3339" s="82" t="str">
        <f t="shared" si="105"/>
        <v/>
      </c>
    </row>
    <row r="3340" spans="18:19" x14ac:dyDescent="0.25">
      <c r="R3340" s="8" t="str">
        <f t="shared" si="106"/>
        <v/>
      </c>
      <c r="S3340" s="82" t="str">
        <f t="shared" si="105"/>
        <v/>
      </c>
    </row>
    <row r="3341" spans="18:19" x14ac:dyDescent="0.25">
      <c r="R3341" s="8" t="str">
        <f t="shared" si="106"/>
        <v/>
      </c>
      <c r="S3341" s="82" t="str">
        <f t="shared" si="105"/>
        <v/>
      </c>
    </row>
    <row r="3342" spans="18:19" x14ac:dyDescent="0.25">
      <c r="R3342" s="8" t="str">
        <f t="shared" si="106"/>
        <v/>
      </c>
      <c r="S3342" s="82" t="str">
        <f t="shared" si="105"/>
        <v/>
      </c>
    </row>
    <row r="3343" spans="18:19" x14ac:dyDescent="0.25">
      <c r="R3343" s="8" t="str">
        <f t="shared" si="106"/>
        <v/>
      </c>
      <c r="S3343" s="82" t="str">
        <f t="shared" si="105"/>
        <v/>
      </c>
    </row>
    <row r="3344" spans="18:19" x14ac:dyDescent="0.25">
      <c r="R3344" s="8" t="str">
        <f t="shared" si="106"/>
        <v/>
      </c>
      <c r="S3344" s="82" t="str">
        <f t="shared" si="105"/>
        <v/>
      </c>
    </row>
    <row r="3345" spans="18:19" x14ac:dyDescent="0.25">
      <c r="R3345" s="8" t="str">
        <f t="shared" si="106"/>
        <v/>
      </c>
      <c r="S3345" s="82" t="str">
        <f t="shared" si="105"/>
        <v/>
      </c>
    </row>
    <row r="3346" spans="18:19" x14ac:dyDescent="0.25">
      <c r="R3346" s="8" t="str">
        <f t="shared" si="106"/>
        <v/>
      </c>
      <c r="S3346" s="82" t="str">
        <f t="shared" si="105"/>
        <v/>
      </c>
    </row>
    <row r="3347" spans="18:19" x14ac:dyDescent="0.25">
      <c r="R3347" s="8" t="str">
        <f t="shared" si="106"/>
        <v/>
      </c>
      <c r="S3347" s="82" t="str">
        <f t="shared" si="105"/>
        <v/>
      </c>
    </row>
    <row r="3348" spans="18:19" x14ac:dyDescent="0.25">
      <c r="R3348" s="8" t="str">
        <f t="shared" si="106"/>
        <v/>
      </c>
      <c r="S3348" s="82" t="str">
        <f t="shared" si="105"/>
        <v/>
      </c>
    </row>
    <row r="3349" spans="18:19" x14ac:dyDescent="0.25">
      <c r="R3349" s="8" t="str">
        <f t="shared" si="106"/>
        <v/>
      </c>
      <c r="S3349" s="82" t="str">
        <f t="shared" si="105"/>
        <v/>
      </c>
    </row>
    <row r="3350" spans="18:19" x14ac:dyDescent="0.25">
      <c r="R3350" s="8" t="str">
        <f t="shared" si="106"/>
        <v/>
      </c>
      <c r="S3350" s="82" t="str">
        <f t="shared" ref="S3350:S3413" si="107">IF(O3350&gt;0,(Q3350-O3350),(IF(K3350="USD",(Q3350*J3350),((IF(B3350="",(""),(SUMIF(B3350,"11 - Factura C",(Q3350))-SUMIF(B3350,"13 - Nota de Crédito C",(Q3350))+SUMIF(B3350,"15 - Recibo C",(Q3350))+SUMIF(B3350,"109 - Tique C",(Q3350)))))))))</f>
        <v/>
      </c>
    </row>
    <row r="3351" spans="18:19" x14ac:dyDescent="0.25">
      <c r="R3351" s="8" t="str">
        <f t="shared" si="106"/>
        <v/>
      </c>
      <c r="S3351" s="82" t="str">
        <f t="shared" si="107"/>
        <v/>
      </c>
    </row>
    <row r="3352" spans="18:19" x14ac:dyDescent="0.25">
      <c r="R3352" s="8" t="str">
        <f t="shared" si="106"/>
        <v/>
      </c>
      <c r="S3352" s="82" t="str">
        <f t="shared" si="107"/>
        <v/>
      </c>
    </row>
    <row r="3353" spans="18:19" x14ac:dyDescent="0.25">
      <c r="R3353" s="8" t="str">
        <f t="shared" si="106"/>
        <v/>
      </c>
      <c r="S3353" s="82" t="str">
        <f t="shared" si="107"/>
        <v/>
      </c>
    </row>
    <row r="3354" spans="18:19" x14ac:dyDescent="0.25">
      <c r="R3354" s="8" t="str">
        <f t="shared" si="106"/>
        <v/>
      </c>
      <c r="S3354" s="82" t="str">
        <f t="shared" si="107"/>
        <v/>
      </c>
    </row>
    <row r="3355" spans="18:19" x14ac:dyDescent="0.25">
      <c r="R3355" s="8" t="str">
        <f t="shared" si="106"/>
        <v/>
      </c>
      <c r="S3355" s="82" t="str">
        <f t="shared" si="107"/>
        <v/>
      </c>
    </row>
    <row r="3356" spans="18:19" x14ac:dyDescent="0.25">
      <c r="R3356" s="8" t="str">
        <f t="shared" si="106"/>
        <v/>
      </c>
      <c r="S3356" s="82" t="str">
        <f t="shared" si="107"/>
        <v/>
      </c>
    </row>
    <row r="3357" spans="18:19" x14ac:dyDescent="0.25">
      <c r="R3357" s="8" t="str">
        <f t="shared" si="106"/>
        <v/>
      </c>
      <c r="S3357" s="82" t="str">
        <f t="shared" si="107"/>
        <v/>
      </c>
    </row>
    <row r="3358" spans="18:19" x14ac:dyDescent="0.25">
      <c r="R3358" s="8" t="str">
        <f t="shared" si="106"/>
        <v/>
      </c>
      <c r="S3358" s="82" t="str">
        <f t="shared" si="107"/>
        <v/>
      </c>
    </row>
    <row r="3359" spans="18:19" x14ac:dyDescent="0.25">
      <c r="R3359" s="8" t="str">
        <f t="shared" si="106"/>
        <v/>
      </c>
      <c r="S3359" s="82" t="str">
        <f t="shared" si="107"/>
        <v/>
      </c>
    </row>
    <row r="3360" spans="18:19" x14ac:dyDescent="0.25">
      <c r="R3360" s="8" t="str">
        <f t="shared" si="106"/>
        <v/>
      </c>
      <c r="S3360" s="82" t="str">
        <f t="shared" si="107"/>
        <v/>
      </c>
    </row>
    <row r="3361" spans="18:19" x14ac:dyDescent="0.25">
      <c r="R3361" s="8" t="str">
        <f t="shared" si="106"/>
        <v/>
      </c>
      <c r="S3361" s="82" t="str">
        <f t="shared" si="107"/>
        <v/>
      </c>
    </row>
    <row r="3362" spans="18:19" x14ac:dyDescent="0.25">
      <c r="R3362" s="8" t="str">
        <f t="shared" si="106"/>
        <v/>
      </c>
      <c r="S3362" s="82" t="str">
        <f t="shared" si="107"/>
        <v/>
      </c>
    </row>
    <row r="3363" spans="18:19" x14ac:dyDescent="0.25">
      <c r="R3363" s="8" t="str">
        <f t="shared" si="106"/>
        <v/>
      </c>
      <c r="S3363" s="82" t="str">
        <f t="shared" si="107"/>
        <v/>
      </c>
    </row>
    <row r="3364" spans="18:19" x14ac:dyDescent="0.25">
      <c r="R3364" s="8" t="str">
        <f t="shared" si="106"/>
        <v/>
      </c>
      <c r="S3364" s="82" t="str">
        <f t="shared" si="107"/>
        <v/>
      </c>
    </row>
    <row r="3365" spans="18:19" x14ac:dyDescent="0.25">
      <c r="R3365" s="8" t="str">
        <f t="shared" si="106"/>
        <v/>
      </c>
      <c r="S3365" s="82" t="str">
        <f t="shared" si="107"/>
        <v/>
      </c>
    </row>
    <row r="3366" spans="18:19" x14ac:dyDescent="0.25">
      <c r="R3366" s="8" t="str">
        <f t="shared" si="106"/>
        <v/>
      </c>
      <c r="S3366" s="82" t="str">
        <f t="shared" si="107"/>
        <v/>
      </c>
    </row>
    <row r="3367" spans="18:19" x14ac:dyDescent="0.25">
      <c r="R3367" s="8" t="str">
        <f t="shared" si="106"/>
        <v/>
      </c>
      <c r="S3367" s="82" t="str">
        <f t="shared" si="107"/>
        <v/>
      </c>
    </row>
    <row r="3368" spans="18:19" x14ac:dyDescent="0.25">
      <c r="R3368" s="8" t="str">
        <f t="shared" si="106"/>
        <v/>
      </c>
      <c r="S3368" s="82" t="str">
        <f t="shared" si="107"/>
        <v/>
      </c>
    </row>
    <row r="3369" spans="18:19" x14ac:dyDescent="0.25">
      <c r="R3369" s="8" t="str">
        <f t="shared" si="106"/>
        <v/>
      </c>
      <c r="S3369" s="82" t="str">
        <f t="shared" si="107"/>
        <v/>
      </c>
    </row>
    <row r="3370" spans="18:19" x14ac:dyDescent="0.25">
      <c r="R3370" s="8" t="str">
        <f t="shared" si="106"/>
        <v/>
      </c>
      <c r="S3370" s="82" t="str">
        <f t="shared" si="107"/>
        <v/>
      </c>
    </row>
    <row r="3371" spans="18:19" x14ac:dyDescent="0.25">
      <c r="R3371" s="8" t="str">
        <f t="shared" si="106"/>
        <v/>
      </c>
      <c r="S3371" s="82" t="str">
        <f t="shared" si="107"/>
        <v/>
      </c>
    </row>
    <row r="3372" spans="18:19" x14ac:dyDescent="0.25">
      <c r="R3372" s="8" t="str">
        <f t="shared" si="106"/>
        <v/>
      </c>
      <c r="S3372" s="82" t="str">
        <f t="shared" si="107"/>
        <v/>
      </c>
    </row>
    <row r="3373" spans="18:19" x14ac:dyDescent="0.25">
      <c r="R3373" s="8" t="str">
        <f t="shared" si="106"/>
        <v/>
      </c>
      <c r="S3373" s="82" t="str">
        <f t="shared" si="107"/>
        <v/>
      </c>
    </row>
    <row r="3374" spans="18:19" x14ac:dyDescent="0.25">
      <c r="R3374" s="8" t="str">
        <f t="shared" si="106"/>
        <v/>
      </c>
      <c r="S3374" s="82" t="str">
        <f t="shared" si="107"/>
        <v/>
      </c>
    </row>
    <row r="3375" spans="18:19" x14ac:dyDescent="0.25">
      <c r="R3375" s="8" t="str">
        <f t="shared" si="106"/>
        <v/>
      </c>
      <c r="S3375" s="82" t="str">
        <f t="shared" si="107"/>
        <v/>
      </c>
    </row>
    <row r="3376" spans="18:19" x14ac:dyDescent="0.25">
      <c r="R3376" s="8" t="str">
        <f t="shared" si="106"/>
        <v/>
      </c>
      <c r="S3376" s="82" t="str">
        <f t="shared" si="107"/>
        <v/>
      </c>
    </row>
    <row r="3377" spans="18:19" x14ac:dyDescent="0.25">
      <c r="R3377" s="8" t="str">
        <f t="shared" si="106"/>
        <v/>
      </c>
      <c r="S3377" s="82" t="str">
        <f t="shared" si="107"/>
        <v/>
      </c>
    </row>
    <row r="3378" spans="18:19" x14ac:dyDescent="0.25">
      <c r="R3378" s="8" t="str">
        <f t="shared" si="106"/>
        <v/>
      </c>
      <c r="S3378" s="82" t="str">
        <f t="shared" si="107"/>
        <v/>
      </c>
    </row>
    <row r="3379" spans="18:19" x14ac:dyDescent="0.25">
      <c r="R3379" s="8" t="str">
        <f t="shared" si="106"/>
        <v/>
      </c>
      <c r="S3379" s="82" t="str">
        <f t="shared" si="107"/>
        <v/>
      </c>
    </row>
    <row r="3380" spans="18:19" x14ac:dyDescent="0.25">
      <c r="R3380" s="8" t="str">
        <f t="shared" si="106"/>
        <v/>
      </c>
      <c r="S3380" s="82" t="str">
        <f t="shared" si="107"/>
        <v/>
      </c>
    </row>
    <row r="3381" spans="18:19" x14ac:dyDescent="0.25">
      <c r="R3381" s="8" t="str">
        <f t="shared" si="106"/>
        <v/>
      </c>
      <c r="S3381" s="82" t="str">
        <f t="shared" si="107"/>
        <v/>
      </c>
    </row>
    <row r="3382" spans="18:19" x14ac:dyDescent="0.25">
      <c r="R3382" s="8" t="str">
        <f t="shared" si="106"/>
        <v/>
      </c>
      <c r="S3382" s="82" t="str">
        <f t="shared" si="107"/>
        <v/>
      </c>
    </row>
    <row r="3383" spans="18:19" x14ac:dyDescent="0.25">
      <c r="R3383" s="8" t="str">
        <f t="shared" si="106"/>
        <v/>
      </c>
      <c r="S3383" s="82" t="str">
        <f t="shared" si="107"/>
        <v/>
      </c>
    </row>
    <row r="3384" spans="18:19" x14ac:dyDescent="0.25">
      <c r="R3384" s="8" t="str">
        <f t="shared" si="106"/>
        <v/>
      </c>
      <c r="S3384" s="82" t="str">
        <f t="shared" si="107"/>
        <v/>
      </c>
    </row>
    <row r="3385" spans="18:19" x14ac:dyDescent="0.25">
      <c r="R3385" s="8" t="str">
        <f t="shared" si="106"/>
        <v/>
      </c>
      <c r="S3385" s="82" t="str">
        <f t="shared" si="107"/>
        <v/>
      </c>
    </row>
    <row r="3386" spans="18:19" x14ac:dyDescent="0.25">
      <c r="R3386" s="8" t="str">
        <f t="shared" si="106"/>
        <v/>
      </c>
      <c r="S3386" s="82" t="str">
        <f t="shared" si="107"/>
        <v/>
      </c>
    </row>
    <row r="3387" spans="18:19" x14ac:dyDescent="0.25">
      <c r="R3387" s="8" t="str">
        <f t="shared" si="106"/>
        <v/>
      </c>
      <c r="S3387" s="82" t="str">
        <f t="shared" si="107"/>
        <v/>
      </c>
    </row>
    <row r="3388" spans="18:19" x14ac:dyDescent="0.25">
      <c r="R3388" s="8" t="str">
        <f t="shared" si="106"/>
        <v/>
      </c>
      <c r="S3388" s="82" t="str">
        <f t="shared" si="107"/>
        <v/>
      </c>
    </row>
    <row r="3389" spans="18:19" x14ac:dyDescent="0.25">
      <c r="R3389" s="8" t="str">
        <f t="shared" si="106"/>
        <v/>
      </c>
      <c r="S3389" s="82" t="str">
        <f t="shared" si="107"/>
        <v/>
      </c>
    </row>
    <row r="3390" spans="18:19" x14ac:dyDescent="0.25">
      <c r="R3390" s="8" t="str">
        <f t="shared" si="106"/>
        <v/>
      </c>
      <c r="S3390" s="82" t="str">
        <f t="shared" si="107"/>
        <v/>
      </c>
    </row>
    <row r="3391" spans="18:19" x14ac:dyDescent="0.25">
      <c r="R3391" s="8" t="str">
        <f t="shared" si="106"/>
        <v/>
      </c>
      <c r="S3391" s="82" t="str">
        <f t="shared" si="107"/>
        <v/>
      </c>
    </row>
    <row r="3392" spans="18:19" x14ac:dyDescent="0.25">
      <c r="R3392" s="8" t="str">
        <f t="shared" si="106"/>
        <v/>
      </c>
      <c r="S3392" s="82" t="str">
        <f t="shared" si="107"/>
        <v/>
      </c>
    </row>
    <row r="3393" spans="18:19" x14ac:dyDescent="0.25">
      <c r="R3393" s="8" t="str">
        <f t="shared" si="106"/>
        <v/>
      </c>
      <c r="S3393" s="82" t="str">
        <f t="shared" si="107"/>
        <v/>
      </c>
    </row>
    <row r="3394" spans="18:19" x14ac:dyDescent="0.25">
      <c r="R3394" s="8" t="str">
        <f t="shared" si="106"/>
        <v/>
      </c>
      <c r="S3394" s="82" t="str">
        <f t="shared" si="107"/>
        <v/>
      </c>
    </row>
    <row r="3395" spans="18:19" x14ac:dyDescent="0.25">
      <c r="R3395" s="8" t="str">
        <f t="shared" si="106"/>
        <v/>
      </c>
      <c r="S3395" s="82" t="str">
        <f t="shared" si="107"/>
        <v/>
      </c>
    </row>
    <row r="3396" spans="18:19" x14ac:dyDescent="0.25">
      <c r="R3396" s="8" t="str">
        <f t="shared" si="106"/>
        <v/>
      </c>
      <c r="S3396" s="82" t="str">
        <f t="shared" si="107"/>
        <v/>
      </c>
    </row>
    <row r="3397" spans="18:19" x14ac:dyDescent="0.25">
      <c r="R3397" s="8" t="str">
        <f t="shared" si="106"/>
        <v/>
      </c>
      <c r="S3397" s="82" t="str">
        <f t="shared" si="107"/>
        <v/>
      </c>
    </row>
    <row r="3398" spans="18:19" x14ac:dyDescent="0.25">
      <c r="R3398" s="8" t="str">
        <f t="shared" si="106"/>
        <v/>
      </c>
      <c r="S3398" s="82" t="str">
        <f t="shared" si="107"/>
        <v/>
      </c>
    </row>
    <row r="3399" spans="18:19" x14ac:dyDescent="0.25">
      <c r="R3399" s="8" t="str">
        <f t="shared" si="106"/>
        <v/>
      </c>
      <c r="S3399" s="82" t="str">
        <f t="shared" si="107"/>
        <v/>
      </c>
    </row>
    <row r="3400" spans="18:19" x14ac:dyDescent="0.25">
      <c r="R3400" s="8" t="str">
        <f t="shared" ref="R3400:R3463" si="108">IF(A3400="",(""),(MONTH(A3400)))</f>
        <v/>
      </c>
      <c r="S3400" s="82" t="str">
        <f t="shared" si="107"/>
        <v/>
      </c>
    </row>
    <row r="3401" spans="18:19" x14ac:dyDescent="0.25">
      <c r="R3401" s="8" t="str">
        <f t="shared" si="108"/>
        <v/>
      </c>
      <c r="S3401" s="82" t="str">
        <f t="shared" si="107"/>
        <v/>
      </c>
    </row>
    <row r="3402" spans="18:19" x14ac:dyDescent="0.25">
      <c r="R3402" s="8" t="str">
        <f t="shared" si="108"/>
        <v/>
      </c>
      <c r="S3402" s="82" t="str">
        <f t="shared" si="107"/>
        <v/>
      </c>
    </row>
    <row r="3403" spans="18:19" x14ac:dyDescent="0.25">
      <c r="R3403" s="8" t="str">
        <f t="shared" si="108"/>
        <v/>
      </c>
      <c r="S3403" s="82" t="str">
        <f t="shared" si="107"/>
        <v/>
      </c>
    </row>
    <row r="3404" spans="18:19" x14ac:dyDescent="0.25">
      <c r="R3404" s="8" t="str">
        <f t="shared" si="108"/>
        <v/>
      </c>
      <c r="S3404" s="82" t="str">
        <f t="shared" si="107"/>
        <v/>
      </c>
    </row>
    <row r="3405" spans="18:19" x14ac:dyDescent="0.25">
      <c r="R3405" s="8" t="str">
        <f t="shared" si="108"/>
        <v/>
      </c>
      <c r="S3405" s="82" t="str">
        <f t="shared" si="107"/>
        <v/>
      </c>
    </row>
    <row r="3406" spans="18:19" x14ac:dyDescent="0.25">
      <c r="R3406" s="8" t="str">
        <f t="shared" si="108"/>
        <v/>
      </c>
      <c r="S3406" s="82" t="str">
        <f t="shared" si="107"/>
        <v/>
      </c>
    </row>
    <row r="3407" spans="18:19" x14ac:dyDescent="0.25">
      <c r="R3407" s="8" t="str">
        <f t="shared" si="108"/>
        <v/>
      </c>
      <c r="S3407" s="82" t="str">
        <f t="shared" si="107"/>
        <v/>
      </c>
    </row>
    <row r="3408" spans="18:19" x14ac:dyDescent="0.25">
      <c r="R3408" s="8" t="str">
        <f t="shared" si="108"/>
        <v/>
      </c>
      <c r="S3408" s="82" t="str">
        <f t="shared" si="107"/>
        <v/>
      </c>
    </row>
    <row r="3409" spans="18:19" x14ac:dyDescent="0.25">
      <c r="R3409" s="8" t="str">
        <f t="shared" si="108"/>
        <v/>
      </c>
      <c r="S3409" s="82" t="str">
        <f t="shared" si="107"/>
        <v/>
      </c>
    </row>
    <row r="3410" spans="18:19" x14ac:dyDescent="0.25">
      <c r="R3410" s="8" t="str">
        <f t="shared" si="108"/>
        <v/>
      </c>
      <c r="S3410" s="82" t="str">
        <f t="shared" si="107"/>
        <v/>
      </c>
    </row>
    <row r="3411" spans="18:19" x14ac:dyDescent="0.25">
      <c r="R3411" s="8" t="str">
        <f t="shared" si="108"/>
        <v/>
      </c>
      <c r="S3411" s="82" t="str">
        <f t="shared" si="107"/>
        <v/>
      </c>
    </row>
    <row r="3412" spans="18:19" x14ac:dyDescent="0.25">
      <c r="R3412" s="8" t="str">
        <f t="shared" si="108"/>
        <v/>
      </c>
      <c r="S3412" s="82" t="str">
        <f t="shared" si="107"/>
        <v/>
      </c>
    </row>
    <row r="3413" spans="18:19" x14ac:dyDescent="0.25">
      <c r="R3413" s="8" t="str">
        <f t="shared" si="108"/>
        <v/>
      </c>
      <c r="S3413" s="82" t="str">
        <f t="shared" si="107"/>
        <v/>
      </c>
    </row>
    <row r="3414" spans="18:19" x14ac:dyDescent="0.25">
      <c r="R3414" s="8" t="str">
        <f t="shared" si="108"/>
        <v/>
      </c>
      <c r="S3414" s="82" t="str">
        <f t="shared" ref="S3414:S3477" si="109">IF(O3414&gt;0,(Q3414-O3414),(IF(K3414="USD",(Q3414*J3414),((IF(B3414="",(""),(SUMIF(B3414,"11 - Factura C",(Q3414))-SUMIF(B3414,"13 - Nota de Crédito C",(Q3414))+SUMIF(B3414,"15 - Recibo C",(Q3414))+SUMIF(B3414,"109 - Tique C",(Q3414)))))))))</f>
        <v/>
      </c>
    </row>
    <row r="3415" spans="18:19" x14ac:dyDescent="0.25">
      <c r="R3415" s="8" t="str">
        <f t="shared" si="108"/>
        <v/>
      </c>
      <c r="S3415" s="82" t="str">
        <f t="shared" si="109"/>
        <v/>
      </c>
    </row>
    <row r="3416" spans="18:19" x14ac:dyDescent="0.25">
      <c r="R3416" s="8" t="str">
        <f t="shared" si="108"/>
        <v/>
      </c>
      <c r="S3416" s="82" t="str">
        <f t="shared" si="109"/>
        <v/>
      </c>
    </row>
    <row r="3417" spans="18:19" x14ac:dyDescent="0.25">
      <c r="R3417" s="8" t="str">
        <f t="shared" si="108"/>
        <v/>
      </c>
      <c r="S3417" s="82" t="str">
        <f t="shared" si="109"/>
        <v/>
      </c>
    </row>
    <row r="3418" spans="18:19" x14ac:dyDescent="0.25">
      <c r="R3418" s="8" t="str">
        <f t="shared" si="108"/>
        <v/>
      </c>
      <c r="S3418" s="82" t="str">
        <f t="shared" si="109"/>
        <v/>
      </c>
    </row>
    <row r="3419" spans="18:19" x14ac:dyDescent="0.25">
      <c r="R3419" s="8" t="str">
        <f t="shared" si="108"/>
        <v/>
      </c>
      <c r="S3419" s="82" t="str">
        <f t="shared" si="109"/>
        <v/>
      </c>
    </row>
    <row r="3420" spans="18:19" x14ac:dyDescent="0.25">
      <c r="R3420" s="8" t="str">
        <f t="shared" si="108"/>
        <v/>
      </c>
      <c r="S3420" s="82" t="str">
        <f t="shared" si="109"/>
        <v/>
      </c>
    </row>
    <row r="3421" spans="18:19" x14ac:dyDescent="0.25">
      <c r="R3421" s="8" t="str">
        <f t="shared" si="108"/>
        <v/>
      </c>
      <c r="S3421" s="82" t="str">
        <f t="shared" si="109"/>
        <v/>
      </c>
    </row>
    <row r="3422" spans="18:19" x14ac:dyDescent="0.25">
      <c r="R3422" s="8" t="str">
        <f t="shared" si="108"/>
        <v/>
      </c>
      <c r="S3422" s="82" t="str">
        <f t="shared" si="109"/>
        <v/>
      </c>
    </row>
    <row r="3423" spans="18:19" x14ac:dyDescent="0.25">
      <c r="R3423" s="8" t="str">
        <f t="shared" si="108"/>
        <v/>
      </c>
      <c r="S3423" s="82" t="str">
        <f t="shared" si="109"/>
        <v/>
      </c>
    </row>
    <row r="3424" spans="18:19" x14ac:dyDescent="0.25">
      <c r="R3424" s="8" t="str">
        <f t="shared" si="108"/>
        <v/>
      </c>
      <c r="S3424" s="82" t="str">
        <f t="shared" si="109"/>
        <v/>
      </c>
    </row>
    <row r="3425" spans="18:19" x14ac:dyDescent="0.25">
      <c r="R3425" s="8" t="str">
        <f t="shared" si="108"/>
        <v/>
      </c>
      <c r="S3425" s="82" t="str">
        <f t="shared" si="109"/>
        <v/>
      </c>
    </row>
    <row r="3426" spans="18:19" x14ac:dyDescent="0.25">
      <c r="R3426" s="8" t="str">
        <f t="shared" si="108"/>
        <v/>
      </c>
      <c r="S3426" s="82" t="str">
        <f t="shared" si="109"/>
        <v/>
      </c>
    </row>
    <row r="3427" spans="18:19" x14ac:dyDescent="0.25">
      <c r="R3427" s="8" t="str">
        <f t="shared" si="108"/>
        <v/>
      </c>
      <c r="S3427" s="82" t="str">
        <f t="shared" si="109"/>
        <v/>
      </c>
    </row>
    <row r="3428" spans="18:19" x14ac:dyDescent="0.25">
      <c r="R3428" s="8" t="str">
        <f t="shared" si="108"/>
        <v/>
      </c>
      <c r="S3428" s="82" t="str">
        <f t="shared" si="109"/>
        <v/>
      </c>
    </row>
    <row r="3429" spans="18:19" x14ac:dyDescent="0.25">
      <c r="R3429" s="8" t="str">
        <f t="shared" si="108"/>
        <v/>
      </c>
      <c r="S3429" s="82" t="str">
        <f t="shared" si="109"/>
        <v/>
      </c>
    </row>
    <row r="3430" spans="18:19" x14ac:dyDescent="0.25">
      <c r="R3430" s="8" t="str">
        <f t="shared" si="108"/>
        <v/>
      </c>
      <c r="S3430" s="82" t="str">
        <f t="shared" si="109"/>
        <v/>
      </c>
    </row>
    <row r="3431" spans="18:19" x14ac:dyDescent="0.25">
      <c r="R3431" s="8" t="str">
        <f t="shared" si="108"/>
        <v/>
      </c>
      <c r="S3431" s="82" t="str">
        <f t="shared" si="109"/>
        <v/>
      </c>
    </row>
    <row r="3432" spans="18:19" x14ac:dyDescent="0.25">
      <c r="R3432" s="8" t="str">
        <f t="shared" si="108"/>
        <v/>
      </c>
      <c r="S3432" s="82" t="str">
        <f t="shared" si="109"/>
        <v/>
      </c>
    </row>
    <row r="3433" spans="18:19" x14ac:dyDescent="0.25">
      <c r="R3433" s="8" t="str">
        <f t="shared" si="108"/>
        <v/>
      </c>
      <c r="S3433" s="82" t="str">
        <f t="shared" si="109"/>
        <v/>
      </c>
    </row>
    <row r="3434" spans="18:19" x14ac:dyDescent="0.25">
      <c r="R3434" s="8" t="str">
        <f t="shared" si="108"/>
        <v/>
      </c>
      <c r="S3434" s="82" t="str">
        <f t="shared" si="109"/>
        <v/>
      </c>
    </row>
    <row r="3435" spans="18:19" x14ac:dyDescent="0.25">
      <c r="R3435" s="8" t="str">
        <f t="shared" si="108"/>
        <v/>
      </c>
      <c r="S3435" s="82" t="str">
        <f t="shared" si="109"/>
        <v/>
      </c>
    </row>
    <row r="3436" spans="18:19" x14ac:dyDescent="0.25">
      <c r="R3436" s="8" t="str">
        <f t="shared" si="108"/>
        <v/>
      </c>
      <c r="S3436" s="82" t="str">
        <f t="shared" si="109"/>
        <v/>
      </c>
    </row>
    <row r="3437" spans="18:19" x14ac:dyDescent="0.25">
      <c r="R3437" s="8" t="str">
        <f t="shared" si="108"/>
        <v/>
      </c>
      <c r="S3437" s="82" t="str">
        <f t="shared" si="109"/>
        <v/>
      </c>
    </row>
    <row r="3438" spans="18:19" x14ac:dyDescent="0.25">
      <c r="R3438" s="8" t="str">
        <f t="shared" si="108"/>
        <v/>
      </c>
      <c r="S3438" s="82" t="str">
        <f t="shared" si="109"/>
        <v/>
      </c>
    </row>
    <row r="3439" spans="18:19" x14ac:dyDescent="0.25">
      <c r="R3439" s="8" t="str">
        <f t="shared" si="108"/>
        <v/>
      </c>
      <c r="S3439" s="82" t="str">
        <f t="shared" si="109"/>
        <v/>
      </c>
    </row>
    <row r="3440" spans="18:19" x14ac:dyDescent="0.25">
      <c r="R3440" s="8" t="str">
        <f t="shared" si="108"/>
        <v/>
      </c>
      <c r="S3440" s="82" t="str">
        <f t="shared" si="109"/>
        <v/>
      </c>
    </row>
    <row r="3441" spans="18:19" x14ac:dyDescent="0.25">
      <c r="R3441" s="8" t="str">
        <f t="shared" si="108"/>
        <v/>
      </c>
      <c r="S3441" s="82" t="str">
        <f t="shared" si="109"/>
        <v/>
      </c>
    </row>
    <row r="3442" spans="18:19" x14ac:dyDescent="0.25">
      <c r="R3442" s="8" t="str">
        <f t="shared" si="108"/>
        <v/>
      </c>
      <c r="S3442" s="82" t="str">
        <f t="shared" si="109"/>
        <v/>
      </c>
    </row>
    <row r="3443" spans="18:19" x14ac:dyDescent="0.25">
      <c r="R3443" s="8" t="str">
        <f t="shared" si="108"/>
        <v/>
      </c>
      <c r="S3443" s="82" t="str">
        <f t="shared" si="109"/>
        <v/>
      </c>
    </row>
    <row r="3444" spans="18:19" x14ac:dyDescent="0.25">
      <c r="R3444" s="8" t="str">
        <f t="shared" si="108"/>
        <v/>
      </c>
      <c r="S3444" s="82" t="str">
        <f t="shared" si="109"/>
        <v/>
      </c>
    </row>
    <row r="3445" spans="18:19" x14ac:dyDescent="0.25">
      <c r="R3445" s="8" t="str">
        <f t="shared" si="108"/>
        <v/>
      </c>
      <c r="S3445" s="82" t="str">
        <f t="shared" si="109"/>
        <v/>
      </c>
    </row>
    <row r="3446" spans="18:19" x14ac:dyDescent="0.25">
      <c r="R3446" s="8" t="str">
        <f t="shared" si="108"/>
        <v/>
      </c>
      <c r="S3446" s="82" t="str">
        <f t="shared" si="109"/>
        <v/>
      </c>
    </row>
    <row r="3447" spans="18:19" x14ac:dyDescent="0.25">
      <c r="R3447" s="8" t="str">
        <f t="shared" si="108"/>
        <v/>
      </c>
      <c r="S3447" s="82" t="str">
        <f t="shared" si="109"/>
        <v/>
      </c>
    </row>
    <row r="3448" spans="18:19" x14ac:dyDescent="0.25">
      <c r="R3448" s="8" t="str">
        <f t="shared" si="108"/>
        <v/>
      </c>
      <c r="S3448" s="82" t="str">
        <f t="shared" si="109"/>
        <v/>
      </c>
    </row>
    <row r="3449" spans="18:19" x14ac:dyDescent="0.25">
      <c r="R3449" s="8" t="str">
        <f t="shared" si="108"/>
        <v/>
      </c>
      <c r="S3449" s="82" t="str">
        <f t="shared" si="109"/>
        <v/>
      </c>
    </row>
    <row r="3450" spans="18:19" x14ac:dyDescent="0.25">
      <c r="R3450" s="8" t="str">
        <f t="shared" si="108"/>
        <v/>
      </c>
      <c r="S3450" s="82" t="str">
        <f t="shared" si="109"/>
        <v/>
      </c>
    </row>
    <row r="3451" spans="18:19" x14ac:dyDescent="0.25">
      <c r="R3451" s="8" t="str">
        <f t="shared" si="108"/>
        <v/>
      </c>
      <c r="S3451" s="82" t="str">
        <f t="shared" si="109"/>
        <v/>
      </c>
    </row>
    <row r="3452" spans="18:19" x14ac:dyDescent="0.25">
      <c r="R3452" s="8" t="str">
        <f t="shared" si="108"/>
        <v/>
      </c>
      <c r="S3452" s="82" t="str">
        <f t="shared" si="109"/>
        <v/>
      </c>
    </row>
    <row r="3453" spans="18:19" x14ac:dyDescent="0.25">
      <c r="R3453" s="8" t="str">
        <f t="shared" si="108"/>
        <v/>
      </c>
      <c r="S3453" s="82" t="str">
        <f t="shared" si="109"/>
        <v/>
      </c>
    </row>
    <row r="3454" spans="18:19" x14ac:dyDescent="0.25">
      <c r="R3454" s="8" t="str">
        <f t="shared" si="108"/>
        <v/>
      </c>
      <c r="S3454" s="82" t="str">
        <f t="shared" si="109"/>
        <v/>
      </c>
    </row>
    <row r="3455" spans="18:19" x14ac:dyDescent="0.25">
      <c r="R3455" s="8" t="str">
        <f t="shared" si="108"/>
        <v/>
      </c>
      <c r="S3455" s="82" t="str">
        <f t="shared" si="109"/>
        <v/>
      </c>
    </row>
    <row r="3456" spans="18:19" x14ac:dyDescent="0.25">
      <c r="R3456" s="8" t="str">
        <f t="shared" si="108"/>
        <v/>
      </c>
      <c r="S3456" s="82" t="str">
        <f t="shared" si="109"/>
        <v/>
      </c>
    </row>
    <row r="3457" spans="18:19" x14ac:dyDescent="0.25">
      <c r="R3457" s="8" t="str">
        <f t="shared" si="108"/>
        <v/>
      </c>
      <c r="S3457" s="82" t="str">
        <f t="shared" si="109"/>
        <v/>
      </c>
    </row>
    <row r="3458" spans="18:19" x14ac:dyDescent="0.25">
      <c r="R3458" s="8" t="str">
        <f t="shared" si="108"/>
        <v/>
      </c>
      <c r="S3458" s="82" t="str">
        <f t="shared" si="109"/>
        <v/>
      </c>
    </row>
    <row r="3459" spans="18:19" x14ac:dyDescent="0.25">
      <c r="R3459" s="8" t="str">
        <f t="shared" si="108"/>
        <v/>
      </c>
      <c r="S3459" s="82" t="str">
        <f t="shared" si="109"/>
        <v/>
      </c>
    </row>
    <row r="3460" spans="18:19" x14ac:dyDescent="0.25">
      <c r="R3460" s="8" t="str">
        <f t="shared" si="108"/>
        <v/>
      </c>
      <c r="S3460" s="82" t="str">
        <f t="shared" si="109"/>
        <v/>
      </c>
    </row>
    <row r="3461" spans="18:19" x14ac:dyDescent="0.25">
      <c r="R3461" s="8" t="str">
        <f t="shared" si="108"/>
        <v/>
      </c>
      <c r="S3461" s="82" t="str">
        <f t="shared" si="109"/>
        <v/>
      </c>
    </row>
    <row r="3462" spans="18:19" x14ac:dyDescent="0.25">
      <c r="R3462" s="8" t="str">
        <f t="shared" si="108"/>
        <v/>
      </c>
      <c r="S3462" s="82" t="str">
        <f t="shared" si="109"/>
        <v/>
      </c>
    </row>
    <row r="3463" spans="18:19" x14ac:dyDescent="0.25">
      <c r="R3463" s="8" t="str">
        <f t="shared" si="108"/>
        <v/>
      </c>
      <c r="S3463" s="82" t="str">
        <f t="shared" si="109"/>
        <v/>
      </c>
    </row>
    <row r="3464" spans="18:19" x14ac:dyDescent="0.25">
      <c r="R3464" s="8" t="str">
        <f t="shared" ref="R3464:R3527" si="110">IF(A3464="",(""),(MONTH(A3464)))</f>
        <v/>
      </c>
      <c r="S3464" s="82" t="str">
        <f t="shared" si="109"/>
        <v/>
      </c>
    </row>
    <row r="3465" spans="18:19" x14ac:dyDescent="0.25">
      <c r="R3465" s="8" t="str">
        <f t="shared" si="110"/>
        <v/>
      </c>
      <c r="S3465" s="82" t="str">
        <f t="shared" si="109"/>
        <v/>
      </c>
    </row>
    <row r="3466" spans="18:19" x14ac:dyDescent="0.25">
      <c r="R3466" s="8" t="str">
        <f t="shared" si="110"/>
        <v/>
      </c>
      <c r="S3466" s="82" t="str">
        <f t="shared" si="109"/>
        <v/>
      </c>
    </row>
    <row r="3467" spans="18:19" x14ac:dyDescent="0.25">
      <c r="R3467" s="8" t="str">
        <f t="shared" si="110"/>
        <v/>
      </c>
      <c r="S3467" s="82" t="str">
        <f t="shared" si="109"/>
        <v/>
      </c>
    </row>
    <row r="3468" spans="18:19" x14ac:dyDescent="0.25">
      <c r="R3468" s="8" t="str">
        <f t="shared" si="110"/>
        <v/>
      </c>
      <c r="S3468" s="82" t="str">
        <f t="shared" si="109"/>
        <v/>
      </c>
    </row>
    <row r="3469" spans="18:19" x14ac:dyDescent="0.25">
      <c r="R3469" s="8" t="str">
        <f t="shared" si="110"/>
        <v/>
      </c>
      <c r="S3469" s="82" t="str">
        <f t="shared" si="109"/>
        <v/>
      </c>
    </row>
    <row r="3470" spans="18:19" x14ac:dyDescent="0.25">
      <c r="R3470" s="8" t="str">
        <f t="shared" si="110"/>
        <v/>
      </c>
      <c r="S3470" s="82" t="str">
        <f t="shared" si="109"/>
        <v/>
      </c>
    </row>
    <row r="3471" spans="18:19" x14ac:dyDescent="0.25">
      <c r="R3471" s="8" t="str">
        <f t="shared" si="110"/>
        <v/>
      </c>
      <c r="S3471" s="82" t="str">
        <f t="shared" si="109"/>
        <v/>
      </c>
    </row>
    <row r="3472" spans="18:19" x14ac:dyDescent="0.25">
      <c r="R3472" s="8" t="str">
        <f t="shared" si="110"/>
        <v/>
      </c>
      <c r="S3472" s="82" t="str">
        <f t="shared" si="109"/>
        <v/>
      </c>
    </row>
    <row r="3473" spans="18:19" x14ac:dyDescent="0.25">
      <c r="R3473" s="8" t="str">
        <f t="shared" si="110"/>
        <v/>
      </c>
      <c r="S3473" s="82" t="str">
        <f t="shared" si="109"/>
        <v/>
      </c>
    </row>
    <row r="3474" spans="18:19" x14ac:dyDescent="0.25">
      <c r="R3474" s="8" t="str">
        <f t="shared" si="110"/>
        <v/>
      </c>
      <c r="S3474" s="82" t="str">
        <f t="shared" si="109"/>
        <v/>
      </c>
    </row>
    <row r="3475" spans="18:19" x14ac:dyDescent="0.25">
      <c r="R3475" s="8" t="str">
        <f t="shared" si="110"/>
        <v/>
      </c>
      <c r="S3475" s="82" t="str">
        <f t="shared" si="109"/>
        <v/>
      </c>
    </row>
    <row r="3476" spans="18:19" x14ac:dyDescent="0.25">
      <c r="R3476" s="8" t="str">
        <f t="shared" si="110"/>
        <v/>
      </c>
      <c r="S3476" s="82" t="str">
        <f t="shared" si="109"/>
        <v/>
      </c>
    </row>
    <row r="3477" spans="18:19" x14ac:dyDescent="0.25">
      <c r="R3477" s="8" t="str">
        <f t="shared" si="110"/>
        <v/>
      </c>
      <c r="S3477" s="82" t="str">
        <f t="shared" si="109"/>
        <v/>
      </c>
    </row>
    <row r="3478" spans="18:19" x14ac:dyDescent="0.25">
      <c r="R3478" s="8" t="str">
        <f t="shared" si="110"/>
        <v/>
      </c>
      <c r="S3478" s="82" t="str">
        <f t="shared" ref="S3478:S3484" si="111">IF(O3478&gt;0,(Q3478-O3478),(IF(K3478="USD",(Q3478*J3478),((IF(B3478="",(""),(SUMIF(B3478,"11 - Factura C",(Q3478))-SUMIF(B3478,"13 - Nota de Crédito C",(Q3478))+SUMIF(B3478,"15 - Recibo C",(Q3478))+SUMIF(B3478,"109 - Tique C",(Q3478)))))))))</f>
        <v/>
      </c>
    </row>
    <row r="3479" spans="18:19" x14ac:dyDescent="0.25">
      <c r="R3479" s="8" t="str">
        <f t="shared" si="110"/>
        <v/>
      </c>
      <c r="S3479" s="82" t="str">
        <f t="shared" si="111"/>
        <v/>
      </c>
    </row>
    <row r="3480" spans="18:19" x14ac:dyDescent="0.25">
      <c r="R3480" s="8" t="str">
        <f t="shared" si="110"/>
        <v/>
      </c>
      <c r="S3480" s="82" t="str">
        <f t="shared" si="111"/>
        <v/>
      </c>
    </row>
    <row r="3481" spans="18:19" x14ac:dyDescent="0.25">
      <c r="R3481" s="8" t="str">
        <f t="shared" si="110"/>
        <v/>
      </c>
      <c r="S3481" s="82" t="str">
        <f t="shared" si="111"/>
        <v/>
      </c>
    </row>
    <row r="3482" spans="18:19" x14ac:dyDescent="0.25">
      <c r="R3482" s="8" t="str">
        <f t="shared" si="110"/>
        <v/>
      </c>
      <c r="S3482" s="82" t="str">
        <f t="shared" si="111"/>
        <v/>
      </c>
    </row>
    <row r="3483" spans="18:19" x14ac:dyDescent="0.25">
      <c r="R3483" s="8" t="str">
        <f t="shared" si="110"/>
        <v/>
      </c>
      <c r="S3483" s="82" t="str">
        <f t="shared" si="111"/>
        <v/>
      </c>
    </row>
    <row r="3484" spans="18:19" x14ac:dyDescent="0.25">
      <c r="R3484" s="8" t="str">
        <f t="shared" si="110"/>
        <v/>
      </c>
      <c r="S3484" s="82" t="str">
        <f t="shared" si="111"/>
        <v/>
      </c>
    </row>
    <row r="3485" spans="18:19" x14ac:dyDescent="0.25">
      <c r="R3485" s="8" t="str">
        <f t="shared" si="110"/>
        <v/>
      </c>
      <c r="S3485" s="82" t="str">
        <f t="shared" ref="S3485:S3541" si="112">IF(O3485&gt;0,(Q3485-O3485),(IF(B3485="",(""),(SUMIF(B3485,"11 - Factura C",(Q3485))-SUMIF(B3485,"13 - Nota de Crédito C",(Q3485))+SUMIF(B3485,"15 - Recibo C",(Q3485))+SUMIF(B3485,"109 - Tique C",(Q3485))))))</f>
        <v/>
      </c>
    </row>
    <row r="3486" spans="18:19" x14ac:dyDescent="0.25">
      <c r="R3486" s="8" t="str">
        <f t="shared" si="110"/>
        <v/>
      </c>
      <c r="S3486" s="82" t="str">
        <f t="shared" si="112"/>
        <v/>
      </c>
    </row>
    <row r="3487" spans="18:19" x14ac:dyDescent="0.25">
      <c r="R3487" s="8" t="str">
        <f t="shared" si="110"/>
        <v/>
      </c>
      <c r="S3487" s="82" t="str">
        <f t="shared" si="112"/>
        <v/>
      </c>
    </row>
    <row r="3488" spans="18:19" x14ac:dyDescent="0.25">
      <c r="R3488" s="8" t="str">
        <f t="shared" si="110"/>
        <v/>
      </c>
      <c r="S3488" s="82" t="str">
        <f t="shared" si="112"/>
        <v/>
      </c>
    </row>
    <row r="3489" spans="18:19" x14ac:dyDescent="0.25">
      <c r="R3489" s="8" t="str">
        <f t="shared" si="110"/>
        <v/>
      </c>
      <c r="S3489" s="82" t="str">
        <f t="shared" si="112"/>
        <v/>
      </c>
    </row>
    <row r="3490" spans="18:19" x14ac:dyDescent="0.25">
      <c r="R3490" s="8" t="str">
        <f t="shared" si="110"/>
        <v/>
      </c>
      <c r="S3490" s="82" t="str">
        <f t="shared" si="112"/>
        <v/>
      </c>
    </row>
    <row r="3491" spans="18:19" x14ac:dyDescent="0.25">
      <c r="R3491" s="8" t="str">
        <f t="shared" si="110"/>
        <v/>
      </c>
      <c r="S3491" s="82" t="str">
        <f t="shared" si="112"/>
        <v/>
      </c>
    </row>
    <row r="3492" spans="18:19" x14ac:dyDescent="0.25">
      <c r="R3492" s="8" t="str">
        <f t="shared" si="110"/>
        <v/>
      </c>
      <c r="S3492" s="82" t="str">
        <f t="shared" si="112"/>
        <v/>
      </c>
    </row>
    <row r="3493" spans="18:19" x14ac:dyDescent="0.25">
      <c r="R3493" s="8" t="str">
        <f t="shared" si="110"/>
        <v/>
      </c>
      <c r="S3493" s="82" t="str">
        <f t="shared" si="112"/>
        <v/>
      </c>
    </row>
    <row r="3494" spans="18:19" x14ac:dyDescent="0.25">
      <c r="R3494" s="8" t="str">
        <f t="shared" si="110"/>
        <v/>
      </c>
      <c r="S3494" s="82" t="str">
        <f t="shared" si="112"/>
        <v/>
      </c>
    </row>
    <row r="3495" spans="18:19" x14ac:dyDescent="0.25">
      <c r="R3495" s="8" t="str">
        <f t="shared" si="110"/>
        <v/>
      </c>
      <c r="S3495" s="82" t="str">
        <f t="shared" si="112"/>
        <v/>
      </c>
    </row>
    <row r="3496" spans="18:19" x14ac:dyDescent="0.25">
      <c r="R3496" s="8" t="str">
        <f t="shared" si="110"/>
        <v/>
      </c>
      <c r="S3496" s="82" t="str">
        <f t="shared" si="112"/>
        <v/>
      </c>
    </row>
    <row r="3497" spans="18:19" x14ac:dyDescent="0.25">
      <c r="R3497" s="8" t="str">
        <f t="shared" si="110"/>
        <v/>
      </c>
      <c r="S3497" s="82" t="str">
        <f t="shared" si="112"/>
        <v/>
      </c>
    </row>
    <row r="3498" spans="18:19" x14ac:dyDescent="0.25">
      <c r="R3498" s="8" t="str">
        <f t="shared" si="110"/>
        <v/>
      </c>
      <c r="S3498" s="82" t="str">
        <f t="shared" si="112"/>
        <v/>
      </c>
    </row>
    <row r="3499" spans="18:19" x14ac:dyDescent="0.25">
      <c r="R3499" s="8" t="str">
        <f t="shared" si="110"/>
        <v/>
      </c>
      <c r="S3499" s="82" t="str">
        <f t="shared" si="112"/>
        <v/>
      </c>
    </row>
    <row r="3500" spans="18:19" x14ac:dyDescent="0.25">
      <c r="R3500" s="8" t="str">
        <f t="shared" si="110"/>
        <v/>
      </c>
      <c r="S3500" s="82" t="str">
        <f t="shared" si="112"/>
        <v/>
      </c>
    </row>
    <row r="3501" spans="18:19" x14ac:dyDescent="0.25">
      <c r="R3501" s="8" t="str">
        <f t="shared" si="110"/>
        <v/>
      </c>
      <c r="S3501" s="82" t="str">
        <f t="shared" si="112"/>
        <v/>
      </c>
    </row>
    <row r="3502" spans="18:19" x14ac:dyDescent="0.25">
      <c r="R3502" s="8" t="str">
        <f t="shared" si="110"/>
        <v/>
      </c>
      <c r="S3502" s="82" t="str">
        <f t="shared" si="112"/>
        <v/>
      </c>
    </row>
    <row r="3503" spans="18:19" x14ac:dyDescent="0.25">
      <c r="R3503" s="8" t="str">
        <f t="shared" si="110"/>
        <v/>
      </c>
      <c r="S3503" s="82" t="str">
        <f t="shared" si="112"/>
        <v/>
      </c>
    </row>
    <row r="3504" spans="18:19" x14ac:dyDescent="0.25">
      <c r="R3504" s="8" t="str">
        <f t="shared" si="110"/>
        <v/>
      </c>
      <c r="S3504" s="82" t="str">
        <f t="shared" si="112"/>
        <v/>
      </c>
    </row>
    <row r="3505" spans="18:19" x14ac:dyDescent="0.25">
      <c r="R3505" s="8" t="str">
        <f t="shared" si="110"/>
        <v/>
      </c>
      <c r="S3505" s="82" t="str">
        <f t="shared" si="112"/>
        <v/>
      </c>
    </row>
    <row r="3506" spans="18:19" x14ac:dyDescent="0.25">
      <c r="R3506" s="8" t="str">
        <f t="shared" si="110"/>
        <v/>
      </c>
      <c r="S3506" s="82" t="str">
        <f t="shared" si="112"/>
        <v/>
      </c>
    </row>
    <row r="3507" spans="18:19" x14ac:dyDescent="0.25">
      <c r="R3507" s="8" t="str">
        <f t="shared" si="110"/>
        <v/>
      </c>
      <c r="S3507" s="82" t="str">
        <f t="shared" si="112"/>
        <v/>
      </c>
    </row>
    <row r="3508" spans="18:19" x14ac:dyDescent="0.25">
      <c r="R3508" s="8" t="str">
        <f t="shared" si="110"/>
        <v/>
      </c>
      <c r="S3508" s="82" t="str">
        <f t="shared" si="112"/>
        <v/>
      </c>
    </row>
    <row r="3509" spans="18:19" x14ac:dyDescent="0.25">
      <c r="R3509" s="8" t="str">
        <f t="shared" si="110"/>
        <v/>
      </c>
      <c r="S3509" s="82" t="str">
        <f t="shared" si="112"/>
        <v/>
      </c>
    </row>
    <row r="3510" spans="18:19" x14ac:dyDescent="0.25">
      <c r="R3510" s="8" t="str">
        <f t="shared" si="110"/>
        <v/>
      </c>
      <c r="S3510" s="82" t="str">
        <f t="shared" si="112"/>
        <v/>
      </c>
    </row>
    <row r="3511" spans="18:19" x14ac:dyDescent="0.25">
      <c r="R3511" s="8" t="str">
        <f t="shared" si="110"/>
        <v/>
      </c>
      <c r="S3511" s="82" t="str">
        <f t="shared" si="112"/>
        <v/>
      </c>
    </row>
    <row r="3512" spans="18:19" x14ac:dyDescent="0.25">
      <c r="R3512" s="8" t="str">
        <f t="shared" si="110"/>
        <v/>
      </c>
      <c r="S3512" s="82" t="str">
        <f t="shared" si="112"/>
        <v/>
      </c>
    </row>
    <row r="3513" spans="18:19" x14ac:dyDescent="0.25">
      <c r="R3513" s="8" t="str">
        <f t="shared" si="110"/>
        <v/>
      </c>
      <c r="S3513" s="82" t="str">
        <f t="shared" si="112"/>
        <v/>
      </c>
    </row>
    <row r="3514" spans="18:19" x14ac:dyDescent="0.25">
      <c r="R3514" s="8" t="str">
        <f t="shared" si="110"/>
        <v/>
      </c>
      <c r="S3514" s="82" t="str">
        <f t="shared" si="112"/>
        <v/>
      </c>
    </row>
    <row r="3515" spans="18:19" x14ac:dyDescent="0.25">
      <c r="R3515" s="8" t="str">
        <f t="shared" si="110"/>
        <v/>
      </c>
      <c r="S3515" s="82" t="str">
        <f t="shared" si="112"/>
        <v/>
      </c>
    </row>
    <row r="3516" spans="18:19" x14ac:dyDescent="0.25">
      <c r="R3516" s="8" t="str">
        <f t="shared" si="110"/>
        <v/>
      </c>
      <c r="S3516" s="82" t="str">
        <f t="shared" si="112"/>
        <v/>
      </c>
    </row>
    <row r="3517" spans="18:19" x14ac:dyDescent="0.25">
      <c r="R3517" s="8" t="str">
        <f t="shared" si="110"/>
        <v/>
      </c>
      <c r="S3517" s="82" t="str">
        <f t="shared" si="112"/>
        <v/>
      </c>
    </row>
    <row r="3518" spans="18:19" x14ac:dyDescent="0.25">
      <c r="R3518" s="8" t="str">
        <f t="shared" si="110"/>
        <v/>
      </c>
      <c r="S3518" s="82" t="str">
        <f t="shared" si="112"/>
        <v/>
      </c>
    </row>
    <row r="3519" spans="18:19" x14ac:dyDescent="0.25">
      <c r="R3519" s="8" t="str">
        <f t="shared" si="110"/>
        <v/>
      </c>
      <c r="S3519" s="82" t="str">
        <f t="shared" si="112"/>
        <v/>
      </c>
    </row>
    <row r="3520" spans="18:19" x14ac:dyDescent="0.25">
      <c r="R3520" s="8" t="str">
        <f t="shared" si="110"/>
        <v/>
      </c>
      <c r="S3520" s="82" t="str">
        <f t="shared" si="112"/>
        <v/>
      </c>
    </row>
    <row r="3521" spans="18:19" x14ac:dyDescent="0.25">
      <c r="R3521" s="8" t="str">
        <f t="shared" si="110"/>
        <v/>
      </c>
      <c r="S3521" s="82" t="str">
        <f t="shared" si="112"/>
        <v/>
      </c>
    </row>
    <row r="3522" spans="18:19" x14ac:dyDescent="0.25">
      <c r="R3522" s="8" t="str">
        <f t="shared" si="110"/>
        <v/>
      </c>
      <c r="S3522" s="82" t="str">
        <f t="shared" si="112"/>
        <v/>
      </c>
    </row>
    <row r="3523" spans="18:19" x14ac:dyDescent="0.25">
      <c r="R3523" s="8" t="str">
        <f t="shared" si="110"/>
        <v/>
      </c>
      <c r="S3523" s="82" t="str">
        <f t="shared" si="112"/>
        <v/>
      </c>
    </row>
    <row r="3524" spans="18:19" x14ac:dyDescent="0.25">
      <c r="R3524" s="8" t="str">
        <f t="shared" si="110"/>
        <v/>
      </c>
      <c r="S3524" s="82" t="str">
        <f t="shared" si="112"/>
        <v/>
      </c>
    </row>
    <row r="3525" spans="18:19" x14ac:dyDescent="0.25">
      <c r="R3525" s="8" t="str">
        <f t="shared" si="110"/>
        <v/>
      </c>
      <c r="S3525" s="82" t="str">
        <f t="shared" si="112"/>
        <v/>
      </c>
    </row>
    <row r="3526" spans="18:19" x14ac:dyDescent="0.25">
      <c r="R3526" s="8" t="str">
        <f t="shared" si="110"/>
        <v/>
      </c>
      <c r="S3526" s="82" t="str">
        <f t="shared" si="112"/>
        <v/>
      </c>
    </row>
    <row r="3527" spans="18:19" x14ac:dyDescent="0.25">
      <c r="R3527" s="8" t="str">
        <f t="shared" si="110"/>
        <v/>
      </c>
      <c r="S3527" s="82" t="str">
        <f t="shared" si="112"/>
        <v/>
      </c>
    </row>
    <row r="3528" spans="18:19" x14ac:dyDescent="0.25">
      <c r="R3528" s="8" t="str">
        <f t="shared" ref="R3528:R3591" si="113">IF(A3528="",(""),(MONTH(A3528)))</f>
        <v/>
      </c>
      <c r="S3528" s="82" t="str">
        <f t="shared" si="112"/>
        <v/>
      </c>
    </row>
    <row r="3529" spans="18:19" x14ac:dyDescent="0.25">
      <c r="R3529" s="8" t="str">
        <f t="shared" si="113"/>
        <v/>
      </c>
      <c r="S3529" s="82" t="str">
        <f t="shared" si="112"/>
        <v/>
      </c>
    </row>
    <row r="3530" spans="18:19" x14ac:dyDescent="0.25">
      <c r="R3530" s="8" t="str">
        <f t="shared" si="113"/>
        <v/>
      </c>
      <c r="S3530" s="82" t="str">
        <f t="shared" si="112"/>
        <v/>
      </c>
    </row>
    <row r="3531" spans="18:19" x14ac:dyDescent="0.25">
      <c r="R3531" s="8" t="str">
        <f t="shared" si="113"/>
        <v/>
      </c>
      <c r="S3531" s="82" t="str">
        <f t="shared" si="112"/>
        <v/>
      </c>
    </row>
    <row r="3532" spans="18:19" x14ac:dyDescent="0.25">
      <c r="R3532" s="8" t="str">
        <f t="shared" si="113"/>
        <v/>
      </c>
      <c r="S3532" s="82" t="str">
        <f t="shared" si="112"/>
        <v/>
      </c>
    </row>
    <row r="3533" spans="18:19" x14ac:dyDescent="0.25">
      <c r="R3533" s="8" t="str">
        <f t="shared" si="113"/>
        <v/>
      </c>
      <c r="S3533" s="82" t="str">
        <f t="shared" si="112"/>
        <v/>
      </c>
    </row>
    <row r="3534" spans="18:19" x14ac:dyDescent="0.25">
      <c r="R3534" s="8" t="str">
        <f t="shared" si="113"/>
        <v/>
      </c>
      <c r="S3534" s="82" t="str">
        <f t="shared" si="112"/>
        <v/>
      </c>
    </row>
    <row r="3535" spans="18:19" x14ac:dyDescent="0.25">
      <c r="R3535" s="8" t="str">
        <f t="shared" si="113"/>
        <v/>
      </c>
      <c r="S3535" s="82" t="str">
        <f t="shared" si="112"/>
        <v/>
      </c>
    </row>
    <row r="3536" spans="18:19" x14ac:dyDescent="0.25">
      <c r="R3536" s="8" t="str">
        <f t="shared" si="113"/>
        <v/>
      </c>
      <c r="S3536" s="82" t="str">
        <f t="shared" si="112"/>
        <v/>
      </c>
    </row>
    <row r="3537" spans="18:19" x14ac:dyDescent="0.25">
      <c r="R3537" s="8" t="str">
        <f t="shared" si="113"/>
        <v/>
      </c>
      <c r="S3537" s="82" t="str">
        <f t="shared" si="112"/>
        <v/>
      </c>
    </row>
    <row r="3538" spans="18:19" x14ac:dyDescent="0.25">
      <c r="R3538" s="8" t="str">
        <f t="shared" si="113"/>
        <v/>
      </c>
      <c r="S3538" s="82" t="str">
        <f t="shared" si="112"/>
        <v/>
      </c>
    </row>
    <row r="3539" spans="18:19" x14ac:dyDescent="0.25">
      <c r="R3539" s="8" t="str">
        <f t="shared" si="113"/>
        <v/>
      </c>
      <c r="S3539" s="82" t="str">
        <f t="shared" si="112"/>
        <v/>
      </c>
    </row>
    <row r="3540" spans="18:19" x14ac:dyDescent="0.25">
      <c r="R3540" s="8" t="str">
        <f t="shared" si="113"/>
        <v/>
      </c>
      <c r="S3540" s="82" t="str">
        <f t="shared" si="112"/>
        <v/>
      </c>
    </row>
    <row r="3541" spans="18:19" x14ac:dyDescent="0.25">
      <c r="R3541" s="8" t="str">
        <f t="shared" si="113"/>
        <v/>
      </c>
      <c r="S3541" s="82" t="str">
        <f t="shared" si="112"/>
        <v/>
      </c>
    </row>
    <row r="3542" spans="18:19" x14ac:dyDescent="0.25">
      <c r="R3542" s="8" t="str">
        <f t="shared" si="113"/>
        <v/>
      </c>
      <c r="S3542" s="82" t="str">
        <f t="shared" ref="S3542:S3605" si="114">IF(O3542&gt;0,(Q3542-O3542),(IF(B3542="",(""),(SUMIF(B3542,"11 - Factura C",(Q3542))-SUMIF(B3542,"13 - Nota de Crédito C",(Q3542))+SUMIF(B3542,"15 - Recibo C",(Q3542))+SUMIF(B3542,"109 - Tique C",(Q3542))))))</f>
        <v/>
      </c>
    </row>
    <row r="3543" spans="18:19" x14ac:dyDescent="0.25">
      <c r="R3543" s="8" t="str">
        <f t="shared" si="113"/>
        <v/>
      </c>
      <c r="S3543" s="82" t="str">
        <f t="shared" si="114"/>
        <v/>
      </c>
    </row>
    <row r="3544" spans="18:19" x14ac:dyDescent="0.25">
      <c r="R3544" s="8" t="str">
        <f t="shared" si="113"/>
        <v/>
      </c>
      <c r="S3544" s="82" t="str">
        <f t="shared" si="114"/>
        <v/>
      </c>
    </row>
    <row r="3545" spans="18:19" x14ac:dyDescent="0.25">
      <c r="R3545" s="8" t="str">
        <f t="shared" si="113"/>
        <v/>
      </c>
      <c r="S3545" s="82" t="str">
        <f t="shared" si="114"/>
        <v/>
      </c>
    </row>
    <row r="3546" spans="18:19" x14ac:dyDescent="0.25">
      <c r="R3546" s="8" t="str">
        <f t="shared" si="113"/>
        <v/>
      </c>
      <c r="S3546" s="82" t="str">
        <f t="shared" si="114"/>
        <v/>
      </c>
    </row>
    <row r="3547" spans="18:19" x14ac:dyDescent="0.25">
      <c r="R3547" s="8" t="str">
        <f t="shared" si="113"/>
        <v/>
      </c>
      <c r="S3547" s="82" t="str">
        <f t="shared" si="114"/>
        <v/>
      </c>
    </row>
    <row r="3548" spans="18:19" x14ac:dyDescent="0.25">
      <c r="R3548" s="8" t="str">
        <f t="shared" si="113"/>
        <v/>
      </c>
      <c r="S3548" s="82" t="str">
        <f t="shared" si="114"/>
        <v/>
      </c>
    </row>
    <row r="3549" spans="18:19" x14ac:dyDescent="0.25">
      <c r="R3549" s="8" t="str">
        <f t="shared" si="113"/>
        <v/>
      </c>
      <c r="S3549" s="82" t="str">
        <f t="shared" si="114"/>
        <v/>
      </c>
    </row>
    <row r="3550" spans="18:19" x14ac:dyDescent="0.25">
      <c r="R3550" s="8" t="str">
        <f t="shared" si="113"/>
        <v/>
      </c>
      <c r="S3550" s="82" t="str">
        <f t="shared" si="114"/>
        <v/>
      </c>
    </row>
    <row r="3551" spans="18:19" x14ac:dyDescent="0.25">
      <c r="R3551" s="8" t="str">
        <f t="shared" si="113"/>
        <v/>
      </c>
      <c r="S3551" s="82" t="str">
        <f t="shared" si="114"/>
        <v/>
      </c>
    </row>
    <row r="3552" spans="18:19" x14ac:dyDescent="0.25">
      <c r="R3552" s="8" t="str">
        <f t="shared" si="113"/>
        <v/>
      </c>
      <c r="S3552" s="82" t="str">
        <f t="shared" si="114"/>
        <v/>
      </c>
    </row>
    <row r="3553" spans="18:19" x14ac:dyDescent="0.25">
      <c r="R3553" s="8" t="str">
        <f t="shared" si="113"/>
        <v/>
      </c>
      <c r="S3553" s="82" t="str">
        <f t="shared" si="114"/>
        <v/>
      </c>
    </row>
    <row r="3554" spans="18:19" x14ac:dyDescent="0.25">
      <c r="R3554" s="8" t="str">
        <f t="shared" si="113"/>
        <v/>
      </c>
      <c r="S3554" s="82" t="str">
        <f t="shared" si="114"/>
        <v/>
      </c>
    </row>
    <row r="3555" spans="18:19" x14ac:dyDescent="0.25">
      <c r="R3555" s="8" t="str">
        <f t="shared" si="113"/>
        <v/>
      </c>
      <c r="S3555" s="82" t="str">
        <f t="shared" si="114"/>
        <v/>
      </c>
    </row>
    <row r="3556" spans="18:19" x14ac:dyDescent="0.25">
      <c r="R3556" s="8" t="str">
        <f t="shared" si="113"/>
        <v/>
      </c>
      <c r="S3556" s="82" t="str">
        <f t="shared" si="114"/>
        <v/>
      </c>
    </row>
    <row r="3557" spans="18:19" x14ac:dyDescent="0.25">
      <c r="R3557" s="8" t="str">
        <f t="shared" si="113"/>
        <v/>
      </c>
      <c r="S3557" s="82" t="str">
        <f t="shared" si="114"/>
        <v/>
      </c>
    </row>
    <row r="3558" spans="18:19" x14ac:dyDescent="0.25">
      <c r="R3558" s="8" t="str">
        <f t="shared" si="113"/>
        <v/>
      </c>
      <c r="S3558" s="82" t="str">
        <f t="shared" si="114"/>
        <v/>
      </c>
    </row>
    <row r="3559" spans="18:19" x14ac:dyDescent="0.25">
      <c r="R3559" s="8" t="str">
        <f t="shared" si="113"/>
        <v/>
      </c>
      <c r="S3559" s="82" t="str">
        <f t="shared" si="114"/>
        <v/>
      </c>
    </row>
    <row r="3560" spans="18:19" x14ac:dyDescent="0.25">
      <c r="R3560" s="8" t="str">
        <f t="shared" si="113"/>
        <v/>
      </c>
      <c r="S3560" s="82" t="str">
        <f t="shared" si="114"/>
        <v/>
      </c>
    </row>
    <row r="3561" spans="18:19" x14ac:dyDescent="0.25">
      <c r="R3561" s="8" t="str">
        <f t="shared" si="113"/>
        <v/>
      </c>
      <c r="S3561" s="82" t="str">
        <f t="shared" si="114"/>
        <v/>
      </c>
    </row>
    <row r="3562" spans="18:19" x14ac:dyDescent="0.25">
      <c r="R3562" s="8" t="str">
        <f t="shared" si="113"/>
        <v/>
      </c>
      <c r="S3562" s="82" t="str">
        <f t="shared" si="114"/>
        <v/>
      </c>
    </row>
    <row r="3563" spans="18:19" x14ac:dyDescent="0.25">
      <c r="R3563" s="8" t="str">
        <f t="shared" si="113"/>
        <v/>
      </c>
      <c r="S3563" s="82" t="str">
        <f t="shared" si="114"/>
        <v/>
      </c>
    </row>
    <row r="3564" spans="18:19" x14ac:dyDescent="0.25">
      <c r="R3564" s="8" t="str">
        <f t="shared" si="113"/>
        <v/>
      </c>
      <c r="S3564" s="82" t="str">
        <f t="shared" si="114"/>
        <v/>
      </c>
    </row>
    <row r="3565" spans="18:19" x14ac:dyDescent="0.25">
      <c r="R3565" s="8" t="str">
        <f t="shared" si="113"/>
        <v/>
      </c>
      <c r="S3565" s="82" t="str">
        <f t="shared" si="114"/>
        <v/>
      </c>
    </row>
    <row r="3566" spans="18:19" x14ac:dyDescent="0.25">
      <c r="R3566" s="8" t="str">
        <f t="shared" si="113"/>
        <v/>
      </c>
      <c r="S3566" s="82" t="str">
        <f t="shared" si="114"/>
        <v/>
      </c>
    </row>
    <row r="3567" spans="18:19" x14ac:dyDescent="0.25">
      <c r="R3567" s="8" t="str">
        <f t="shared" si="113"/>
        <v/>
      </c>
      <c r="S3567" s="82" t="str">
        <f t="shared" si="114"/>
        <v/>
      </c>
    </row>
    <row r="3568" spans="18:19" x14ac:dyDescent="0.25">
      <c r="R3568" s="8" t="str">
        <f t="shared" si="113"/>
        <v/>
      </c>
      <c r="S3568" s="82" t="str">
        <f t="shared" si="114"/>
        <v/>
      </c>
    </row>
    <row r="3569" spans="18:19" x14ac:dyDescent="0.25">
      <c r="R3569" s="8" t="str">
        <f t="shared" si="113"/>
        <v/>
      </c>
      <c r="S3569" s="82" t="str">
        <f t="shared" si="114"/>
        <v/>
      </c>
    </row>
    <row r="3570" spans="18:19" x14ac:dyDescent="0.25">
      <c r="R3570" s="8" t="str">
        <f t="shared" si="113"/>
        <v/>
      </c>
      <c r="S3570" s="82" t="str">
        <f t="shared" si="114"/>
        <v/>
      </c>
    </row>
    <row r="3571" spans="18:19" x14ac:dyDescent="0.25">
      <c r="R3571" s="8" t="str">
        <f t="shared" si="113"/>
        <v/>
      </c>
      <c r="S3571" s="82" t="str">
        <f t="shared" si="114"/>
        <v/>
      </c>
    </row>
    <row r="3572" spans="18:19" x14ac:dyDescent="0.25">
      <c r="R3572" s="8" t="str">
        <f t="shared" si="113"/>
        <v/>
      </c>
      <c r="S3572" s="82" t="str">
        <f t="shared" si="114"/>
        <v/>
      </c>
    </row>
    <row r="3573" spans="18:19" x14ac:dyDescent="0.25">
      <c r="R3573" s="8" t="str">
        <f t="shared" si="113"/>
        <v/>
      </c>
      <c r="S3573" s="82" t="str">
        <f t="shared" si="114"/>
        <v/>
      </c>
    </row>
    <row r="3574" spans="18:19" x14ac:dyDescent="0.25">
      <c r="R3574" s="8" t="str">
        <f t="shared" si="113"/>
        <v/>
      </c>
      <c r="S3574" s="82" t="str">
        <f t="shared" si="114"/>
        <v/>
      </c>
    </row>
    <row r="3575" spans="18:19" x14ac:dyDescent="0.25">
      <c r="R3575" s="8" t="str">
        <f t="shared" si="113"/>
        <v/>
      </c>
      <c r="S3575" s="82" t="str">
        <f t="shared" si="114"/>
        <v/>
      </c>
    </row>
    <row r="3576" spans="18:19" x14ac:dyDescent="0.25">
      <c r="R3576" s="8" t="str">
        <f t="shared" si="113"/>
        <v/>
      </c>
      <c r="S3576" s="82" t="str">
        <f t="shared" si="114"/>
        <v/>
      </c>
    </row>
    <row r="3577" spans="18:19" x14ac:dyDescent="0.25">
      <c r="R3577" s="8" t="str">
        <f t="shared" si="113"/>
        <v/>
      </c>
      <c r="S3577" s="82" t="str">
        <f t="shared" si="114"/>
        <v/>
      </c>
    </row>
    <row r="3578" spans="18:19" x14ac:dyDescent="0.25">
      <c r="R3578" s="8" t="str">
        <f t="shared" si="113"/>
        <v/>
      </c>
      <c r="S3578" s="82" t="str">
        <f t="shared" si="114"/>
        <v/>
      </c>
    </row>
    <row r="3579" spans="18:19" x14ac:dyDescent="0.25">
      <c r="R3579" s="8" t="str">
        <f t="shared" si="113"/>
        <v/>
      </c>
      <c r="S3579" s="82" t="str">
        <f t="shared" si="114"/>
        <v/>
      </c>
    </row>
    <row r="3580" spans="18:19" x14ac:dyDescent="0.25">
      <c r="R3580" s="8" t="str">
        <f t="shared" si="113"/>
        <v/>
      </c>
      <c r="S3580" s="82" t="str">
        <f t="shared" si="114"/>
        <v/>
      </c>
    </row>
    <row r="3581" spans="18:19" x14ac:dyDescent="0.25">
      <c r="R3581" s="8" t="str">
        <f t="shared" si="113"/>
        <v/>
      </c>
      <c r="S3581" s="82" t="str">
        <f t="shared" si="114"/>
        <v/>
      </c>
    </row>
    <row r="3582" spans="18:19" x14ac:dyDescent="0.25">
      <c r="R3582" s="8" t="str">
        <f t="shared" si="113"/>
        <v/>
      </c>
      <c r="S3582" s="82" t="str">
        <f t="shared" si="114"/>
        <v/>
      </c>
    </row>
    <row r="3583" spans="18:19" x14ac:dyDescent="0.25">
      <c r="R3583" s="8" t="str">
        <f t="shared" si="113"/>
        <v/>
      </c>
      <c r="S3583" s="82" t="str">
        <f t="shared" si="114"/>
        <v/>
      </c>
    </row>
    <row r="3584" spans="18:19" x14ac:dyDescent="0.25">
      <c r="R3584" s="8" t="str">
        <f t="shared" si="113"/>
        <v/>
      </c>
      <c r="S3584" s="82" t="str">
        <f t="shared" si="114"/>
        <v/>
      </c>
    </row>
    <row r="3585" spans="18:19" x14ac:dyDescent="0.25">
      <c r="R3585" s="8" t="str">
        <f t="shared" si="113"/>
        <v/>
      </c>
      <c r="S3585" s="82" t="str">
        <f t="shared" si="114"/>
        <v/>
      </c>
    </row>
    <row r="3586" spans="18:19" x14ac:dyDescent="0.25">
      <c r="R3586" s="8" t="str">
        <f t="shared" si="113"/>
        <v/>
      </c>
      <c r="S3586" s="82" t="str">
        <f t="shared" si="114"/>
        <v/>
      </c>
    </row>
    <row r="3587" spans="18:19" x14ac:dyDescent="0.25">
      <c r="R3587" s="8" t="str">
        <f t="shared" si="113"/>
        <v/>
      </c>
      <c r="S3587" s="82" t="str">
        <f t="shared" si="114"/>
        <v/>
      </c>
    </row>
    <row r="3588" spans="18:19" x14ac:dyDescent="0.25">
      <c r="R3588" s="8" t="str">
        <f t="shared" si="113"/>
        <v/>
      </c>
      <c r="S3588" s="82" t="str">
        <f t="shared" si="114"/>
        <v/>
      </c>
    </row>
    <row r="3589" spans="18:19" x14ac:dyDescent="0.25">
      <c r="R3589" s="8" t="str">
        <f t="shared" si="113"/>
        <v/>
      </c>
      <c r="S3589" s="82" t="str">
        <f t="shared" si="114"/>
        <v/>
      </c>
    </row>
    <row r="3590" spans="18:19" x14ac:dyDescent="0.25">
      <c r="R3590" s="8" t="str">
        <f t="shared" si="113"/>
        <v/>
      </c>
      <c r="S3590" s="82" t="str">
        <f t="shared" si="114"/>
        <v/>
      </c>
    </row>
    <row r="3591" spans="18:19" x14ac:dyDescent="0.25">
      <c r="R3591" s="8" t="str">
        <f t="shared" si="113"/>
        <v/>
      </c>
      <c r="S3591" s="82" t="str">
        <f t="shared" si="114"/>
        <v/>
      </c>
    </row>
    <row r="3592" spans="18:19" x14ac:dyDescent="0.25">
      <c r="R3592" s="8" t="str">
        <f t="shared" ref="R3592:R3655" si="115">IF(A3592="",(""),(MONTH(A3592)))</f>
        <v/>
      </c>
      <c r="S3592" s="82" t="str">
        <f t="shared" si="114"/>
        <v/>
      </c>
    </row>
    <row r="3593" spans="18:19" x14ac:dyDescent="0.25">
      <c r="R3593" s="8" t="str">
        <f t="shared" si="115"/>
        <v/>
      </c>
      <c r="S3593" s="82" t="str">
        <f t="shared" si="114"/>
        <v/>
      </c>
    </row>
    <row r="3594" spans="18:19" x14ac:dyDescent="0.25">
      <c r="R3594" s="8" t="str">
        <f t="shared" si="115"/>
        <v/>
      </c>
      <c r="S3594" s="82" t="str">
        <f t="shared" si="114"/>
        <v/>
      </c>
    </row>
    <row r="3595" spans="18:19" x14ac:dyDescent="0.25">
      <c r="R3595" s="8" t="str">
        <f t="shared" si="115"/>
        <v/>
      </c>
      <c r="S3595" s="82" t="str">
        <f t="shared" si="114"/>
        <v/>
      </c>
    </row>
    <row r="3596" spans="18:19" x14ac:dyDescent="0.25">
      <c r="R3596" s="8" t="str">
        <f t="shared" si="115"/>
        <v/>
      </c>
      <c r="S3596" s="82" t="str">
        <f t="shared" si="114"/>
        <v/>
      </c>
    </row>
    <row r="3597" spans="18:19" x14ac:dyDescent="0.25">
      <c r="R3597" s="8" t="str">
        <f t="shared" si="115"/>
        <v/>
      </c>
      <c r="S3597" s="82" t="str">
        <f t="shared" si="114"/>
        <v/>
      </c>
    </row>
    <row r="3598" spans="18:19" x14ac:dyDescent="0.25">
      <c r="R3598" s="8" t="str">
        <f t="shared" si="115"/>
        <v/>
      </c>
      <c r="S3598" s="82" t="str">
        <f t="shared" si="114"/>
        <v/>
      </c>
    </row>
    <row r="3599" spans="18:19" x14ac:dyDescent="0.25">
      <c r="R3599" s="8" t="str">
        <f t="shared" si="115"/>
        <v/>
      </c>
      <c r="S3599" s="82" t="str">
        <f t="shared" si="114"/>
        <v/>
      </c>
    </row>
    <row r="3600" spans="18:19" x14ac:dyDescent="0.25">
      <c r="R3600" s="8" t="str">
        <f t="shared" si="115"/>
        <v/>
      </c>
      <c r="S3600" s="82" t="str">
        <f t="shared" si="114"/>
        <v/>
      </c>
    </row>
    <row r="3601" spans="18:19" x14ac:dyDescent="0.25">
      <c r="R3601" s="8" t="str">
        <f t="shared" si="115"/>
        <v/>
      </c>
      <c r="S3601" s="82" t="str">
        <f t="shared" si="114"/>
        <v/>
      </c>
    </row>
    <row r="3602" spans="18:19" x14ac:dyDescent="0.25">
      <c r="R3602" s="8" t="str">
        <f t="shared" si="115"/>
        <v/>
      </c>
      <c r="S3602" s="82" t="str">
        <f t="shared" si="114"/>
        <v/>
      </c>
    </row>
    <row r="3603" spans="18:19" x14ac:dyDescent="0.25">
      <c r="R3603" s="8" t="str">
        <f t="shared" si="115"/>
        <v/>
      </c>
      <c r="S3603" s="82" t="str">
        <f t="shared" si="114"/>
        <v/>
      </c>
    </row>
    <row r="3604" spans="18:19" x14ac:dyDescent="0.25">
      <c r="R3604" s="8" t="str">
        <f t="shared" si="115"/>
        <v/>
      </c>
      <c r="S3604" s="82" t="str">
        <f t="shared" si="114"/>
        <v/>
      </c>
    </row>
    <row r="3605" spans="18:19" x14ac:dyDescent="0.25">
      <c r="R3605" s="8" t="str">
        <f t="shared" si="115"/>
        <v/>
      </c>
      <c r="S3605" s="82" t="str">
        <f t="shared" si="114"/>
        <v/>
      </c>
    </row>
    <row r="3606" spans="18:19" x14ac:dyDescent="0.25">
      <c r="R3606" s="8" t="str">
        <f t="shared" si="115"/>
        <v/>
      </c>
      <c r="S3606" s="82" t="str">
        <f t="shared" ref="S3606:S3669" si="116">IF(O3606&gt;0,(Q3606-O3606),(IF(B3606="",(""),(SUMIF(B3606,"11 - Factura C",(Q3606))-SUMIF(B3606,"13 - Nota de Crédito C",(Q3606))+SUMIF(B3606,"15 - Recibo C",(Q3606))+SUMIF(B3606,"109 - Tique C",(Q3606))))))</f>
        <v/>
      </c>
    </row>
    <row r="3607" spans="18:19" x14ac:dyDescent="0.25">
      <c r="R3607" s="8" t="str">
        <f t="shared" si="115"/>
        <v/>
      </c>
      <c r="S3607" s="82" t="str">
        <f t="shared" si="116"/>
        <v/>
      </c>
    </row>
    <row r="3608" spans="18:19" x14ac:dyDescent="0.25">
      <c r="R3608" s="8" t="str">
        <f t="shared" si="115"/>
        <v/>
      </c>
      <c r="S3608" s="82" t="str">
        <f t="shared" si="116"/>
        <v/>
      </c>
    </row>
    <row r="3609" spans="18:19" x14ac:dyDescent="0.25">
      <c r="R3609" s="8" t="str">
        <f t="shared" si="115"/>
        <v/>
      </c>
      <c r="S3609" s="82" t="str">
        <f t="shared" si="116"/>
        <v/>
      </c>
    </row>
    <row r="3610" spans="18:19" x14ac:dyDescent="0.25">
      <c r="R3610" s="8" t="str">
        <f t="shared" si="115"/>
        <v/>
      </c>
      <c r="S3610" s="82" t="str">
        <f t="shared" si="116"/>
        <v/>
      </c>
    </row>
    <row r="3611" spans="18:19" x14ac:dyDescent="0.25">
      <c r="R3611" s="8" t="str">
        <f t="shared" si="115"/>
        <v/>
      </c>
      <c r="S3611" s="82" t="str">
        <f t="shared" si="116"/>
        <v/>
      </c>
    </row>
    <row r="3612" spans="18:19" x14ac:dyDescent="0.25">
      <c r="R3612" s="8" t="str">
        <f t="shared" si="115"/>
        <v/>
      </c>
      <c r="S3612" s="82" t="str">
        <f t="shared" si="116"/>
        <v/>
      </c>
    </row>
    <row r="3613" spans="18:19" x14ac:dyDescent="0.25">
      <c r="R3613" s="8" t="str">
        <f t="shared" si="115"/>
        <v/>
      </c>
      <c r="S3613" s="82" t="str">
        <f t="shared" si="116"/>
        <v/>
      </c>
    </row>
    <row r="3614" spans="18:19" x14ac:dyDescent="0.25">
      <c r="R3614" s="8" t="str">
        <f t="shared" si="115"/>
        <v/>
      </c>
      <c r="S3614" s="82" t="str">
        <f t="shared" si="116"/>
        <v/>
      </c>
    </row>
    <row r="3615" spans="18:19" x14ac:dyDescent="0.25">
      <c r="R3615" s="8" t="str">
        <f t="shared" si="115"/>
        <v/>
      </c>
      <c r="S3615" s="82" t="str">
        <f t="shared" si="116"/>
        <v/>
      </c>
    </row>
    <row r="3616" spans="18:19" x14ac:dyDescent="0.25">
      <c r="R3616" s="8" t="str">
        <f t="shared" si="115"/>
        <v/>
      </c>
      <c r="S3616" s="82" t="str">
        <f t="shared" si="116"/>
        <v/>
      </c>
    </row>
    <row r="3617" spans="18:19" x14ac:dyDescent="0.25">
      <c r="R3617" s="8" t="str">
        <f t="shared" si="115"/>
        <v/>
      </c>
      <c r="S3617" s="82" t="str">
        <f t="shared" si="116"/>
        <v/>
      </c>
    </row>
    <row r="3618" spans="18:19" x14ac:dyDescent="0.25">
      <c r="R3618" s="8" t="str">
        <f t="shared" si="115"/>
        <v/>
      </c>
      <c r="S3618" s="82" t="str">
        <f t="shared" si="116"/>
        <v/>
      </c>
    </row>
    <row r="3619" spans="18:19" x14ac:dyDescent="0.25">
      <c r="R3619" s="8" t="str">
        <f t="shared" si="115"/>
        <v/>
      </c>
      <c r="S3619" s="82" t="str">
        <f t="shared" si="116"/>
        <v/>
      </c>
    </row>
    <row r="3620" spans="18:19" x14ac:dyDescent="0.25">
      <c r="R3620" s="8" t="str">
        <f t="shared" si="115"/>
        <v/>
      </c>
      <c r="S3620" s="82" t="str">
        <f t="shared" si="116"/>
        <v/>
      </c>
    </row>
    <row r="3621" spans="18:19" x14ac:dyDescent="0.25">
      <c r="R3621" s="8" t="str">
        <f t="shared" si="115"/>
        <v/>
      </c>
      <c r="S3621" s="82" t="str">
        <f t="shared" si="116"/>
        <v/>
      </c>
    </row>
    <row r="3622" spans="18:19" x14ac:dyDescent="0.25">
      <c r="R3622" s="8" t="str">
        <f t="shared" si="115"/>
        <v/>
      </c>
      <c r="S3622" s="82" t="str">
        <f t="shared" si="116"/>
        <v/>
      </c>
    </row>
    <row r="3623" spans="18:19" x14ac:dyDescent="0.25">
      <c r="R3623" s="8" t="str">
        <f t="shared" si="115"/>
        <v/>
      </c>
      <c r="S3623" s="82" t="str">
        <f t="shared" si="116"/>
        <v/>
      </c>
    </row>
    <row r="3624" spans="18:19" x14ac:dyDescent="0.25">
      <c r="R3624" s="8" t="str">
        <f t="shared" si="115"/>
        <v/>
      </c>
      <c r="S3624" s="82" t="str">
        <f t="shared" si="116"/>
        <v/>
      </c>
    </row>
    <row r="3625" spans="18:19" x14ac:dyDescent="0.25">
      <c r="R3625" s="8" t="str">
        <f t="shared" si="115"/>
        <v/>
      </c>
      <c r="S3625" s="82" t="str">
        <f t="shared" si="116"/>
        <v/>
      </c>
    </row>
    <row r="3626" spans="18:19" x14ac:dyDescent="0.25">
      <c r="R3626" s="8" t="str">
        <f t="shared" si="115"/>
        <v/>
      </c>
      <c r="S3626" s="82" t="str">
        <f t="shared" si="116"/>
        <v/>
      </c>
    </row>
    <row r="3627" spans="18:19" x14ac:dyDescent="0.25">
      <c r="R3627" s="8" t="str">
        <f t="shared" si="115"/>
        <v/>
      </c>
      <c r="S3627" s="82" t="str">
        <f t="shared" si="116"/>
        <v/>
      </c>
    </row>
    <row r="3628" spans="18:19" x14ac:dyDescent="0.25">
      <c r="R3628" s="8" t="str">
        <f t="shared" si="115"/>
        <v/>
      </c>
      <c r="S3628" s="82" t="str">
        <f t="shared" si="116"/>
        <v/>
      </c>
    </row>
    <row r="3629" spans="18:19" x14ac:dyDescent="0.25">
      <c r="R3629" s="8" t="str">
        <f t="shared" si="115"/>
        <v/>
      </c>
      <c r="S3629" s="82" t="str">
        <f t="shared" si="116"/>
        <v/>
      </c>
    </row>
    <row r="3630" spans="18:19" x14ac:dyDescent="0.25">
      <c r="R3630" s="8" t="str">
        <f t="shared" si="115"/>
        <v/>
      </c>
      <c r="S3630" s="82" t="str">
        <f t="shared" si="116"/>
        <v/>
      </c>
    </row>
    <row r="3631" spans="18:19" x14ac:dyDescent="0.25">
      <c r="R3631" s="8" t="str">
        <f t="shared" si="115"/>
        <v/>
      </c>
      <c r="S3631" s="82" t="str">
        <f t="shared" si="116"/>
        <v/>
      </c>
    </row>
    <row r="3632" spans="18:19" x14ac:dyDescent="0.25">
      <c r="R3632" s="8" t="str">
        <f t="shared" si="115"/>
        <v/>
      </c>
      <c r="S3632" s="82" t="str">
        <f t="shared" si="116"/>
        <v/>
      </c>
    </row>
    <row r="3633" spans="18:19" x14ac:dyDescent="0.25">
      <c r="R3633" s="8" t="str">
        <f t="shared" si="115"/>
        <v/>
      </c>
      <c r="S3633" s="82" t="str">
        <f t="shared" si="116"/>
        <v/>
      </c>
    </row>
    <row r="3634" spans="18:19" x14ac:dyDescent="0.25">
      <c r="R3634" s="8" t="str">
        <f t="shared" si="115"/>
        <v/>
      </c>
      <c r="S3634" s="82" t="str">
        <f t="shared" si="116"/>
        <v/>
      </c>
    </row>
    <row r="3635" spans="18:19" x14ac:dyDescent="0.25">
      <c r="R3635" s="8" t="str">
        <f t="shared" si="115"/>
        <v/>
      </c>
      <c r="S3635" s="82" t="str">
        <f t="shared" si="116"/>
        <v/>
      </c>
    </row>
    <row r="3636" spans="18:19" x14ac:dyDescent="0.25">
      <c r="R3636" s="8" t="str">
        <f t="shared" si="115"/>
        <v/>
      </c>
      <c r="S3636" s="82" t="str">
        <f t="shared" si="116"/>
        <v/>
      </c>
    </row>
    <row r="3637" spans="18:19" x14ac:dyDescent="0.25">
      <c r="R3637" s="8" t="str">
        <f t="shared" si="115"/>
        <v/>
      </c>
      <c r="S3637" s="82" t="str">
        <f t="shared" si="116"/>
        <v/>
      </c>
    </row>
    <row r="3638" spans="18:19" x14ac:dyDescent="0.25">
      <c r="R3638" s="8" t="str">
        <f t="shared" si="115"/>
        <v/>
      </c>
      <c r="S3638" s="82" t="str">
        <f t="shared" si="116"/>
        <v/>
      </c>
    </row>
    <row r="3639" spans="18:19" x14ac:dyDescent="0.25">
      <c r="R3639" s="8" t="str">
        <f t="shared" si="115"/>
        <v/>
      </c>
      <c r="S3639" s="82" t="str">
        <f t="shared" si="116"/>
        <v/>
      </c>
    </row>
    <row r="3640" spans="18:19" x14ac:dyDescent="0.25">
      <c r="R3640" s="8" t="str">
        <f t="shared" si="115"/>
        <v/>
      </c>
      <c r="S3640" s="82" t="str">
        <f t="shared" si="116"/>
        <v/>
      </c>
    </row>
    <row r="3641" spans="18:19" x14ac:dyDescent="0.25">
      <c r="R3641" s="8" t="str">
        <f t="shared" si="115"/>
        <v/>
      </c>
      <c r="S3641" s="82" t="str">
        <f t="shared" si="116"/>
        <v/>
      </c>
    </row>
    <row r="3642" spans="18:19" x14ac:dyDescent="0.25">
      <c r="R3642" s="8" t="str">
        <f t="shared" si="115"/>
        <v/>
      </c>
      <c r="S3642" s="82" t="str">
        <f t="shared" si="116"/>
        <v/>
      </c>
    </row>
    <row r="3643" spans="18:19" x14ac:dyDescent="0.25">
      <c r="R3643" s="8" t="str">
        <f t="shared" si="115"/>
        <v/>
      </c>
      <c r="S3643" s="82" t="str">
        <f t="shared" si="116"/>
        <v/>
      </c>
    </row>
    <row r="3644" spans="18:19" x14ac:dyDescent="0.25">
      <c r="R3644" s="8" t="str">
        <f t="shared" si="115"/>
        <v/>
      </c>
      <c r="S3644" s="82" t="str">
        <f t="shared" si="116"/>
        <v/>
      </c>
    </row>
    <row r="3645" spans="18:19" x14ac:dyDescent="0.25">
      <c r="R3645" s="8" t="str">
        <f t="shared" si="115"/>
        <v/>
      </c>
      <c r="S3645" s="82" t="str">
        <f t="shared" si="116"/>
        <v/>
      </c>
    </row>
    <row r="3646" spans="18:19" x14ac:dyDescent="0.25">
      <c r="R3646" s="8" t="str">
        <f t="shared" si="115"/>
        <v/>
      </c>
      <c r="S3646" s="82" t="str">
        <f t="shared" si="116"/>
        <v/>
      </c>
    </row>
    <row r="3647" spans="18:19" x14ac:dyDescent="0.25">
      <c r="R3647" s="8" t="str">
        <f t="shared" si="115"/>
        <v/>
      </c>
      <c r="S3647" s="82" t="str">
        <f t="shared" si="116"/>
        <v/>
      </c>
    </row>
    <row r="3648" spans="18:19" x14ac:dyDescent="0.25">
      <c r="R3648" s="8" t="str">
        <f t="shared" si="115"/>
        <v/>
      </c>
      <c r="S3648" s="82" t="str">
        <f t="shared" si="116"/>
        <v/>
      </c>
    </row>
    <row r="3649" spans="18:19" x14ac:dyDescent="0.25">
      <c r="R3649" s="8" t="str">
        <f t="shared" si="115"/>
        <v/>
      </c>
      <c r="S3649" s="82" t="str">
        <f t="shared" si="116"/>
        <v/>
      </c>
    </row>
    <row r="3650" spans="18:19" x14ac:dyDescent="0.25">
      <c r="R3650" s="8" t="str">
        <f t="shared" si="115"/>
        <v/>
      </c>
      <c r="S3650" s="82" t="str">
        <f t="shared" si="116"/>
        <v/>
      </c>
    </row>
    <row r="3651" spans="18:19" x14ac:dyDescent="0.25">
      <c r="R3651" s="8" t="str">
        <f t="shared" si="115"/>
        <v/>
      </c>
      <c r="S3651" s="82" t="str">
        <f t="shared" si="116"/>
        <v/>
      </c>
    </row>
    <row r="3652" spans="18:19" x14ac:dyDescent="0.25">
      <c r="R3652" s="8" t="str">
        <f t="shared" si="115"/>
        <v/>
      </c>
      <c r="S3652" s="82" t="str">
        <f t="shared" si="116"/>
        <v/>
      </c>
    </row>
    <row r="3653" spans="18:19" x14ac:dyDescent="0.25">
      <c r="R3653" s="8" t="str">
        <f t="shared" si="115"/>
        <v/>
      </c>
      <c r="S3653" s="82" t="str">
        <f t="shared" si="116"/>
        <v/>
      </c>
    </row>
    <row r="3654" spans="18:19" x14ac:dyDescent="0.25">
      <c r="R3654" s="8" t="str">
        <f t="shared" si="115"/>
        <v/>
      </c>
      <c r="S3654" s="82" t="str">
        <f t="shared" si="116"/>
        <v/>
      </c>
    </row>
    <row r="3655" spans="18:19" x14ac:dyDescent="0.25">
      <c r="R3655" s="8" t="str">
        <f t="shared" si="115"/>
        <v/>
      </c>
      <c r="S3655" s="82" t="str">
        <f t="shared" si="116"/>
        <v/>
      </c>
    </row>
    <row r="3656" spans="18:19" x14ac:dyDescent="0.25">
      <c r="R3656" s="8" t="str">
        <f t="shared" ref="R3656:R3719" si="117">IF(A3656="",(""),(MONTH(A3656)))</f>
        <v/>
      </c>
      <c r="S3656" s="82" t="str">
        <f t="shared" si="116"/>
        <v/>
      </c>
    </row>
    <row r="3657" spans="18:19" x14ac:dyDescent="0.25">
      <c r="R3657" s="8" t="str">
        <f t="shared" si="117"/>
        <v/>
      </c>
      <c r="S3657" s="82" t="str">
        <f t="shared" si="116"/>
        <v/>
      </c>
    </row>
    <row r="3658" spans="18:19" x14ac:dyDescent="0.25">
      <c r="R3658" s="8" t="str">
        <f t="shared" si="117"/>
        <v/>
      </c>
      <c r="S3658" s="82" t="str">
        <f t="shared" si="116"/>
        <v/>
      </c>
    </row>
    <row r="3659" spans="18:19" x14ac:dyDescent="0.25">
      <c r="R3659" s="8" t="str">
        <f t="shared" si="117"/>
        <v/>
      </c>
      <c r="S3659" s="82" t="str">
        <f t="shared" si="116"/>
        <v/>
      </c>
    </row>
    <row r="3660" spans="18:19" x14ac:dyDescent="0.25">
      <c r="R3660" s="8" t="str">
        <f t="shared" si="117"/>
        <v/>
      </c>
      <c r="S3660" s="82" t="str">
        <f t="shared" si="116"/>
        <v/>
      </c>
    </row>
    <row r="3661" spans="18:19" x14ac:dyDescent="0.25">
      <c r="R3661" s="8" t="str">
        <f t="shared" si="117"/>
        <v/>
      </c>
      <c r="S3661" s="82" t="str">
        <f t="shared" si="116"/>
        <v/>
      </c>
    </row>
    <row r="3662" spans="18:19" x14ac:dyDescent="0.25">
      <c r="R3662" s="8" t="str">
        <f t="shared" si="117"/>
        <v/>
      </c>
      <c r="S3662" s="82" t="str">
        <f t="shared" si="116"/>
        <v/>
      </c>
    </row>
    <row r="3663" spans="18:19" x14ac:dyDescent="0.25">
      <c r="R3663" s="8" t="str">
        <f t="shared" si="117"/>
        <v/>
      </c>
      <c r="S3663" s="82" t="str">
        <f t="shared" si="116"/>
        <v/>
      </c>
    </row>
    <row r="3664" spans="18:19" x14ac:dyDescent="0.25">
      <c r="R3664" s="8" t="str">
        <f t="shared" si="117"/>
        <v/>
      </c>
      <c r="S3664" s="82" t="str">
        <f t="shared" si="116"/>
        <v/>
      </c>
    </row>
    <row r="3665" spans="18:19" x14ac:dyDescent="0.25">
      <c r="R3665" s="8" t="str">
        <f t="shared" si="117"/>
        <v/>
      </c>
      <c r="S3665" s="82" t="str">
        <f t="shared" si="116"/>
        <v/>
      </c>
    </row>
    <row r="3666" spans="18:19" x14ac:dyDescent="0.25">
      <c r="R3666" s="8" t="str">
        <f t="shared" si="117"/>
        <v/>
      </c>
      <c r="S3666" s="82" t="str">
        <f t="shared" si="116"/>
        <v/>
      </c>
    </row>
    <row r="3667" spans="18:19" x14ac:dyDescent="0.25">
      <c r="R3667" s="8" t="str">
        <f t="shared" si="117"/>
        <v/>
      </c>
      <c r="S3667" s="82" t="str">
        <f t="shared" si="116"/>
        <v/>
      </c>
    </row>
    <row r="3668" spans="18:19" x14ac:dyDescent="0.25">
      <c r="R3668" s="8" t="str">
        <f t="shared" si="117"/>
        <v/>
      </c>
      <c r="S3668" s="82" t="str">
        <f t="shared" si="116"/>
        <v/>
      </c>
    </row>
    <row r="3669" spans="18:19" x14ac:dyDescent="0.25">
      <c r="R3669" s="8" t="str">
        <f t="shared" si="117"/>
        <v/>
      </c>
      <c r="S3669" s="82" t="str">
        <f t="shared" si="116"/>
        <v/>
      </c>
    </row>
    <row r="3670" spans="18:19" x14ac:dyDescent="0.25">
      <c r="R3670" s="8" t="str">
        <f t="shared" si="117"/>
        <v/>
      </c>
      <c r="S3670" s="82" t="str">
        <f t="shared" ref="S3670:S3733" si="118">IF(O3670&gt;0,(Q3670-O3670),(IF(B3670="",(""),(SUMIF(B3670,"11 - Factura C",(Q3670))-SUMIF(B3670,"13 - Nota de Crédito C",(Q3670))+SUMIF(B3670,"15 - Recibo C",(Q3670))+SUMIF(B3670,"109 - Tique C",(Q3670))))))</f>
        <v/>
      </c>
    </row>
    <row r="3671" spans="18:19" x14ac:dyDescent="0.25">
      <c r="R3671" s="8" t="str">
        <f t="shared" si="117"/>
        <v/>
      </c>
      <c r="S3671" s="82" t="str">
        <f t="shared" si="118"/>
        <v/>
      </c>
    </row>
    <row r="3672" spans="18:19" x14ac:dyDescent="0.25">
      <c r="R3672" s="8" t="str">
        <f t="shared" si="117"/>
        <v/>
      </c>
      <c r="S3672" s="82" t="str">
        <f t="shared" si="118"/>
        <v/>
      </c>
    </row>
    <row r="3673" spans="18:19" x14ac:dyDescent="0.25">
      <c r="R3673" s="8" t="str">
        <f t="shared" si="117"/>
        <v/>
      </c>
      <c r="S3673" s="82" t="str">
        <f t="shared" si="118"/>
        <v/>
      </c>
    </row>
    <row r="3674" spans="18:19" x14ac:dyDescent="0.25">
      <c r="R3674" s="8" t="str">
        <f t="shared" si="117"/>
        <v/>
      </c>
      <c r="S3674" s="82" t="str">
        <f t="shared" si="118"/>
        <v/>
      </c>
    </row>
    <row r="3675" spans="18:19" x14ac:dyDescent="0.25">
      <c r="R3675" s="8" t="str">
        <f t="shared" si="117"/>
        <v/>
      </c>
      <c r="S3675" s="82" t="str">
        <f t="shared" si="118"/>
        <v/>
      </c>
    </row>
    <row r="3676" spans="18:19" x14ac:dyDescent="0.25">
      <c r="R3676" s="8" t="str">
        <f t="shared" si="117"/>
        <v/>
      </c>
      <c r="S3676" s="82" t="str">
        <f t="shared" si="118"/>
        <v/>
      </c>
    </row>
    <row r="3677" spans="18:19" x14ac:dyDescent="0.25">
      <c r="R3677" s="8" t="str">
        <f t="shared" si="117"/>
        <v/>
      </c>
      <c r="S3677" s="82" t="str">
        <f t="shared" si="118"/>
        <v/>
      </c>
    </row>
    <row r="3678" spans="18:19" x14ac:dyDescent="0.25">
      <c r="R3678" s="8" t="str">
        <f t="shared" si="117"/>
        <v/>
      </c>
      <c r="S3678" s="82" t="str">
        <f t="shared" si="118"/>
        <v/>
      </c>
    </row>
    <row r="3679" spans="18:19" x14ac:dyDescent="0.25">
      <c r="R3679" s="8" t="str">
        <f t="shared" si="117"/>
        <v/>
      </c>
      <c r="S3679" s="82" t="str">
        <f t="shared" si="118"/>
        <v/>
      </c>
    </row>
    <row r="3680" spans="18:19" x14ac:dyDescent="0.25">
      <c r="R3680" s="8" t="str">
        <f t="shared" si="117"/>
        <v/>
      </c>
      <c r="S3680" s="82" t="str">
        <f t="shared" si="118"/>
        <v/>
      </c>
    </row>
    <row r="3681" spans="18:19" x14ac:dyDescent="0.25">
      <c r="R3681" s="8" t="str">
        <f t="shared" si="117"/>
        <v/>
      </c>
      <c r="S3681" s="82" t="str">
        <f t="shared" si="118"/>
        <v/>
      </c>
    </row>
    <row r="3682" spans="18:19" x14ac:dyDescent="0.25">
      <c r="R3682" s="8" t="str">
        <f t="shared" si="117"/>
        <v/>
      </c>
      <c r="S3682" s="82" t="str">
        <f t="shared" si="118"/>
        <v/>
      </c>
    </row>
    <row r="3683" spans="18:19" x14ac:dyDescent="0.25">
      <c r="R3683" s="8" t="str">
        <f t="shared" si="117"/>
        <v/>
      </c>
      <c r="S3683" s="82" t="str">
        <f t="shared" si="118"/>
        <v/>
      </c>
    </row>
    <row r="3684" spans="18:19" x14ac:dyDescent="0.25">
      <c r="R3684" s="8" t="str">
        <f t="shared" si="117"/>
        <v/>
      </c>
      <c r="S3684" s="82" t="str">
        <f t="shared" si="118"/>
        <v/>
      </c>
    </row>
    <row r="3685" spans="18:19" x14ac:dyDescent="0.25">
      <c r="R3685" s="8" t="str">
        <f t="shared" si="117"/>
        <v/>
      </c>
      <c r="S3685" s="82" t="str">
        <f t="shared" si="118"/>
        <v/>
      </c>
    </row>
    <row r="3686" spans="18:19" x14ac:dyDescent="0.25">
      <c r="R3686" s="8" t="str">
        <f t="shared" si="117"/>
        <v/>
      </c>
      <c r="S3686" s="82" t="str">
        <f t="shared" si="118"/>
        <v/>
      </c>
    </row>
    <row r="3687" spans="18:19" x14ac:dyDescent="0.25">
      <c r="R3687" s="8" t="str">
        <f t="shared" si="117"/>
        <v/>
      </c>
      <c r="S3687" s="82" t="str">
        <f t="shared" si="118"/>
        <v/>
      </c>
    </row>
    <row r="3688" spans="18:19" x14ac:dyDescent="0.25">
      <c r="R3688" s="8" t="str">
        <f t="shared" si="117"/>
        <v/>
      </c>
      <c r="S3688" s="82" t="str">
        <f t="shared" si="118"/>
        <v/>
      </c>
    </row>
    <row r="3689" spans="18:19" x14ac:dyDescent="0.25">
      <c r="R3689" s="8" t="str">
        <f t="shared" si="117"/>
        <v/>
      </c>
      <c r="S3689" s="82" t="str">
        <f t="shared" si="118"/>
        <v/>
      </c>
    </row>
    <row r="3690" spans="18:19" x14ac:dyDescent="0.25">
      <c r="R3690" s="8" t="str">
        <f t="shared" si="117"/>
        <v/>
      </c>
      <c r="S3690" s="82" t="str">
        <f t="shared" si="118"/>
        <v/>
      </c>
    </row>
    <row r="3691" spans="18:19" x14ac:dyDescent="0.25">
      <c r="R3691" s="8" t="str">
        <f t="shared" si="117"/>
        <v/>
      </c>
      <c r="S3691" s="82" t="str">
        <f t="shared" si="118"/>
        <v/>
      </c>
    </row>
    <row r="3692" spans="18:19" x14ac:dyDescent="0.25">
      <c r="R3692" s="8" t="str">
        <f t="shared" si="117"/>
        <v/>
      </c>
      <c r="S3692" s="82" t="str">
        <f t="shared" si="118"/>
        <v/>
      </c>
    </row>
    <row r="3693" spans="18:19" x14ac:dyDescent="0.25">
      <c r="R3693" s="8" t="str">
        <f t="shared" si="117"/>
        <v/>
      </c>
      <c r="S3693" s="82" t="str">
        <f t="shared" si="118"/>
        <v/>
      </c>
    </row>
    <row r="3694" spans="18:19" x14ac:dyDescent="0.25">
      <c r="R3694" s="8" t="str">
        <f t="shared" si="117"/>
        <v/>
      </c>
      <c r="S3694" s="82" t="str">
        <f t="shared" si="118"/>
        <v/>
      </c>
    </row>
    <row r="3695" spans="18:19" x14ac:dyDescent="0.25">
      <c r="R3695" s="8" t="str">
        <f t="shared" si="117"/>
        <v/>
      </c>
      <c r="S3695" s="82" t="str">
        <f t="shared" si="118"/>
        <v/>
      </c>
    </row>
    <row r="3696" spans="18:19" x14ac:dyDescent="0.25">
      <c r="R3696" s="8" t="str">
        <f t="shared" si="117"/>
        <v/>
      </c>
      <c r="S3696" s="82" t="str">
        <f t="shared" si="118"/>
        <v/>
      </c>
    </row>
    <row r="3697" spans="18:19" x14ac:dyDescent="0.25">
      <c r="R3697" s="8" t="str">
        <f t="shared" si="117"/>
        <v/>
      </c>
      <c r="S3697" s="82" t="str">
        <f t="shared" si="118"/>
        <v/>
      </c>
    </row>
    <row r="3698" spans="18:19" x14ac:dyDescent="0.25">
      <c r="R3698" s="8" t="str">
        <f t="shared" si="117"/>
        <v/>
      </c>
      <c r="S3698" s="82" t="str">
        <f t="shared" si="118"/>
        <v/>
      </c>
    </row>
    <row r="3699" spans="18:19" x14ac:dyDescent="0.25">
      <c r="R3699" s="8" t="str">
        <f t="shared" si="117"/>
        <v/>
      </c>
      <c r="S3699" s="82" t="str">
        <f t="shared" si="118"/>
        <v/>
      </c>
    </row>
    <row r="3700" spans="18:19" x14ac:dyDescent="0.25">
      <c r="R3700" s="8" t="str">
        <f t="shared" si="117"/>
        <v/>
      </c>
      <c r="S3700" s="82" t="str">
        <f t="shared" si="118"/>
        <v/>
      </c>
    </row>
    <row r="3701" spans="18:19" x14ac:dyDescent="0.25">
      <c r="R3701" s="8" t="str">
        <f t="shared" si="117"/>
        <v/>
      </c>
      <c r="S3701" s="82" t="str">
        <f t="shared" si="118"/>
        <v/>
      </c>
    </row>
    <row r="3702" spans="18:19" x14ac:dyDescent="0.25">
      <c r="R3702" s="8" t="str">
        <f t="shared" si="117"/>
        <v/>
      </c>
      <c r="S3702" s="82" t="str">
        <f t="shared" si="118"/>
        <v/>
      </c>
    </row>
    <row r="3703" spans="18:19" x14ac:dyDescent="0.25">
      <c r="R3703" s="8" t="str">
        <f t="shared" si="117"/>
        <v/>
      </c>
      <c r="S3703" s="82" t="str">
        <f t="shared" si="118"/>
        <v/>
      </c>
    </row>
    <row r="3704" spans="18:19" x14ac:dyDescent="0.25">
      <c r="R3704" s="8" t="str">
        <f t="shared" si="117"/>
        <v/>
      </c>
      <c r="S3704" s="82" t="str">
        <f t="shared" si="118"/>
        <v/>
      </c>
    </row>
    <row r="3705" spans="18:19" x14ac:dyDescent="0.25">
      <c r="R3705" s="8" t="str">
        <f t="shared" si="117"/>
        <v/>
      </c>
      <c r="S3705" s="82" t="str">
        <f t="shared" si="118"/>
        <v/>
      </c>
    </row>
    <row r="3706" spans="18:19" x14ac:dyDescent="0.25">
      <c r="R3706" s="8" t="str">
        <f t="shared" si="117"/>
        <v/>
      </c>
      <c r="S3706" s="82" t="str">
        <f t="shared" si="118"/>
        <v/>
      </c>
    </row>
    <row r="3707" spans="18:19" x14ac:dyDescent="0.25">
      <c r="R3707" s="8" t="str">
        <f t="shared" si="117"/>
        <v/>
      </c>
      <c r="S3707" s="82" t="str">
        <f t="shared" si="118"/>
        <v/>
      </c>
    </row>
    <row r="3708" spans="18:19" x14ac:dyDescent="0.25">
      <c r="R3708" s="8" t="str">
        <f t="shared" si="117"/>
        <v/>
      </c>
      <c r="S3708" s="82" t="str">
        <f t="shared" si="118"/>
        <v/>
      </c>
    </row>
    <row r="3709" spans="18:19" x14ac:dyDescent="0.25">
      <c r="R3709" s="8" t="str">
        <f t="shared" si="117"/>
        <v/>
      </c>
      <c r="S3709" s="82" t="str">
        <f t="shared" si="118"/>
        <v/>
      </c>
    </row>
    <row r="3710" spans="18:19" x14ac:dyDescent="0.25">
      <c r="R3710" s="8" t="str">
        <f t="shared" si="117"/>
        <v/>
      </c>
      <c r="S3710" s="82" t="str">
        <f t="shared" si="118"/>
        <v/>
      </c>
    </row>
    <row r="3711" spans="18:19" x14ac:dyDescent="0.25">
      <c r="R3711" s="8" t="str">
        <f t="shared" si="117"/>
        <v/>
      </c>
      <c r="S3711" s="82" t="str">
        <f t="shared" si="118"/>
        <v/>
      </c>
    </row>
    <row r="3712" spans="18:19" x14ac:dyDescent="0.25">
      <c r="R3712" s="8" t="str">
        <f t="shared" si="117"/>
        <v/>
      </c>
      <c r="S3712" s="82" t="str">
        <f t="shared" si="118"/>
        <v/>
      </c>
    </row>
    <row r="3713" spans="18:19" x14ac:dyDescent="0.25">
      <c r="R3713" s="8" t="str">
        <f t="shared" si="117"/>
        <v/>
      </c>
      <c r="S3713" s="82" t="str">
        <f t="shared" si="118"/>
        <v/>
      </c>
    </row>
    <row r="3714" spans="18:19" x14ac:dyDescent="0.25">
      <c r="R3714" s="8" t="str">
        <f t="shared" si="117"/>
        <v/>
      </c>
      <c r="S3714" s="82" t="str">
        <f t="shared" si="118"/>
        <v/>
      </c>
    </row>
    <row r="3715" spans="18:19" x14ac:dyDescent="0.25">
      <c r="R3715" s="8" t="str">
        <f t="shared" si="117"/>
        <v/>
      </c>
      <c r="S3715" s="82" t="str">
        <f t="shared" si="118"/>
        <v/>
      </c>
    </row>
    <row r="3716" spans="18:19" x14ac:dyDescent="0.25">
      <c r="R3716" s="8" t="str">
        <f t="shared" si="117"/>
        <v/>
      </c>
      <c r="S3716" s="82" t="str">
        <f t="shared" si="118"/>
        <v/>
      </c>
    </row>
    <row r="3717" spans="18:19" x14ac:dyDescent="0.25">
      <c r="R3717" s="8" t="str">
        <f t="shared" si="117"/>
        <v/>
      </c>
      <c r="S3717" s="82" t="str">
        <f t="shared" si="118"/>
        <v/>
      </c>
    </row>
    <row r="3718" spans="18:19" x14ac:dyDescent="0.25">
      <c r="R3718" s="8" t="str">
        <f t="shared" si="117"/>
        <v/>
      </c>
      <c r="S3718" s="82" t="str">
        <f t="shared" si="118"/>
        <v/>
      </c>
    </row>
    <row r="3719" spans="18:19" x14ac:dyDescent="0.25">
      <c r="R3719" s="8" t="str">
        <f t="shared" si="117"/>
        <v/>
      </c>
      <c r="S3719" s="82" t="str">
        <f t="shared" si="118"/>
        <v/>
      </c>
    </row>
    <row r="3720" spans="18:19" x14ac:dyDescent="0.25">
      <c r="R3720" s="8" t="str">
        <f t="shared" ref="R3720:R3783" si="119">IF(A3720="",(""),(MONTH(A3720)))</f>
        <v/>
      </c>
      <c r="S3720" s="82" t="str">
        <f t="shared" si="118"/>
        <v/>
      </c>
    </row>
    <row r="3721" spans="18:19" x14ac:dyDescent="0.25">
      <c r="R3721" s="8" t="str">
        <f t="shared" si="119"/>
        <v/>
      </c>
      <c r="S3721" s="82" t="str">
        <f t="shared" si="118"/>
        <v/>
      </c>
    </row>
    <row r="3722" spans="18:19" x14ac:dyDescent="0.25">
      <c r="R3722" s="8" t="str">
        <f t="shared" si="119"/>
        <v/>
      </c>
      <c r="S3722" s="82" t="str">
        <f t="shared" si="118"/>
        <v/>
      </c>
    </row>
    <row r="3723" spans="18:19" x14ac:dyDescent="0.25">
      <c r="R3723" s="8" t="str">
        <f t="shared" si="119"/>
        <v/>
      </c>
      <c r="S3723" s="82" t="str">
        <f t="shared" si="118"/>
        <v/>
      </c>
    </row>
    <row r="3724" spans="18:19" x14ac:dyDescent="0.25">
      <c r="R3724" s="8" t="str">
        <f t="shared" si="119"/>
        <v/>
      </c>
      <c r="S3724" s="82" t="str">
        <f t="shared" si="118"/>
        <v/>
      </c>
    </row>
    <row r="3725" spans="18:19" x14ac:dyDescent="0.25">
      <c r="R3725" s="8" t="str">
        <f t="shared" si="119"/>
        <v/>
      </c>
      <c r="S3725" s="82" t="str">
        <f t="shared" si="118"/>
        <v/>
      </c>
    </row>
    <row r="3726" spans="18:19" x14ac:dyDescent="0.25">
      <c r="R3726" s="8" t="str">
        <f t="shared" si="119"/>
        <v/>
      </c>
      <c r="S3726" s="82" t="str">
        <f t="shared" si="118"/>
        <v/>
      </c>
    </row>
    <row r="3727" spans="18:19" x14ac:dyDescent="0.25">
      <c r="R3727" s="8" t="str">
        <f t="shared" si="119"/>
        <v/>
      </c>
      <c r="S3727" s="82" t="str">
        <f t="shared" si="118"/>
        <v/>
      </c>
    </row>
    <row r="3728" spans="18:19" x14ac:dyDescent="0.25">
      <c r="R3728" s="8" t="str">
        <f t="shared" si="119"/>
        <v/>
      </c>
      <c r="S3728" s="82" t="str">
        <f t="shared" si="118"/>
        <v/>
      </c>
    </row>
    <row r="3729" spans="18:19" x14ac:dyDescent="0.25">
      <c r="R3729" s="8" t="str">
        <f t="shared" si="119"/>
        <v/>
      </c>
      <c r="S3729" s="82" t="str">
        <f t="shared" si="118"/>
        <v/>
      </c>
    </row>
    <row r="3730" spans="18:19" x14ac:dyDescent="0.25">
      <c r="R3730" s="8" t="str">
        <f t="shared" si="119"/>
        <v/>
      </c>
      <c r="S3730" s="82" t="str">
        <f t="shared" si="118"/>
        <v/>
      </c>
    </row>
    <row r="3731" spans="18:19" x14ac:dyDescent="0.25">
      <c r="R3731" s="8" t="str">
        <f t="shared" si="119"/>
        <v/>
      </c>
      <c r="S3731" s="82" t="str">
        <f t="shared" si="118"/>
        <v/>
      </c>
    </row>
    <row r="3732" spans="18:19" x14ac:dyDescent="0.25">
      <c r="R3732" s="8" t="str">
        <f t="shared" si="119"/>
        <v/>
      </c>
      <c r="S3732" s="82" t="str">
        <f t="shared" si="118"/>
        <v/>
      </c>
    </row>
    <row r="3733" spans="18:19" x14ac:dyDescent="0.25">
      <c r="R3733" s="8" t="str">
        <f t="shared" si="119"/>
        <v/>
      </c>
      <c r="S3733" s="82" t="str">
        <f t="shared" si="118"/>
        <v/>
      </c>
    </row>
    <row r="3734" spans="18:19" x14ac:dyDescent="0.25">
      <c r="R3734" s="8" t="str">
        <f t="shared" si="119"/>
        <v/>
      </c>
      <c r="S3734" s="82" t="str">
        <f t="shared" ref="S3734:S3797" si="120">IF(O3734&gt;0,(Q3734-O3734),(IF(B3734="",(""),(SUMIF(B3734,"11 - Factura C",(Q3734))-SUMIF(B3734,"13 - Nota de Crédito C",(Q3734))+SUMIF(B3734,"15 - Recibo C",(Q3734))+SUMIF(B3734,"109 - Tique C",(Q3734))))))</f>
        <v/>
      </c>
    </row>
    <row r="3735" spans="18:19" x14ac:dyDescent="0.25">
      <c r="R3735" s="8" t="str">
        <f t="shared" si="119"/>
        <v/>
      </c>
      <c r="S3735" s="82" t="str">
        <f t="shared" si="120"/>
        <v/>
      </c>
    </row>
    <row r="3736" spans="18:19" x14ac:dyDescent="0.25">
      <c r="R3736" s="8" t="str">
        <f t="shared" si="119"/>
        <v/>
      </c>
      <c r="S3736" s="82" t="str">
        <f t="shared" si="120"/>
        <v/>
      </c>
    </row>
    <row r="3737" spans="18:19" x14ac:dyDescent="0.25">
      <c r="R3737" s="8" t="str">
        <f t="shared" si="119"/>
        <v/>
      </c>
      <c r="S3737" s="82" t="str">
        <f t="shared" si="120"/>
        <v/>
      </c>
    </row>
    <row r="3738" spans="18:19" x14ac:dyDescent="0.25">
      <c r="R3738" s="8" t="str">
        <f t="shared" si="119"/>
        <v/>
      </c>
      <c r="S3738" s="82" t="str">
        <f t="shared" si="120"/>
        <v/>
      </c>
    </row>
    <row r="3739" spans="18:19" x14ac:dyDescent="0.25">
      <c r="R3739" s="8" t="str">
        <f t="shared" si="119"/>
        <v/>
      </c>
      <c r="S3739" s="82" t="str">
        <f t="shared" si="120"/>
        <v/>
      </c>
    </row>
    <row r="3740" spans="18:19" x14ac:dyDescent="0.25">
      <c r="R3740" s="8" t="str">
        <f t="shared" si="119"/>
        <v/>
      </c>
      <c r="S3740" s="82" t="str">
        <f t="shared" si="120"/>
        <v/>
      </c>
    </row>
    <row r="3741" spans="18:19" x14ac:dyDescent="0.25">
      <c r="R3741" s="8" t="str">
        <f t="shared" si="119"/>
        <v/>
      </c>
      <c r="S3741" s="82" t="str">
        <f t="shared" si="120"/>
        <v/>
      </c>
    </row>
    <row r="3742" spans="18:19" x14ac:dyDescent="0.25">
      <c r="R3742" s="8" t="str">
        <f t="shared" si="119"/>
        <v/>
      </c>
      <c r="S3742" s="82" t="str">
        <f t="shared" si="120"/>
        <v/>
      </c>
    </row>
    <row r="3743" spans="18:19" x14ac:dyDescent="0.25">
      <c r="R3743" s="8" t="str">
        <f t="shared" si="119"/>
        <v/>
      </c>
      <c r="S3743" s="82" t="str">
        <f t="shared" si="120"/>
        <v/>
      </c>
    </row>
    <row r="3744" spans="18:19" x14ac:dyDescent="0.25">
      <c r="R3744" s="8" t="str">
        <f t="shared" si="119"/>
        <v/>
      </c>
      <c r="S3744" s="82" t="str">
        <f t="shared" si="120"/>
        <v/>
      </c>
    </row>
    <row r="3745" spans="18:19" x14ac:dyDescent="0.25">
      <c r="R3745" s="8" t="str">
        <f t="shared" si="119"/>
        <v/>
      </c>
      <c r="S3745" s="82" t="str">
        <f t="shared" si="120"/>
        <v/>
      </c>
    </row>
    <row r="3746" spans="18:19" x14ac:dyDescent="0.25">
      <c r="R3746" s="8" t="str">
        <f t="shared" si="119"/>
        <v/>
      </c>
      <c r="S3746" s="82" t="str">
        <f t="shared" si="120"/>
        <v/>
      </c>
    </row>
    <row r="3747" spans="18:19" x14ac:dyDescent="0.25">
      <c r="R3747" s="8" t="str">
        <f t="shared" si="119"/>
        <v/>
      </c>
      <c r="S3747" s="82" t="str">
        <f t="shared" si="120"/>
        <v/>
      </c>
    </row>
    <row r="3748" spans="18:19" x14ac:dyDescent="0.25">
      <c r="R3748" s="8" t="str">
        <f t="shared" si="119"/>
        <v/>
      </c>
      <c r="S3748" s="82" t="str">
        <f t="shared" si="120"/>
        <v/>
      </c>
    </row>
    <row r="3749" spans="18:19" x14ac:dyDescent="0.25">
      <c r="R3749" s="8" t="str">
        <f t="shared" si="119"/>
        <v/>
      </c>
      <c r="S3749" s="82" t="str">
        <f t="shared" si="120"/>
        <v/>
      </c>
    </row>
    <row r="3750" spans="18:19" x14ac:dyDescent="0.25">
      <c r="R3750" s="8" t="str">
        <f t="shared" si="119"/>
        <v/>
      </c>
      <c r="S3750" s="82" t="str">
        <f t="shared" si="120"/>
        <v/>
      </c>
    </row>
    <row r="3751" spans="18:19" x14ac:dyDescent="0.25">
      <c r="R3751" s="8" t="str">
        <f t="shared" si="119"/>
        <v/>
      </c>
      <c r="S3751" s="82" t="str">
        <f t="shared" si="120"/>
        <v/>
      </c>
    </row>
    <row r="3752" spans="18:19" x14ac:dyDescent="0.25">
      <c r="R3752" s="8" t="str">
        <f t="shared" si="119"/>
        <v/>
      </c>
      <c r="S3752" s="82" t="str">
        <f t="shared" si="120"/>
        <v/>
      </c>
    </row>
    <row r="3753" spans="18:19" x14ac:dyDescent="0.25">
      <c r="R3753" s="8" t="str">
        <f t="shared" si="119"/>
        <v/>
      </c>
      <c r="S3753" s="82" t="str">
        <f t="shared" si="120"/>
        <v/>
      </c>
    </row>
    <row r="3754" spans="18:19" x14ac:dyDescent="0.25">
      <c r="R3754" s="8" t="str">
        <f t="shared" si="119"/>
        <v/>
      </c>
      <c r="S3754" s="82" t="str">
        <f t="shared" si="120"/>
        <v/>
      </c>
    </row>
    <row r="3755" spans="18:19" x14ac:dyDescent="0.25">
      <c r="R3755" s="8" t="str">
        <f t="shared" si="119"/>
        <v/>
      </c>
      <c r="S3755" s="82" t="str">
        <f t="shared" si="120"/>
        <v/>
      </c>
    </row>
    <row r="3756" spans="18:19" x14ac:dyDescent="0.25">
      <c r="R3756" s="8" t="str">
        <f t="shared" si="119"/>
        <v/>
      </c>
      <c r="S3756" s="82" t="str">
        <f t="shared" si="120"/>
        <v/>
      </c>
    </row>
    <row r="3757" spans="18:19" x14ac:dyDescent="0.25">
      <c r="R3757" s="8" t="str">
        <f t="shared" si="119"/>
        <v/>
      </c>
      <c r="S3757" s="82" t="str">
        <f t="shared" si="120"/>
        <v/>
      </c>
    </row>
    <row r="3758" spans="18:19" x14ac:dyDescent="0.25">
      <c r="R3758" s="8" t="str">
        <f t="shared" si="119"/>
        <v/>
      </c>
      <c r="S3758" s="82" t="str">
        <f t="shared" si="120"/>
        <v/>
      </c>
    </row>
    <row r="3759" spans="18:19" x14ac:dyDescent="0.25">
      <c r="R3759" s="8" t="str">
        <f t="shared" si="119"/>
        <v/>
      </c>
      <c r="S3759" s="82" t="str">
        <f t="shared" si="120"/>
        <v/>
      </c>
    </row>
    <row r="3760" spans="18:19" x14ac:dyDescent="0.25">
      <c r="R3760" s="8" t="str">
        <f t="shared" si="119"/>
        <v/>
      </c>
      <c r="S3760" s="82" t="str">
        <f t="shared" si="120"/>
        <v/>
      </c>
    </row>
    <row r="3761" spans="18:19" x14ac:dyDescent="0.25">
      <c r="R3761" s="8" t="str">
        <f t="shared" si="119"/>
        <v/>
      </c>
      <c r="S3761" s="82" t="str">
        <f t="shared" si="120"/>
        <v/>
      </c>
    </row>
    <row r="3762" spans="18:19" x14ac:dyDescent="0.25">
      <c r="R3762" s="8" t="str">
        <f t="shared" si="119"/>
        <v/>
      </c>
      <c r="S3762" s="82" t="str">
        <f t="shared" si="120"/>
        <v/>
      </c>
    </row>
    <row r="3763" spans="18:19" x14ac:dyDescent="0.25">
      <c r="R3763" s="8" t="str">
        <f t="shared" si="119"/>
        <v/>
      </c>
      <c r="S3763" s="82" t="str">
        <f t="shared" si="120"/>
        <v/>
      </c>
    </row>
    <row r="3764" spans="18:19" x14ac:dyDescent="0.25">
      <c r="R3764" s="8" t="str">
        <f t="shared" si="119"/>
        <v/>
      </c>
      <c r="S3764" s="82" t="str">
        <f t="shared" si="120"/>
        <v/>
      </c>
    </row>
    <row r="3765" spans="18:19" x14ac:dyDescent="0.25">
      <c r="R3765" s="8" t="str">
        <f t="shared" si="119"/>
        <v/>
      </c>
      <c r="S3765" s="82" t="str">
        <f t="shared" si="120"/>
        <v/>
      </c>
    </row>
    <row r="3766" spans="18:19" x14ac:dyDescent="0.25">
      <c r="R3766" s="8" t="str">
        <f t="shared" si="119"/>
        <v/>
      </c>
      <c r="S3766" s="82" t="str">
        <f t="shared" si="120"/>
        <v/>
      </c>
    </row>
    <row r="3767" spans="18:19" x14ac:dyDescent="0.25">
      <c r="R3767" s="8" t="str">
        <f t="shared" si="119"/>
        <v/>
      </c>
      <c r="S3767" s="82" t="str">
        <f t="shared" si="120"/>
        <v/>
      </c>
    </row>
    <row r="3768" spans="18:19" x14ac:dyDescent="0.25">
      <c r="R3768" s="8" t="str">
        <f t="shared" si="119"/>
        <v/>
      </c>
      <c r="S3768" s="82" t="str">
        <f t="shared" si="120"/>
        <v/>
      </c>
    </row>
    <row r="3769" spans="18:19" x14ac:dyDescent="0.25">
      <c r="R3769" s="8" t="str">
        <f t="shared" si="119"/>
        <v/>
      </c>
      <c r="S3769" s="82" t="str">
        <f t="shared" si="120"/>
        <v/>
      </c>
    </row>
    <row r="3770" spans="18:19" x14ac:dyDescent="0.25">
      <c r="R3770" s="8" t="str">
        <f t="shared" si="119"/>
        <v/>
      </c>
      <c r="S3770" s="82" t="str">
        <f t="shared" si="120"/>
        <v/>
      </c>
    </row>
    <row r="3771" spans="18:19" x14ac:dyDescent="0.25">
      <c r="R3771" s="8" t="str">
        <f t="shared" si="119"/>
        <v/>
      </c>
      <c r="S3771" s="82" t="str">
        <f t="shared" si="120"/>
        <v/>
      </c>
    </row>
    <row r="3772" spans="18:19" x14ac:dyDescent="0.25">
      <c r="R3772" s="8" t="str">
        <f t="shared" si="119"/>
        <v/>
      </c>
      <c r="S3772" s="82" t="str">
        <f t="shared" si="120"/>
        <v/>
      </c>
    </row>
    <row r="3773" spans="18:19" x14ac:dyDescent="0.25">
      <c r="R3773" s="8" t="str">
        <f t="shared" si="119"/>
        <v/>
      </c>
      <c r="S3773" s="82" t="str">
        <f t="shared" si="120"/>
        <v/>
      </c>
    </row>
    <row r="3774" spans="18:19" x14ac:dyDescent="0.25">
      <c r="R3774" s="8" t="str">
        <f t="shared" si="119"/>
        <v/>
      </c>
      <c r="S3774" s="82" t="str">
        <f t="shared" si="120"/>
        <v/>
      </c>
    </row>
    <row r="3775" spans="18:19" x14ac:dyDescent="0.25">
      <c r="R3775" s="8" t="str">
        <f t="shared" si="119"/>
        <v/>
      </c>
      <c r="S3775" s="82" t="str">
        <f t="shared" si="120"/>
        <v/>
      </c>
    </row>
    <row r="3776" spans="18:19" x14ac:dyDescent="0.25">
      <c r="R3776" s="8" t="str">
        <f t="shared" si="119"/>
        <v/>
      </c>
      <c r="S3776" s="82" t="str">
        <f t="shared" si="120"/>
        <v/>
      </c>
    </row>
    <row r="3777" spans="18:19" x14ac:dyDescent="0.25">
      <c r="R3777" s="8" t="str">
        <f t="shared" si="119"/>
        <v/>
      </c>
      <c r="S3777" s="82" t="str">
        <f t="shared" si="120"/>
        <v/>
      </c>
    </row>
    <row r="3778" spans="18:19" x14ac:dyDescent="0.25">
      <c r="R3778" s="8" t="str">
        <f t="shared" si="119"/>
        <v/>
      </c>
      <c r="S3778" s="82" t="str">
        <f t="shared" si="120"/>
        <v/>
      </c>
    </row>
    <row r="3779" spans="18:19" x14ac:dyDescent="0.25">
      <c r="R3779" s="8" t="str">
        <f t="shared" si="119"/>
        <v/>
      </c>
      <c r="S3779" s="82" t="str">
        <f t="shared" si="120"/>
        <v/>
      </c>
    </row>
    <row r="3780" spans="18:19" x14ac:dyDescent="0.25">
      <c r="R3780" s="8" t="str">
        <f t="shared" si="119"/>
        <v/>
      </c>
      <c r="S3780" s="82" t="str">
        <f t="shared" si="120"/>
        <v/>
      </c>
    </row>
    <row r="3781" spans="18:19" x14ac:dyDescent="0.25">
      <c r="R3781" s="8" t="str">
        <f t="shared" si="119"/>
        <v/>
      </c>
      <c r="S3781" s="82" t="str">
        <f t="shared" si="120"/>
        <v/>
      </c>
    </row>
    <row r="3782" spans="18:19" x14ac:dyDescent="0.25">
      <c r="R3782" s="8" t="str">
        <f t="shared" si="119"/>
        <v/>
      </c>
      <c r="S3782" s="82" t="str">
        <f t="shared" si="120"/>
        <v/>
      </c>
    </row>
    <row r="3783" spans="18:19" x14ac:dyDescent="0.25">
      <c r="R3783" s="8" t="str">
        <f t="shared" si="119"/>
        <v/>
      </c>
      <c r="S3783" s="82" t="str">
        <f t="shared" si="120"/>
        <v/>
      </c>
    </row>
    <row r="3784" spans="18:19" x14ac:dyDescent="0.25">
      <c r="R3784" s="8" t="str">
        <f t="shared" ref="R3784:R3845" si="121">IF(A3784="",(""),(MONTH(A3784)))</f>
        <v/>
      </c>
      <c r="S3784" s="82" t="str">
        <f t="shared" si="120"/>
        <v/>
      </c>
    </row>
    <row r="3785" spans="18:19" x14ac:dyDescent="0.25">
      <c r="R3785" s="8" t="str">
        <f t="shared" si="121"/>
        <v/>
      </c>
      <c r="S3785" s="82" t="str">
        <f t="shared" si="120"/>
        <v/>
      </c>
    </row>
    <row r="3786" spans="18:19" x14ac:dyDescent="0.25">
      <c r="R3786" s="8" t="str">
        <f t="shared" si="121"/>
        <v/>
      </c>
      <c r="S3786" s="82" t="str">
        <f t="shared" si="120"/>
        <v/>
      </c>
    </row>
    <row r="3787" spans="18:19" x14ac:dyDescent="0.25">
      <c r="R3787" s="8" t="str">
        <f t="shared" si="121"/>
        <v/>
      </c>
      <c r="S3787" s="82" t="str">
        <f t="shared" si="120"/>
        <v/>
      </c>
    </row>
    <row r="3788" spans="18:19" x14ac:dyDescent="0.25">
      <c r="R3788" s="8" t="str">
        <f t="shared" si="121"/>
        <v/>
      </c>
      <c r="S3788" s="82" t="str">
        <f t="shared" si="120"/>
        <v/>
      </c>
    </row>
    <row r="3789" spans="18:19" x14ac:dyDescent="0.25">
      <c r="R3789" s="8" t="str">
        <f t="shared" si="121"/>
        <v/>
      </c>
      <c r="S3789" s="82" t="str">
        <f t="shared" si="120"/>
        <v/>
      </c>
    </row>
    <row r="3790" spans="18:19" x14ac:dyDescent="0.25">
      <c r="R3790" s="8" t="str">
        <f t="shared" si="121"/>
        <v/>
      </c>
      <c r="S3790" s="82" t="str">
        <f t="shared" si="120"/>
        <v/>
      </c>
    </row>
    <row r="3791" spans="18:19" x14ac:dyDescent="0.25">
      <c r="R3791" s="8" t="str">
        <f t="shared" si="121"/>
        <v/>
      </c>
      <c r="S3791" s="82" t="str">
        <f t="shared" si="120"/>
        <v/>
      </c>
    </row>
    <row r="3792" spans="18:19" x14ac:dyDescent="0.25">
      <c r="R3792" s="8" t="str">
        <f t="shared" si="121"/>
        <v/>
      </c>
      <c r="S3792" s="82" t="str">
        <f t="shared" si="120"/>
        <v/>
      </c>
    </row>
    <row r="3793" spans="18:19" x14ac:dyDescent="0.25">
      <c r="R3793" s="8" t="str">
        <f t="shared" si="121"/>
        <v/>
      </c>
      <c r="S3793" s="82" t="str">
        <f t="shared" si="120"/>
        <v/>
      </c>
    </row>
    <row r="3794" spans="18:19" x14ac:dyDescent="0.25">
      <c r="R3794" s="8" t="str">
        <f t="shared" si="121"/>
        <v/>
      </c>
      <c r="S3794" s="82" t="str">
        <f t="shared" si="120"/>
        <v/>
      </c>
    </row>
    <row r="3795" spans="18:19" x14ac:dyDescent="0.25">
      <c r="R3795" s="8" t="str">
        <f t="shared" si="121"/>
        <v/>
      </c>
      <c r="S3795" s="82" t="str">
        <f t="shared" si="120"/>
        <v/>
      </c>
    </row>
    <row r="3796" spans="18:19" x14ac:dyDescent="0.25">
      <c r="R3796" s="8" t="str">
        <f t="shared" si="121"/>
        <v/>
      </c>
      <c r="S3796" s="82" t="str">
        <f t="shared" si="120"/>
        <v/>
      </c>
    </row>
    <row r="3797" spans="18:19" x14ac:dyDescent="0.25">
      <c r="R3797" s="8" t="str">
        <f t="shared" si="121"/>
        <v/>
      </c>
      <c r="S3797" s="82" t="str">
        <f t="shared" si="120"/>
        <v/>
      </c>
    </row>
    <row r="3798" spans="18:19" x14ac:dyDescent="0.25">
      <c r="R3798" s="8" t="str">
        <f t="shared" si="121"/>
        <v/>
      </c>
      <c r="S3798" s="82" t="str">
        <f t="shared" ref="S3798:S3845" si="122">IF(O3798&gt;0,(Q3798-O3798),(IF(B3798="",(""),(SUMIF(B3798,"11 - Factura C",(Q3798))-SUMIF(B3798,"13 - Nota de Crédito C",(Q3798))+SUMIF(B3798,"15 - Recibo C",(Q3798))+SUMIF(B3798,"109 - Tique C",(Q3798))))))</f>
        <v/>
      </c>
    </row>
    <row r="3799" spans="18:19" x14ac:dyDescent="0.25">
      <c r="R3799" s="8" t="str">
        <f t="shared" si="121"/>
        <v/>
      </c>
      <c r="S3799" s="82" t="str">
        <f t="shared" si="122"/>
        <v/>
      </c>
    </row>
    <row r="3800" spans="18:19" x14ac:dyDescent="0.25">
      <c r="R3800" s="8" t="str">
        <f t="shared" si="121"/>
        <v/>
      </c>
      <c r="S3800" s="82" t="str">
        <f t="shared" si="122"/>
        <v/>
      </c>
    </row>
    <row r="3801" spans="18:19" x14ac:dyDescent="0.25">
      <c r="R3801" s="8" t="str">
        <f t="shared" si="121"/>
        <v/>
      </c>
      <c r="S3801" s="82" t="str">
        <f t="shared" si="122"/>
        <v/>
      </c>
    </row>
    <row r="3802" spans="18:19" x14ac:dyDescent="0.25">
      <c r="R3802" s="8" t="str">
        <f t="shared" si="121"/>
        <v/>
      </c>
      <c r="S3802" s="82" t="str">
        <f t="shared" si="122"/>
        <v/>
      </c>
    </row>
    <row r="3803" spans="18:19" x14ac:dyDescent="0.25">
      <c r="R3803" s="8" t="str">
        <f t="shared" si="121"/>
        <v/>
      </c>
      <c r="S3803" s="82" t="str">
        <f t="shared" si="122"/>
        <v/>
      </c>
    </row>
    <row r="3804" spans="18:19" x14ac:dyDescent="0.25">
      <c r="R3804" s="8" t="str">
        <f t="shared" si="121"/>
        <v/>
      </c>
      <c r="S3804" s="82" t="str">
        <f t="shared" si="122"/>
        <v/>
      </c>
    </row>
    <row r="3805" spans="18:19" x14ac:dyDescent="0.25">
      <c r="R3805" s="8" t="str">
        <f t="shared" si="121"/>
        <v/>
      </c>
      <c r="S3805" s="82" t="str">
        <f t="shared" si="122"/>
        <v/>
      </c>
    </row>
    <row r="3806" spans="18:19" x14ac:dyDescent="0.25">
      <c r="R3806" s="8" t="str">
        <f t="shared" si="121"/>
        <v/>
      </c>
      <c r="S3806" s="82" t="str">
        <f t="shared" si="122"/>
        <v/>
      </c>
    </row>
    <row r="3807" spans="18:19" x14ac:dyDescent="0.25">
      <c r="R3807" s="8" t="str">
        <f t="shared" si="121"/>
        <v/>
      </c>
      <c r="S3807" s="82" t="str">
        <f t="shared" si="122"/>
        <v/>
      </c>
    </row>
    <row r="3808" spans="18:19" x14ac:dyDescent="0.25">
      <c r="R3808" s="8" t="str">
        <f t="shared" si="121"/>
        <v/>
      </c>
      <c r="S3808" s="82" t="str">
        <f t="shared" si="122"/>
        <v/>
      </c>
    </row>
    <row r="3809" spans="18:19" x14ac:dyDescent="0.25">
      <c r="R3809" s="8" t="str">
        <f t="shared" si="121"/>
        <v/>
      </c>
      <c r="S3809" s="82" t="str">
        <f t="shared" si="122"/>
        <v/>
      </c>
    </row>
    <row r="3810" spans="18:19" x14ac:dyDescent="0.25">
      <c r="R3810" s="8" t="str">
        <f t="shared" si="121"/>
        <v/>
      </c>
      <c r="S3810" s="82" t="str">
        <f t="shared" si="122"/>
        <v/>
      </c>
    </row>
    <row r="3811" spans="18:19" x14ac:dyDescent="0.25">
      <c r="R3811" s="8" t="str">
        <f t="shared" si="121"/>
        <v/>
      </c>
      <c r="S3811" s="82" t="str">
        <f t="shared" si="122"/>
        <v/>
      </c>
    </row>
    <row r="3812" spans="18:19" x14ac:dyDescent="0.25">
      <c r="R3812" s="8" t="str">
        <f t="shared" si="121"/>
        <v/>
      </c>
      <c r="S3812" s="82" t="str">
        <f t="shared" si="122"/>
        <v/>
      </c>
    </row>
    <row r="3813" spans="18:19" x14ac:dyDescent="0.25">
      <c r="R3813" s="8" t="str">
        <f t="shared" si="121"/>
        <v/>
      </c>
      <c r="S3813" s="82" t="str">
        <f t="shared" si="122"/>
        <v/>
      </c>
    </row>
    <row r="3814" spans="18:19" x14ac:dyDescent="0.25">
      <c r="R3814" s="8" t="str">
        <f t="shared" si="121"/>
        <v/>
      </c>
      <c r="S3814" s="82" t="str">
        <f t="shared" si="122"/>
        <v/>
      </c>
    </row>
    <row r="3815" spans="18:19" x14ac:dyDescent="0.25">
      <c r="R3815" s="8" t="str">
        <f t="shared" si="121"/>
        <v/>
      </c>
      <c r="S3815" s="82" t="str">
        <f t="shared" si="122"/>
        <v/>
      </c>
    </row>
    <row r="3816" spans="18:19" x14ac:dyDescent="0.25">
      <c r="R3816" s="8" t="str">
        <f t="shared" si="121"/>
        <v/>
      </c>
      <c r="S3816" s="82" t="str">
        <f t="shared" si="122"/>
        <v/>
      </c>
    </row>
    <row r="3817" spans="18:19" x14ac:dyDescent="0.25">
      <c r="R3817" s="8" t="str">
        <f t="shared" si="121"/>
        <v/>
      </c>
      <c r="S3817" s="82" t="str">
        <f t="shared" si="122"/>
        <v/>
      </c>
    </row>
    <row r="3818" spans="18:19" x14ac:dyDescent="0.25">
      <c r="R3818" s="8" t="str">
        <f t="shared" si="121"/>
        <v/>
      </c>
      <c r="S3818" s="82" t="str">
        <f t="shared" si="122"/>
        <v/>
      </c>
    </row>
    <row r="3819" spans="18:19" x14ac:dyDescent="0.25">
      <c r="R3819" s="8" t="str">
        <f t="shared" si="121"/>
        <v/>
      </c>
      <c r="S3819" s="82" t="str">
        <f t="shared" si="122"/>
        <v/>
      </c>
    </row>
    <row r="3820" spans="18:19" x14ac:dyDescent="0.25">
      <c r="R3820" s="8" t="str">
        <f t="shared" si="121"/>
        <v/>
      </c>
      <c r="S3820" s="82" t="str">
        <f t="shared" si="122"/>
        <v/>
      </c>
    </row>
    <row r="3821" spans="18:19" x14ac:dyDescent="0.25">
      <c r="R3821" s="8" t="str">
        <f t="shared" si="121"/>
        <v/>
      </c>
      <c r="S3821" s="82" t="str">
        <f t="shared" si="122"/>
        <v/>
      </c>
    </row>
    <row r="3822" spans="18:19" x14ac:dyDescent="0.25">
      <c r="R3822" s="8" t="str">
        <f t="shared" si="121"/>
        <v/>
      </c>
      <c r="S3822" s="82" t="str">
        <f t="shared" si="122"/>
        <v/>
      </c>
    </row>
    <row r="3823" spans="18:19" x14ac:dyDescent="0.25">
      <c r="R3823" s="8" t="str">
        <f t="shared" si="121"/>
        <v/>
      </c>
      <c r="S3823" s="82" t="str">
        <f t="shared" si="122"/>
        <v/>
      </c>
    </row>
    <row r="3824" spans="18:19" x14ac:dyDescent="0.25">
      <c r="R3824" s="8" t="str">
        <f t="shared" si="121"/>
        <v/>
      </c>
      <c r="S3824" s="82" t="str">
        <f t="shared" si="122"/>
        <v/>
      </c>
    </row>
    <row r="3825" spans="18:19" x14ac:dyDescent="0.25">
      <c r="R3825" s="8" t="str">
        <f t="shared" si="121"/>
        <v/>
      </c>
      <c r="S3825" s="82" t="str">
        <f t="shared" si="122"/>
        <v/>
      </c>
    </row>
    <row r="3826" spans="18:19" x14ac:dyDescent="0.25">
      <c r="R3826" s="8" t="str">
        <f t="shared" si="121"/>
        <v/>
      </c>
      <c r="S3826" s="82" t="str">
        <f t="shared" si="122"/>
        <v/>
      </c>
    </row>
    <row r="3827" spans="18:19" x14ac:dyDescent="0.25">
      <c r="R3827" s="8" t="str">
        <f t="shared" si="121"/>
        <v/>
      </c>
      <c r="S3827" s="82" t="str">
        <f t="shared" si="122"/>
        <v/>
      </c>
    </row>
    <row r="3828" spans="18:19" x14ac:dyDescent="0.25">
      <c r="R3828" s="8" t="str">
        <f t="shared" si="121"/>
        <v/>
      </c>
      <c r="S3828" s="82" t="str">
        <f t="shared" si="122"/>
        <v/>
      </c>
    </row>
    <row r="3829" spans="18:19" x14ac:dyDescent="0.25">
      <c r="R3829" s="8" t="str">
        <f t="shared" si="121"/>
        <v/>
      </c>
      <c r="S3829" s="82" t="str">
        <f t="shared" si="122"/>
        <v/>
      </c>
    </row>
    <row r="3830" spans="18:19" x14ac:dyDescent="0.25">
      <c r="R3830" s="8" t="str">
        <f t="shared" si="121"/>
        <v/>
      </c>
      <c r="S3830" s="82" t="str">
        <f t="shared" si="122"/>
        <v/>
      </c>
    </row>
    <row r="3831" spans="18:19" x14ac:dyDescent="0.25">
      <c r="R3831" s="8" t="str">
        <f t="shared" si="121"/>
        <v/>
      </c>
      <c r="S3831" s="82" t="str">
        <f t="shared" si="122"/>
        <v/>
      </c>
    </row>
    <row r="3832" spans="18:19" x14ac:dyDescent="0.25">
      <c r="R3832" s="8" t="str">
        <f t="shared" si="121"/>
        <v/>
      </c>
      <c r="S3832" s="82" t="str">
        <f t="shared" si="122"/>
        <v/>
      </c>
    </row>
    <row r="3833" spans="18:19" x14ac:dyDescent="0.25">
      <c r="R3833" s="8" t="str">
        <f t="shared" si="121"/>
        <v/>
      </c>
      <c r="S3833" s="82" t="str">
        <f t="shared" si="122"/>
        <v/>
      </c>
    </row>
    <row r="3834" spans="18:19" x14ac:dyDescent="0.25">
      <c r="R3834" s="8" t="str">
        <f t="shared" si="121"/>
        <v/>
      </c>
      <c r="S3834" s="82" t="str">
        <f t="shared" si="122"/>
        <v/>
      </c>
    </row>
    <row r="3835" spans="18:19" x14ac:dyDescent="0.25">
      <c r="R3835" s="8" t="str">
        <f t="shared" si="121"/>
        <v/>
      </c>
      <c r="S3835" s="82" t="str">
        <f t="shared" si="122"/>
        <v/>
      </c>
    </row>
    <row r="3836" spans="18:19" x14ac:dyDescent="0.25">
      <c r="R3836" s="8" t="str">
        <f t="shared" si="121"/>
        <v/>
      </c>
      <c r="S3836" s="82" t="str">
        <f t="shared" si="122"/>
        <v/>
      </c>
    </row>
    <row r="3837" spans="18:19" x14ac:dyDescent="0.25">
      <c r="R3837" s="8" t="str">
        <f t="shared" si="121"/>
        <v/>
      </c>
      <c r="S3837" s="82" t="str">
        <f t="shared" si="122"/>
        <v/>
      </c>
    </row>
    <row r="3838" spans="18:19" x14ac:dyDescent="0.25">
      <c r="R3838" s="8" t="str">
        <f t="shared" si="121"/>
        <v/>
      </c>
      <c r="S3838" s="82" t="str">
        <f t="shared" si="122"/>
        <v/>
      </c>
    </row>
    <row r="3839" spans="18:19" x14ac:dyDescent="0.25">
      <c r="R3839" s="8" t="str">
        <f t="shared" si="121"/>
        <v/>
      </c>
      <c r="S3839" s="82" t="str">
        <f t="shared" si="122"/>
        <v/>
      </c>
    </row>
    <row r="3840" spans="18:19" x14ac:dyDescent="0.25">
      <c r="R3840" s="8" t="str">
        <f t="shared" si="121"/>
        <v/>
      </c>
      <c r="S3840" s="82" t="str">
        <f t="shared" si="122"/>
        <v/>
      </c>
    </row>
    <row r="3841" spans="18:19" x14ac:dyDescent="0.25">
      <c r="R3841" s="8" t="str">
        <f t="shared" si="121"/>
        <v/>
      </c>
      <c r="S3841" s="82" t="str">
        <f t="shared" si="122"/>
        <v/>
      </c>
    </row>
    <row r="3842" spans="18:19" x14ac:dyDescent="0.25">
      <c r="R3842" s="8" t="str">
        <f t="shared" si="121"/>
        <v/>
      </c>
      <c r="S3842" s="82" t="str">
        <f t="shared" si="122"/>
        <v/>
      </c>
    </row>
    <row r="3843" spans="18:19" x14ac:dyDescent="0.25">
      <c r="R3843" s="8" t="str">
        <f t="shared" si="121"/>
        <v/>
      </c>
      <c r="S3843" s="82" t="str">
        <f t="shared" si="122"/>
        <v/>
      </c>
    </row>
    <row r="3844" spans="18:19" x14ac:dyDescent="0.25">
      <c r="R3844" s="8" t="str">
        <f t="shared" si="121"/>
        <v/>
      </c>
      <c r="S3844" s="82" t="str">
        <f t="shared" si="122"/>
        <v/>
      </c>
    </row>
    <row r="3845" spans="18:19" x14ac:dyDescent="0.25">
      <c r="R3845" s="8" t="str">
        <f t="shared" si="121"/>
        <v/>
      </c>
      <c r="S3845" s="82" t="str">
        <f t="shared" si="122"/>
        <v/>
      </c>
    </row>
  </sheetData>
  <customSheetViews>
    <customSheetView guid="{D5A013E0-F144-4959-954A-48218BE88D5B}">
      <selection activeCell="C5" sqref="C5:C15"/>
      <pageMargins left="0.7" right="0.7" top="0.75" bottom="0.75" header="0.3" footer="0.3"/>
    </customSheetView>
  </customSheetViews>
  <mergeCells count="22">
    <mergeCell ref="D16:F16"/>
    <mergeCell ref="D5:F5"/>
    <mergeCell ref="D6:F6"/>
    <mergeCell ref="D7:F7"/>
    <mergeCell ref="D8:F8"/>
    <mergeCell ref="D9:F9"/>
    <mergeCell ref="D10:F10"/>
    <mergeCell ref="D11:F11"/>
    <mergeCell ref="D12:F12"/>
    <mergeCell ref="D13:F13"/>
    <mergeCell ref="D14:F14"/>
    <mergeCell ref="D15:F15"/>
    <mergeCell ref="H6:J6"/>
    <mergeCell ref="H7:J7"/>
    <mergeCell ref="H8:J8"/>
    <mergeCell ref="H9:J9"/>
    <mergeCell ref="H10:J10"/>
    <mergeCell ref="H11:J11"/>
    <mergeCell ref="H12:J12"/>
    <mergeCell ref="H13:J13"/>
    <mergeCell ref="H14:J14"/>
    <mergeCell ref="H15:J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3:S3799"/>
  <sheetViews>
    <sheetView topLeftCell="A2" workbookViewId="0">
      <selection activeCell="A19" sqref="A19:Q49"/>
    </sheetView>
  </sheetViews>
  <sheetFormatPr baseColWidth="10" defaultRowHeight="15" x14ac:dyDescent="0.25"/>
  <cols>
    <col min="1" max="1" width="22" customWidth="1"/>
    <col min="3" max="3" width="18.7109375" customWidth="1"/>
    <col min="9" max="9" width="30.7109375" customWidth="1"/>
    <col min="19" max="19" width="15.42578125" customWidth="1"/>
  </cols>
  <sheetData>
    <row r="3" spans="1:10" ht="18.75" x14ac:dyDescent="0.3">
      <c r="A3" s="98" t="s">
        <v>42</v>
      </c>
    </row>
    <row r="4" spans="1:10" x14ac:dyDescent="0.25">
      <c r="A4" s="102" t="s">
        <v>46</v>
      </c>
      <c r="B4" s="103" t="s">
        <v>49</v>
      </c>
      <c r="C4" s="104" t="s">
        <v>50</v>
      </c>
    </row>
    <row r="5" spans="1:10" x14ac:dyDescent="0.25">
      <c r="A5" s="91" t="s">
        <v>47</v>
      </c>
      <c r="B5" s="93">
        <f>COUNTIF($B$21:$B$1286,"1 - Factura A")</f>
        <v>0</v>
      </c>
      <c r="C5" s="106">
        <f ca="1">SUMIF($B$21:$B$1200,"1 - Factura A",($S$21:$S$1028))</f>
        <v>0</v>
      </c>
      <c r="D5" s="123" cm="1">
        <f t="array" ref="D5">INDEX(I21:I773,MATCH(MAX(COUNTIF(I21:I634, I21:I767)), COUNTIF(I21:I634, I21:I767),0))</f>
        <v>0</v>
      </c>
      <c r="J5">
        <f>COUNTIF(I21:I769,D5)</f>
        <v>0</v>
      </c>
    </row>
    <row r="6" spans="1:10" x14ac:dyDescent="0.25">
      <c r="A6" s="89" t="s">
        <v>48</v>
      </c>
      <c r="B6" s="94">
        <f>COUNTIF($B$21:$B$1286,"6 - Factura B")</f>
        <v>0</v>
      </c>
      <c r="C6" s="105">
        <f ca="1">SUMIF($B$21:$B$1200,"6 - Factura B",($S$21:$S$1028))</f>
        <v>0</v>
      </c>
      <c r="D6" s="123" cm="1">
        <f t="array" ref="D6">INDEX(I21:I773,MATCH(MAX(IF(I21:I773&lt;&gt;INDEX(I21:I773,MATCH(MAX(COUNTIF(I21:I634, I21:I767)), COUNTIF(I21:I634, I21:I767),0)), COUNTIF(I21:I773, I21:I773))), COUNTIF(I21:I773, I21:I773),0))</f>
        <v>0</v>
      </c>
      <c r="J6">
        <f>COUNTIF(I22:I770,D6)</f>
        <v>0</v>
      </c>
    </row>
    <row r="7" spans="1:10" x14ac:dyDescent="0.25">
      <c r="A7" s="92"/>
      <c r="B7" s="95"/>
      <c r="C7" s="105"/>
      <c r="D7" s="123" t="s">
        <v>77</v>
      </c>
    </row>
    <row r="8" spans="1:10" x14ac:dyDescent="0.25">
      <c r="A8" s="89"/>
      <c r="B8" s="94"/>
      <c r="C8" s="105"/>
      <c r="D8" s="123" t="e" cm="1">
        <f t="array" ref="D8">INDEX(I21:I773, MATCH(MAX(IF((I21:I773&lt;&gt;$D$5)*(I21:I773&lt;&gt;$D$6), COUNTIF(I21:I773, I21:I773)), COUNTIF(I21:I773, I21:I773)), 0))</f>
        <v>#N/A</v>
      </c>
    </row>
    <row r="9" spans="1:10" x14ac:dyDescent="0.25">
      <c r="A9" s="89"/>
      <c r="B9" s="94"/>
      <c r="C9" s="105"/>
      <c r="D9" t="e" cm="1">
        <f t="array" ref="D9">INDEX(I21:I773, MODE(IF(I21:I773&lt;&gt;D5, MATCH(I21:I773, I21:I773, 0))))</f>
        <v>#N/A</v>
      </c>
    </row>
    <row r="10" spans="1:10" x14ac:dyDescent="0.25">
      <c r="A10" s="92"/>
      <c r="B10" s="94"/>
      <c r="C10" s="105"/>
    </row>
    <row r="11" spans="1:10" x14ac:dyDescent="0.25">
      <c r="A11" s="90"/>
      <c r="B11" s="94"/>
      <c r="C11" s="105"/>
    </row>
    <row r="12" spans="1:10" x14ac:dyDescent="0.25">
      <c r="A12" s="96"/>
      <c r="B12" s="97"/>
      <c r="C12" s="101"/>
    </row>
    <row r="18" spans="1:19" ht="21" x14ac:dyDescent="0.35">
      <c r="A18" s="11"/>
    </row>
    <row r="20" spans="1:19" x14ac:dyDescent="0.25">
      <c r="R20" s="12" t="s">
        <v>37</v>
      </c>
      <c r="S20" s="82"/>
    </row>
    <row r="21" spans="1:19" x14ac:dyDescent="0.25">
      <c r="R21" s="8" t="str">
        <f>IF(A21="",(""),(MONTH(A21)))</f>
        <v/>
      </c>
      <c r="S21" s="108" t="str">
        <f>IF(B21="",(""),IF(B21="3 - Nota de Crédito A",-Q21,IF(B21="8 - Nota de Crédito B",-Q21,(Q21))))</f>
        <v/>
      </c>
    </row>
    <row r="22" spans="1:19" x14ac:dyDescent="0.25">
      <c r="R22" s="8" t="str">
        <f t="shared" ref="R22:R85" si="0">IF(A22="",(""),(MONTH(A22)))</f>
        <v/>
      </c>
      <c r="S22" s="108" t="str">
        <f t="shared" ref="S22:S85" si="1">IF(B22="",(""),IF(B22="3 - Nota de Crédito A",-Q22,IF(B22="8 - Nota de Crédito B",-Q22,(Q22))))</f>
        <v/>
      </c>
    </row>
    <row r="23" spans="1:19" x14ac:dyDescent="0.25">
      <c r="R23" s="8" t="str">
        <f t="shared" si="0"/>
        <v/>
      </c>
      <c r="S23" s="108" t="str">
        <f t="shared" si="1"/>
        <v/>
      </c>
    </row>
    <row r="24" spans="1:19" x14ac:dyDescent="0.25">
      <c r="R24" s="8" t="str">
        <f t="shared" si="0"/>
        <v/>
      </c>
      <c r="S24" s="108" t="str">
        <f t="shared" si="1"/>
        <v/>
      </c>
    </row>
    <row r="25" spans="1:19" x14ac:dyDescent="0.25">
      <c r="R25" s="8" t="str">
        <f t="shared" si="0"/>
        <v/>
      </c>
      <c r="S25" s="108" t="str">
        <f t="shared" si="1"/>
        <v/>
      </c>
    </row>
    <row r="26" spans="1:19" x14ac:dyDescent="0.25">
      <c r="R26" s="8" t="str">
        <f t="shared" si="0"/>
        <v/>
      </c>
      <c r="S26" s="108" t="str">
        <f t="shared" si="1"/>
        <v/>
      </c>
    </row>
    <row r="27" spans="1:19" x14ac:dyDescent="0.25">
      <c r="R27" s="8" t="str">
        <f t="shared" si="0"/>
        <v/>
      </c>
      <c r="S27" s="108" t="str">
        <f t="shared" si="1"/>
        <v/>
      </c>
    </row>
    <row r="28" spans="1:19" x14ac:dyDescent="0.25">
      <c r="R28" s="8" t="str">
        <f t="shared" si="0"/>
        <v/>
      </c>
      <c r="S28" s="108" t="str">
        <f t="shared" si="1"/>
        <v/>
      </c>
    </row>
    <row r="29" spans="1:19" x14ac:dyDescent="0.25">
      <c r="R29" s="8" t="str">
        <f t="shared" si="0"/>
        <v/>
      </c>
      <c r="S29" s="108" t="str">
        <f t="shared" si="1"/>
        <v/>
      </c>
    </row>
    <row r="30" spans="1:19" x14ac:dyDescent="0.25">
      <c r="R30" s="8" t="str">
        <f t="shared" si="0"/>
        <v/>
      </c>
      <c r="S30" s="108" t="str">
        <f t="shared" si="1"/>
        <v/>
      </c>
    </row>
    <row r="31" spans="1:19" x14ac:dyDescent="0.25">
      <c r="R31" s="8" t="str">
        <f t="shared" si="0"/>
        <v/>
      </c>
      <c r="S31" s="108" t="str">
        <f t="shared" si="1"/>
        <v/>
      </c>
    </row>
    <row r="32" spans="1:19" x14ac:dyDescent="0.25">
      <c r="R32" s="8" t="str">
        <f t="shared" si="0"/>
        <v/>
      </c>
      <c r="S32" s="108" t="str">
        <f t="shared" si="1"/>
        <v/>
      </c>
    </row>
    <row r="33" spans="18:19" x14ac:dyDescent="0.25">
      <c r="R33" s="8" t="str">
        <f t="shared" si="0"/>
        <v/>
      </c>
      <c r="S33" s="108" t="str">
        <f t="shared" si="1"/>
        <v/>
      </c>
    </row>
    <row r="34" spans="18:19" x14ac:dyDescent="0.25">
      <c r="R34" s="8" t="str">
        <f t="shared" si="0"/>
        <v/>
      </c>
      <c r="S34" s="108" t="str">
        <f t="shared" si="1"/>
        <v/>
      </c>
    </row>
    <row r="35" spans="18:19" x14ac:dyDescent="0.25">
      <c r="R35" s="8" t="str">
        <f t="shared" si="0"/>
        <v/>
      </c>
      <c r="S35" s="108" t="str">
        <f t="shared" si="1"/>
        <v/>
      </c>
    </row>
    <row r="36" spans="18:19" x14ac:dyDescent="0.25">
      <c r="R36" s="8" t="str">
        <f t="shared" si="0"/>
        <v/>
      </c>
      <c r="S36" s="108" t="str">
        <f t="shared" si="1"/>
        <v/>
      </c>
    </row>
    <row r="37" spans="18:19" x14ac:dyDescent="0.25">
      <c r="R37" s="8" t="str">
        <f t="shared" si="0"/>
        <v/>
      </c>
      <c r="S37" s="108" t="str">
        <f t="shared" si="1"/>
        <v/>
      </c>
    </row>
    <row r="38" spans="18:19" x14ac:dyDescent="0.25">
      <c r="R38" s="8" t="str">
        <f t="shared" si="0"/>
        <v/>
      </c>
      <c r="S38" s="108" t="str">
        <f t="shared" si="1"/>
        <v/>
      </c>
    </row>
    <row r="39" spans="18:19" x14ac:dyDescent="0.25">
      <c r="R39" s="8" t="str">
        <f t="shared" si="0"/>
        <v/>
      </c>
      <c r="S39" s="108" t="str">
        <f t="shared" si="1"/>
        <v/>
      </c>
    </row>
    <row r="40" spans="18:19" x14ac:dyDescent="0.25">
      <c r="R40" s="8" t="str">
        <f t="shared" si="0"/>
        <v/>
      </c>
      <c r="S40" s="108" t="str">
        <f t="shared" si="1"/>
        <v/>
      </c>
    </row>
    <row r="41" spans="18:19" x14ac:dyDescent="0.25">
      <c r="R41" s="8" t="str">
        <f t="shared" si="0"/>
        <v/>
      </c>
      <c r="S41" s="108" t="str">
        <f t="shared" si="1"/>
        <v/>
      </c>
    </row>
    <row r="42" spans="18:19" x14ac:dyDescent="0.25">
      <c r="R42" s="8" t="str">
        <f t="shared" si="0"/>
        <v/>
      </c>
      <c r="S42" s="108" t="str">
        <f t="shared" si="1"/>
        <v/>
      </c>
    </row>
    <row r="43" spans="18:19" x14ac:dyDescent="0.25">
      <c r="R43" s="8" t="str">
        <f t="shared" si="0"/>
        <v/>
      </c>
      <c r="S43" s="108" t="str">
        <f t="shared" si="1"/>
        <v/>
      </c>
    </row>
    <row r="44" spans="18:19" x14ac:dyDescent="0.25">
      <c r="R44" s="8" t="str">
        <f t="shared" si="0"/>
        <v/>
      </c>
      <c r="S44" s="108" t="str">
        <f t="shared" si="1"/>
        <v/>
      </c>
    </row>
    <row r="45" spans="18:19" x14ac:dyDescent="0.25">
      <c r="R45" s="8" t="str">
        <f t="shared" si="0"/>
        <v/>
      </c>
      <c r="S45" s="108" t="str">
        <f t="shared" si="1"/>
        <v/>
      </c>
    </row>
    <row r="46" spans="18:19" x14ac:dyDescent="0.25">
      <c r="R46" s="8" t="str">
        <f t="shared" si="0"/>
        <v/>
      </c>
      <c r="S46" s="108" t="str">
        <f t="shared" si="1"/>
        <v/>
      </c>
    </row>
    <row r="47" spans="18:19" x14ac:dyDescent="0.25">
      <c r="R47" s="8" t="str">
        <f t="shared" si="0"/>
        <v/>
      </c>
      <c r="S47" s="108" t="str">
        <f t="shared" si="1"/>
        <v/>
      </c>
    </row>
    <row r="48" spans="18:19" x14ac:dyDescent="0.25">
      <c r="R48" s="8" t="str">
        <f t="shared" si="0"/>
        <v/>
      </c>
      <c r="S48" s="108" t="str">
        <f t="shared" si="1"/>
        <v/>
      </c>
    </row>
    <row r="49" spans="18:19" x14ac:dyDescent="0.25">
      <c r="R49" s="8" t="str">
        <f t="shared" si="0"/>
        <v/>
      </c>
      <c r="S49" s="108" t="str">
        <f t="shared" si="1"/>
        <v/>
      </c>
    </row>
    <row r="50" spans="18:19" x14ac:dyDescent="0.25">
      <c r="R50" s="8" t="str">
        <f t="shared" si="0"/>
        <v/>
      </c>
      <c r="S50" s="108" t="str">
        <f t="shared" si="1"/>
        <v/>
      </c>
    </row>
    <row r="51" spans="18:19" x14ac:dyDescent="0.25">
      <c r="R51" s="8" t="str">
        <f t="shared" si="0"/>
        <v/>
      </c>
      <c r="S51" s="108" t="str">
        <f t="shared" si="1"/>
        <v/>
      </c>
    </row>
    <row r="52" spans="18:19" x14ac:dyDescent="0.25">
      <c r="R52" s="8" t="str">
        <f t="shared" si="0"/>
        <v/>
      </c>
      <c r="S52" s="108" t="str">
        <f t="shared" si="1"/>
        <v/>
      </c>
    </row>
    <row r="53" spans="18:19" x14ac:dyDescent="0.25">
      <c r="R53" s="8" t="str">
        <f t="shared" si="0"/>
        <v/>
      </c>
      <c r="S53" s="108" t="str">
        <f t="shared" si="1"/>
        <v/>
      </c>
    </row>
    <row r="54" spans="18:19" x14ac:dyDescent="0.25">
      <c r="R54" s="8" t="str">
        <f t="shared" si="0"/>
        <v/>
      </c>
      <c r="S54" s="108" t="str">
        <f t="shared" si="1"/>
        <v/>
      </c>
    </row>
    <row r="55" spans="18:19" x14ac:dyDescent="0.25">
      <c r="R55" s="8" t="str">
        <f t="shared" si="0"/>
        <v/>
      </c>
      <c r="S55" s="108" t="str">
        <f t="shared" si="1"/>
        <v/>
      </c>
    </row>
    <row r="56" spans="18:19" x14ac:dyDescent="0.25">
      <c r="R56" s="8" t="str">
        <f t="shared" si="0"/>
        <v/>
      </c>
      <c r="S56" s="108" t="str">
        <f t="shared" si="1"/>
        <v/>
      </c>
    </row>
    <row r="57" spans="18:19" x14ac:dyDescent="0.25">
      <c r="R57" s="8" t="str">
        <f t="shared" si="0"/>
        <v/>
      </c>
      <c r="S57" s="108" t="str">
        <f t="shared" si="1"/>
        <v/>
      </c>
    </row>
    <row r="58" spans="18:19" x14ac:dyDescent="0.25">
      <c r="R58" s="8" t="str">
        <f t="shared" si="0"/>
        <v/>
      </c>
      <c r="S58" s="108" t="str">
        <f t="shared" si="1"/>
        <v/>
      </c>
    </row>
    <row r="59" spans="18:19" x14ac:dyDescent="0.25">
      <c r="R59" s="8" t="str">
        <f t="shared" si="0"/>
        <v/>
      </c>
      <c r="S59" s="108" t="str">
        <f t="shared" si="1"/>
        <v/>
      </c>
    </row>
    <row r="60" spans="18:19" x14ac:dyDescent="0.25">
      <c r="R60" s="8" t="str">
        <f t="shared" si="0"/>
        <v/>
      </c>
      <c r="S60" s="108" t="str">
        <f t="shared" si="1"/>
        <v/>
      </c>
    </row>
    <row r="61" spans="18:19" x14ac:dyDescent="0.25">
      <c r="R61" s="8" t="str">
        <f t="shared" si="0"/>
        <v/>
      </c>
      <c r="S61" s="108" t="str">
        <f t="shared" si="1"/>
        <v/>
      </c>
    </row>
    <row r="62" spans="18:19" x14ac:dyDescent="0.25">
      <c r="R62" s="8" t="str">
        <f t="shared" si="0"/>
        <v/>
      </c>
      <c r="S62" s="108" t="str">
        <f t="shared" si="1"/>
        <v/>
      </c>
    </row>
    <row r="63" spans="18:19" x14ac:dyDescent="0.25">
      <c r="R63" s="8" t="str">
        <f t="shared" si="0"/>
        <v/>
      </c>
      <c r="S63" s="108" t="str">
        <f t="shared" si="1"/>
        <v/>
      </c>
    </row>
    <row r="64" spans="18:19" x14ac:dyDescent="0.25">
      <c r="R64" s="8" t="str">
        <f t="shared" si="0"/>
        <v/>
      </c>
      <c r="S64" s="108" t="str">
        <f t="shared" si="1"/>
        <v/>
      </c>
    </row>
    <row r="65" spans="18:19" x14ac:dyDescent="0.25">
      <c r="R65" s="8" t="str">
        <f t="shared" si="0"/>
        <v/>
      </c>
      <c r="S65" s="108" t="str">
        <f t="shared" si="1"/>
        <v/>
      </c>
    </row>
    <row r="66" spans="18:19" x14ac:dyDescent="0.25">
      <c r="R66" s="8" t="str">
        <f t="shared" si="0"/>
        <v/>
      </c>
      <c r="S66" s="108" t="str">
        <f t="shared" si="1"/>
        <v/>
      </c>
    </row>
    <row r="67" spans="18:19" x14ac:dyDescent="0.25">
      <c r="R67" s="8" t="str">
        <f t="shared" si="0"/>
        <v/>
      </c>
      <c r="S67" s="108" t="str">
        <f t="shared" si="1"/>
        <v/>
      </c>
    </row>
    <row r="68" spans="18:19" x14ac:dyDescent="0.25">
      <c r="R68" s="8" t="str">
        <f t="shared" si="0"/>
        <v/>
      </c>
      <c r="S68" s="108" t="str">
        <f t="shared" si="1"/>
        <v/>
      </c>
    </row>
    <row r="69" spans="18:19" x14ac:dyDescent="0.25">
      <c r="R69" s="8" t="str">
        <f t="shared" si="0"/>
        <v/>
      </c>
      <c r="S69" s="108" t="str">
        <f t="shared" si="1"/>
        <v/>
      </c>
    </row>
    <row r="70" spans="18:19" x14ac:dyDescent="0.25">
      <c r="R70" s="8" t="str">
        <f t="shared" si="0"/>
        <v/>
      </c>
      <c r="S70" s="108" t="str">
        <f t="shared" si="1"/>
        <v/>
      </c>
    </row>
    <row r="71" spans="18:19" x14ac:dyDescent="0.25">
      <c r="R71" s="8" t="str">
        <f t="shared" si="0"/>
        <v/>
      </c>
      <c r="S71" s="108" t="str">
        <f t="shared" si="1"/>
        <v/>
      </c>
    </row>
    <row r="72" spans="18:19" x14ac:dyDescent="0.25">
      <c r="R72" s="8" t="str">
        <f t="shared" si="0"/>
        <v/>
      </c>
      <c r="S72" s="108" t="str">
        <f t="shared" si="1"/>
        <v/>
      </c>
    </row>
    <row r="73" spans="18:19" x14ac:dyDescent="0.25">
      <c r="R73" s="8" t="str">
        <f t="shared" si="0"/>
        <v/>
      </c>
      <c r="S73" s="108" t="str">
        <f t="shared" si="1"/>
        <v/>
      </c>
    </row>
    <row r="74" spans="18:19" x14ac:dyDescent="0.25">
      <c r="R74" s="8" t="str">
        <f t="shared" si="0"/>
        <v/>
      </c>
      <c r="S74" s="108" t="str">
        <f t="shared" si="1"/>
        <v/>
      </c>
    </row>
    <row r="75" spans="18:19" x14ac:dyDescent="0.25">
      <c r="R75" s="8" t="str">
        <f t="shared" si="0"/>
        <v/>
      </c>
      <c r="S75" s="108" t="str">
        <f t="shared" si="1"/>
        <v/>
      </c>
    </row>
    <row r="76" spans="18:19" x14ac:dyDescent="0.25">
      <c r="R76" s="8" t="str">
        <f t="shared" si="0"/>
        <v/>
      </c>
      <c r="S76" s="108" t="str">
        <f t="shared" si="1"/>
        <v/>
      </c>
    </row>
    <row r="77" spans="18:19" x14ac:dyDescent="0.25">
      <c r="R77" s="8" t="str">
        <f t="shared" si="0"/>
        <v/>
      </c>
      <c r="S77" s="108" t="str">
        <f t="shared" si="1"/>
        <v/>
      </c>
    </row>
    <row r="78" spans="18:19" x14ac:dyDescent="0.25">
      <c r="R78" s="8" t="str">
        <f t="shared" si="0"/>
        <v/>
      </c>
      <c r="S78" s="108" t="str">
        <f t="shared" si="1"/>
        <v/>
      </c>
    </row>
    <row r="79" spans="18:19" x14ac:dyDescent="0.25">
      <c r="R79" s="8" t="str">
        <f t="shared" si="0"/>
        <v/>
      </c>
      <c r="S79" s="108" t="str">
        <f t="shared" si="1"/>
        <v/>
      </c>
    </row>
    <row r="80" spans="18:19" x14ac:dyDescent="0.25">
      <c r="R80" s="8" t="str">
        <f t="shared" si="0"/>
        <v/>
      </c>
      <c r="S80" s="108" t="str">
        <f t="shared" si="1"/>
        <v/>
      </c>
    </row>
    <row r="81" spans="18:19" x14ac:dyDescent="0.25">
      <c r="R81" s="8" t="str">
        <f t="shared" si="0"/>
        <v/>
      </c>
      <c r="S81" s="108" t="str">
        <f t="shared" si="1"/>
        <v/>
      </c>
    </row>
    <row r="82" spans="18:19" x14ac:dyDescent="0.25">
      <c r="R82" s="8" t="str">
        <f t="shared" si="0"/>
        <v/>
      </c>
      <c r="S82" s="108" t="str">
        <f t="shared" si="1"/>
        <v/>
      </c>
    </row>
    <row r="83" spans="18:19" x14ac:dyDescent="0.25">
      <c r="R83" s="8" t="str">
        <f t="shared" si="0"/>
        <v/>
      </c>
      <c r="S83" s="108" t="str">
        <f t="shared" si="1"/>
        <v/>
      </c>
    </row>
    <row r="84" spans="18:19" x14ac:dyDescent="0.25">
      <c r="R84" s="8" t="str">
        <f t="shared" si="0"/>
        <v/>
      </c>
      <c r="S84" s="108" t="str">
        <f t="shared" si="1"/>
        <v/>
      </c>
    </row>
    <row r="85" spans="18:19" x14ac:dyDescent="0.25">
      <c r="R85" s="8" t="str">
        <f t="shared" si="0"/>
        <v/>
      </c>
      <c r="S85" s="108" t="str">
        <f t="shared" si="1"/>
        <v/>
      </c>
    </row>
    <row r="86" spans="18:19" x14ac:dyDescent="0.25">
      <c r="R86" s="8" t="str">
        <f t="shared" ref="R86:R149" si="2">IF(A86="",(""),(MONTH(A86)))</f>
        <v/>
      </c>
      <c r="S86" s="108" t="str">
        <f t="shared" ref="S86:S149" si="3">IF(B86="",(""),IF(B86="3 - Nota de Crédito A",-Q86,IF(B86="8 - Nota de Crédito B",-Q86,(Q86))))</f>
        <v/>
      </c>
    </row>
    <row r="87" spans="18:19" x14ac:dyDescent="0.25">
      <c r="R87" s="8" t="str">
        <f t="shared" si="2"/>
        <v/>
      </c>
      <c r="S87" s="108" t="str">
        <f t="shared" si="3"/>
        <v/>
      </c>
    </row>
    <row r="88" spans="18:19" x14ac:dyDescent="0.25">
      <c r="R88" s="8" t="str">
        <f t="shared" si="2"/>
        <v/>
      </c>
      <c r="S88" s="108" t="str">
        <f t="shared" si="3"/>
        <v/>
      </c>
    </row>
    <row r="89" spans="18:19" x14ac:dyDescent="0.25">
      <c r="R89" s="8" t="str">
        <f t="shared" si="2"/>
        <v/>
      </c>
      <c r="S89" s="108" t="str">
        <f t="shared" si="3"/>
        <v/>
      </c>
    </row>
    <row r="90" spans="18:19" x14ac:dyDescent="0.25">
      <c r="R90" s="8" t="str">
        <f t="shared" si="2"/>
        <v/>
      </c>
      <c r="S90" s="108" t="str">
        <f t="shared" si="3"/>
        <v/>
      </c>
    </row>
    <row r="91" spans="18:19" x14ac:dyDescent="0.25">
      <c r="R91" s="8" t="str">
        <f t="shared" si="2"/>
        <v/>
      </c>
      <c r="S91" s="108" t="str">
        <f t="shared" si="3"/>
        <v/>
      </c>
    </row>
    <row r="92" spans="18:19" x14ac:dyDescent="0.25">
      <c r="R92" s="8" t="str">
        <f t="shared" si="2"/>
        <v/>
      </c>
      <c r="S92" s="108" t="str">
        <f t="shared" si="3"/>
        <v/>
      </c>
    </row>
    <row r="93" spans="18:19" x14ac:dyDescent="0.25">
      <c r="R93" s="8" t="str">
        <f t="shared" si="2"/>
        <v/>
      </c>
      <c r="S93" s="108" t="str">
        <f t="shared" si="3"/>
        <v/>
      </c>
    </row>
    <row r="94" spans="18:19" x14ac:dyDescent="0.25">
      <c r="R94" s="8" t="str">
        <f t="shared" si="2"/>
        <v/>
      </c>
      <c r="S94" s="108" t="str">
        <f t="shared" si="3"/>
        <v/>
      </c>
    </row>
    <row r="95" spans="18:19" x14ac:dyDescent="0.25">
      <c r="R95" s="8" t="str">
        <f t="shared" si="2"/>
        <v/>
      </c>
      <c r="S95" s="108" t="str">
        <f t="shared" si="3"/>
        <v/>
      </c>
    </row>
    <row r="96" spans="18:19" x14ac:dyDescent="0.25">
      <c r="R96" s="8" t="str">
        <f t="shared" si="2"/>
        <v/>
      </c>
      <c r="S96" s="108" t="str">
        <f t="shared" si="3"/>
        <v/>
      </c>
    </row>
    <row r="97" spans="18:19" x14ac:dyDescent="0.25">
      <c r="R97" s="8" t="str">
        <f t="shared" si="2"/>
        <v/>
      </c>
      <c r="S97" s="108" t="str">
        <f t="shared" si="3"/>
        <v/>
      </c>
    </row>
    <row r="98" spans="18:19" x14ac:dyDescent="0.25">
      <c r="R98" s="8" t="str">
        <f t="shared" si="2"/>
        <v/>
      </c>
      <c r="S98" s="108" t="str">
        <f t="shared" si="3"/>
        <v/>
      </c>
    </row>
    <row r="99" spans="18:19" x14ac:dyDescent="0.25">
      <c r="R99" s="8" t="str">
        <f t="shared" si="2"/>
        <v/>
      </c>
      <c r="S99" s="108" t="str">
        <f t="shared" si="3"/>
        <v/>
      </c>
    </row>
    <row r="100" spans="18:19" x14ac:dyDescent="0.25">
      <c r="R100" s="8" t="str">
        <f t="shared" si="2"/>
        <v/>
      </c>
      <c r="S100" s="108" t="str">
        <f t="shared" si="3"/>
        <v/>
      </c>
    </row>
    <row r="101" spans="18:19" x14ac:dyDescent="0.25">
      <c r="R101" s="8" t="str">
        <f t="shared" si="2"/>
        <v/>
      </c>
      <c r="S101" s="108" t="str">
        <f t="shared" si="3"/>
        <v/>
      </c>
    </row>
    <row r="102" spans="18:19" x14ac:dyDescent="0.25">
      <c r="R102" s="8" t="str">
        <f t="shared" si="2"/>
        <v/>
      </c>
      <c r="S102" s="108" t="str">
        <f t="shared" si="3"/>
        <v/>
      </c>
    </row>
    <row r="103" spans="18:19" x14ac:dyDescent="0.25">
      <c r="R103" s="8" t="str">
        <f t="shared" si="2"/>
        <v/>
      </c>
      <c r="S103" s="108" t="str">
        <f t="shared" si="3"/>
        <v/>
      </c>
    </row>
    <row r="104" spans="18:19" x14ac:dyDescent="0.25">
      <c r="R104" s="8" t="str">
        <f t="shared" si="2"/>
        <v/>
      </c>
      <c r="S104" s="108" t="str">
        <f t="shared" si="3"/>
        <v/>
      </c>
    </row>
    <row r="105" spans="18:19" x14ac:dyDescent="0.25">
      <c r="R105" s="8" t="str">
        <f t="shared" si="2"/>
        <v/>
      </c>
      <c r="S105" s="108" t="str">
        <f t="shared" si="3"/>
        <v/>
      </c>
    </row>
    <row r="106" spans="18:19" x14ac:dyDescent="0.25">
      <c r="R106" s="8" t="str">
        <f t="shared" si="2"/>
        <v/>
      </c>
      <c r="S106" s="82" t="str">
        <f t="shared" si="3"/>
        <v/>
      </c>
    </row>
    <row r="107" spans="18:19" x14ac:dyDescent="0.25">
      <c r="R107" s="8" t="str">
        <f t="shared" si="2"/>
        <v/>
      </c>
      <c r="S107" s="82" t="str">
        <f t="shared" si="3"/>
        <v/>
      </c>
    </row>
    <row r="108" spans="18:19" x14ac:dyDescent="0.25">
      <c r="R108" s="8" t="str">
        <f t="shared" si="2"/>
        <v/>
      </c>
      <c r="S108" s="82" t="str">
        <f t="shared" si="3"/>
        <v/>
      </c>
    </row>
    <row r="109" spans="18:19" x14ac:dyDescent="0.25">
      <c r="R109" s="8" t="str">
        <f t="shared" si="2"/>
        <v/>
      </c>
      <c r="S109" s="82" t="str">
        <f t="shared" si="3"/>
        <v/>
      </c>
    </row>
    <row r="110" spans="18:19" x14ac:dyDescent="0.25">
      <c r="R110" s="8" t="str">
        <f t="shared" si="2"/>
        <v/>
      </c>
      <c r="S110" s="82" t="str">
        <f t="shared" si="3"/>
        <v/>
      </c>
    </row>
    <row r="111" spans="18:19" x14ac:dyDescent="0.25">
      <c r="R111" s="8" t="str">
        <f t="shared" si="2"/>
        <v/>
      </c>
      <c r="S111" s="82" t="str">
        <f t="shared" si="3"/>
        <v/>
      </c>
    </row>
    <row r="112" spans="18:19" x14ac:dyDescent="0.25">
      <c r="R112" s="8" t="str">
        <f t="shared" si="2"/>
        <v/>
      </c>
      <c r="S112" s="82" t="str">
        <f t="shared" si="3"/>
        <v/>
      </c>
    </row>
    <row r="113" spans="18:19" x14ac:dyDescent="0.25">
      <c r="R113" s="8" t="str">
        <f t="shared" si="2"/>
        <v/>
      </c>
      <c r="S113" s="82" t="str">
        <f t="shared" si="3"/>
        <v/>
      </c>
    </row>
    <row r="114" spans="18:19" x14ac:dyDescent="0.25">
      <c r="R114" s="8" t="str">
        <f t="shared" si="2"/>
        <v/>
      </c>
      <c r="S114" s="82" t="str">
        <f t="shared" si="3"/>
        <v/>
      </c>
    </row>
    <row r="115" spans="18:19" x14ac:dyDescent="0.25">
      <c r="R115" s="8" t="str">
        <f t="shared" si="2"/>
        <v/>
      </c>
      <c r="S115" s="82" t="str">
        <f t="shared" si="3"/>
        <v/>
      </c>
    </row>
    <row r="116" spans="18:19" x14ac:dyDescent="0.25">
      <c r="R116" s="8" t="str">
        <f t="shared" si="2"/>
        <v/>
      </c>
      <c r="S116" s="82" t="str">
        <f t="shared" si="3"/>
        <v/>
      </c>
    </row>
    <row r="117" spans="18:19" x14ac:dyDescent="0.25">
      <c r="R117" s="8" t="str">
        <f t="shared" si="2"/>
        <v/>
      </c>
      <c r="S117" s="82" t="str">
        <f t="shared" si="3"/>
        <v/>
      </c>
    </row>
    <row r="118" spans="18:19" x14ac:dyDescent="0.25">
      <c r="R118" s="8" t="str">
        <f t="shared" si="2"/>
        <v/>
      </c>
      <c r="S118" s="82" t="str">
        <f t="shared" si="3"/>
        <v/>
      </c>
    </row>
    <row r="119" spans="18:19" x14ac:dyDescent="0.25">
      <c r="R119" s="8" t="str">
        <f t="shared" si="2"/>
        <v/>
      </c>
      <c r="S119" s="82" t="str">
        <f t="shared" si="3"/>
        <v/>
      </c>
    </row>
    <row r="120" spans="18:19" x14ac:dyDescent="0.25">
      <c r="R120" s="8" t="str">
        <f t="shared" si="2"/>
        <v/>
      </c>
      <c r="S120" s="82" t="str">
        <f t="shared" si="3"/>
        <v/>
      </c>
    </row>
    <row r="121" spans="18:19" x14ac:dyDescent="0.25">
      <c r="R121" s="8" t="str">
        <f t="shared" si="2"/>
        <v/>
      </c>
      <c r="S121" s="82" t="str">
        <f t="shared" si="3"/>
        <v/>
      </c>
    </row>
    <row r="122" spans="18:19" x14ac:dyDescent="0.25">
      <c r="R122" s="8" t="str">
        <f t="shared" si="2"/>
        <v/>
      </c>
      <c r="S122" s="82" t="str">
        <f t="shared" si="3"/>
        <v/>
      </c>
    </row>
    <row r="123" spans="18:19" x14ac:dyDescent="0.25">
      <c r="R123" s="8" t="str">
        <f t="shared" si="2"/>
        <v/>
      </c>
      <c r="S123" s="82" t="str">
        <f t="shared" si="3"/>
        <v/>
      </c>
    </row>
    <row r="124" spans="18:19" x14ac:dyDescent="0.25">
      <c r="R124" s="8" t="str">
        <f t="shared" si="2"/>
        <v/>
      </c>
      <c r="S124" s="82" t="str">
        <f t="shared" si="3"/>
        <v/>
      </c>
    </row>
    <row r="125" spans="18:19" x14ac:dyDescent="0.25">
      <c r="R125" s="8" t="str">
        <f t="shared" si="2"/>
        <v/>
      </c>
      <c r="S125" s="82" t="str">
        <f t="shared" si="3"/>
        <v/>
      </c>
    </row>
    <row r="126" spans="18:19" x14ac:dyDescent="0.25">
      <c r="R126" s="8" t="str">
        <f t="shared" si="2"/>
        <v/>
      </c>
      <c r="S126" s="82" t="str">
        <f t="shared" si="3"/>
        <v/>
      </c>
    </row>
    <row r="127" spans="18:19" x14ac:dyDescent="0.25">
      <c r="R127" s="8" t="str">
        <f t="shared" si="2"/>
        <v/>
      </c>
      <c r="S127" s="82" t="str">
        <f t="shared" si="3"/>
        <v/>
      </c>
    </row>
    <row r="128" spans="18:19" x14ac:dyDescent="0.25">
      <c r="R128" s="8" t="str">
        <f t="shared" si="2"/>
        <v/>
      </c>
      <c r="S128" s="82" t="str">
        <f t="shared" si="3"/>
        <v/>
      </c>
    </row>
    <row r="129" spans="18:19" x14ac:dyDescent="0.25">
      <c r="R129" s="8" t="str">
        <f t="shared" si="2"/>
        <v/>
      </c>
      <c r="S129" s="82" t="str">
        <f t="shared" si="3"/>
        <v/>
      </c>
    </row>
    <row r="130" spans="18:19" x14ac:dyDescent="0.25">
      <c r="R130" s="8" t="str">
        <f t="shared" si="2"/>
        <v/>
      </c>
      <c r="S130" s="82" t="str">
        <f t="shared" si="3"/>
        <v/>
      </c>
    </row>
    <row r="131" spans="18:19" x14ac:dyDescent="0.25">
      <c r="R131" s="8" t="str">
        <f t="shared" si="2"/>
        <v/>
      </c>
      <c r="S131" s="82" t="str">
        <f t="shared" si="3"/>
        <v/>
      </c>
    </row>
    <row r="132" spans="18:19" x14ac:dyDescent="0.25">
      <c r="R132" s="8" t="str">
        <f t="shared" si="2"/>
        <v/>
      </c>
      <c r="S132" s="82" t="str">
        <f t="shared" si="3"/>
        <v/>
      </c>
    </row>
    <row r="133" spans="18:19" x14ac:dyDescent="0.25">
      <c r="R133" s="8" t="str">
        <f t="shared" si="2"/>
        <v/>
      </c>
      <c r="S133" s="82" t="str">
        <f t="shared" si="3"/>
        <v/>
      </c>
    </row>
    <row r="134" spans="18:19" x14ac:dyDescent="0.25">
      <c r="R134" s="8" t="str">
        <f t="shared" si="2"/>
        <v/>
      </c>
      <c r="S134" s="82" t="str">
        <f t="shared" si="3"/>
        <v/>
      </c>
    </row>
    <row r="135" spans="18:19" x14ac:dyDescent="0.25">
      <c r="R135" s="8" t="str">
        <f t="shared" si="2"/>
        <v/>
      </c>
      <c r="S135" s="82" t="str">
        <f t="shared" si="3"/>
        <v/>
      </c>
    </row>
    <row r="136" spans="18:19" x14ac:dyDescent="0.25">
      <c r="R136" s="8" t="str">
        <f t="shared" si="2"/>
        <v/>
      </c>
      <c r="S136" s="82" t="str">
        <f t="shared" si="3"/>
        <v/>
      </c>
    </row>
    <row r="137" spans="18:19" x14ac:dyDescent="0.25">
      <c r="R137" s="8" t="str">
        <f t="shared" si="2"/>
        <v/>
      </c>
      <c r="S137" s="82" t="str">
        <f t="shared" si="3"/>
        <v/>
      </c>
    </row>
    <row r="138" spans="18:19" x14ac:dyDescent="0.25">
      <c r="R138" s="8" t="str">
        <f t="shared" si="2"/>
        <v/>
      </c>
      <c r="S138" s="82" t="str">
        <f t="shared" si="3"/>
        <v/>
      </c>
    </row>
    <row r="139" spans="18:19" x14ac:dyDescent="0.25">
      <c r="R139" s="8" t="str">
        <f t="shared" si="2"/>
        <v/>
      </c>
      <c r="S139" s="82" t="str">
        <f t="shared" si="3"/>
        <v/>
      </c>
    </row>
    <row r="140" spans="18:19" x14ac:dyDescent="0.25">
      <c r="R140" s="8" t="str">
        <f t="shared" si="2"/>
        <v/>
      </c>
      <c r="S140" s="82" t="str">
        <f t="shared" si="3"/>
        <v/>
      </c>
    </row>
    <row r="141" spans="18:19" x14ac:dyDescent="0.25">
      <c r="R141" s="8" t="str">
        <f t="shared" si="2"/>
        <v/>
      </c>
      <c r="S141" s="82" t="str">
        <f t="shared" si="3"/>
        <v/>
      </c>
    </row>
    <row r="142" spans="18:19" x14ac:dyDescent="0.25">
      <c r="R142" s="8" t="str">
        <f t="shared" si="2"/>
        <v/>
      </c>
      <c r="S142" s="82" t="str">
        <f t="shared" si="3"/>
        <v/>
      </c>
    </row>
    <row r="143" spans="18:19" x14ac:dyDescent="0.25">
      <c r="R143" s="8" t="str">
        <f t="shared" si="2"/>
        <v/>
      </c>
      <c r="S143" s="82" t="str">
        <f t="shared" si="3"/>
        <v/>
      </c>
    </row>
    <row r="144" spans="18:19" x14ac:dyDescent="0.25">
      <c r="R144" s="8" t="str">
        <f t="shared" si="2"/>
        <v/>
      </c>
      <c r="S144" s="82" t="str">
        <f t="shared" si="3"/>
        <v/>
      </c>
    </row>
    <row r="145" spans="18:19" x14ac:dyDescent="0.25">
      <c r="R145" s="8" t="str">
        <f t="shared" si="2"/>
        <v/>
      </c>
      <c r="S145" s="82" t="str">
        <f t="shared" si="3"/>
        <v/>
      </c>
    </row>
    <row r="146" spans="18:19" x14ac:dyDescent="0.25">
      <c r="R146" s="8" t="str">
        <f t="shared" si="2"/>
        <v/>
      </c>
      <c r="S146" s="82" t="str">
        <f t="shared" si="3"/>
        <v/>
      </c>
    </row>
    <row r="147" spans="18:19" x14ac:dyDescent="0.25">
      <c r="R147" s="8" t="str">
        <f t="shared" si="2"/>
        <v/>
      </c>
      <c r="S147" s="82" t="str">
        <f t="shared" si="3"/>
        <v/>
      </c>
    </row>
    <row r="148" spans="18:19" x14ac:dyDescent="0.25">
      <c r="R148" s="8" t="str">
        <f t="shared" si="2"/>
        <v/>
      </c>
      <c r="S148" s="82" t="str">
        <f t="shared" si="3"/>
        <v/>
      </c>
    </row>
    <row r="149" spans="18:19" x14ac:dyDescent="0.25">
      <c r="R149" s="8" t="str">
        <f t="shared" si="2"/>
        <v/>
      </c>
      <c r="S149" s="82" t="str">
        <f t="shared" si="3"/>
        <v/>
      </c>
    </row>
    <row r="150" spans="18:19" x14ac:dyDescent="0.25">
      <c r="R150" s="8" t="str">
        <f t="shared" ref="R150:R213" si="4">IF(A150="",(""),(MONTH(A150)))</f>
        <v/>
      </c>
      <c r="S150" s="82" t="str">
        <f t="shared" ref="S150:S213" si="5">IF(B150="",(""),IF(B150="3 - Nota de Crédito A",-Q150,IF(B150="8 - Nota de Crédito B",-Q150,(Q150))))</f>
        <v/>
      </c>
    </row>
    <row r="151" spans="18:19" x14ac:dyDescent="0.25">
      <c r="R151" s="8" t="str">
        <f t="shared" si="4"/>
        <v/>
      </c>
      <c r="S151" s="82" t="str">
        <f t="shared" si="5"/>
        <v/>
      </c>
    </row>
    <row r="152" spans="18:19" x14ac:dyDescent="0.25">
      <c r="R152" s="8" t="str">
        <f t="shared" si="4"/>
        <v/>
      </c>
      <c r="S152" s="82" t="str">
        <f t="shared" si="5"/>
        <v/>
      </c>
    </row>
    <row r="153" spans="18:19" x14ac:dyDescent="0.25">
      <c r="R153" s="8" t="str">
        <f t="shared" si="4"/>
        <v/>
      </c>
      <c r="S153" s="82" t="str">
        <f t="shared" si="5"/>
        <v/>
      </c>
    </row>
    <row r="154" spans="18:19" x14ac:dyDescent="0.25">
      <c r="R154" s="8" t="str">
        <f t="shared" si="4"/>
        <v/>
      </c>
      <c r="S154" s="82" t="str">
        <f t="shared" si="5"/>
        <v/>
      </c>
    </row>
    <row r="155" spans="18:19" x14ac:dyDescent="0.25">
      <c r="R155" s="8" t="str">
        <f t="shared" si="4"/>
        <v/>
      </c>
      <c r="S155" s="82" t="str">
        <f t="shared" si="5"/>
        <v/>
      </c>
    </row>
    <row r="156" spans="18:19" x14ac:dyDescent="0.25">
      <c r="R156" s="8" t="str">
        <f t="shared" si="4"/>
        <v/>
      </c>
      <c r="S156" s="82" t="str">
        <f t="shared" si="5"/>
        <v/>
      </c>
    </row>
    <row r="157" spans="18:19" x14ac:dyDescent="0.25">
      <c r="R157" s="8" t="str">
        <f t="shared" si="4"/>
        <v/>
      </c>
      <c r="S157" s="82" t="str">
        <f t="shared" si="5"/>
        <v/>
      </c>
    </row>
    <row r="158" spans="18:19" x14ac:dyDescent="0.25">
      <c r="R158" s="8" t="str">
        <f t="shared" si="4"/>
        <v/>
      </c>
      <c r="S158" s="82" t="str">
        <f t="shared" si="5"/>
        <v/>
      </c>
    </row>
    <row r="159" spans="18:19" x14ac:dyDescent="0.25">
      <c r="R159" s="8" t="str">
        <f t="shared" si="4"/>
        <v/>
      </c>
      <c r="S159" s="82" t="str">
        <f t="shared" si="5"/>
        <v/>
      </c>
    </row>
    <row r="160" spans="18:19" x14ac:dyDescent="0.25">
      <c r="R160" s="8" t="str">
        <f t="shared" si="4"/>
        <v/>
      </c>
      <c r="S160" s="82" t="str">
        <f t="shared" si="5"/>
        <v/>
      </c>
    </row>
    <row r="161" spans="18:19" x14ac:dyDescent="0.25">
      <c r="R161" s="8" t="str">
        <f t="shared" si="4"/>
        <v/>
      </c>
      <c r="S161" s="82" t="str">
        <f t="shared" si="5"/>
        <v/>
      </c>
    </row>
    <row r="162" spans="18:19" x14ac:dyDescent="0.25">
      <c r="R162" s="8" t="str">
        <f t="shared" si="4"/>
        <v/>
      </c>
      <c r="S162" s="82" t="str">
        <f t="shared" si="5"/>
        <v/>
      </c>
    </row>
    <row r="163" spans="18:19" x14ac:dyDescent="0.25">
      <c r="R163" s="8" t="str">
        <f t="shared" si="4"/>
        <v/>
      </c>
      <c r="S163" s="82" t="str">
        <f t="shared" si="5"/>
        <v/>
      </c>
    </row>
    <row r="164" spans="18:19" x14ac:dyDescent="0.25">
      <c r="R164" s="8" t="str">
        <f t="shared" si="4"/>
        <v/>
      </c>
      <c r="S164" s="82" t="str">
        <f t="shared" si="5"/>
        <v/>
      </c>
    </row>
    <row r="165" spans="18:19" x14ac:dyDescent="0.25">
      <c r="R165" s="8" t="str">
        <f t="shared" si="4"/>
        <v/>
      </c>
      <c r="S165" s="82" t="str">
        <f t="shared" si="5"/>
        <v/>
      </c>
    </row>
    <row r="166" spans="18:19" x14ac:dyDescent="0.25">
      <c r="R166" s="8" t="str">
        <f t="shared" si="4"/>
        <v/>
      </c>
      <c r="S166" s="82" t="str">
        <f t="shared" si="5"/>
        <v/>
      </c>
    </row>
    <row r="167" spans="18:19" x14ac:dyDescent="0.25">
      <c r="R167" s="8" t="str">
        <f t="shared" si="4"/>
        <v/>
      </c>
      <c r="S167" s="82" t="str">
        <f t="shared" si="5"/>
        <v/>
      </c>
    </row>
    <row r="168" spans="18:19" x14ac:dyDescent="0.25">
      <c r="R168" s="8" t="str">
        <f t="shared" si="4"/>
        <v/>
      </c>
      <c r="S168" s="82" t="str">
        <f t="shared" si="5"/>
        <v/>
      </c>
    </row>
    <row r="169" spans="18:19" x14ac:dyDescent="0.25">
      <c r="R169" s="8" t="str">
        <f t="shared" si="4"/>
        <v/>
      </c>
      <c r="S169" s="82" t="str">
        <f t="shared" si="5"/>
        <v/>
      </c>
    </row>
    <row r="170" spans="18:19" x14ac:dyDescent="0.25">
      <c r="R170" s="8" t="str">
        <f t="shared" si="4"/>
        <v/>
      </c>
      <c r="S170" s="82" t="str">
        <f t="shared" si="5"/>
        <v/>
      </c>
    </row>
    <row r="171" spans="18:19" x14ac:dyDescent="0.25">
      <c r="R171" s="8" t="str">
        <f t="shared" si="4"/>
        <v/>
      </c>
      <c r="S171" s="82" t="str">
        <f t="shared" si="5"/>
        <v/>
      </c>
    </row>
    <row r="172" spans="18:19" x14ac:dyDescent="0.25">
      <c r="R172" s="8" t="str">
        <f t="shared" si="4"/>
        <v/>
      </c>
      <c r="S172" s="82" t="str">
        <f t="shared" si="5"/>
        <v/>
      </c>
    </row>
    <row r="173" spans="18:19" x14ac:dyDescent="0.25">
      <c r="R173" s="8" t="str">
        <f t="shared" si="4"/>
        <v/>
      </c>
      <c r="S173" s="82" t="str">
        <f t="shared" si="5"/>
        <v/>
      </c>
    </row>
    <row r="174" spans="18:19" x14ac:dyDescent="0.25">
      <c r="R174" s="8" t="str">
        <f t="shared" si="4"/>
        <v/>
      </c>
      <c r="S174" s="82" t="str">
        <f t="shared" si="5"/>
        <v/>
      </c>
    </row>
    <row r="175" spans="18:19" x14ac:dyDescent="0.25">
      <c r="R175" s="8" t="str">
        <f t="shared" si="4"/>
        <v/>
      </c>
      <c r="S175" s="82" t="str">
        <f t="shared" si="5"/>
        <v/>
      </c>
    </row>
    <row r="176" spans="18:19" x14ac:dyDescent="0.25">
      <c r="R176" s="8" t="str">
        <f t="shared" si="4"/>
        <v/>
      </c>
      <c r="S176" s="82" t="str">
        <f t="shared" si="5"/>
        <v/>
      </c>
    </row>
    <row r="177" spans="18:19" x14ac:dyDescent="0.25">
      <c r="R177" s="8" t="str">
        <f t="shared" si="4"/>
        <v/>
      </c>
      <c r="S177" s="82" t="str">
        <f t="shared" si="5"/>
        <v/>
      </c>
    </row>
    <row r="178" spans="18:19" x14ac:dyDescent="0.25">
      <c r="R178" s="8" t="str">
        <f t="shared" si="4"/>
        <v/>
      </c>
      <c r="S178" s="82" t="str">
        <f t="shared" si="5"/>
        <v/>
      </c>
    </row>
    <row r="179" spans="18:19" x14ac:dyDescent="0.25">
      <c r="R179" s="8" t="str">
        <f t="shared" si="4"/>
        <v/>
      </c>
      <c r="S179" s="82" t="str">
        <f t="shared" si="5"/>
        <v/>
      </c>
    </row>
    <row r="180" spans="18:19" x14ac:dyDescent="0.25">
      <c r="R180" s="8" t="str">
        <f t="shared" si="4"/>
        <v/>
      </c>
      <c r="S180" s="82" t="str">
        <f t="shared" si="5"/>
        <v/>
      </c>
    </row>
    <row r="181" spans="18:19" x14ac:dyDescent="0.25">
      <c r="R181" s="8" t="str">
        <f t="shared" si="4"/>
        <v/>
      </c>
      <c r="S181" s="82" t="str">
        <f t="shared" si="5"/>
        <v/>
      </c>
    </row>
    <row r="182" spans="18:19" x14ac:dyDescent="0.25">
      <c r="R182" s="8" t="str">
        <f t="shared" si="4"/>
        <v/>
      </c>
      <c r="S182" s="82" t="str">
        <f t="shared" si="5"/>
        <v/>
      </c>
    </row>
    <row r="183" spans="18:19" x14ac:dyDescent="0.25">
      <c r="R183" s="8" t="str">
        <f t="shared" si="4"/>
        <v/>
      </c>
      <c r="S183" s="82" t="str">
        <f t="shared" si="5"/>
        <v/>
      </c>
    </row>
    <row r="184" spans="18:19" x14ac:dyDescent="0.25">
      <c r="R184" s="8" t="str">
        <f t="shared" si="4"/>
        <v/>
      </c>
      <c r="S184" s="82" t="str">
        <f t="shared" si="5"/>
        <v/>
      </c>
    </row>
    <row r="185" spans="18:19" x14ac:dyDescent="0.25">
      <c r="R185" s="8" t="str">
        <f t="shared" si="4"/>
        <v/>
      </c>
      <c r="S185" s="82" t="str">
        <f t="shared" si="5"/>
        <v/>
      </c>
    </row>
    <row r="186" spans="18:19" x14ac:dyDescent="0.25">
      <c r="R186" s="8" t="str">
        <f t="shared" si="4"/>
        <v/>
      </c>
      <c r="S186" s="82" t="str">
        <f t="shared" si="5"/>
        <v/>
      </c>
    </row>
    <row r="187" spans="18:19" x14ac:dyDescent="0.25">
      <c r="R187" s="8" t="str">
        <f t="shared" si="4"/>
        <v/>
      </c>
      <c r="S187" s="82" t="str">
        <f t="shared" si="5"/>
        <v/>
      </c>
    </row>
    <row r="188" spans="18:19" x14ac:dyDescent="0.25">
      <c r="R188" s="8" t="str">
        <f t="shared" si="4"/>
        <v/>
      </c>
      <c r="S188" s="82" t="str">
        <f t="shared" si="5"/>
        <v/>
      </c>
    </row>
    <row r="189" spans="18:19" x14ac:dyDescent="0.25">
      <c r="R189" s="8" t="str">
        <f t="shared" si="4"/>
        <v/>
      </c>
      <c r="S189" s="82" t="str">
        <f t="shared" si="5"/>
        <v/>
      </c>
    </row>
    <row r="190" spans="18:19" x14ac:dyDescent="0.25">
      <c r="R190" s="8" t="str">
        <f t="shared" si="4"/>
        <v/>
      </c>
      <c r="S190" s="82" t="str">
        <f t="shared" si="5"/>
        <v/>
      </c>
    </row>
    <row r="191" spans="18:19" x14ac:dyDescent="0.25">
      <c r="R191" s="8" t="str">
        <f t="shared" si="4"/>
        <v/>
      </c>
      <c r="S191" s="82" t="str">
        <f t="shared" si="5"/>
        <v/>
      </c>
    </row>
    <row r="192" spans="18:19" x14ac:dyDescent="0.25">
      <c r="R192" s="8" t="str">
        <f t="shared" si="4"/>
        <v/>
      </c>
      <c r="S192" s="82" t="str">
        <f t="shared" si="5"/>
        <v/>
      </c>
    </row>
    <row r="193" spans="18:19" x14ac:dyDescent="0.25">
      <c r="R193" s="8" t="str">
        <f t="shared" si="4"/>
        <v/>
      </c>
      <c r="S193" s="82" t="str">
        <f t="shared" si="5"/>
        <v/>
      </c>
    </row>
    <row r="194" spans="18:19" x14ac:dyDescent="0.25">
      <c r="R194" s="8" t="str">
        <f t="shared" si="4"/>
        <v/>
      </c>
      <c r="S194" s="82" t="str">
        <f t="shared" si="5"/>
        <v/>
      </c>
    </row>
    <row r="195" spans="18:19" x14ac:dyDescent="0.25">
      <c r="R195" s="8" t="str">
        <f t="shared" si="4"/>
        <v/>
      </c>
      <c r="S195" s="82" t="str">
        <f t="shared" si="5"/>
        <v/>
      </c>
    </row>
    <row r="196" spans="18:19" x14ac:dyDescent="0.25">
      <c r="R196" s="8" t="str">
        <f t="shared" si="4"/>
        <v/>
      </c>
      <c r="S196" s="82" t="str">
        <f t="shared" si="5"/>
        <v/>
      </c>
    </row>
    <row r="197" spans="18:19" x14ac:dyDescent="0.25">
      <c r="R197" s="8" t="str">
        <f t="shared" si="4"/>
        <v/>
      </c>
      <c r="S197" s="82" t="str">
        <f t="shared" si="5"/>
        <v/>
      </c>
    </row>
    <row r="198" spans="18:19" x14ac:dyDescent="0.25">
      <c r="R198" s="8" t="str">
        <f t="shared" si="4"/>
        <v/>
      </c>
      <c r="S198" s="82" t="str">
        <f t="shared" si="5"/>
        <v/>
      </c>
    </row>
    <row r="199" spans="18:19" x14ac:dyDescent="0.25">
      <c r="R199" s="8" t="str">
        <f t="shared" si="4"/>
        <v/>
      </c>
      <c r="S199" s="82" t="str">
        <f t="shared" si="5"/>
        <v/>
      </c>
    </row>
    <row r="200" spans="18:19" x14ac:dyDescent="0.25">
      <c r="R200" s="8" t="str">
        <f t="shared" si="4"/>
        <v/>
      </c>
      <c r="S200" s="82" t="str">
        <f t="shared" si="5"/>
        <v/>
      </c>
    </row>
    <row r="201" spans="18:19" x14ac:dyDescent="0.25">
      <c r="R201" s="8" t="str">
        <f t="shared" si="4"/>
        <v/>
      </c>
      <c r="S201" s="82" t="str">
        <f t="shared" si="5"/>
        <v/>
      </c>
    </row>
    <row r="202" spans="18:19" x14ac:dyDescent="0.25">
      <c r="R202" s="8" t="str">
        <f t="shared" si="4"/>
        <v/>
      </c>
      <c r="S202" s="82" t="str">
        <f t="shared" si="5"/>
        <v/>
      </c>
    </row>
    <row r="203" spans="18:19" x14ac:dyDescent="0.25">
      <c r="R203" s="8" t="str">
        <f t="shared" si="4"/>
        <v/>
      </c>
      <c r="S203" s="82" t="str">
        <f t="shared" si="5"/>
        <v/>
      </c>
    </row>
    <row r="204" spans="18:19" x14ac:dyDescent="0.25">
      <c r="R204" s="8" t="str">
        <f t="shared" si="4"/>
        <v/>
      </c>
      <c r="S204" s="82" t="str">
        <f t="shared" si="5"/>
        <v/>
      </c>
    </row>
    <row r="205" spans="18:19" x14ac:dyDescent="0.25">
      <c r="R205" s="8" t="str">
        <f t="shared" si="4"/>
        <v/>
      </c>
      <c r="S205" s="82" t="str">
        <f t="shared" si="5"/>
        <v/>
      </c>
    </row>
    <row r="206" spans="18:19" x14ac:dyDescent="0.25">
      <c r="R206" s="8" t="str">
        <f t="shared" si="4"/>
        <v/>
      </c>
      <c r="S206" s="82" t="str">
        <f t="shared" si="5"/>
        <v/>
      </c>
    </row>
    <row r="207" spans="18:19" x14ac:dyDescent="0.25">
      <c r="R207" s="8" t="str">
        <f t="shared" si="4"/>
        <v/>
      </c>
      <c r="S207" s="82" t="str">
        <f t="shared" si="5"/>
        <v/>
      </c>
    </row>
    <row r="208" spans="18:19" x14ac:dyDescent="0.25">
      <c r="R208" s="8" t="str">
        <f t="shared" si="4"/>
        <v/>
      </c>
      <c r="S208" s="82" t="str">
        <f t="shared" si="5"/>
        <v/>
      </c>
    </row>
    <row r="209" spans="18:19" x14ac:dyDescent="0.25">
      <c r="R209" s="8" t="str">
        <f t="shared" si="4"/>
        <v/>
      </c>
      <c r="S209" s="82" t="str">
        <f t="shared" si="5"/>
        <v/>
      </c>
    </row>
    <row r="210" spans="18:19" x14ac:dyDescent="0.25">
      <c r="R210" s="8" t="str">
        <f t="shared" si="4"/>
        <v/>
      </c>
      <c r="S210" s="82" t="str">
        <f t="shared" si="5"/>
        <v/>
      </c>
    </row>
    <row r="211" spans="18:19" x14ac:dyDescent="0.25">
      <c r="R211" s="8" t="str">
        <f t="shared" si="4"/>
        <v/>
      </c>
      <c r="S211" s="82" t="str">
        <f t="shared" si="5"/>
        <v/>
      </c>
    </row>
    <row r="212" spans="18:19" x14ac:dyDescent="0.25">
      <c r="R212" s="8" t="str">
        <f t="shared" si="4"/>
        <v/>
      </c>
      <c r="S212" s="82" t="str">
        <f t="shared" si="5"/>
        <v/>
      </c>
    </row>
    <row r="213" spans="18:19" x14ac:dyDescent="0.25">
      <c r="R213" s="8" t="str">
        <f t="shared" si="4"/>
        <v/>
      </c>
      <c r="S213" s="82" t="str">
        <f t="shared" si="5"/>
        <v/>
      </c>
    </row>
    <row r="214" spans="18:19" x14ac:dyDescent="0.25">
      <c r="R214" s="8" t="str">
        <f t="shared" ref="R214:R277" si="6">IF(A214="",(""),(MONTH(A214)))</f>
        <v/>
      </c>
      <c r="S214" s="82" t="str">
        <f t="shared" ref="S214:S277" si="7">IF(B214="",(""),IF(B214="3 - Nota de Crédito A",-Q214,IF(B214="8 - Nota de Crédito B",-Q214,(Q214))))</f>
        <v/>
      </c>
    </row>
    <row r="215" spans="18:19" x14ac:dyDescent="0.25">
      <c r="R215" s="8" t="str">
        <f t="shared" si="6"/>
        <v/>
      </c>
      <c r="S215" s="82" t="str">
        <f t="shared" si="7"/>
        <v/>
      </c>
    </row>
    <row r="216" spans="18:19" x14ac:dyDescent="0.25">
      <c r="R216" s="8" t="str">
        <f t="shared" si="6"/>
        <v/>
      </c>
      <c r="S216" s="82" t="str">
        <f t="shared" si="7"/>
        <v/>
      </c>
    </row>
    <row r="217" spans="18:19" x14ac:dyDescent="0.25">
      <c r="R217" s="8" t="str">
        <f t="shared" si="6"/>
        <v/>
      </c>
      <c r="S217" s="82" t="str">
        <f t="shared" si="7"/>
        <v/>
      </c>
    </row>
    <row r="218" spans="18:19" x14ac:dyDescent="0.25">
      <c r="R218" s="8" t="str">
        <f t="shared" si="6"/>
        <v/>
      </c>
      <c r="S218" s="82" t="str">
        <f t="shared" si="7"/>
        <v/>
      </c>
    </row>
    <row r="219" spans="18:19" x14ac:dyDescent="0.25">
      <c r="R219" s="8" t="str">
        <f t="shared" si="6"/>
        <v/>
      </c>
      <c r="S219" s="82" t="str">
        <f t="shared" si="7"/>
        <v/>
      </c>
    </row>
    <row r="220" spans="18:19" x14ac:dyDescent="0.25">
      <c r="R220" s="8" t="str">
        <f t="shared" si="6"/>
        <v/>
      </c>
      <c r="S220" s="82" t="str">
        <f t="shared" si="7"/>
        <v/>
      </c>
    </row>
    <row r="221" spans="18:19" x14ac:dyDescent="0.25">
      <c r="R221" s="8" t="str">
        <f t="shared" si="6"/>
        <v/>
      </c>
      <c r="S221" s="82" t="str">
        <f t="shared" si="7"/>
        <v/>
      </c>
    </row>
    <row r="222" spans="18:19" x14ac:dyDescent="0.25">
      <c r="R222" s="8" t="str">
        <f t="shared" si="6"/>
        <v/>
      </c>
      <c r="S222" s="82" t="str">
        <f t="shared" si="7"/>
        <v/>
      </c>
    </row>
    <row r="223" spans="18:19" x14ac:dyDescent="0.25">
      <c r="R223" s="8" t="str">
        <f t="shared" si="6"/>
        <v/>
      </c>
      <c r="S223" s="82" t="str">
        <f t="shared" si="7"/>
        <v/>
      </c>
    </row>
    <row r="224" spans="18:19" x14ac:dyDescent="0.25">
      <c r="R224" s="8" t="str">
        <f t="shared" si="6"/>
        <v/>
      </c>
      <c r="S224" s="82" t="str">
        <f t="shared" si="7"/>
        <v/>
      </c>
    </row>
    <row r="225" spans="18:19" x14ac:dyDescent="0.25">
      <c r="R225" s="8" t="str">
        <f t="shared" si="6"/>
        <v/>
      </c>
      <c r="S225" s="82" t="str">
        <f t="shared" si="7"/>
        <v/>
      </c>
    </row>
    <row r="226" spans="18:19" x14ac:dyDescent="0.25">
      <c r="R226" s="8" t="str">
        <f t="shared" si="6"/>
        <v/>
      </c>
      <c r="S226" s="82" t="str">
        <f t="shared" si="7"/>
        <v/>
      </c>
    </row>
    <row r="227" spans="18:19" x14ac:dyDescent="0.25">
      <c r="R227" s="8" t="str">
        <f t="shared" si="6"/>
        <v/>
      </c>
      <c r="S227" s="82" t="str">
        <f t="shared" si="7"/>
        <v/>
      </c>
    </row>
    <row r="228" spans="18:19" x14ac:dyDescent="0.25">
      <c r="R228" s="8" t="str">
        <f t="shared" si="6"/>
        <v/>
      </c>
      <c r="S228" s="82" t="str">
        <f t="shared" si="7"/>
        <v/>
      </c>
    </row>
    <row r="229" spans="18:19" x14ac:dyDescent="0.25">
      <c r="R229" s="8" t="str">
        <f t="shared" si="6"/>
        <v/>
      </c>
      <c r="S229" s="82" t="str">
        <f t="shared" si="7"/>
        <v/>
      </c>
    </row>
    <row r="230" spans="18:19" x14ac:dyDescent="0.25">
      <c r="R230" s="8" t="str">
        <f t="shared" si="6"/>
        <v/>
      </c>
      <c r="S230" s="82" t="str">
        <f t="shared" si="7"/>
        <v/>
      </c>
    </row>
    <row r="231" spans="18:19" x14ac:dyDescent="0.25">
      <c r="R231" s="8" t="str">
        <f t="shared" si="6"/>
        <v/>
      </c>
      <c r="S231" s="82" t="str">
        <f t="shared" si="7"/>
        <v/>
      </c>
    </row>
    <row r="232" spans="18:19" x14ac:dyDescent="0.25">
      <c r="R232" s="8" t="str">
        <f t="shared" si="6"/>
        <v/>
      </c>
      <c r="S232" s="82" t="str">
        <f t="shared" si="7"/>
        <v/>
      </c>
    </row>
    <row r="233" spans="18:19" x14ac:dyDescent="0.25">
      <c r="R233" s="8" t="str">
        <f t="shared" si="6"/>
        <v/>
      </c>
      <c r="S233" s="82" t="str">
        <f t="shared" si="7"/>
        <v/>
      </c>
    </row>
    <row r="234" spans="18:19" x14ac:dyDescent="0.25">
      <c r="R234" s="8" t="str">
        <f t="shared" si="6"/>
        <v/>
      </c>
      <c r="S234" s="82" t="str">
        <f t="shared" si="7"/>
        <v/>
      </c>
    </row>
    <row r="235" spans="18:19" x14ac:dyDescent="0.25">
      <c r="R235" s="8" t="str">
        <f t="shared" si="6"/>
        <v/>
      </c>
      <c r="S235" s="82" t="str">
        <f t="shared" si="7"/>
        <v/>
      </c>
    </row>
    <row r="236" spans="18:19" x14ac:dyDescent="0.25">
      <c r="R236" s="8" t="str">
        <f t="shared" si="6"/>
        <v/>
      </c>
      <c r="S236" s="82" t="str">
        <f t="shared" si="7"/>
        <v/>
      </c>
    </row>
    <row r="237" spans="18:19" x14ac:dyDescent="0.25">
      <c r="R237" s="8" t="str">
        <f t="shared" si="6"/>
        <v/>
      </c>
      <c r="S237" s="82" t="str">
        <f t="shared" si="7"/>
        <v/>
      </c>
    </row>
    <row r="238" spans="18:19" x14ac:dyDescent="0.25">
      <c r="R238" s="8" t="str">
        <f t="shared" si="6"/>
        <v/>
      </c>
      <c r="S238" s="82" t="str">
        <f t="shared" si="7"/>
        <v/>
      </c>
    </row>
    <row r="239" spans="18:19" x14ac:dyDescent="0.25">
      <c r="R239" s="8" t="str">
        <f t="shared" si="6"/>
        <v/>
      </c>
      <c r="S239" s="82" t="str">
        <f t="shared" si="7"/>
        <v/>
      </c>
    </row>
    <row r="240" spans="18:19" x14ac:dyDescent="0.25">
      <c r="R240" s="8" t="str">
        <f t="shared" si="6"/>
        <v/>
      </c>
      <c r="S240" s="82" t="str">
        <f t="shared" si="7"/>
        <v/>
      </c>
    </row>
    <row r="241" spans="18:19" x14ac:dyDescent="0.25">
      <c r="R241" s="8" t="str">
        <f t="shared" si="6"/>
        <v/>
      </c>
      <c r="S241" s="82" t="str">
        <f t="shared" si="7"/>
        <v/>
      </c>
    </row>
    <row r="242" spans="18:19" x14ac:dyDescent="0.25">
      <c r="R242" s="8" t="str">
        <f t="shared" si="6"/>
        <v/>
      </c>
      <c r="S242" s="82" t="str">
        <f t="shared" si="7"/>
        <v/>
      </c>
    </row>
    <row r="243" spans="18:19" x14ac:dyDescent="0.25">
      <c r="R243" s="8" t="str">
        <f t="shared" si="6"/>
        <v/>
      </c>
      <c r="S243" s="82" t="str">
        <f t="shared" si="7"/>
        <v/>
      </c>
    </row>
    <row r="244" spans="18:19" x14ac:dyDescent="0.25">
      <c r="R244" s="8" t="str">
        <f t="shared" si="6"/>
        <v/>
      </c>
      <c r="S244" s="82" t="str">
        <f t="shared" si="7"/>
        <v/>
      </c>
    </row>
    <row r="245" spans="18:19" x14ac:dyDescent="0.25">
      <c r="R245" s="8" t="str">
        <f t="shared" si="6"/>
        <v/>
      </c>
      <c r="S245" s="82" t="str">
        <f t="shared" si="7"/>
        <v/>
      </c>
    </row>
    <row r="246" spans="18:19" x14ac:dyDescent="0.25">
      <c r="R246" s="8" t="str">
        <f t="shared" si="6"/>
        <v/>
      </c>
      <c r="S246" s="82" t="str">
        <f t="shared" si="7"/>
        <v/>
      </c>
    </row>
    <row r="247" spans="18:19" x14ac:dyDescent="0.25">
      <c r="R247" s="8" t="str">
        <f t="shared" si="6"/>
        <v/>
      </c>
      <c r="S247" s="82" t="str">
        <f t="shared" si="7"/>
        <v/>
      </c>
    </row>
    <row r="248" spans="18:19" x14ac:dyDescent="0.25">
      <c r="R248" s="8" t="str">
        <f t="shared" si="6"/>
        <v/>
      </c>
      <c r="S248" s="82" t="str">
        <f t="shared" si="7"/>
        <v/>
      </c>
    </row>
    <row r="249" spans="18:19" x14ac:dyDescent="0.25">
      <c r="R249" s="8" t="str">
        <f t="shared" si="6"/>
        <v/>
      </c>
      <c r="S249" s="82" t="str">
        <f t="shared" si="7"/>
        <v/>
      </c>
    </row>
    <row r="250" spans="18:19" x14ac:dyDescent="0.25">
      <c r="R250" s="8" t="str">
        <f t="shared" si="6"/>
        <v/>
      </c>
      <c r="S250" s="82" t="str">
        <f t="shared" si="7"/>
        <v/>
      </c>
    </row>
    <row r="251" spans="18:19" x14ac:dyDescent="0.25">
      <c r="R251" s="8" t="str">
        <f t="shared" si="6"/>
        <v/>
      </c>
      <c r="S251" s="82" t="str">
        <f t="shared" si="7"/>
        <v/>
      </c>
    </row>
    <row r="252" spans="18:19" x14ac:dyDescent="0.25">
      <c r="R252" s="8" t="str">
        <f t="shared" si="6"/>
        <v/>
      </c>
      <c r="S252" s="82" t="str">
        <f t="shared" si="7"/>
        <v/>
      </c>
    </row>
    <row r="253" spans="18:19" x14ac:dyDescent="0.25">
      <c r="R253" s="8" t="str">
        <f t="shared" si="6"/>
        <v/>
      </c>
      <c r="S253" s="82" t="str">
        <f t="shared" si="7"/>
        <v/>
      </c>
    </row>
    <row r="254" spans="18:19" x14ac:dyDescent="0.25">
      <c r="R254" s="8" t="str">
        <f t="shared" si="6"/>
        <v/>
      </c>
      <c r="S254" s="82" t="str">
        <f t="shared" si="7"/>
        <v/>
      </c>
    </row>
    <row r="255" spans="18:19" x14ac:dyDescent="0.25">
      <c r="R255" s="8" t="str">
        <f t="shared" si="6"/>
        <v/>
      </c>
      <c r="S255" s="82" t="str">
        <f t="shared" si="7"/>
        <v/>
      </c>
    </row>
    <row r="256" spans="18:19" x14ac:dyDescent="0.25">
      <c r="R256" s="8" t="str">
        <f t="shared" si="6"/>
        <v/>
      </c>
      <c r="S256" s="82" t="str">
        <f t="shared" si="7"/>
        <v/>
      </c>
    </row>
    <row r="257" spans="18:19" x14ac:dyDescent="0.25">
      <c r="R257" s="8" t="str">
        <f t="shared" si="6"/>
        <v/>
      </c>
      <c r="S257" s="82" t="str">
        <f t="shared" si="7"/>
        <v/>
      </c>
    </row>
    <row r="258" spans="18:19" x14ac:dyDescent="0.25">
      <c r="R258" s="8" t="str">
        <f t="shared" si="6"/>
        <v/>
      </c>
      <c r="S258" s="82" t="str">
        <f t="shared" si="7"/>
        <v/>
      </c>
    </row>
    <row r="259" spans="18:19" x14ac:dyDescent="0.25">
      <c r="R259" s="8" t="str">
        <f t="shared" si="6"/>
        <v/>
      </c>
      <c r="S259" s="82" t="str">
        <f t="shared" si="7"/>
        <v/>
      </c>
    </row>
    <row r="260" spans="18:19" x14ac:dyDescent="0.25">
      <c r="R260" s="8" t="str">
        <f t="shared" si="6"/>
        <v/>
      </c>
      <c r="S260" s="82" t="str">
        <f t="shared" si="7"/>
        <v/>
      </c>
    </row>
    <row r="261" spans="18:19" x14ac:dyDescent="0.25">
      <c r="R261" s="8" t="str">
        <f t="shared" si="6"/>
        <v/>
      </c>
      <c r="S261" s="82" t="str">
        <f t="shared" si="7"/>
        <v/>
      </c>
    </row>
    <row r="262" spans="18:19" x14ac:dyDescent="0.25">
      <c r="R262" s="8" t="str">
        <f t="shared" si="6"/>
        <v/>
      </c>
      <c r="S262" s="82" t="str">
        <f t="shared" si="7"/>
        <v/>
      </c>
    </row>
    <row r="263" spans="18:19" x14ac:dyDescent="0.25">
      <c r="R263" s="8" t="str">
        <f t="shared" si="6"/>
        <v/>
      </c>
      <c r="S263" s="82" t="str">
        <f t="shared" si="7"/>
        <v/>
      </c>
    </row>
    <row r="264" spans="18:19" x14ac:dyDescent="0.25">
      <c r="R264" s="8" t="str">
        <f t="shared" si="6"/>
        <v/>
      </c>
      <c r="S264" s="82" t="str">
        <f t="shared" si="7"/>
        <v/>
      </c>
    </row>
    <row r="265" spans="18:19" x14ac:dyDescent="0.25">
      <c r="R265" s="8" t="str">
        <f t="shared" si="6"/>
        <v/>
      </c>
      <c r="S265" s="82" t="str">
        <f t="shared" si="7"/>
        <v/>
      </c>
    </row>
    <row r="266" spans="18:19" x14ac:dyDescent="0.25">
      <c r="R266" s="8" t="str">
        <f t="shared" si="6"/>
        <v/>
      </c>
      <c r="S266" s="82" t="str">
        <f t="shared" si="7"/>
        <v/>
      </c>
    </row>
    <row r="267" spans="18:19" x14ac:dyDescent="0.25">
      <c r="R267" s="8" t="str">
        <f t="shared" si="6"/>
        <v/>
      </c>
      <c r="S267" s="82" t="str">
        <f t="shared" si="7"/>
        <v/>
      </c>
    </row>
    <row r="268" spans="18:19" x14ac:dyDescent="0.25">
      <c r="R268" s="8" t="str">
        <f t="shared" si="6"/>
        <v/>
      </c>
      <c r="S268" s="82" t="str">
        <f t="shared" si="7"/>
        <v/>
      </c>
    </row>
    <row r="269" spans="18:19" x14ac:dyDescent="0.25">
      <c r="R269" s="8" t="str">
        <f t="shared" si="6"/>
        <v/>
      </c>
      <c r="S269" s="82" t="str">
        <f t="shared" si="7"/>
        <v/>
      </c>
    </row>
    <row r="270" spans="18:19" x14ac:dyDescent="0.25">
      <c r="R270" s="8" t="str">
        <f t="shared" si="6"/>
        <v/>
      </c>
      <c r="S270" s="82" t="str">
        <f t="shared" si="7"/>
        <v/>
      </c>
    </row>
    <row r="271" spans="18:19" x14ac:dyDescent="0.25">
      <c r="R271" s="8" t="str">
        <f t="shared" si="6"/>
        <v/>
      </c>
      <c r="S271" s="82" t="str">
        <f t="shared" si="7"/>
        <v/>
      </c>
    </row>
    <row r="272" spans="18:19" x14ac:dyDescent="0.25">
      <c r="R272" s="8" t="str">
        <f t="shared" si="6"/>
        <v/>
      </c>
      <c r="S272" s="82" t="str">
        <f t="shared" si="7"/>
        <v/>
      </c>
    </row>
    <row r="273" spans="18:19" x14ac:dyDescent="0.25">
      <c r="R273" s="8" t="str">
        <f t="shared" si="6"/>
        <v/>
      </c>
      <c r="S273" s="82" t="str">
        <f t="shared" si="7"/>
        <v/>
      </c>
    </row>
    <row r="274" spans="18:19" x14ac:dyDescent="0.25">
      <c r="R274" s="8" t="str">
        <f t="shared" si="6"/>
        <v/>
      </c>
      <c r="S274" s="82" t="str">
        <f t="shared" si="7"/>
        <v/>
      </c>
    </row>
    <row r="275" spans="18:19" x14ac:dyDescent="0.25">
      <c r="R275" s="8" t="str">
        <f t="shared" si="6"/>
        <v/>
      </c>
      <c r="S275" s="82" t="str">
        <f t="shared" si="7"/>
        <v/>
      </c>
    </row>
    <row r="276" spans="18:19" x14ac:dyDescent="0.25">
      <c r="R276" s="8" t="str">
        <f t="shared" si="6"/>
        <v/>
      </c>
      <c r="S276" s="82" t="str">
        <f t="shared" si="7"/>
        <v/>
      </c>
    </row>
    <row r="277" spans="18:19" x14ac:dyDescent="0.25">
      <c r="R277" s="8" t="str">
        <f t="shared" si="6"/>
        <v/>
      </c>
      <c r="S277" s="82" t="str">
        <f t="shared" si="7"/>
        <v/>
      </c>
    </row>
    <row r="278" spans="18:19" x14ac:dyDescent="0.25">
      <c r="R278" s="8" t="str">
        <f t="shared" ref="R278:R341" si="8">IF(A278="",(""),(MONTH(A278)))</f>
        <v/>
      </c>
      <c r="S278" s="82" t="str">
        <f t="shared" ref="S278:S341" si="9">IF(B278="",(""),IF(B278="3 - Nota de Crédito A",-Q278,IF(B278="8 - Nota de Crédito B",-Q278,(Q278))))</f>
        <v/>
      </c>
    </row>
    <row r="279" spans="18:19" x14ac:dyDescent="0.25">
      <c r="R279" s="8" t="str">
        <f t="shared" si="8"/>
        <v/>
      </c>
      <c r="S279" s="82" t="str">
        <f t="shared" si="9"/>
        <v/>
      </c>
    </row>
    <row r="280" spans="18:19" x14ac:dyDescent="0.25">
      <c r="R280" s="8" t="str">
        <f t="shared" si="8"/>
        <v/>
      </c>
      <c r="S280" s="82" t="str">
        <f t="shared" si="9"/>
        <v/>
      </c>
    </row>
    <row r="281" spans="18:19" x14ac:dyDescent="0.25">
      <c r="R281" s="8" t="str">
        <f t="shared" si="8"/>
        <v/>
      </c>
      <c r="S281" s="82" t="str">
        <f t="shared" si="9"/>
        <v/>
      </c>
    </row>
    <row r="282" spans="18:19" x14ac:dyDescent="0.25">
      <c r="R282" s="8" t="str">
        <f t="shared" si="8"/>
        <v/>
      </c>
      <c r="S282" s="82" t="str">
        <f t="shared" si="9"/>
        <v/>
      </c>
    </row>
    <row r="283" spans="18:19" x14ac:dyDescent="0.25">
      <c r="R283" s="8" t="str">
        <f t="shared" si="8"/>
        <v/>
      </c>
      <c r="S283" s="82" t="str">
        <f t="shared" si="9"/>
        <v/>
      </c>
    </row>
    <row r="284" spans="18:19" x14ac:dyDescent="0.25">
      <c r="R284" s="8" t="str">
        <f t="shared" si="8"/>
        <v/>
      </c>
      <c r="S284" s="82" t="str">
        <f t="shared" si="9"/>
        <v/>
      </c>
    </row>
    <row r="285" spans="18:19" x14ac:dyDescent="0.25">
      <c r="R285" s="8" t="str">
        <f t="shared" si="8"/>
        <v/>
      </c>
      <c r="S285" s="82" t="str">
        <f t="shared" si="9"/>
        <v/>
      </c>
    </row>
    <row r="286" spans="18:19" x14ac:dyDescent="0.25">
      <c r="R286" s="8" t="str">
        <f t="shared" si="8"/>
        <v/>
      </c>
      <c r="S286" s="82" t="str">
        <f t="shared" si="9"/>
        <v/>
      </c>
    </row>
    <row r="287" spans="18:19" x14ac:dyDescent="0.25">
      <c r="R287" s="8" t="str">
        <f t="shared" si="8"/>
        <v/>
      </c>
      <c r="S287" s="82" t="str">
        <f t="shared" si="9"/>
        <v/>
      </c>
    </row>
    <row r="288" spans="18:19" x14ac:dyDescent="0.25">
      <c r="R288" s="8" t="str">
        <f t="shared" si="8"/>
        <v/>
      </c>
      <c r="S288" s="82" t="str">
        <f t="shared" si="9"/>
        <v/>
      </c>
    </row>
    <row r="289" spans="18:19" x14ac:dyDescent="0.25">
      <c r="R289" s="8" t="str">
        <f t="shared" si="8"/>
        <v/>
      </c>
      <c r="S289" s="82" t="str">
        <f t="shared" si="9"/>
        <v/>
      </c>
    </row>
    <row r="290" spans="18:19" x14ac:dyDescent="0.25">
      <c r="R290" s="8" t="str">
        <f t="shared" si="8"/>
        <v/>
      </c>
      <c r="S290" s="82" t="str">
        <f t="shared" si="9"/>
        <v/>
      </c>
    </row>
    <row r="291" spans="18:19" x14ac:dyDescent="0.25">
      <c r="R291" s="8" t="str">
        <f t="shared" si="8"/>
        <v/>
      </c>
      <c r="S291" s="82" t="str">
        <f t="shared" si="9"/>
        <v/>
      </c>
    </row>
    <row r="292" spans="18:19" x14ac:dyDescent="0.25">
      <c r="R292" s="8" t="str">
        <f t="shared" si="8"/>
        <v/>
      </c>
      <c r="S292" s="82" t="str">
        <f t="shared" si="9"/>
        <v/>
      </c>
    </row>
    <row r="293" spans="18:19" x14ac:dyDescent="0.25">
      <c r="R293" s="8" t="str">
        <f t="shared" si="8"/>
        <v/>
      </c>
      <c r="S293" s="82" t="str">
        <f t="shared" si="9"/>
        <v/>
      </c>
    </row>
    <row r="294" spans="18:19" x14ac:dyDescent="0.25">
      <c r="R294" s="8" t="str">
        <f t="shared" si="8"/>
        <v/>
      </c>
      <c r="S294" s="82" t="str">
        <f t="shared" si="9"/>
        <v/>
      </c>
    </row>
    <row r="295" spans="18:19" x14ac:dyDescent="0.25">
      <c r="R295" s="8" t="str">
        <f t="shared" si="8"/>
        <v/>
      </c>
      <c r="S295" s="82" t="str">
        <f t="shared" si="9"/>
        <v/>
      </c>
    </row>
    <row r="296" spans="18:19" x14ac:dyDescent="0.25">
      <c r="R296" s="8" t="str">
        <f t="shared" si="8"/>
        <v/>
      </c>
      <c r="S296" s="82" t="str">
        <f t="shared" si="9"/>
        <v/>
      </c>
    </row>
    <row r="297" spans="18:19" x14ac:dyDescent="0.25">
      <c r="R297" s="8" t="str">
        <f t="shared" si="8"/>
        <v/>
      </c>
      <c r="S297" s="82" t="str">
        <f t="shared" si="9"/>
        <v/>
      </c>
    </row>
    <row r="298" spans="18:19" x14ac:dyDescent="0.25">
      <c r="R298" s="8" t="str">
        <f t="shared" si="8"/>
        <v/>
      </c>
      <c r="S298" s="82" t="str">
        <f t="shared" si="9"/>
        <v/>
      </c>
    </row>
    <row r="299" spans="18:19" x14ac:dyDescent="0.25">
      <c r="R299" s="8" t="str">
        <f t="shared" si="8"/>
        <v/>
      </c>
      <c r="S299" s="82" t="str">
        <f t="shared" si="9"/>
        <v/>
      </c>
    </row>
    <row r="300" spans="18:19" x14ac:dyDescent="0.25">
      <c r="R300" s="8" t="str">
        <f t="shared" si="8"/>
        <v/>
      </c>
      <c r="S300" s="82" t="str">
        <f t="shared" si="9"/>
        <v/>
      </c>
    </row>
    <row r="301" spans="18:19" x14ac:dyDescent="0.25">
      <c r="R301" s="8" t="str">
        <f t="shared" si="8"/>
        <v/>
      </c>
      <c r="S301" s="82" t="str">
        <f t="shared" si="9"/>
        <v/>
      </c>
    </row>
    <row r="302" spans="18:19" x14ac:dyDescent="0.25">
      <c r="R302" s="8" t="str">
        <f t="shared" si="8"/>
        <v/>
      </c>
      <c r="S302" s="82" t="str">
        <f t="shared" si="9"/>
        <v/>
      </c>
    </row>
    <row r="303" spans="18:19" x14ac:dyDescent="0.25">
      <c r="R303" s="8" t="str">
        <f t="shared" si="8"/>
        <v/>
      </c>
      <c r="S303" s="82" t="str">
        <f t="shared" si="9"/>
        <v/>
      </c>
    </row>
    <row r="304" spans="18:19" x14ac:dyDescent="0.25">
      <c r="R304" s="8" t="str">
        <f t="shared" si="8"/>
        <v/>
      </c>
      <c r="S304" s="82" t="str">
        <f t="shared" si="9"/>
        <v/>
      </c>
    </row>
    <row r="305" spans="18:19" x14ac:dyDescent="0.25">
      <c r="R305" s="8" t="str">
        <f t="shared" si="8"/>
        <v/>
      </c>
      <c r="S305" s="82" t="str">
        <f t="shared" si="9"/>
        <v/>
      </c>
    </row>
    <row r="306" spans="18:19" x14ac:dyDescent="0.25">
      <c r="R306" s="8" t="str">
        <f t="shared" si="8"/>
        <v/>
      </c>
      <c r="S306" s="82" t="str">
        <f t="shared" si="9"/>
        <v/>
      </c>
    </row>
    <row r="307" spans="18:19" x14ac:dyDescent="0.25">
      <c r="R307" s="8" t="str">
        <f t="shared" si="8"/>
        <v/>
      </c>
      <c r="S307" s="82" t="str">
        <f t="shared" si="9"/>
        <v/>
      </c>
    </row>
    <row r="308" spans="18:19" x14ac:dyDescent="0.25">
      <c r="R308" s="8" t="str">
        <f t="shared" si="8"/>
        <v/>
      </c>
      <c r="S308" s="82" t="str">
        <f t="shared" si="9"/>
        <v/>
      </c>
    </row>
    <row r="309" spans="18:19" x14ac:dyDescent="0.25">
      <c r="R309" s="8" t="str">
        <f t="shared" si="8"/>
        <v/>
      </c>
      <c r="S309" s="82" t="str">
        <f t="shared" si="9"/>
        <v/>
      </c>
    </row>
    <row r="310" spans="18:19" x14ac:dyDescent="0.25">
      <c r="R310" s="8" t="str">
        <f t="shared" si="8"/>
        <v/>
      </c>
      <c r="S310" s="82" t="str">
        <f t="shared" si="9"/>
        <v/>
      </c>
    </row>
    <row r="311" spans="18:19" x14ac:dyDescent="0.25">
      <c r="R311" s="8" t="str">
        <f t="shared" si="8"/>
        <v/>
      </c>
      <c r="S311" s="82" t="str">
        <f t="shared" si="9"/>
        <v/>
      </c>
    </row>
    <row r="312" spans="18:19" x14ac:dyDescent="0.25">
      <c r="R312" s="8" t="str">
        <f t="shared" si="8"/>
        <v/>
      </c>
      <c r="S312" s="82" t="str">
        <f t="shared" si="9"/>
        <v/>
      </c>
    </row>
    <row r="313" spans="18:19" x14ac:dyDescent="0.25">
      <c r="R313" s="8" t="str">
        <f t="shared" si="8"/>
        <v/>
      </c>
      <c r="S313" s="82" t="str">
        <f t="shared" si="9"/>
        <v/>
      </c>
    </row>
    <row r="314" spans="18:19" x14ac:dyDescent="0.25">
      <c r="R314" s="8" t="str">
        <f t="shared" si="8"/>
        <v/>
      </c>
      <c r="S314" s="82" t="str">
        <f t="shared" si="9"/>
        <v/>
      </c>
    </row>
    <row r="315" spans="18:19" x14ac:dyDescent="0.25">
      <c r="R315" s="8" t="str">
        <f t="shared" si="8"/>
        <v/>
      </c>
      <c r="S315" s="82" t="str">
        <f t="shared" si="9"/>
        <v/>
      </c>
    </row>
    <row r="316" spans="18:19" x14ac:dyDescent="0.25">
      <c r="R316" s="8" t="str">
        <f t="shared" si="8"/>
        <v/>
      </c>
      <c r="S316" s="82" t="str">
        <f t="shared" si="9"/>
        <v/>
      </c>
    </row>
    <row r="317" spans="18:19" x14ac:dyDescent="0.25">
      <c r="R317" s="8" t="str">
        <f t="shared" si="8"/>
        <v/>
      </c>
      <c r="S317" s="82" t="str">
        <f t="shared" si="9"/>
        <v/>
      </c>
    </row>
    <row r="318" spans="18:19" x14ac:dyDescent="0.25">
      <c r="R318" s="8" t="str">
        <f t="shared" si="8"/>
        <v/>
      </c>
      <c r="S318" s="82" t="str">
        <f t="shared" si="9"/>
        <v/>
      </c>
    </row>
    <row r="319" spans="18:19" x14ac:dyDescent="0.25">
      <c r="R319" s="8" t="str">
        <f t="shared" si="8"/>
        <v/>
      </c>
      <c r="S319" s="82" t="str">
        <f t="shared" si="9"/>
        <v/>
      </c>
    </row>
    <row r="320" spans="18:19" x14ac:dyDescent="0.25">
      <c r="R320" s="8" t="str">
        <f t="shared" si="8"/>
        <v/>
      </c>
      <c r="S320" s="82" t="str">
        <f t="shared" si="9"/>
        <v/>
      </c>
    </row>
    <row r="321" spans="18:19" x14ac:dyDescent="0.25">
      <c r="R321" s="8" t="str">
        <f t="shared" si="8"/>
        <v/>
      </c>
      <c r="S321" s="82" t="str">
        <f t="shared" si="9"/>
        <v/>
      </c>
    </row>
    <row r="322" spans="18:19" x14ac:dyDescent="0.25">
      <c r="R322" s="8" t="str">
        <f t="shared" si="8"/>
        <v/>
      </c>
      <c r="S322" s="82" t="str">
        <f t="shared" si="9"/>
        <v/>
      </c>
    </row>
    <row r="323" spans="18:19" x14ac:dyDescent="0.25">
      <c r="R323" s="8" t="str">
        <f t="shared" si="8"/>
        <v/>
      </c>
      <c r="S323" s="82" t="str">
        <f t="shared" si="9"/>
        <v/>
      </c>
    </row>
    <row r="324" spans="18:19" x14ac:dyDescent="0.25">
      <c r="R324" s="8" t="str">
        <f t="shared" si="8"/>
        <v/>
      </c>
      <c r="S324" s="82" t="str">
        <f t="shared" si="9"/>
        <v/>
      </c>
    </row>
    <row r="325" spans="18:19" x14ac:dyDescent="0.25">
      <c r="R325" s="8" t="str">
        <f t="shared" si="8"/>
        <v/>
      </c>
      <c r="S325" s="82" t="str">
        <f t="shared" si="9"/>
        <v/>
      </c>
    </row>
    <row r="326" spans="18:19" x14ac:dyDescent="0.25">
      <c r="R326" s="8" t="str">
        <f t="shared" si="8"/>
        <v/>
      </c>
      <c r="S326" s="82" t="str">
        <f t="shared" si="9"/>
        <v/>
      </c>
    </row>
    <row r="327" spans="18:19" x14ac:dyDescent="0.25">
      <c r="R327" s="8" t="str">
        <f t="shared" si="8"/>
        <v/>
      </c>
      <c r="S327" s="82" t="str">
        <f t="shared" si="9"/>
        <v/>
      </c>
    </row>
    <row r="328" spans="18:19" x14ac:dyDescent="0.25">
      <c r="R328" s="8" t="str">
        <f t="shared" si="8"/>
        <v/>
      </c>
      <c r="S328" s="82" t="str">
        <f t="shared" si="9"/>
        <v/>
      </c>
    </row>
    <row r="329" spans="18:19" x14ac:dyDescent="0.25">
      <c r="R329" s="8" t="str">
        <f t="shared" si="8"/>
        <v/>
      </c>
      <c r="S329" s="82" t="str">
        <f t="shared" si="9"/>
        <v/>
      </c>
    </row>
    <row r="330" spans="18:19" x14ac:dyDescent="0.25">
      <c r="R330" s="8" t="str">
        <f t="shared" si="8"/>
        <v/>
      </c>
      <c r="S330" s="82" t="str">
        <f t="shared" si="9"/>
        <v/>
      </c>
    </row>
    <row r="331" spans="18:19" x14ac:dyDescent="0.25">
      <c r="R331" s="8" t="str">
        <f t="shared" si="8"/>
        <v/>
      </c>
      <c r="S331" s="82" t="str">
        <f t="shared" si="9"/>
        <v/>
      </c>
    </row>
    <row r="332" spans="18:19" x14ac:dyDescent="0.25">
      <c r="R332" s="8" t="str">
        <f t="shared" si="8"/>
        <v/>
      </c>
      <c r="S332" s="82" t="str">
        <f t="shared" si="9"/>
        <v/>
      </c>
    </row>
    <row r="333" spans="18:19" x14ac:dyDescent="0.25">
      <c r="R333" s="8" t="str">
        <f t="shared" si="8"/>
        <v/>
      </c>
      <c r="S333" s="82" t="str">
        <f t="shared" si="9"/>
        <v/>
      </c>
    </row>
    <row r="334" spans="18:19" x14ac:dyDescent="0.25">
      <c r="R334" s="8" t="str">
        <f t="shared" si="8"/>
        <v/>
      </c>
      <c r="S334" s="82" t="str">
        <f t="shared" si="9"/>
        <v/>
      </c>
    </row>
    <row r="335" spans="18:19" x14ac:dyDescent="0.25">
      <c r="R335" s="8" t="str">
        <f t="shared" si="8"/>
        <v/>
      </c>
      <c r="S335" s="82" t="str">
        <f t="shared" si="9"/>
        <v/>
      </c>
    </row>
    <row r="336" spans="18:19" x14ac:dyDescent="0.25">
      <c r="R336" s="8" t="str">
        <f t="shared" si="8"/>
        <v/>
      </c>
      <c r="S336" s="82" t="str">
        <f t="shared" si="9"/>
        <v/>
      </c>
    </row>
    <row r="337" spans="18:19" x14ac:dyDescent="0.25">
      <c r="R337" s="8" t="str">
        <f t="shared" si="8"/>
        <v/>
      </c>
      <c r="S337" s="82" t="str">
        <f t="shared" si="9"/>
        <v/>
      </c>
    </row>
    <row r="338" spans="18:19" x14ac:dyDescent="0.25">
      <c r="R338" s="8" t="str">
        <f t="shared" si="8"/>
        <v/>
      </c>
      <c r="S338" s="82" t="str">
        <f t="shared" si="9"/>
        <v/>
      </c>
    </row>
    <row r="339" spans="18:19" x14ac:dyDescent="0.25">
      <c r="R339" s="8" t="str">
        <f t="shared" si="8"/>
        <v/>
      </c>
      <c r="S339" s="82" t="str">
        <f t="shared" si="9"/>
        <v/>
      </c>
    </row>
    <row r="340" spans="18:19" x14ac:dyDescent="0.25">
      <c r="R340" s="8" t="str">
        <f t="shared" si="8"/>
        <v/>
      </c>
      <c r="S340" s="82" t="str">
        <f t="shared" si="9"/>
        <v/>
      </c>
    </row>
    <row r="341" spans="18:19" x14ac:dyDescent="0.25">
      <c r="R341" s="8" t="str">
        <f t="shared" si="8"/>
        <v/>
      </c>
      <c r="S341" s="82" t="str">
        <f t="shared" si="9"/>
        <v/>
      </c>
    </row>
    <row r="342" spans="18:19" x14ac:dyDescent="0.25">
      <c r="R342" s="8" t="str">
        <f t="shared" ref="R342:R405" si="10">IF(A342="",(""),(MONTH(A342)))</f>
        <v/>
      </c>
      <c r="S342" s="82" t="str">
        <f t="shared" ref="S342:S405" si="11">IF(B342="",(""),IF(B342="3 - Nota de Crédito A",-Q342,IF(B342="8 - Nota de Crédito B",-Q342,(Q342))))</f>
        <v/>
      </c>
    </row>
    <row r="343" spans="18:19" x14ac:dyDescent="0.25">
      <c r="R343" s="8" t="str">
        <f t="shared" si="10"/>
        <v/>
      </c>
      <c r="S343" s="82" t="str">
        <f t="shared" si="11"/>
        <v/>
      </c>
    </row>
    <row r="344" spans="18:19" x14ac:dyDescent="0.25">
      <c r="R344" s="8" t="str">
        <f t="shared" si="10"/>
        <v/>
      </c>
      <c r="S344" s="82" t="str">
        <f t="shared" si="11"/>
        <v/>
      </c>
    </row>
    <row r="345" spans="18:19" x14ac:dyDescent="0.25">
      <c r="R345" s="8" t="str">
        <f t="shared" si="10"/>
        <v/>
      </c>
      <c r="S345" s="82" t="str">
        <f t="shared" si="11"/>
        <v/>
      </c>
    </row>
    <row r="346" spans="18:19" x14ac:dyDescent="0.25">
      <c r="R346" s="8" t="str">
        <f t="shared" si="10"/>
        <v/>
      </c>
      <c r="S346" s="82" t="str">
        <f t="shared" si="11"/>
        <v/>
      </c>
    </row>
    <row r="347" spans="18:19" x14ac:dyDescent="0.25">
      <c r="R347" s="8" t="str">
        <f t="shared" si="10"/>
        <v/>
      </c>
      <c r="S347" s="82" t="str">
        <f t="shared" si="11"/>
        <v/>
      </c>
    </row>
    <row r="348" spans="18:19" x14ac:dyDescent="0.25">
      <c r="R348" s="8" t="str">
        <f t="shared" si="10"/>
        <v/>
      </c>
      <c r="S348" s="82" t="str">
        <f t="shared" si="11"/>
        <v/>
      </c>
    </row>
    <row r="349" spans="18:19" x14ac:dyDescent="0.25">
      <c r="R349" s="8" t="str">
        <f t="shared" si="10"/>
        <v/>
      </c>
      <c r="S349" s="82" t="str">
        <f t="shared" si="11"/>
        <v/>
      </c>
    </row>
    <row r="350" spans="18:19" x14ac:dyDescent="0.25">
      <c r="R350" s="8" t="str">
        <f t="shared" si="10"/>
        <v/>
      </c>
      <c r="S350" s="82" t="str">
        <f t="shared" si="11"/>
        <v/>
      </c>
    </row>
    <row r="351" spans="18:19" x14ac:dyDescent="0.25">
      <c r="R351" s="8" t="str">
        <f t="shared" si="10"/>
        <v/>
      </c>
      <c r="S351" s="82" t="str">
        <f t="shared" si="11"/>
        <v/>
      </c>
    </row>
    <row r="352" spans="18:19" x14ac:dyDescent="0.25">
      <c r="R352" s="8" t="str">
        <f t="shared" si="10"/>
        <v/>
      </c>
      <c r="S352" s="82" t="str">
        <f t="shared" si="11"/>
        <v/>
      </c>
    </row>
    <row r="353" spans="18:19" x14ac:dyDescent="0.25">
      <c r="R353" s="8" t="str">
        <f t="shared" si="10"/>
        <v/>
      </c>
      <c r="S353" s="82" t="str">
        <f t="shared" si="11"/>
        <v/>
      </c>
    </row>
    <row r="354" spans="18:19" x14ac:dyDescent="0.25">
      <c r="R354" s="8" t="str">
        <f t="shared" si="10"/>
        <v/>
      </c>
      <c r="S354" s="82" t="str">
        <f t="shared" si="11"/>
        <v/>
      </c>
    </row>
    <row r="355" spans="18:19" x14ac:dyDescent="0.25">
      <c r="R355" s="8" t="str">
        <f t="shared" si="10"/>
        <v/>
      </c>
      <c r="S355" s="82" t="str">
        <f t="shared" si="11"/>
        <v/>
      </c>
    </row>
    <row r="356" spans="18:19" x14ac:dyDescent="0.25">
      <c r="R356" s="8" t="str">
        <f t="shared" si="10"/>
        <v/>
      </c>
      <c r="S356" s="82" t="str">
        <f t="shared" si="11"/>
        <v/>
      </c>
    </row>
    <row r="357" spans="18:19" x14ac:dyDescent="0.25">
      <c r="R357" s="8" t="str">
        <f t="shared" si="10"/>
        <v/>
      </c>
      <c r="S357" s="82" t="str">
        <f t="shared" si="11"/>
        <v/>
      </c>
    </row>
    <row r="358" spans="18:19" x14ac:dyDescent="0.25">
      <c r="R358" s="8" t="str">
        <f t="shared" si="10"/>
        <v/>
      </c>
      <c r="S358" s="82" t="str">
        <f t="shared" si="11"/>
        <v/>
      </c>
    </row>
    <row r="359" spans="18:19" x14ac:dyDescent="0.25">
      <c r="R359" s="8" t="str">
        <f t="shared" si="10"/>
        <v/>
      </c>
      <c r="S359" s="82" t="str">
        <f t="shared" si="11"/>
        <v/>
      </c>
    </row>
    <row r="360" spans="18:19" x14ac:dyDescent="0.25">
      <c r="R360" s="8" t="str">
        <f t="shared" si="10"/>
        <v/>
      </c>
      <c r="S360" s="82" t="str">
        <f t="shared" si="11"/>
        <v/>
      </c>
    </row>
    <row r="361" spans="18:19" x14ac:dyDescent="0.25">
      <c r="R361" s="8" t="str">
        <f t="shared" si="10"/>
        <v/>
      </c>
      <c r="S361" s="82" t="str">
        <f t="shared" si="11"/>
        <v/>
      </c>
    </row>
    <row r="362" spans="18:19" x14ac:dyDescent="0.25">
      <c r="R362" s="8" t="str">
        <f t="shared" si="10"/>
        <v/>
      </c>
      <c r="S362" s="82" t="str">
        <f t="shared" si="11"/>
        <v/>
      </c>
    </row>
    <row r="363" spans="18:19" x14ac:dyDescent="0.25">
      <c r="R363" s="8" t="str">
        <f t="shared" si="10"/>
        <v/>
      </c>
      <c r="S363" s="82" t="str">
        <f t="shared" si="11"/>
        <v/>
      </c>
    </row>
    <row r="364" spans="18:19" x14ac:dyDescent="0.25">
      <c r="R364" s="8" t="str">
        <f t="shared" si="10"/>
        <v/>
      </c>
      <c r="S364" s="82" t="str">
        <f t="shared" si="11"/>
        <v/>
      </c>
    </row>
    <row r="365" spans="18:19" x14ac:dyDescent="0.25">
      <c r="R365" s="8" t="str">
        <f t="shared" si="10"/>
        <v/>
      </c>
      <c r="S365" s="82" t="str">
        <f t="shared" si="11"/>
        <v/>
      </c>
    </row>
    <row r="366" spans="18:19" x14ac:dyDescent="0.25">
      <c r="R366" s="8" t="str">
        <f t="shared" si="10"/>
        <v/>
      </c>
      <c r="S366" s="82" t="str">
        <f t="shared" si="11"/>
        <v/>
      </c>
    </row>
    <row r="367" spans="18:19" x14ac:dyDescent="0.25">
      <c r="R367" s="8" t="str">
        <f t="shared" si="10"/>
        <v/>
      </c>
      <c r="S367" s="82" t="str">
        <f t="shared" si="11"/>
        <v/>
      </c>
    </row>
    <row r="368" spans="18:19" x14ac:dyDescent="0.25">
      <c r="R368" s="8" t="str">
        <f t="shared" si="10"/>
        <v/>
      </c>
      <c r="S368" s="82" t="str">
        <f t="shared" si="11"/>
        <v/>
      </c>
    </row>
    <row r="369" spans="18:19" x14ac:dyDescent="0.25">
      <c r="R369" s="8" t="str">
        <f t="shared" si="10"/>
        <v/>
      </c>
      <c r="S369" s="82" t="str">
        <f t="shared" si="11"/>
        <v/>
      </c>
    </row>
    <row r="370" spans="18:19" x14ac:dyDescent="0.25">
      <c r="R370" s="8" t="str">
        <f t="shared" si="10"/>
        <v/>
      </c>
      <c r="S370" s="82" t="str">
        <f t="shared" si="11"/>
        <v/>
      </c>
    </row>
    <row r="371" spans="18:19" x14ac:dyDescent="0.25">
      <c r="R371" s="8" t="str">
        <f t="shared" si="10"/>
        <v/>
      </c>
      <c r="S371" s="82" t="str">
        <f t="shared" si="11"/>
        <v/>
      </c>
    </row>
    <row r="372" spans="18:19" x14ac:dyDescent="0.25">
      <c r="R372" s="8" t="str">
        <f t="shared" si="10"/>
        <v/>
      </c>
      <c r="S372" s="82" t="str">
        <f t="shared" si="11"/>
        <v/>
      </c>
    </row>
    <row r="373" spans="18:19" x14ac:dyDescent="0.25">
      <c r="R373" s="8" t="str">
        <f t="shared" si="10"/>
        <v/>
      </c>
      <c r="S373" s="82" t="str">
        <f t="shared" si="11"/>
        <v/>
      </c>
    </row>
    <row r="374" spans="18:19" x14ac:dyDescent="0.25">
      <c r="R374" s="8" t="str">
        <f t="shared" si="10"/>
        <v/>
      </c>
      <c r="S374" s="82" t="str">
        <f t="shared" si="11"/>
        <v/>
      </c>
    </row>
    <row r="375" spans="18:19" x14ac:dyDescent="0.25">
      <c r="R375" s="8" t="str">
        <f t="shared" si="10"/>
        <v/>
      </c>
      <c r="S375" s="82" t="str">
        <f t="shared" si="11"/>
        <v/>
      </c>
    </row>
    <row r="376" spans="18:19" x14ac:dyDescent="0.25">
      <c r="R376" s="8" t="str">
        <f t="shared" si="10"/>
        <v/>
      </c>
      <c r="S376" s="82" t="str">
        <f t="shared" si="11"/>
        <v/>
      </c>
    </row>
    <row r="377" spans="18:19" x14ac:dyDescent="0.25">
      <c r="R377" s="8" t="str">
        <f t="shared" si="10"/>
        <v/>
      </c>
      <c r="S377" s="82" t="str">
        <f t="shared" si="11"/>
        <v/>
      </c>
    </row>
    <row r="378" spans="18:19" x14ac:dyDescent="0.25">
      <c r="R378" s="8" t="str">
        <f t="shared" si="10"/>
        <v/>
      </c>
      <c r="S378" s="82" t="str">
        <f t="shared" si="11"/>
        <v/>
      </c>
    </row>
    <row r="379" spans="18:19" x14ac:dyDescent="0.25">
      <c r="R379" s="8" t="str">
        <f t="shared" si="10"/>
        <v/>
      </c>
      <c r="S379" s="82" t="str">
        <f t="shared" si="11"/>
        <v/>
      </c>
    </row>
    <row r="380" spans="18:19" x14ac:dyDescent="0.25">
      <c r="R380" s="8" t="str">
        <f t="shared" si="10"/>
        <v/>
      </c>
      <c r="S380" s="82" t="str">
        <f t="shared" si="11"/>
        <v/>
      </c>
    </row>
    <row r="381" spans="18:19" x14ac:dyDescent="0.25">
      <c r="R381" s="8" t="str">
        <f t="shared" si="10"/>
        <v/>
      </c>
      <c r="S381" s="82" t="str">
        <f t="shared" si="11"/>
        <v/>
      </c>
    </row>
    <row r="382" spans="18:19" x14ac:dyDescent="0.25">
      <c r="R382" s="8" t="str">
        <f t="shared" si="10"/>
        <v/>
      </c>
      <c r="S382" s="82" t="str">
        <f t="shared" si="11"/>
        <v/>
      </c>
    </row>
    <row r="383" spans="18:19" x14ac:dyDescent="0.25">
      <c r="R383" s="8" t="str">
        <f t="shared" si="10"/>
        <v/>
      </c>
      <c r="S383" s="82" t="str">
        <f t="shared" si="11"/>
        <v/>
      </c>
    </row>
    <row r="384" spans="18:19" x14ac:dyDescent="0.25">
      <c r="R384" s="8" t="str">
        <f t="shared" si="10"/>
        <v/>
      </c>
      <c r="S384" s="82" t="str">
        <f t="shared" si="11"/>
        <v/>
      </c>
    </row>
    <row r="385" spans="18:19" x14ac:dyDescent="0.25">
      <c r="R385" s="8" t="str">
        <f t="shared" si="10"/>
        <v/>
      </c>
      <c r="S385" s="82" t="str">
        <f t="shared" si="11"/>
        <v/>
      </c>
    </row>
    <row r="386" spans="18:19" x14ac:dyDescent="0.25">
      <c r="R386" s="8" t="str">
        <f t="shared" si="10"/>
        <v/>
      </c>
      <c r="S386" s="82" t="str">
        <f t="shared" si="11"/>
        <v/>
      </c>
    </row>
    <row r="387" spans="18:19" x14ac:dyDescent="0.25">
      <c r="R387" s="8" t="str">
        <f t="shared" si="10"/>
        <v/>
      </c>
      <c r="S387" s="82" t="str">
        <f t="shared" si="11"/>
        <v/>
      </c>
    </row>
    <row r="388" spans="18:19" x14ac:dyDescent="0.25">
      <c r="R388" s="8" t="str">
        <f t="shared" si="10"/>
        <v/>
      </c>
      <c r="S388" s="82" t="str">
        <f t="shared" si="11"/>
        <v/>
      </c>
    </row>
    <row r="389" spans="18:19" x14ac:dyDescent="0.25">
      <c r="R389" s="8" t="str">
        <f t="shared" si="10"/>
        <v/>
      </c>
      <c r="S389" s="82" t="str">
        <f t="shared" si="11"/>
        <v/>
      </c>
    </row>
    <row r="390" spans="18:19" x14ac:dyDescent="0.25">
      <c r="R390" s="8" t="str">
        <f t="shared" si="10"/>
        <v/>
      </c>
      <c r="S390" s="82" t="str">
        <f t="shared" si="11"/>
        <v/>
      </c>
    </row>
    <row r="391" spans="18:19" x14ac:dyDescent="0.25">
      <c r="R391" s="8" t="str">
        <f t="shared" si="10"/>
        <v/>
      </c>
      <c r="S391" s="82" t="str">
        <f t="shared" si="11"/>
        <v/>
      </c>
    </row>
    <row r="392" spans="18:19" x14ac:dyDescent="0.25">
      <c r="R392" s="8" t="str">
        <f t="shared" si="10"/>
        <v/>
      </c>
      <c r="S392" s="82" t="str">
        <f t="shared" si="11"/>
        <v/>
      </c>
    </row>
    <row r="393" spans="18:19" x14ac:dyDescent="0.25">
      <c r="R393" s="8" t="str">
        <f t="shared" si="10"/>
        <v/>
      </c>
      <c r="S393" s="82" t="str">
        <f t="shared" si="11"/>
        <v/>
      </c>
    </row>
    <row r="394" spans="18:19" x14ac:dyDescent="0.25">
      <c r="R394" s="8" t="str">
        <f t="shared" si="10"/>
        <v/>
      </c>
      <c r="S394" s="82" t="str">
        <f t="shared" si="11"/>
        <v/>
      </c>
    </row>
    <row r="395" spans="18:19" x14ac:dyDescent="0.25">
      <c r="R395" s="8" t="str">
        <f t="shared" si="10"/>
        <v/>
      </c>
      <c r="S395" s="82" t="str">
        <f t="shared" si="11"/>
        <v/>
      </c>
    </row>
    <row r="396" spans="18:19" x14ac:dyDescent="0.25">
      <c r="R396" s="8" t="str">
        <f t="shared" si="10"/>
        <v/>
      </c>
      <c r="S396" s="82" t="str">
        <f t="shared" si="11"/>
        <v/>
      </c>
    </row>
    <row r="397" spans="18:19" x14ac:dyDescent="0.25">
      <c r="R397" s="8" t="str">
        <f t="shared" si="10"/>
        <v/>
      </c>
      <c r="S397" s="82" t="str">
        <f t="shared" si="11"/>
        <v/>
      </c>
    </row>
    <row r="398" spans="18:19" x14ac:dyDescent="0.25">
      <c r="R398" s="8" t="str">
        <f t="shared" si="10"/>
        <v/>
      </c>
      <c r="S398" s="82" t="str">
        <f t="shared" si="11"/>
        <v/>
      </c>
    </row>
    <row r="399" spans="18:19" x14ac:dyDescent="0.25">
      <c r="R399" s="8" t="str">
        <f t="shared" si="10"/>
        <v/>
      </c>
      <c r="S399" s="82" t="str">
        <f t="shared" si="11"/>
        <v/>
      </c>
    </row>
    <row r="400" spans="18:19" x14ac:dyDescent="0.25">
      <c r="R400" s="8" t="str">
        <f t="shared" si="10"/>
        <v/>
      </c>
      <c r="S400" s="82" t="str">
        <f t="shared" si="11"/>
        <v/>
      </c>
    </row>
    <row r="401" spans="18:19" x14ac:dyDescent="0.25">
      <c r="R401" s="8" t="str">
        <f t="shared" si="10"/>
        <v/>
      </c>
      <c r="S401" s="82" t="str">
        <f t="shared" si="11"/>
        <v/>
      </c>
    </row>
    <row r="402" spans="18:19" x14ac:dyDescent="0.25">
      <c r="R402" s="8" t="str">
        <f t="shared" si="10"/>
        <v/>
      </c>
      <c r="S402" s="82" t="str">
        <f t="shared" si="11"/>
        <v/>
      </c>
    </row>
    <row r="403" spans="18:19" x14ac:dyDescent="0.25">
      <c r="R403" s="8" t="str">
        <f t="shared" si="10"/>
        <v/>
      </c>
      <c r="S403" s="82" t="str">
        <f t="shared" si="11"/>
        <v/>
      </c>
    </row>
    <row r="404" spans="18:19" x14ac:dyDescent="0.25">
      <c r="R404" s="8" t="str">
        <f t="shared" si="10"/>
        <v/>
      </c>
      <c r="S404" s="82" t="str">
        <f t="shared" si="11"/>
        <v/>
      </c>
    </row>
    <row r="405" spans="18:19" x14ac:dyDescent="0.25">
      <c r="R405" s="8" t="str">
        <f t="shared" si="10"/>
        <v/>
      </c>
      <c r="S405" s="82" t="str">
        <f t="shared" si="11"/>
        <v/>
      </c>
    </row>
    <row r="406" spans="18:19" x14ac:dyDescent="0.25">
      <c r="R406" s="8" t="str">
        <f t="shared" ref="R406:R469" si="12">IF(A406="",(""),(MONTH(A406)))</f>
        <v/>
      </c>
      <c r="S406" s="82" t="str">
        <f t="shared" ref="S406:S469" si="13">IF(B406="",(""),IF(B406="3 - Nota de Crédito A",-Q406,IF(B406="8 - Nota de Crédito B",-Q406,(Q406))))</f>
        <v/>
      </c>
    </row>
    <row r="407" spans="18:19" x14ac:dyDescent="0.25">
      <c r="R407" s="8" t="str">
        <f t="shared" si="12"/>
        <v/>
      </c>
      <c r="S407" s="82" t="str">
        <f t="shared" si="13"/>
        <v/>
      </c>
    </row>
    <row r="408" spans="18:19" x14ac:dyDescent="0.25">
      <c r="R408" s="8" t="str">
        <f t="shared" si="12"/>
        <v/>
      </c>
      <c r="S408" s="82" t="str">
        <f t="shared" si="13"/>
        <v/>
      </c>
    </row>
    <row r="409" spans="18:19" x14ac:dyDescent="0.25">
      <c r="R409" s="8" t="str">
        <f t="shared" si="12"/>
        <v/>
      </c>
      <c r="S409" s="82" t="str">
        <f t="shared" si="13"/>
        <v/>
      </c>
    </row>
    <row r="410" spans="18:19" x14ac:dyDescent="0.25">
      <c r="R410" s="8" t="str">
        <f t="shared" si="12"/>
        <v/>
      </c>
      <c r="S410" s="82" t="str">
        <f t="shared" si="13"/>
        <v/>
      </c>
    </row>
    <row r="411" spans="18:19" x14ac:dyDescent="0.25">
      <c r="R411" s="8" t="str">
        <f t="shared" si="12"/>
        <v/>
      </c>
      <c r="S411" s="82" t="str">
        <f t="shared" si="13"/>
        <v/>
      </c>
    </row>
    <row r="412" spans="18:19" x14ac:dyDescent="0.25">
      <c r="R412" s="8" t="str">
        <f t="shared" si="12"/>
        <v/>
      </c>
      <c r="S412" s="82" t="str">
        <f t="shared" si="13"/>
        <v/>
      </c>
    </row>
    <row r="413" spans="18:19" x14ac:dyDescent="0.25">
      <c r="R413" s="8" t="str">
        <f t="shared" si="12"/>
        <v/>
      </c>
      <c r="S413" s="82" t="str">
        <f t="shared" si="13"/>
        <v/>
      </c>
    </row>
    <row r="414" spans="18:19" x14ac:dyDescent="0.25">
      <c r="R414" s="8" t="str">
        <f t="shared" si="12"/>
        <v/>
      </c>
      <c r="S414" s="82" t="str">
        <f t="shared" si="13"/>
        <v/>
      </c>
    </row>
    <row r="415" spans="18:19" x14ac:dyDescent="0.25">
      <c r="R415" s="8" t="str">
        <f t="shared" si="12"/>
        <v/>
      </c>
      <c r="S415" s="82" t="str">
        <f t="shared" si="13"/>
        <v/>
      </c>
    </row>
    <row r="416" spans="18:19" x14ac:dyDescent="0.25">
      <c r="R416" s="8" t="str">
        <f t="shared" si="12"/>
        <v/>
      </c>
      <c r="S416" s="82" t="str">
        <f t="shared" si="13"/>
        <v/>
      </c>
    </row>
    <row r="417" spans="18:19" x14ac:dyDescent="0.25">
      <c r="R417" s="8" t="str">
        <f t="shared" si="12"/>
        <v/>
      </c>
      <c r="S417" s="82" t="str">
        <f t="shared" si="13"/>
        <v/>
      </c>
    </row>
    <row r="418" spans="18:19" x14ac:dyDescent="0.25">
      <c r="R418" s="8" t="str">
        <f t="shared" si="12"/>
        <v/>
      </c>
      <c r="S418" s="82" t="str">
        <f t="shared" si="13"/>
        <v/>
      </c>
    </row>
    <row r="419" spans="18:19" x14ac:dyDescent="0.25">
      <c r="R419" s="8" t="str">
        <f t="shared" si="12"/>
        <v/>
      </c>
      <c r="S419" s="82" t="str">
        <f t="shared" si="13"/>
        <v/>
      </c>
    </row>
    <row r="420" spans="18:19" x14ac:dyDescent="0.25">
      <c r="R420" s="8" t="str">
        <f t="shared" si="12"/>
        <v/>
      </c>
      <c r="S420" s="82" t="str">
        <f t="shared" si="13"/>
        <v/>
      </c>
    </row>
    <row r="421" spans="18:19" x14ac:dyDescent="0.25">
      <c r="R421" s="8" t="str">
        <f t="shared" si="12"/>
        <v/>
      </c>
      <c r="S421" s="82" t="str">
        <f t="shared" si="13"/>
        <v/>
      </c>
    </row>
    <row r="422" spans="18:19" x14ac:dyDescent="0.25">
      <c r="R422" s="8" t="str">
        <f t="shared" si="12"/>
        <v/>
      </c>
      <c r="S422" s="82" t="str">
        <f t="shared" si="13"/>
        <v/>
      </c>
    </row>
    <row r="423" spans="18:19" x14ac:dyDescent="0.25">
      <c r="R423" s="8" t="str">
        <f t="shared" si="12"/>
        <v/>
      </c>
      <c r="S423" s="82" t="str">
        <f t="shared" si="13"/>
        <v/>
      </c>
    </row>
    <row r="424" spans="18:19" x14ac:dyDescent="0.25">
      <c r="R424" s="8" t="str">
        <f t="shared" si="12"/>
        <v/>
      </c>
      <c r="S424" s="82" t="str">
        <f t="shared" si="13"/>
        <v/>
      </c>
    </row>
    <row r="425" spans="18:19" x14ac:dyDescent="0.25">
      <c r="R425" s="8" t="str">
        <f t="shared" si="12"/>
        <v/>
      </c>
      <c r="S425" s="82" t="str">
        <f t="shared" si="13"/>
        <v/>
      </c>
    </row>
    <row r="426" spans="18:19" x14ac:dyDescent="0.25">
      <c r="R426" s="8" t="str">
        <f t="shared" si="12"/>
        <v/>
      </c>
      <c r="S426" s="82" t="str">
        <f t="shared" si="13"/>
        <v/>
      </c>
    </row>
    <row r="427" spans="18:19" x14ac:dyDescent="0.25">
      <c r="R427" s="8" t="str">
        <f t="shared" si="12"/>
        <v/>
      </c>
      <c r="S427" s="82" t="str">
        <f t="shared" si="13"/>
        <v/>
      </c>
    </row>
    <row r="428" spans="18:19" x14ac:dyDescent="0.25">
      <c r="R428" s="8" t="str">
        <f t="shared" si="12"/>
        <v/>
      </c>
      <c r="S428" s="82" t="str">
        <f t="shared" si="13"/>
        <v/>
      </c>
    </row>
    <row r="429" spans="18:19" x14ac:dyDescent="0.25">
      <c r="R429" s="8" t="str">
        <f t="shared" si="12"/>
        <v/>
      </c>
      <c r="S429" s="82" t="str">
        <f t="shared" si="13"/>
        <v/>
      </c>
    </row>
    <row r="430" spans="18:19" x14ac:dyDescent="0.25">
      <c r="R430" s="8" t="str">
        <f t="shared" si="12"/>
        <v/>
      </c>
      <c r="S430" s="82" t="str">
        <f t="shared" si="13"/>
        <v/>
      </c>
    </row>
    <row r="431" spans="18:19" x14ac:dyDescent="0.25">
      <c r="R431" s="8" t="str">
        <f t="shared" si="12"/>
        <v/>
      </c>
      <c r="S431" s="82" t="str">
        <f t="shared" si="13"/>
        <v/>
      </c>
    </row>
    <row r="432" spans="18:19" x14ac:dyDescent="0.25">
      <c r="R432" s="8" t="str">
        <f t="shared" si="12"/>
        <v/>
      </c>
      <c r="S432" s="82" t="str">
        <f t="shared" si="13"/>
        <v/>
      </c>
    </row>
    <row r="433" spans="18:19" x14ac:dyDescent="0.25">
      <c r="R433" s="8" t="str">
        <f t="shared" si="12"/>
        <v/>
      </c>
      <c r="S433" s="82" t="str">
        <f t="shared" si="13"/>
        <v/>
      </c>
    </row>
    <row r="434" spans="18:19" x14ac:dyDescent="0.25">
      <c r="R434" s="8" t="str">
        <f t="shared" si="12"/>
        <v/>
      </c>
      <c r="S434" s="82" t="str">
        <f t="shared" si="13"/>
        <v/>
      </c>
    </row>
    <row r="435" spans="18:19" x14ac:dyDescent="0.25">
      <c r="R435" s="8" t="str">
        <f t="shared" si="12"/>
        <v/>
      </c>
      <c r="S435" s="82" t="str">
        <f t="shared" si="13"/>
        <v/>
      </c>
    </row>
    <row r="436" spans="18:19" x14ac:dyDescent="0.25">
      <c r="R436" s="8" t="str">
        <f t="shared" si="12"/>
        <v/>
      </c>
      <c r="S436" s="82" t="str">
        <f t="shared" si="13"/>
        <v/>
      </c>
    </row>
    <row r="437" spans="18:19" x14ac:dyDescent="0.25">
      <c r="R437" s="8" t="str">
        <f t="shared" si="12"/>
        <v/>
      </c>
      <c r="S437" s="82" t="str">
        <f t="shared" si="13"/>
        <v/>
      </c>
    </row>
    <row r="438" spans="18:19" x14ac:dyDescent="0.25">
      <c r="R438" s="8" t="str">
        <f t="shared" si="12"/>
        <v/>
      </c>
      <c r="S438" s="82" t="str">
        <f t="shared" si="13"/>
        <v/>
      </c>
    </row>
    <row r="439" spans="18:19" x14ac:dyDescent="0.25">
      <c r="R439" s="8" t="str">
        <f t="shared" si="12"/>
        <v/>
      </c>
      <c r="S439" s="82" t="str">
        <f t="shared" si="13"/>
        <v/>
      </c>
    </row>
    <row r="440" spans="18:19" x14ac:dyDescent="0.25">
      <c r="R440" s="8" t="str">
        <f t="shared" si="12"/>
        <v/>
      </c>
      <c r="S440" s="82" t="str">
        <f t="shared" si="13"/>
        <v/>
      </c>
    </row>
    <row r="441" spans="18:19" x14ac:dyDescent="0.25">
      <c r="R441" s="8" t="str">
        <f t="shared" si="12"/>
        <v/>
      </c>
      <c r="S441" s="82" t="str">
        <f t="shared" si="13"/>
        <v/>
      </c>
    </row>
    <row r="442" spans="18:19" x14ac:dyDescent="0.25">
      <c r="R442" s="8" t="str">
        <f t="shared" si="12"/>
        <v/>
      </c>
      <c r="S442" s="82" t="str">
        <f t="shared" si="13"/>
        <v/>
      </c>
    </row>
    <row r="443" spans="18:19" x14ac:dyDescent="0.25">
      <c r="R443" s="8" t="str">
        <f t="shared" si="12"/>
        <v/>
      </c>
      <c r="S443" s="82" t="str">
        <f t="shared" si="13"/>
        <v/>
      </c>
    </row>
    <row r="444" spans="18:19" x14ac:dyDescent="0.25">
      <c r="R444" s="8" t="str">
        <f t="shared" si="12"/>
        <v/>
      </c>
      <c r="S444" s="82" t="str">
        <f t="shared" si="13"/>
        <v/>
      </c>
    </row>
    <row r="445" spans="18:19" x14ac:dyDescent="0.25">
      <c r="R445" s="8" t="str">
        <f t="shared" si="12"/>
        <v/>
      </c>
      <c r="S445" s="82" t="str">
        <f t="shared" si="13"/>
        <v/>
      </c>
    </row>
    <row r="446" spans="18:19" x14ac:dyDescent="0.25">
      <c r="R446" s="8" t="str">
        <f t="shared" si="12"/>
        <v/>
      </c>
      <c r="S446" s="82" t="str">
        <f t="shared" si="13"/>
        <v/>
      </c>
    </row>
    <row r="447" spans="18:19" x14ac:dyDescent="0.25">
      <c r="R447" s="8" t="str">
        <f t="shared" si="12"/>
        <v/>
      </c>
      <c r="S447" s="82" t="str">
        <f t="shared" si="13"/>
        <v/>
      </c>
    </row>
    <row r="448" spans="18:19" x14ac:dyDescent="0.25">
      <c r="R448" s="8" t="str">
        <f t="shared" si="12"/>
        <v/>
      </c>
      <c r="S448" s="82" t="str">
        <f t="shared" si="13"/>
        <v/>
      </c>
    </row>
    <row r="449" spans="18:19" x14ac:dyDescent="0.25">
      <c r="R449" s="8" t="str">
        <f t="shared" si="12"/>
        <v/>
      </c>
      <c r="S449" s="82" t="str">
        <f t="shared" si="13"/>
        <v/>
      </c>
    </row>
    <row r="450" spans="18:19" x14ac:dyDescent="0.25">
      <c r="R450" s="8" t="str">
        <f t="shared" si="12"/>
        <v/>
      </c>
      <c r="S450" s="82" t="str">
        <f t="shared" si="13"/>
        <v/>
      </c>
    </row>
    <row r="451" spans="18:19" x14ac:dyDescent="0.25">
      <c r="R451" s="8" t="str">
        <f t="shared" si="12"/>
        <v/>
      </c>
      <c r="S451" s="82" t="str">
        <f t="shared" si="13"/>
        <v/>
      </c>
    </row>
    <row r="452" spans="18:19" x14ac:dyDescent="0.25">
      <c r="R452" s="8" t="str">
        <f t="shared" si="12"/>
        <v/>
      </c>
      <c r="S452" s="82" t="str">
        <f t="shared" si="13"/>
        <v/>
      </c>
    </row>
    <row r="453" spans="18:19" x14ac:dyDescent="0.25">
      <c r="R453" s="8" t="str">
        <f t="shared" si="12"/>
        <v/>
      </c>
      <c r="S453" s="82" t="str">
        <f t="shared" si="13"/>
        <v/>
      </c>
    </row>
    <row r="454" spans="18:19" x14ac:dyDescent="0.25">
      <c r="R454" s="8" t="str">
        <f t="shared" si="12"/>
        <v/>
      </c>
      <c r="S454" s="82" t="str">
        <f t="shared" si="13"/>
        <v/>
      </c>
    </row>
    <row r="455" spans="18:19" x14ac:dyDescent="0.25">
      <c r="R455" s="8" t="str">
        <f t="shared" si="12"/>
        <v/>
      </c>
      <c r="S455" s="82" t="str">
        <f t="shared" si="13"/>
        <v/>
      </c>
    </row>
    <row r="456" spans="18:19" x14ac:dyDescent="0.25">
      <c r="R456" s="8" t="str">
        <f t="shared" si="12"/>
        <v/>
      </c>
      <c r="S456" s="82" t="str">
        <f t="shared" si="13"/>
        <v/>
      </c>
    </row>
    <row r="457" spans="18:19" x14ac:dyDescent="0.25">
      <c r="R457" s="8" t="str">
        <f t="shared" si="12"/>
        <v/>
      </c>
      <c r="S457" s="82" t="str">
        <f t="shared" si="13"/>
        <v/>
      </c>
    </row>
    <row r="458" spans="18:19" x14ac:dyDescent="0.25">
      <c r="R458" s="8" t="str">
        <f t="shared" si="12"/>
        <v/>
      </c>
      <c r="S458" s="82" t="str">
        <f t="shared" si="13"/>
        <v/>
      </c>
    </row>
    <row r="459" spans="18:19" x14ac:dyDescent="0.25">
      <c r="R459" s="8" t="str">
        <f t="shared" si="12"/>
        <v/>
      </c>
      <c r="S459" s="82" t="str">
        <f t="shared" si="13"/>
        <v/>
      </c>
    </row>
    <row r="460" spans="18:19" x14ac:dyDescent="0.25">
      <c r="R460" s="8" t="str">
        <f t="shared" si="12"/>
        <v/>
      </c>
      <c r="S460" s="82" t="str">
        <f t="shared" si="13"/>
        <v/>
      </c>
    </row>
    <row r="461" spans="18:19" x14ac:dyDescent="0.25">
      <c r="R461" s="8" t="str">
        <f t="shared" si="12"/>
        <v/>
      </c>
      <c r="S461" s="82" t="str">
        <f t="shared" si="13"/>
        <v/>
      </c>
    </row>
    <row r="462" spans="18:19" x14ac:dyDescent="0.25">
      <c r="R462" s="8" t="str">
        <f t="shared" si="12"/>
        <v/>
      </c>
      <c r="S462" s="82" t="str">
        <f t="shared" si="13"/>
        <v/>
      </c>
    </row>
    <row r="463" spans="18:19" x14ac:dyDescent="0.25">
      <c r="R463" s="8" t="str">
        <f t="shared" si="12"/>
        <v/>
      </c>
      <c r="S463" s="82" t="str">
        <f t="shared" si="13"/>
        <v/>
      </c>
    </row>
    <row r="464" spans="18:19" x14ac:dyDescent="0.25">
      <c r="R464" s="8" t="str">
        <f t="shared" si="12"/>
        <v/>
      </c>
      <c r="S464" s="82" t="str">
        <f t="shared" si="13"/>
        <v/>
      </c>
    </row>
    <row r="465" spans="18:19" x14ac:dyDescent="0.25">
      <c r="R465" s="8" t="str">
        <f t="shared" si="12"/>
        <v/>
      </c>
      <c r="S465" s="82" t="str">
        <f t="shared" si="13"/>
        <v/>
      </c>
    </row>
    <row r="466" spans="18:19" x14ac:dyDescent="0.25">
      <c r="R466" s="8" t="str">
        <f t="shared" si="12"/>
        <v/>
      </c>
      <c r="S466" s="82" t="str">
        <f t="shared" si="13"/>
        <v/>
      </c>
    </row>
    <row r="467" spans="18:19" x14ac:dyDescent="0.25">
      <c r="R467" s="8" t="str">
        <f t="shared" si="12"/>
        <v/>
      </c>
      <c r="S467" s="82" t="str">
        <f t="shared" si="13"/>
        <v/>
      </c>
    </row>
    <row r="468" spans="18:19" x14ac:dyDescent="0.25">
      <c r="R468" s="8" t="str">
        <f t="shared" si="12"/>
        <v/>
      </c>
      <c r="S468" s="82" t="str">
        <f t="shared" si="13"/>
        <v/>
      </c>
    </row>
    <row r="469" spans="18:19" x14ac:dyDescent="0.25">
      <c r="R469" s="8" t="str">
        <f t="shared" si="12"/>
        <v/>
      </c>
      <c r="S469" s="82" t="str">
        <f t="shared" si="13"/>
        <v/>
      </c>
    </row>
    <row r="470" spans="18:19" x14ac:dyDescent="0.25">
      <c r="R470" s="8" t="str">
        <f t="shared" ref="R470:R533" si="14">IF(A470="",(""),(MONTH(A470)))</f>
        <v/>
      </c>
      <c r="S470" s="82" t="str">
        <f t="shared" ref="S470:S533" si="15">IF(B470="",(""),IF(B470="3 - Nota de Crédito A",-Q470,IF(B470="8 - Nota de Crédito B",-Q470,(Q470))))</f>
        <v/>
      </c>
    </row>
    <row r="471" spans="18:19" x14ac:dyDescent="0.25">
      <c r="R471" s="8" t="str">
        <f t="shared" si="14"/>
        <v/>
      </c>
      <c r="S471" s="82" t="str">
        <f t="shared" si="15"/>
        <v/>
      </c>
    </row>
    <row r="472" spans="18:19" x14ac:dyDescent="0.25">
      <c r="R472" s="8" t="str">
        <f t="shared" si="14"/>
        <v/>
      </c>
      <c r="S472" s="82" t="str">
        <f t="shared" si="15"/>
        <v/>
      </c>
    </row>
    <row r="473" spans="18:19" x14ac:dyDescent="0.25">
      <c r="R473" s="8" t="str">
        <f t="shared" si="14"/>
        <v/>
      </c>
      <c r="S473" s="82" t="str">
        <f t="shared" si="15"/>
        <v/>
      </c>
    </row>
    <row r="474" spans="18:19" x14ac:dyDescent="0.25">
      <c r="R474" s="8" t="str">
        <f t="shared" si="14"/>
        <v/>
      </c>
      <c r="S474" s="82" t="str">
        <f t="shared" si="15"/>
        <v/>
      </c>
    </row>
    <row r="475" spans="18:19" x14ac:dyDescent="0.25">
      <c r="R475" s="8" t="str">
        <f t="shared" si="14"/>
        <v/>
      </c>
      <c r="S475" s="82" t="str">
        <f t="shared" si="15"/>
        <v/>
      </c>
    </row>
    <row r="476" spans="18:19" x14ac:dyDescent="0.25">
      <c r="R476" s="8" t="str">
        <f t="shared" si="14"/>
        <v/>
      </c>
      <c r="S476" s="82" t="str">
        <f t="shared" si="15"/>
        <v/>
      </c>
    </row>
    <row r="477" spans="18:19" x14ac:dyDescent="0.25">
      <c r="R477" s="8" t="str">
        <f t="shared" si="14"/>
        <v/>
      </c>
      <c r="S477" s="82" t="str">
        <f t="shared" si="15"/>
        <v/>
      </c>
    </row>
    <row r="478" spans="18:19" x14ac:dyDescent="0.25">
      <c r="R478" s="8" t="str">
        <f t="shared" si="14"/>
        <v/>
      </c>
      <c r="S478" s="82" t="str">
        <f t="shared" si="15"/>
        <v/>
      </c>
    </row>
    <row r="479" spans="18:19" x14ac:dyDescent="0.25">
      <c r="R479" s="8" t="str">
        <f t="shared" si="14"/>
        <v/>
      </c>
      <c r="S479" s="82" t="str">
        <f t="shared" si="15"/>
        <v/>
      </c>
    </row>
    <row r="480" spans="18:19" x14ac:dyDescent="0.25">
      <c r="R480" s="8" t="str">
        <f t="shared" si="14"/>
        <v/>
      </c>
      <c r="S480" s="82" t="str">
        <f t="shared" si="15"/>
        <v/>
      </c>
    </row>
    <row r="481" spans="18:19" x14ac:dyDescent="0.25">
      <c r="R481" s="8" t="str">
        <f t="shared" si="14"/>
        <v/>
      </c>
      <c r="S481" s="82" t="str">
        <f t="shared" si="15"/>
        <v/>
      </c>
    </row>
    <row r="482" spans="18:19" x14ac:dyDescent="0.25">
      <c r="R482" s="8" t="str">
        <f t="shared" si="14"/>
        <v/>
      </c>
      <c r="S482" s="82" t="str">
        <f t="shared" si="15"/>
        <v/>
      </c>
    </row>
    <row r="483" spans="18:19" x14ac:dyDescent="0.25">
      <c r="R483" s="8" t="str">
        <f t="shared" si="14"/>
        <v/>
      </c>
      <c r="S483" s="82" t="str">
        <f t="shared" si="15"/>
        <v/>
      </c>
    </row>
    <row r="484" spans="18:19" x14ac:dyDescent="0.25">
      <c r="R484" s="8" t="str">
        <f t="shared" si="14"/>
        <v/>
      </c>
      <c r="S484" s="82" t="str">
        <f t="shared" si="15"/>
        <v/>
      </c>
    </row>
    <row r="485" spans="18:19" x14ac:dyDescent="0.25">
      <c r="R485" s="8" t="str">
        <f t="shared" si="14"/>
        <v/>
      </c>
      <c r="S485" s="82" t="str">
        <f t="shared" si="15"/>
        <v/>
      </c>
    </row>
    <row r="486" spans="18:19" x14ac:dyDescent="0.25">
      <c r="R486" s="8" t="str">
        <f t="shared" si="14"/>
        <v/>
      </c>
      <c r="S486" s="82" t="str">
        <f t="shared" si="15"/>
        <v/>
      </c>
    </row>
    <row r="487" spans="18:19" x14ac:dyDescent="0.25">
      <c r="R487" s="8" t="str">
        <f t="shared" si="14"/>
        <v/>
      </c>
      <c r="S487" s="82" t="str">
        <f t="shared" si="15"/>
        <v/>
      </c>
    </row>
    <row r="488" spans="18:19" x14ac:dyDescent="0.25">
      <c r="R488" s="8" t="str">
        <f t="shared" si="14"/>
        <v/>
      </c>
      <c r="S488" s="82" t="str">
        <f t="shared" si="15"/>
        <v/>
      </c>
    </row>
    <row r="489" spans="18:19" x14ac:dyDescent="0.25">
      <c r="R489" s="8" t="str">
        <f t="shared" si="14"/>
        <v/>
      </c>
      <c r="S489" s="82" t="str">
        <f t="shared" si="15"/>
        <v/>
      </c>
    </row>
    <row r="490" spans="18:19" x14ac:dyDescent="0.25">
      <c r="R490" s="8" t="str">
        <f t="shared" si="14"/>
        <v/>
      </c>
      <c r="S490" s="82" t="str">
        <f t="shared" si="15"/>
        <v/>
      </c>
    </row>
    <row r="491" spans="18:19" x14ac:dyDescent="0.25">
      <c r="R491" s="8" t="str">
        <f t="shared" si="14"/>
        <v/>
      </c>
      <c r="S491" s="82" t="str">
        <f t="shared" si="15"/>
        <v/>
      </c>
    </row>
    <row r="492" spans="18:19" x14ac:dyDescent="0.25">
      <c r="R492" s="8" t="str">
        <f t="shared" si="14"/>
        <v/>
      </c>
      <c r="S492" s="82" t="str">
        <f t="shared" si="15"/>
        <v/>
      </c>
    </row>
    <row r="493" spans="18:19" x14ac:dyDescent="0.25">
      <c r="R493" s="8" t="str">
        <f t="shared" si="14"/>
        <v/>
      </c>
      <c r="S493" s="82" t="str">
        <f t="shared" si="15"/>
        <v/>
      </c>
    </row>
    <row r="494" spans="18:19" x14ac:dyDescent="0.25">
      <c r="R494" s="8" t="str">
        <f t="shared" si="14"/>
        <v/>
      </c>
      <c r="S494" s="82" t="str">
        <f t="shared" si="15"/>
        <v/>
      </c>
    </row>
    <row r="495" spans="18:19" x14ac:dyDescent="0.25">
      <c r="R495" s="8" t="str">
        <f t="shared" si="14"/>
        <v/>
      </c>
      <c r="S495" s="82" t="str">
        <f t="shared" si="15"/>
        <v/>
      </c>
    </row>
    <row r="496" spans="18:19" x14ac:dyDescent="0.25">
      <c r="R496" s="8" t="str">
        <f t="shared" si="14"/>
        <v/>
      </c>
      <c r="S496" s="82" t="str">
        <f t="shared" si="15"/>
        <v/>
      </c>
    </row>
    <row r="497" spans="18:19" x14ac:dyDescent="0.25">
      <c r="R497" s="8" t="str">
        <f t="shared" si="14"/>
        <v/>
      </c>
      <c r="S497" s="82" t="str">
        <f t="shared" si="15"/>
        <v/>
      </c>
    </row>
    <row r="498" spans="18:19" x14ac:dyDescent="0.25">
      <c r="R498" s="8" t="str">
        <f t="shared" si="14"/>
        <v/>
      </c>
      <c r="S498" s="82" t="str">
        <f t="shared" si="15"/>
        <v/>
      </c>
    </row>
    <row r="499" spans="18:19" x14ac:dyDescent="0.25">
      <c r="R499" s="8" t="str">
        <f t="shared" si="14"/>
        <v/>
      </c>
      <c r="S499" s="82" t="str">
        <f t="shared" si="15"/>
        <v/>
      </c>
    </row>
    <row r="500" spans="18:19" x14ac:dyDescent="0.25">
      <c r="R500" s="8" t="str">
        <f t="shared" si="14"/>
        <v/>
      </c>
      <c r="S500" s="82" t="str">
        <f t="shared" si="15"/>
        <v/>
      </c>
    </row>
    <row r="501" spans="18:19" x14ac:dyDescent="0.25">
      <c r="R501" s="8" t="str">
        <f t="shared" si="14"/>
        <v/>
      </c>
      <c r="S501" s="82" t="str">
        <f t="shared" si="15"/>
        <v/>
      </c>
    </row>
    <row r="502" spans="18:19" x14ac:dyDescent="0.25">
      <c r="R502" s="8" t="str">
        <f t="shared" si="14"/>
        <v/>
      </c>
      <c r="S502" s="82" t="str">
        <f t="shared" si="15"/>
        <v/>
      </c>
    </row>
    <row r="503" spans="18:19" x14ac:dyDescent="0.25">
      <c r="R503" s="8" t="str">
        <f t="shared" si="14"/>
        <v/>
      </c>
      <c r="S503" s="82" t="str">
        <f t="shared" si="15"/>
        <v/>
      </c>
    </row>
    <row r="504" spans="18:19" x14ac:dyDescent="0.25">
      <c r="R504" s="8" t="str">
        <f t="shared" si="14"/>
        <v/>
      </c>
      <c r="S504" s="82" t="str">
        <f t="shared" si="15"/>
        <v/>
      </c>
    </row>
    <row r="505" spans="18:19" x14ac:dyDescent="0.25">
      <c r="R505" s="8" t="str">
        <f t="shared" si="14"/>
        <v/>
      </c>
      <c r="S505" s="82" t="str">
        <f t="shared" si="15"/>
        <v/>
      </c>
    </row>
    <row r="506" spans="18:19" x14ac:dyDescent="0.25">
      <c r="R506" s="8" t="str">
        <f t="shared" si="14"/>
        <v/>
      </c>
      <c r="S506" s="82" t="str">
        <f t="shared" si="15"/>
        <v/>
      </c>
    </row>
    <row r="507" spans="18:19" x14ac:dyDescent="0.25">
      <c r="R507" s="8" t="str">
        <f t="shared" si="14"/>
        <v/>
      </c>
      <c r="S507" s="82" t="str">
        <f t="shared" si="15"/>
        <v/>
      </c>
    </row>
    <row r="508" spans="18:19" x14ac:dyDescent="0.25">
      <c r="R508" s="8" t="str">
        <f t="shared" si="14"/>
        <v/>
      </c>
      <c r="S508" s="82" t="str">
        <f t="shared" si="15"/>
        <v/>
      </c>
    </row>
    <row r="509" spans="18:19" x14ac:dyDescent="0.25">
      <c r="R509" s="8" t="str">
        <f t="shared" si="14"/>
        <v/>
      </c>
      <c r="S509" s="82" t="str">
        <f t="shared" si="15"/>
        <v/>
      </c>
    </row>
    <row r="510" spans="18:19" x14ac:dyDescent="0.25">
      <c r="R510" s="8" t="str">
        <f t="shared" si="14"/>
        <v/>
      </c>
      <c r="S510" s="82" t="str">
        <f t="shared" si="15"/>
        <v/>
      </c>
    </row>
    <row r="511" spans="18:19" x14ac:dyDescent="0.25">
      <c r="R511" s="8" t="str">
        <f t="shared" si="14"/>
        <v/>
      </c>
      <c r="S511" s="82" t="str">
        <f t="shared" si="15"/>
        <v/>
      </c>
    </row>
    <row r="512" spans="18:19" x14ac:dyDescent="0.25">
      <c r="R512" s="8" t="str">
        <f t="shared" si="14"/>
        <v/>
      </c>
      <c r="S512" s="82" t="str">
        <f t="shared" si="15"/>
        <v/>
      </c>
    </row>
    <row r="513" spans="18:19" x14ac:dyDescent="0.25">
      <c r="R513" s="8" t="str">
        <f t="shared" si="14"/>
        <v/>
      </c>
      <c r="S513" s="82" t="str">
        <f t="shared" si="15"/>
        <v/>
      </c>
    </row>
    <row r="514" spans="18:19" x14ac:dyDescent="0.25">
      <c r="R514" s="8" t="str">
        <f t="shared" si="14"/>
        <v/>
      </c>
      <c r="S514" s="82" t="str">
        <f t="shared" si="15"/>
        <v/>
      </c>
    </row>
    <row r="515" spans="18:19" x14ac:dyDescent="0.25">
      <c r="R515" s="8" t="str">
        <f t="shared" si="14"/>
        <v/>
      </c>
      <c r="S515" s="82" t="str">
        <f t="shared" si="15"/>
        <v/>
      </c>
    </row>
    <row r="516" spans="18:19" x14ac:dyDescent="0.25">
      <c r="R516" s="8" t="str">
        <f t="shared" si="14"/>
        <v/>
      </c>
      <c r="S516" s="82" t="str">
        <f t="shared" si="15"/>
        <v/>
      </c>
    </row>
    <row r="517" spans="18:19" x14ac:dyDescent="0.25">
      <c r="R517" s="8" t="str">
        <f t="shared" si="14"/>
        <v/>
      </c>
      <c r="S517" s="82" t="str">
        <f t="shared" si="15"/>
        <v/>
      </c>
    </row>
    <row r="518" spans="18:19" x14ac:dyDescent="0.25">
      <c r="R518" s="8" t="str">
        <f t="shared" si="14"/>
        <v/>
      </c>
      <c r="S518" s="82" t="str">
        <f t="shared" si="15"/>
        <v/>
      </c>
    </row>
    <row r="519" spans="18:19" x14ac:dyDescent="0.25">
      <c r="R519" s="8" t="str">
        <f t="shared" si="14"/>
        <v/>
      </c>
      <c r="S519" s="82" t="str">
        <f t="shared" si="15"/>
        <v/>
      </c>
    </row>
    <row r="520" spans="18:19" x14ac:dyDescent="0.25">
      <c r="R520" s="8" t="str">
        <f t="shared" si="14"/>
        <v/>
      </c>
      <c r="S520" s="82" t="str">
        <f t="shared" si="15"/>
        <v/>
      </c>
    </row>
    <row r="521" spans="18:19" x14ac:dyDescent="0.25">
      <c r="R521" s="8" t="str">
        <f t="shared" si="14"/>
        <v/>
      </c>
      <c r="S521" s="82" t="str">
        <f t="shared" si="15"/>
        <v/>
      </c>
    </row>
    <row r="522" spans="18:19" x14ac:dyDescent="0.25">
      <c r="R522" s="8" t="str">
        <f t="shared" si="14"/>
        <v/>
      </c>
      <c r="S522" s="82" t="str">
        <f t="shared" si="15"/>
        <v/>
      </c>
    </row>
    <row r="523" spans="18:19" x14ac:dyDescent="0.25">
      <c r="R523" s="8" t="str">
        <f t="shared" si="14"/>
        <v/>
      </c>
      <c r="S523" s="82" t="str">
        <f t="shared" si="15"/>
        <v/>
      </c>
    </row>
    <row r="524" spans="18:19" x14ac:dyDescent="0.25">
      <c r="R524" s="8" t="str">
        <f t="shared" si="14"/>
        <v/>
      </c>
      <c r="S524" s="82" t="str">
        <f t="shared" si="15"/>
        <v/>
      </c>
    </row>
    <row r="525" spans="18:19" x14ac:dyDescent="0.25">
      <c r="R525" s="8" t="str">
        <f t="shared" si="14"/>
        <v/>
      </c>
      <c r="S525" s="82" t="str">
        <f t="shared" si="15"/>
        <v/>
      </c>
    </row>
    <row r="526" spans="18:19" x14ac:dyDescent="0.25">
      <c r="R526" s="8" t="str">
        <f t="shared" si="14"/>
        <v/>
      </c>
      <c r="S526" s="82" t="str">
        <f t="shared" si="15"/>
        <v/>
      </c>
    </row>
    <row r="527" spans="18:19" x14ac:dyDescent="0.25">
      <c r="R527" s="8" t="str">
        <f t="shared" si="14"/>
        <v/>
      </c>
      <c r="S527" s="82" t="str">
        <f t="shared" si="15"/>
        <v/>
      </c>
    </row>
    <row r="528" spans="18:19" x14ac:dyDescent="0.25">
      <c r="R528" s="8" t="str">
        <f t="shared" si="14"/>
        <v/>
      </c>
      <c r="S528" s="82" t="str">
        <f t="shared" si="15"/>
        <v/>
      </c>
    </row>
    <row r="529" spans="18:19" x14ac:dyDescent="0.25">
      <c r="R529" s="8" t="str">
        <f t="shared" si="14"/>
        <v/>
      </c>
      <c r="S529" s="82" t="str">
        <f t="shared" si="15"/>
        <v/>
      </c>
    </row>
    <row r="530" spans="18:19" x14ac:dyDescent="0.25">
      <c r="R530" s="8" t="str">
        <f t="shared" si="14"/>
        <v/>
      </c>
      <c r="S530" s="82" t="str">
        <f t="shared" si="15"/>
        <v/>
      </c>
    </row>
    <row r="531" spans="18:19" x14ac:dyDescent="0.25">
      <c r="R531" s="8" t="str">
        <f t="shared" si="14"/>
        <v/>
      </c>
      <c r="S531" s="82" t="str">
        <f t="shared" si="15"/>
        <v/>
      </c>
    </row>
    <row r="532" spans="18:19" x14ac:dyDescent="0.25">
      <c r="R532" s="8" t="str">
        <f t="shared" si="14"/>
        <v/>
      </c>
      <c r="S532" s="82" t="str">
        <f t="shared" si="15"/>
        <v/>
      </c>
    </row>
    <row r="533" spans="18:19" x14ac:dyDescent="0.25">
      <c r="R533" s="8" t="str">
        <f t="shared" si="14"/>
        <v/>
      </c>
      <c r="S533" s="82" t="str">
        <f t="shared" si="15"/>
        <v/>
      </c>
    </row>
    <row r="534" spans="18:19" x14ac:dyDescent="0.25">
      <c r="R534" s="8" t="str">
        <f t="shared" ref="R534:R597" si="16">IF(A534="",(""),(MONTH(A534)))</f>
        <v/>
      </c>
      <c r="S534" s="82" t="str">
        <f t="shared" ref="S534:S597" si="17">IF(B534="",(""),IF(B534="3 - Nota de Crédito A",-Q534,IF(B534="8 - Nota de Crédito B",-Q534,(Q534))))</f>
        <v/>
      </c>
    </row>
    <row r="535" spans="18:19" x14ac:dyDescent="0.25">
      <c r="R535" s="8" t="str">
        <f t="shared" si="16"/>
        <v/>
      </c>
      <c r="S535" s="82" t="str">
        <f t="shared" si="17"/>
        <v/>
      </c>
    </row>
    <row r="536" spans="18:19" x14ac:dyDescent="0.25">
      <c r="R536" s="8" t="str">
        <f t="shared" si="16"/>
        <v/>
      </c>
      <c r="S536" s="82" t="str">
        <f t="shared" si="17"/>
        <v/>
      </c>
    </row>
    <row r="537" spans="18:19" x14ac:dyDescent="0.25">
      <c r="R537" s="8" t="str">
        <f t="shared" si="16"/>
        <v/>
      </c>
      <c r="S537" s="82" t="str">
        <f t="shared" si="17"/>
        <v/>
      </c>
    </row>
    <row r="538" spans="18:19" x14ac:dyDescent="0.25">
      <c r="R538" s="8" t="str">
        <f t="shared" si="16"/>
        <v/>
      </c>
      <c r="S538" s="82" t="str">
        <f t="shared" si="17"/>
        <v/>
      </c>
    </row>
    <row r="539" spans="18:19" x14ac:dyDescent="0.25">
      <c r="R539" s="8" t="str">
        <f t="shared" si="16"/>
        <v/>
      </c>
      <c r="S539" s="82" t="str">
        <f t="shared" si="17"/>
        <v/>
      </c>
    </row>
    <row r="540" spans="18:19" x14ac:dyDescent="0.25">
      <c r="R540" s="8" t="str">
        <f t="shared" si="16"/>
        <v/>
      </c>
      <c r="S540" s="82" t="str">
        <f t="shared" si="17"/>
        <v/>
      </c>
    </row>
    <row r="541" spans="18:19" x14ac:dyDescent="0.25">
      <c r="R541" s="8" t="str">
        <f t="shared" si="16"/>
        <v/>
      </c>
      <c r="S541" s="82" t="str">
        <f t="shared" si="17"/>
        <v/>
      </c>
    </row>
    <row r="542" spans="18:19" x14ac:dyDescent="0.25">
      <c r="R542" s="8" t="str">
        <f t="shared" si="16"/>
        <v/>
      </c>
      <c r="S542" s="82" t="str">
        <f t="shared" si="17"/>
        <v/>
      </c>
    </row>
    <row r="543" spans="18:19" x14ac:dyDescent="0.25">
      <c r="R543" s="8" t="str">
        <f t="shared" si="16"/>
        <v/>
      </c>
      <c r="S543" s="82" t="str">
        <f t="shared" si="17"/>
        <v/>
      </c>
    </row>
    <row r="544" spans="18:19" x14ac:dyDescent="0.25">
      <c r="R544" s="8" t="str">
        <f t="shared" si="16"/>
        <v/>
      </c>
      <c r="S544" s="82" t="str">
        <f t="shared" si="17"/>
        <v/>
      </c>
    </row>
    <row r="545" spans="18:19" x14ac:dyDescent="0.25">
      <c r="R545" s="8" t="str">
        <f t="shared" si="16"/>
        <v/>
      </c>
      <c r="S545" s="82" t="str">
        <f t="shared" si="17"/>
        <v/>
      </c>
    </row>
    <row r="546" spans="18:19" x14ac:dyDescent="0.25">
      <c r="R546" s="8" t="str">
        <f t="shared" si="16"/>
        <v/>
      </c>
      <c r="S546" s="82" t="str">
        <f t="shared" si="17"/>
        <v/>
      </c>
    </row>
    <row r="547" spans="18:19" x14ac:dyDescent="0.25">
      <c r="R547" s="8" t="str">
        <f t="shared" si="16"/>
        <v/>
      </c>
      <c r="S547" s="82" t="str">
        <f t="shared" si="17"/>
        <v/>
      </c>
    </row>
    <row r="548" spans="18:19" x14ac:dyDescent="0.25">
      <c r="R548" s="8" t="str">
        <f t="shared" si="16"/>
        <v/>
      </c>
      <c r="S548" s="82" t="str">
        <f t="shared" si="17"/>
        <v/>
      </c>
    </row>
    <row r="549" spans="18:19" x14ac:dyDescent="0.25">
      <c r="R549" s="8" t="str">
        <f t="shared" si="16"/>
        <v/>
      </c>
      <c r="S549" s="82" t="str">
        <f t="shared" si="17"/>
        <v/>
      </c>
    </row>
    <row r="550" spans="18:19" x14ac:dyDescent="0.25">
      <c r="R550" s="8" t="str">
        <f t="shared" si="16"/>
        <v/>
      </c>
      <c r="S550" s="82" t="str">
        <f t="shared" si="17"/>
        <v/>
      </c>
    </row>
    <row r="551" spans="18:19" x14ac:dyDescent="0.25">
      <c r="R551" s="8" t="str">
        <f t="shared" si="16"/>
        <v/>
      </c>
      <c r="S551" s="82" t="str">
        <f t="shared" si="17"/>
        <v/>
      </c>
    </row>
    <row r="552" spans="18:19" x14ac:dyDescent="0.25">
      <c r="R552" s="8" t="str">
        <f t="shared" si="16"/>
        <v/>
      </c>
      <c r="S552" s="82" t="str">
        <f t="shared" si="17"/>
        <v/>
      </c>
    </row>
    <row r="553" spans="18:19" x14ac:dyDescent="0.25">
      <c r="R553" s="8" t="str">
        <f t="shared" si="16"/>
        <v/>
      </c>
      <c r="S553" s="82" t="str">
        <f t="shared" si="17"/>
        <v/>
      </c>
    </row>
    <row r="554" spans="18:19" x14ac:dyDescent="0.25">
      <c r="R554" s="8" t="str">
        <f t="shared" si="16"/>
        <v/>
      </c>
      <c r="S554" s="82" t="str">
        <f t="shared" si="17"/>
        <v/>
      </c>
    </row>
    <row r="555" spans="18:19" x14ac:dyDescent="0.25">
      <c r="R555" s="8" t="str">
        <f t="shared" si="16"/>
        <v/>
      </c>
      <c r="S555" s="82" t="str">
        <f t="shared" si="17"/>
        <v/>
      </c>
    </row>
    <row r="556" spans="18:19" x14ac:dyDescent="0.25">
      <c r="R556" s="8" t="str">
        <f t="shared" si="16"/>
        <v/>
      </c>
      <c r="S556" s="82" t="str">
        <f t="shared" si="17"/>
        <v/>
      </c>
    </row>
    <row r="557" spans="18:19" x14ac:dyDescent="0.25">
      <c r="R557" s="8" t="str">
        <f t="shared" si="16"/>
        <v/>
      </c>
      <c r="S557" s="82" t="str">
        <f t="shared" si="17"/>
        <v/>
      </c>
    </row>
    <row r="558" spans="18:19" x14ac:dyDescent="0.25">
      <c r="R558" s="8" t="str">
        <f t="shared" si="16"/>
        <v/>
      </c>
      <c r="S558" s="82" t="str">
        <f t="shared" si="17"/>
        <v/>
      </c>
    </row>
    <row r="559" spans="18:19" x14ac:dyDescent="0.25">
      <c r="R559" s="8" t="str">
        <f t="shared" si="16"/>
        <v/>
      </c>
      <c r="S559" s="82" t="str">
        <f t="shared" si="17"/>
        <v/>
      </c>
    </row>
    <row r="560" spans="18:19" x14ac:dyDescent="0.25">
      <c r="R560" s="8" t="str">
        <f t="shared" si="16"/>
        <v/>
      </c>
      <c r="S560" s="82" t="str">
        <f t="shared" si="17"/>
        <v/>
      </c>
    </row>
    <row r="561" spans="18:19" x14ac:dyDescent="0.25">
      <c r="R561" s="8" t="str">
        <f t="shared" si="16"/>
        <v/>
      </c>
      <c r="S561" s="82" t="str">
        <f t="shared" si="17"/>
        <v/>
      </c>
    </row>
    <row r="562" spans="18:19" x14ac:dyDescent="0.25">
      <c r="R562" s="8" t="str">
        <f t="shared" si="16"/>
        <v/>
      </c>
      <c r="S562" s="82" t="str">
        <f t="shared" si="17"/>
        <v/>
      </c>
    </row>
    <row r="563" spans="18:19" x14ac:dyDescent="0.25">
      <c r="R563" s="8" t="str">
        <f t="shared" si="16"/>
        <v/>
      </c>
      <c r="S563" s="82" t="str">
        <f t="shared" si="17"/>
        <v/>
      </c>
    </row>
    <row r="564" spans="18:19" x14ac:dyDescent="0.25">
      <c r="R564" s="8" t="str">
        <f t="shared" si="16"/>
        <v/>
      </c>
      <c r="S564" s="82" t="str">
        <f t="shared" si="17"/>
        <v/>
      </c>
    </row>
    <row r="565" spans="18:19" x14ac:dyDescent="0.25">
      <c r="R565" s="8" t="str">
        <f t="shared" si="16"/>
        <v/>
      </c>
      <c r="S565" s="82" t="str">
        <f t="shared" si="17"/>
        <v/>
      </c>
    </row>
    <row r="566" spans="18:19" x14ac:dyDescent="0.25">
      <c r="R566" s="8" t="str">
        <f t="shared" si="16"/>
        <v/>
      </c>
      <c r="S566" s="82" t="str">
        <f t="shared" si="17"/>
        <v/>
      </c>
    </row>
    <row r="567" spans="18:19" x14ac:dyDescent="0.25">
      <c r="R567" s="8" t="str">
        <f t="shared" si="16"/>
        <v/>
      </c>
      <c r="S567" s="82" t="str">
        <f t="shared" si="17"/>
        <v/>
      </c>
    </row>
    <row r="568" spans="18:19" x14ac:dyDescent="0.25">
      <c r="R568" s="8" t="str">
        <f t="shared" si="16"/>
        <v/>
      </c>
      <c r="S568" s="82" t="str">
        <f t="shared" si="17"/>
        <v/>
      </c>
    </row>
    <row r="569" spans="18:19" x14ac:dyDescent="0.25">
      <c r="R569" s="8" t="str">
        <f t="shared" si="16"/>
        <v/>
      </c>
      <c r="S569" s="82" t="str">
        <f t="shared" si="17"/>
        <v/>
      </c>
    </row>
    <row r="570" spans="18:19" x14ac:dyDescent="0.25">
      <c r="R570" s="8" t="str">
        <f t="shared" si="16"/>
        <v/>
      </c>
      <c r="S570" s="82" t="str">
        <f t="shared" si="17"/>
        <v/>
      </c>
    </row>
    <row r="571" spans="18:19" x14ac:dyDescent="0.25">
      <c r="R571" s="8" t="str">
        <f t="shared" si="16"/>
        <v/>
      </c>
      <c r="S571" s="82" t="str">
        <f t="shared" si="17"/>
        <v/>
      </c>
    </row>
    <row r="572" spans="18:19" x14ac:dyDescent="0.25">
      <c r="R572" s="8" t="str">
        <f t="shared" si="16"/>
        <v/>
      </c>
      <c r="S572" s="82" t="str">
        <f t="shared" si="17"/>
        <v/>
      </c>
    </row>
    <row r="573" spans="18:19" x14ac:dyDescent="0.25">
      <c r="R573" s="8" t="str">
        <f t="shared" si="16"/>
        <v/>
      </c>
      <c r="S573" s="82" t="str">
        <f t="shared" si="17"/>
        <v/>
      </c>
    </row>
    <row r="574" spans="18:19" x14ac:dyDescent="0.25">
      <c r="R574" s="8" t="str">
        <f t="shared" si="16"/>
        <v/>
      </c>
      <c r="S574" s="82" t="str">
        <f t="shared" si="17"/>
        <v/>
      </c>
    </row>
    <row r="575" spans="18:19" x14ac:dyDescent="0.25">
      <c r="R575" s="8" t="str">
        <f t="shared" si="16"/>
        <v/>
      </c>
      <c r="S575" s="82" t="str">
        <f t="shared" si="17"/>
        <v/>
      </c>
    </row>
    <row r="576" spans="18:19" x14ac:dyDescent="0.25">
      <c r="R576" s="8" t="str">
        <f t="shared" si="16"/>
        <v/>
      </c>
      <c r="S576" s="82" t="str">
        <f t="shared" si="17"/>
        <v/>
      </c>
    </row>
    <row r="577" spans="18:19" x14ac:dyDescent="0.25">
      <c r="R577" s="8" t="str">
        <f t="shared" si="16"/>
        <v/>
      </c>
      <c r="S577" s="82" t="str">
        <f t="shared" si="17"/>
        <v/>
      </c>
    </row>
    <row r="578" spans="18:19" x14ac:dyDescent="0.25">
      <c r="R578" s="8" t="str">
        <f t="shared" si="16"/>
        <v/>
      </c>
      <c r="S578" s="82" t="str">
        <f t="shared" si="17"/>
        <v/>
      </c>
    </row>
    <row r="579" spans="18:19" x14ac:dyDescent="0.25">
      <c r="R579" s="8" t="str">
        <f t="shared" si="16"/>
        <v/>
      </c>
      <c r="S579" s="82" t="str">
        <f t="shared" si="17"/>
        <v/>
      </c>
    </row>
    <row r="580" spans="18:19" x14ac:dyDescent="0.25">
      <c r="R580" s="8" t="str">
        <f t="shared" si="16"/>
        <v/>
      </c>
      <c r="S580" s="82" t="str">
        <f t="shared" si="17"/>
        <v/>
      </c>
    </row>
    <row r="581" spans="18:19" x14ac:dyDescent="0.25">
      <c r="R581" s="8" t="str">
        <f t="shared" si="16"/>
        <v/>
      </c>
      <c r="S581" s="82" t="str">
        <f t="shared" si="17"/>
        <v/>
      </c>
    </row>
    <row r="582" spans="18:19" x14ac:dyDescent="0.25">
      <c r="R582" s="8" t="str">
        <f t="shared" si="16"/>
        <v/>
      </c>
      <c r="S582" s="82" t="str">
        <f t="shared" si="17"/>
        <v/>
      </c>
    </row>
    <row r="583" spans="18:19" x14ac:dyDescent="0.25">
      <c r="R583" s="8" t="str">
        <f t="shared" si="16"/>
        <v/>
      </c>
      <c r="S583" s="82" t="str">
        <f t="shared" si="17"/>
        <v/>
      </c>
    </row>
    <row r="584" spans="18:19" x14ac:dyDescent="0.25">
      <c r="R584" s="8" t="str">
        <f t="shared" si="16"/>
        <v/>
      </c>
      <c r="S584" s="82" t="str">
        <f t="shared" si="17"/>
        <v/>
      </c>
    </row>
    <row r="585" spans="18:19" x14ac:dyDescent="0.25">
      <c r="R585" s="8" t="str">
        <f t="shared" si="16"/>
        <v/>
      </c>
      <c r="S585" s="82" t="str">
        <f t="shared" si="17"/>
        <v/>
      </c>
    </row>
    <row r="586" spans="18:19" x14ac:dyDescent="0.25">
      <c r="R586" s="8" t="str">
        <f t="shared" si="16"/>
        <v/>
      </c>
      <c r="S586" s="82" t="str">
        <f t="shared" si="17"/>
        <v/>
      </c>
    </row>
    <row r="587" spans="18:19" x14ac:dyDescent="0.25">
      <c r="R587" s="8" t="str">
        <f t="shared" si="16"/>
        <v/>
      </c>
      <c r="S587" s="82" t="str">
        <f t="shared" si="17"/>
        <v/>
      </c>
    </row>
    <row r="588" spans="18:19" x14ac:dyDescent="0.25">
      <c r="R588" s="8" t="str">
        <f t="shared" si="16"/>
        <v/>
      </c>
      <c r="S588" s="82" t="str">
        <f t="shared" si="17"/>
        <v/>
      </c>
    </row>
    <row r="589" spans="18:19" x14ac:dyDescent="0.25">
      <c r="R589" s="8" t="str">
        <f t="shared" si="16"/>
        <v/>
      </c>
      <c r="S589" s="82" t="str">
        <f t="shared" si="17"/>
        <v/>
      </c>
    </row>
    <row r="590" spans="18:19" x14ac:dyDescent="0.25">
      <c r="R590" s="8" t="str">
        <f t="shared" si="16"/>
        <v/>
      </c>
      <c r="S590" s="82" t="str">
        <f t="shared" si="17"/>
        <v/>
      </c>
    </row>
    <row r="591" spans="18:19" x14ac:dyDescent="0.25">
      <c r="R591" s="8" t="str">
        <f t="shared" si="16"/>
        <v/>
      </c>
      <c r="S591" s="82" t="str">
        <f t="shared" si="17"/>
        <v/>
      </c>
    </row>
    <row r="592" spans="18:19" x14ac:dyDescent="0.25">
      <c r="R592" s="8" t="str">
        <f t="shared" si="16"/>
        <v/>
      </c>
      <c r="S592" s="82" t="str">
        <f t="shared" si="17"/>
        <v/>
      </c>
    </row>
    <row r="593" spans="18:19" x14ac:dyDescent="0.25">
      <c r="R593" s="8" t="str">
        <f t="shared" si="16"/>
        <v/>
      </c>
      <c r="S593" s="82" t="str">
        <f t="shared" si="17"/>
        <v/>
      </c>
    </row>
    <row r="594" spans="18:19" x14ac:dyDescent="0.25">
      <c r="R594" s="8" t="str">
        <f t="shared" si="16"/>
        <v/>
      </c>
      <c r="S594" s="82" t="str">
        <f t="shared" si="17"/>
        <v/>
      </c>
    </row>
    <row r="595" spans="18:19" x14ac:dyDescent="0.25">
      <c r="R595" s="8" t="str">
        <f t="shared" si="16"/>
        <v/>
      </c>
      <c r="S595" s="82" t="str">
        <f t="shared" si="17"/>
        <v/>
      </c>
    </row>
    <row r="596" spans="18:19" x14ac:dyDescent="0.25">
      <c r="R596" s="8" t="str">
        <f t="shared" si="16"/>
        <v/>
      </c>
      <c r="S596" s="82" t="str">
        <f t="shared" si="17"/>
        <v/>
      </c>
    </row>
    <row r="597" spans="18:19" x14ac:dyDescent="0.25">
      <c r="R597" s="8" t="str">
        <f t="shared" si="16"/>
        <v/>
      </c>
      <c r="S597" s="82" t="str">
        <f t="shared" si="17"/>
        <v/>
      </c>
    </row>
    <row r="598" spans="18:19" x14ac:dyDescent="0.25">
      <c r="R598" s="8" t="str">
        <f t="shared" ref="R598:R661" si="18">IF(A598="",(""),(MONTH(A598)))</f>
        <v/>
      </c>
      <c r="S598" s="82" t="str">
        <f t="shared" ref="S598:S661" si="19">IF(B598="",(""),IF(B598="3 - Nota de Crédito A",-Q598,IF(B598="8 - Nota de Crédito B",-Q598,(Q598))))</f>
        <v/>
      </c>
    </row>
    <row r="599" spans="18:19" x14ac:dyDescent="0.25">
      <c r="R599" s="8" t="str">
        <f t="shared" si="18"/>
        <v/>
      </c>
      <c r="S599" s="82" t="str">
        <f t="shared" si="19"/>
        <v/>
      </c>
    </row>
    <row r="600" spans="18:19" x14ac:dyDescent="0.25">
      <c r="R600" s="8" t="str">
        <f t="shared" si="18"/>
        <v/>
      </c>
      <c r="S600" s="82" t="str">
        <f t="shared" si="19"/>
        <v/>
      </c>
    </row>
    <row r="601" spans="18:19" x14ac:dyDescent="0.25">
      <c r="R601" s="8" t="str">
        <f t="shared" si="18"/>
        <v/>
      </c>
      <c r="S601" s="82" t="str">
        <f t="shared" si="19"/>
        <v/>
      </c>
    </row>
    <row r="602" spans="18:19" x14ac:dyDescent="0.25">
      <c r="R602" s="8" t="str">
        <f t="shared" si="18"/>
        <v/>
      </c>
      <c r="S602" s="82" t="str">
        <f t="shared" si="19"/>
        <v/>
      </c>
    </row>
    <row r="603" spans="18:19" x14ac:dyDescent="0.25">
      <c r="R603" s="8" t="str">
        <f t="shared" si="18"/>
        <v/>
      </c>
      <c r="S603" s="82" t="str">
        <f t="shared" si="19"/>
        <v/>
      </c>
    </row>
    <row r="604" spans="18:19" x14ac:dyDescent="0.25">
      <c r="R604" s="8" t="str">
        <f t="shared" si="18"/>
        <v/>
      </c>
      <c r="S604" s="82" t="str">
        <f t="shared" si="19"/>
        <v/>
      </c>
    </row>
    <row r="605" spans="18:19" x14ac:dyDescent="0.25">
      <c r="R605" s="8" t="str">
        <f t="shared" si="18"/>
        <v/>
      </c>
      <c r="S605" s="82" t="str">
        <f t="shared" si="19"/>
        <v/>
      </c>
    </row>
    <row r="606" spans="18:19" x14ac:dyDescent="0.25">
      <c r="R606" s="8" t="str">
        <f t="shared" si="18"/>
        <v/>
      </c>
      <c r="S606" s="82" t="str">
        <f t="shared" si="19"/>
        <v/>
      </c>
    </row>
    <row r="607" spans="18:19" x14ac:dyDescent="0.25">
      <c r="R607" s="8" t="str">
        <f t="shared" si="18"/>
        <v/>
      </c>
      <c r="S607" s="82" t="str">
        <f t="shared" si="19"/>
        <v/>
      </c>
    </row>
    <row r="608" spans="18:19" x14ac:dyDescent="0.25">
      <c r="R608" s="8" t="str">
        <f t="shared" si="18"/>
        <v/>
      </c>
      <c r="S608" s="82" t="str">
        <f t="shared" si="19"/>
        <v/>
      </c>
    </row>
    <row r="609" spans="18:19" x14ac:dyDescent="0.25">
      <c r="R609" s="8" t="str">
        <f t="shared" si="18"/>
        <v/>
      </c>
      <c r="S609" s="82" t="str">
        <f t="shared" si="19"/>
        <v/>
      </c>
    </row>
    <row r="610" spans="18:19" x14ac:dyDescent="0.25">
      <c r="R610" s="8" t="str">
        <f t="shared" si="18"/>
        <v/>
      </c>
      <c r="S610" s="82" t="str">
        <f t="shared" si="19"/>
        <v/>
      </c>
    </row>
    <row r="611" spans="18:19" x14ac:dyDescent="0.25">
      <c r="R611" s="8" t="str">
        <f t="shared" si="18"/>
        <v/>
      </c>
      <c r="S611" s="82" t="str">
        <f t="shared" si="19"/>
        <v/>
      </c>
    </row>
    <row r="612" spans="18:19" x14ac:dyDescent="0.25">
      <c r="R612" s="8" t="str">
        <f t="shared" si="18"/>
        <v/>
      </c>
      <c r="S612" s="82" t="str">
        <f t="shared" si="19"/>
        <v/>
      </c>
    </row>
    <row r="613" spans="18:19" x14ac:dyDescent="0.25">
      <c r="R613" s="8" t="str">
        <f t="shared" si="18"/>
        <v/>
      </c>
      <c r="S613" s="82" t="str">
        <f t="shared" si="19"/>
        <v/>
      </c>
    </row>
    <row r="614" spans="18:19" x14ac:dyDescent="0.25">
      <c r="R614" s="8" t="str">
        <f t="shared" si="18"/>
        <v/>
      </c>
      <c r="S614" s="82" t="str">
        <f t="shared" si="19"/>
        <v/>
      </c>
    </row>
    <row r="615" spans="18:19" x14ac:dyDescent="0.25">
      <c r="R615" s="8" t="str">
        <f t="shared" si="18"/>
        <v/>
      </c>
      <c r="S615" s="82" t="str">
        <f t="shared" si="19"/>
        <v/>
      </c>
    </row>
    <row r="616" spans="18:19" x14ac:dyDescent="0.25">
      <c r="R616" s="8" t="str">
        <f t="shared" si="18"/>
        <v/>
      </c>
      <c r="S616" s="82" t="str">
        <f t="shared" si="19"/>
        <v/>
      </c>
    </row>
    <row r="617" spans="18:19" x14ac:dyDescent="0.25">
      <c r="R617" s="8" t="str">
        <f t="shared" si="18"/>
        <v/>
      </c>
      <c r="S617" s="82" t="str">
        <f t="shared" si="19"/>
        <v/>
      </c>
    </row>
    <row r="618" spans="18:19" x14ac:dyDescent="0.25">
      <c r="R618" s="8" t="str">
        <f t="shared" si="18"/>
        <v/>
      </c>
      <c r="S618" s="82" t="str">
        <f t="shared" si="19"/>
        <v/>
      </c>
    </row>
    <row r="619" spans="18:19" x14ac:dyDescent="0.25">
      <c r="R619" s="8" t="str">
        <f t="shared" si="18"/>
        <v/>
      </c>
      <c r="S619" s="82" t="str">
        <f t="shared" si="19"/>
        <v/>
      </c>
    </row>
    <row r="620" spans="18:19" x14ac:dyDescent="0.25">
      <c r="R620" s="8" t="str">
        <f t="shared" si="18"/>
        <v/>
      </c>
      <c r="S620" s="82" t="str">
        <f t="shared" si="19"/>
        <v/>
      </c>
    </row>
    <row r="621" spans="18:19" x14ac:dyDescent="0.25">
      <c r="R621" s="8" t="str">
        <f t="shared" si="18"/>
        <v/>
      </c>
      <c r="S621" s="82" t="str">
        <f t="shared" si="19"/>
        <v/>
      </c>
    </row>
    <row r="622" spans="18:19" x14ac:dyDescent="0.25">
      <c r="R622" s="8" t="str">
        <f t="shared" si="18"/>
        <v/>
      </c>
      <c r="S622" s="82" t="str">
        <f t="shared" si="19"/>
        <v/>
      </c>
    </row>
    <row r="623" spans="18:19" x14ac:dyDescent="0.25">
      <c r="R623" s="8" t="str">
        <f t="shared" si="18"/>
        <v/>
      </c>
      <c r="S623" s="82" t="str">
        <f t="shared" si="19"/>
        <v/>
      </c>
    </row>
    <row r="624" spans="18:19" x14ac:dyDescent="0.25">
      <c r="R624" s="8" t="str">
        <f t="shared" si="18"/>
        <v/>
      </c>
      <c r="S624" s="82" t="str">
        <f t="shared" si="19"/>
        <v/>
      </c>
    </row>
    <row r="625" spans="18:19" x14ac:dyDescent="0.25">
      <c r="R625" s="8" t="str">
        <f t="shared" si="18"/>
        <v/>
      </c>
      <c r="S625" s="82" t="str">
        <f t="shared" si="19"/>
        <v/>
      </c>
    </row>
    <row r="626" spans="18:19" x14ac:dyDescent="0.25">
      <c r="R626" s="8" t="str">
        <f t="shared" si="18"/>
        <v/>
      </c>
      <c r="S626" s="82" t="str">
        <f t="shared" si="19"/>
        <v/>
      </c>
    </row>
    <row r="627" spans="18:19" x14ac:dyDescent="0.25">
      <c r="R627" s="8" t="str">
        <f t="shared" si="18"/>
        <v/>
      </c>
      <c r="S627" s="82" t="str">
        <f t="shared" si="19"/>
        <v/>
      </c>
    </row>
    <row r="628" spans="18:19" x14ac:dyDescent="0.25">
      <c r="R628" s="8" t="str">
        <f t="shared" si="18"/>
        <v/>
      </c>
      <c r="S628" s="82" t="str">
        <f t="shared" si="19"/>
        <v/>
      </c>
    </row>
    <row r="629" spans="18:19" x14ac:dyDescent="0.25">
      <c r="R629" s="8" t="str">
        <f t="shared" si="18"/>
        <v/>
      </c>
      <c r="S629" s="82" t="str">
        <f t="shared" si="19"/>
        <v/>
      </c>
    </row>
    <row r="630" spans="18:19" x14ac:dyDescent="0.25">
      <c r="R630" s="8" t="str">
        <f t="shared" si="18"/>
        <v/>
      </c>
      <c r="S630" s="82" t="str">
        <f t="shared" si="19"/>
        <v/>
      </c>
    </row>
    <row r="631" spans="18:19" x14ac:dyDescent="0.25">
      <c r="R631" s="8" t="str">
        <f t="shared" si="18"/>
        <v/>
      </c>
      <c r="S631" s="82" t="str">
        <f t="shared" si="19"/>
        <v/>
      </c>
    </row>
    <row r="632" spans="18:19" x14ac:dyDescent="0.25">
      <c r="R632" s="8" t="str">
        <f t="shared" si="18"/>
        <v/>
      </c>
      <c r="S632" s="82" t="str">
        <f t="shared" si="19"/>
        <v/>
      </c>
    </row>
    <row r="633" spans="18:19" x14ac:dyDescent="0.25">
      <c r="R633" s="8" t="str">
        <f t="shared" si="18"/>
        <v/>
      </c>
      <c r="S633" s="82" t="str">
        <f t="shared" si="19"/>
        <v/>
      </c>
    </row>
    <row r="634" spans="18:19" x14ac:dyDescent="0.25">
      <c r="R634" s="8" t="str">
        <f t="shared" si="18"/>
        <v/>
      </c>
      <c r="S634" s="82" t="str">
        <f t="shared" si="19"/>
        <v/>
      </c>
    </row>
    <row r="635" spans="18:19" x14ac:dyDescent="0.25">
      <c r="R635" s="8" t="str">
        <f t="shared" si="18"/>
        <v/>
      </c>
      <c r="S635" s="82" t="str">
        <f t="shared" si="19"/>
        <v/>
      </c>
    </row>
    <row r="636" spans="18:19" x14ac:dyDescent="0.25">
      <c r="R636" s="8" t="str">
        <f t="shared" si="18"/>
        <v/>
      </c>
      <c r="S636" s="82" t="str">
        <f t="shared" si="19"/>
        <v/>
      </c>
    </row>
    <row r="637" spans="18:19" x14ac:dyDescent="0.25">
      <c r="R637" s="8" t="str">
        <f t="shared" si="18"/>
        <v/>
      </c>
      <c r="S637" s="82" t="str">
        <f t="shared" si="19"/>
        <v/>
      </c>
    </row>
    <row r="638" spans="18:19" x14ac:dyDescent="0.25">
      <c r="R638" s="8" t="str">
        <f t="shared" si="18"/>
        <v/>
      </c>
      <c r="S638" s="82" t="str">
        <f t="shared" si="19"/>
        <v/>
      </c>
    </row>
    <row r="639" spans="18:19" x14ac:dyDescent="0.25">
      <c r="R639" s="8" t="str">
        <f t="shared" si="18"/>
        <v/>
      </c>
      <c r="S639" s="82" t="str">
        <f t="shared" si="19"/>
        <v/>
      </c>
    </row>
    <row r="640" spans="18:19" x14ac:dyDescent="0.25">
      <c r="R640" s="8" t="str">
        <f t="shared" si="18"/>
        <v/>
      </c>
      <c r="S640" s="82" t="str">
        <f t="shared" si="19"/>
        <v/>
      </c>
    </row>
    <row r="641" spans="18:19" x14ac:dyDescent="0.25">
      <c r="R641" s="8" t="str">
        <f t="shared" si="18"/>
        <v/>
      </c>
      <c r="S641" s="82" t="str">
        <f t="shared" si="19"/>
        <v/>
      </c>
    </row>
    <row r="642" spans="18:19" x14ac:dyDescent="0.25">
      <c r="R642" s="8" t="str">
        <f t="shared" si="18"/>
        <v/>
      </c>
      <c r="S642" s="82" t="str">
        <f t="shared" si="19"/>
        <v/>
      </c>
    </row>
    <row r="643" spans="18:19" x14ac:dyDescent="0.25">
      <c r="R643" s="8" t="str">
        <f t="shared" si="18"/>
        <v/>
      </c>
      <c r="S643" s="82" t="str">
        <f t="shared" si="19"/>
        <v/>
      </c>
    </row>
    <row r="644" spans="18:19" x14ac:dyDescent="0.25">
      <c r="R644" s="8" t="str">
        <f t="shared" si="18"/>
        <v/>
      </c>
      <c r="S644" s="82" t="str">
        <f t="shared" si="19"/>
        <v/>
      </c>
    </row>
    <row r="645" spans="18:19" x14ac:dyDescent="0.25">
      <c r="R645" s="8" t="str">
        <f t="shared" si="18"/>
        <v/>
      </c>
      <c r="S645" s="82" t="str">
        <f t="shared" si="19"/>
        <v/>
      </c>
    </row>
    <row r="646" spans="18:19" x14ac:dyDescent="0.25">
      <c r="R646" s="8" t="str">
        <f t="shared" si="18"/>
        <v/>
      </c>
      <c r="S646" s="82" t="str">
        <f t="shared" si="19"/>
        <v/>
      </c>
    </row>
    <row r="647" spans="18:19" x14ac:dyDescent="0.25">
      <c r="R647" s="8" t="str">
        <f t="shared" si="18"/>
        <v/>
      </c>
      <c r="S647" s="82" t="str">
        <f t="shared" si="19"/>
        <v/>
      </c>
    </row>
    <row r="648" spans="18:19" x14ac:dyDescent="0.25">
      <c r="R648" s="8" t="str">
        <f t="shared" si="18"/>
        <v/>
      </c>
      <c r="S648" s="82" t="str">
        <f t="shared" si="19"/>
        <v/>
      </c>
    </row>
    <row r="649" spans="18:19" x14ac:dyDescent="0.25">
      <c r="R649" s="8" t="str">
        <f t="shared" si="18"/>
        <v/>
      </c>
      <c r="S649" s="82" t="str">
        <f t="shared" si="19"/>
        <v/>
      </c>
    </row>
    <row r="650" spans="18:19" x14ac:dyDescent="0.25">
      <c r="R650" s="8" t="str">
        <f t="shared" si="18"/>
        <v/>
      </c>
      <c r="S650" s="82" t="str">
        <f t="shared" si="19"/>
        <v/>
      </c>
    </row>
    <row r="651" spans="18:19" x14ac:dyDescent="0.25">
      <c r="R651" s="8" t="str">
        <f t="shared" si="18"/>
        <v/>
      </c>
      <c r="S651" s="82" t="str">
        <f t="shared" si="19"/>
        <v/>
      </c>
    </row>
    <row r="652" spans="18:19" x14ac:dyDescent="0.25">
      <c r="R652" s="8" t="str">
        <f t="shared" si="18"/>
        <v/>
      </c>
      <c r="S652" s="82" t="str">
        <f t="shared" si="19"/>
        <v/>
      </c>
    </row>
    <row r="653" spans="18:19" x14ac:dyDescent="0.25">
      <c r="R653" s="8" t="str">
        <f t="shared" si="18"/>
        <v/>
      </c>
      <c r="S653" s="82" t="str">
        <f t="shared" si="19"/>
        <v/>
      </c>
    </row>
    <row r="654" spans="18:19" x14ac:dyDescent="0.25">
      <c r="R654" s="8" t="str">
        <f t="shared" si="18"/>
        <v/>
      </c>
      <c r="S654" s="82" t="str">
        <f t="shared" si="19"/>
        <v/>
      </c>
    </row>
    <row r="655" spans="18:19" x14ac:dyDescent="0.25">
      <c r="R655" s="8" t="str">
        <f t="shared" si="18"/>
        <v/>
      </c>
      <c r="S655" s="82" t="str">
        <f t="shared" si="19"/>
        <v/>
      </c>
    </row>
    <row r="656" spans="18:19" x14ac:dyDescent="0.25">
      <c r="R656" s="8" t="str">
        <f t="shared" si="18"/>
        <v/>
      </c>
      <c r="S656" s="82" t="str">
        <f t="shared" si="19"/>
        <v/>
      </c>
    </row>
    <row r="657" spans="18:19" x14ac:dyDescent="0.25">
      <c r="R657" s="8" t="str">
        <f t="shared" si="18"/>
        <v/>
      </c>
      <c r="S657" s="82" t="str">
        <f t="shared" si="19"/>
        <v/>
      </c>
    </row>
    <row r="658" spans="18:19" x14ac:dyDescent="0.25">
      <c r="R658" s="8" t="str">
        <f t="shared" si="18"/>
        <v/>
      </c>
      <c r="S658" s="82" t="str">
        <f t="shared" si="19"/>
        <v/>
      </c>
    </row>
    <row r="659" spans="18:19" x14ac:dyDescent="0.25">
      <c r="R659" s="8" t="str">
        <f t="shared" si="18"/>
        <v/>
      </c>
      <c r="S659" s="82" t="str">
        <f t="shared" si="19"/>
        <v/>
      </c>
    </row>
    <row r="660" spans="18:19" x14ac:dyDescent="0.25">
      <c r="R660" s="8" t="str">
        <f t="shared" si="18"/>
        <v/>
      </c>
      <c r="S660" s="82" t="str">
        <f t="shared" si="19"/>
        <v/>
      </c>
    </row>
    <row r="661" spans="18:19" x14ac:dyDescent="0.25">
      <c r="R661" s="8" t="str">
        <f t="shared" si="18"/>
        <v/>
      </c>
      <c r="S661" s="82" t="str">
        <f t="shared" si="19"/>
        <v/>
      </c>
    </row>
    <row r="662" spans="18:19" x14ac:dyDescent="0.25">
      <c r="R662" s="8" t="str">
        <f t="shared" ref="R662:R725" si="20">IF(A662="",(""),(MONTH(A662)))</f>
        <v/>
      </c>
      <c r="S662" s="82" t="str">
        <f t="shared" ref="S662:S725" si="21">IF(B662="",(""),IF(B662="3 - Nota de Crédito A",-Q662,IF(B662="8 - Nota de Crédito B",-Q662,(Q662))))</f>
        <v/>
      </c>
    </row>
    <row r="663" spans="18:19" x14ac:dyDescent="0.25">
      <c r="R663" s="8" t="str">
        <f t="shared" si="20"/>
        <v/>
      </c>
      <c r="S663" s="82" t="str">
        <f t="shared" si="21"/>
        <v/>
      </c>
    </row>
    <row r="664" spans="18:19" x14ac:dyDescent="0.25">
      <c r="R664" s="8" t="str">
        <f t="shared" si="20"/>
        <v/>
      </c>
      <c r="S664" s="82" t="str">
        <f t="shared" si="21"/>
        <v/>
      </c>
    </row>
    <row r="665" spans="18:19" x14ac:dyDescent="0.25">
      <c r="R665" s="8" t="str">
        <f t="shared" si="20"/>
        <v/>
      </c>
      <c r="S665" s="82" t="str">
        <f t="shared" si="21"/>
        <v/>
      </c>
    </row>
    <row r="666" spans="18:19" x14ac:dyDescent="0.25">
      <c r="R666" s="8" t="str">
        <f t="shared" si="20"/>
        <v/>
      </c>
      <c r="S666" s="82" t="str">
        <f t="shared" si="21"/>
        <v/>
      </c>
    </row>
    <row r="667" spans="18:19" x14ac:dyDescent="0.25">
      <c r="R667" s="8" t="str">
        <f t="shared" si="20"/>
        <v/>
      </c>
      <c r="S667" s="82" t="str">
        <f t="shared" si="21"/>
        <v/>
      </c>
    </row>
    <row r="668" spans="18:19" x14ac:dyDescent="0.25">
      <c r="R668" s="8" t="str">
        <f t="shared" si="20"/>
        <v/>
      </c>
      <c r="S668" s="82" t="str">
        <f t="shared" si="21"/>
        <v/>
      </c>
    </row>
    <row r="669" spans="18:19" x14ac:dyDescent="0.25">
      <c r="R669" s="8" t="str">
        <f t="shared" si="20"/>
        <v/>
      </c>
      <c r="S669" s="82" t="str">
        <f t="shared" si="21"/>
        <v/>
      </c>
    </row>
    <row r="670" spans="18:19" x14ac:dyDescent="0.25">
      <c r="R670" s="8" t="str">
        <f t="shared" si="20"/>
        <v/>
      </c>
      <c r="S670" s="82" t="str">
        <f t="shared" si="21"/>
        <v/>
      </c>
    </row>
    <row r="671" spans="18:19" x14ac:dyDescent="0.25">
      <c r="R671" s="8" t="str">
        <f t="shared" si="20"/>
        <v/>
      </c>
      <c r="S671" s="82" t="str">
        <f t="shared" si="21"/>
        <v/>
      </c>
    </row>
    <row r="672" spans="18:19" x14ac:dyDescent="0.25">
      <c r="R672" s="8" t="str">
        <f t="shared" si="20"/>
        <v/>
      </c>
      <c r="S672" s="82" t="str">
        <f t="shared" si="21"/>
        <v/>
      </c>
    </row>
    <row r="673" spans="18:19" x14ac:dyDescent="0.25">
      <c r="R673" s="8" t="str">
        <f t="shared" si="20"/>
        <v/>
      </c>
      <c r="S673" s="82" t="str">
        <f t="shared" si="21"/>
        <v/>
      </c>
    </row>
    <row r="674" spans="18:19" x14ac:dyDescent="0.25">
      <c r="R674" s="8" t="str">
        <f t="shared" si="20"/>
        <v/>
      </c>
      <c r="S674" s="82" t="str">
        <f t="shared" si="21"/>
        <v/>
      </c>
    </row>
    <row r="675" spans="18:19" x14ac:dyDescent="0.25">
      <c r="R675" s="8" t="str">
        <f t="shared" si="20"/>
        <v/>
      </c>
      <c r="S675" s="82" t="str">
        <f t="shared" si="21"/>
        <v/>
      </c>
    </row>
    <row r="676" spans="18:19" x14ac:dyDescent="0.25">
      <c r="R676" s="8" t="str">
        <f t="shared" si="20"/>
        <v/>
      </c>
      <c r="S676" s="82" t="str">
        <f t="shared" si="21"/>
        <v/>
      </c>
    </row>
    <row r="677" spans="18:19" x14ac:dyDescent="0.25">
      <c r="R677" s="8" t="str">
        <f t="shared" si="20"/>
        <v/>
      </c>
      <c r="S677" s="82" t="str">
        <f t="shared" si="21"/>
        <v/>
      </c>
    </row>
    <row r="678" spans="18:19" x14ac:dyDescent="0.25">
      <c r="R678" s="8" t="str">
        <f t="shared" si="20"/>
        <v/>
      </c>
      <c r="S678" s="82" t="str">
        <f t="shared" si="21"/>
        <v/>
      </c>
    </row>
    <row r="679" spans="18:19" x14ac:dyDescent="0.25">
      <c r="R679" s="8" t="str">
        <f t="shared" si="20"/>
        <v/>
      </c>
      <c r="S679" s="82" t="str">
        <f t="shared" si="21"/>
        <v/>
      </c>
    </row>
    <row r="680" spans="18:19" x14ac:dyDescent="0.25">
      <c r="R680" s="8" t="str">
        <f t="shared" si="20"/>
        <v/>
      </c>
      <c r="S680" s="82" t="str">
        <f t="shared" si="21"/>
        <v/>
      </c>
    </row>
    <row r="681" spans="18:19" x14ac:dyDescent="0.25">
      <c r="R681" s="8" t="str">
        <f t="shared" si="20"/>
        <v/>
      </c>
      <c r="S681" s="82" t="str">
        <f t="shared" si="21"/>
        <v/>
      </c>
    </row>
    <row r="682" spans="18:19" x14ac:dyDescent="0.25">
      <c r="R682" s="8" t="str">
        <f t="shared" si="20"/>
        <v/>
      </c>
      <c r="S682" s="82" t="str">
        <f t="shared" si="21"/>
        <v/>
      </c>
    </row>
    <row r="683" spans="18:19" x14ac:dyDescent="0.25">
      <c r="R683" s="8" t="str">
        <f t="shared" si="20"/>
        <v/>
      </c>
      <c r="S683" s="82" t="str">
        <f t="shared" si="21"/>
        <v/>
      </c>
    </row>
    <row r="684" spans="18:19" x14ac:dyDescent="0.25">
      <c r="R684" s="8" t="str">
        <f t="shared" si="20"/>
        <v/>
      </c>
      <c r="S684" s="82" t="str">
        <f t="shared" si="21"/>
        <v/>
      </c>
    </row>
    <row r="685" spans="18:19" x14ac:dyDescent="0.25">
      <c r="R685" s="8" t="str">
        <f t="shared" si="20"/>
        <v/>
      </c>
      <c r="S685" s="82" t="str">
        <f t="shared" si="21"/>
        <v/>
      </c>
    </row>
    <row r="686" spans="18:19" x14ac:dyDescent="0.25">
      <c r="R686" s="8" t="str">
        <f t="shared" si="20"/>
        <v/>
      </c>
      <c r="S686" s="82" t="str">
        <f t="shared" si="21"/>
        <v/>
      </c>
    </row>
    <row r="687" spans="18:19" x14ac:dyDescent="0.25">
      <c r="R687" s="8" t="str">
        <f t="shared" si="20"/>
        <v/>
      </c>
      <c r="S687" s="82" t="str">
        <f t="shared" si="21"/>
        <v/>
      </c>
    </row>
    <row r="688" spans="18:19" x14ac:dyDescent="0.25">
      <c r="R688" s="8" t="str">
        <f t="shared" si="20"/>
        <v/>
      </c>
      <c r="S688" s="82" t="str">
        <f t="shared" si="21"/>
        <v/>
      </c>
    </row>
    <row r="689" spans="18:19" x14ac:dyDescent="0.25">
      <c r="R689" s="8" t="str">
        <f t="shared" si="20"/>
        <v/>
      </c>
      <c r="S689" s="82" t="str">
        <f t="shared" si="21"/>
        <v/>
      </c>
    </row>
    <row r="690" spans="18:19" x14ac:dyDescent="0.25">
      <c r="R690" s="8" t="str">
        <f t="shared" si="20"/>
        <v/>
      </c>
      <c r="S690" s="82" t="str">
        <f t="shared" si="21"/>
        <v/>
      </c>
    </row>
    <row r="691" spans="18:19" x14ac:dyDescent="0.25">
      <c r="R691" s="8" t="str">
        <f t="shared" si="20"/>
        <v/>
      </c>
      <c r="S691" s="82" t="str">
        <f t="shared" si="21"/>
        <v/>
      </c>
    </row>
    <row r="692" spans="18:19" x14ac:dyDescent="0.25">
      <c r="R692" s="8" t="str">
        <f t="shared" si="20"/>
        <v/>
      </c>
      <c r="S692" s="82" t="str">
        <f t="shared" si="21"/>
        <v/>
      </c>
    </row>
    <row r="693" spans="18:19" x14ac:dyDescent="0.25">
      <c r="R693" s="8" t="str">
        <f t="shared" si="20"/>
        <v/>
      </c>
      <c r="S693" s="82" t="str">
        <f t="shared" si="21"/>
        <v/>
      </c>
    </row>
    <row r="694" spans="18:19" x14ac:dyDescent="0.25">
      <c r="R694" s="8" t="str">
        <f t="shared" si="20"/>
        <v/>
      </c>
      <c r="S694" s="82" t="str">
        <f t="shared" si="21"/>
        <v/>
      </c>
    </row>
    <row r="695" spans="18:19" x14ac:dyDescent="0.25">
      <c r="R695" s="8" t="str">
        <f t="shared" si="20"/>
        <v/>
      </c>
      <c r="S695" s="82" t="str">
        <f t="shared" si="21"/>
        <v/>
      </c>
    </row>
    <row r="696" spans="18:19" x14ac:dyDescent="0.25">
      <c r="R696" s="8" t="str">
        <f t="shared" si="20"/>
        <v/>
      </c>
      <c r="S696" s="82" t="str">
        <f t="shared" si="21"/>
        <v/>
      </c>
    </row>
    <row r="697" spans="18:19" x14ac:dyDescent="0.25">
      <c r="R697" s="8" t="str">
        <f t="shared" si="20"/>
        <v/>
      </c>
      <c r="S697" s="82" t="str">
        <f t="shared" si="21"/>
        <v/>
      </c>
    </row>
    <row r="698" spans="18:19" x14ac:dyDescent="0.25">
      <c r="R698" s="8" t="str">
        <f t="shared" si="20"/>
        <v/>
      </c>
      <c r="S698" s="82" t="str">
        <f t="shared" si="21"/>
        <v/>
      </c>
    </row>
    <row r="699" spans="18:19" x14ac:dyDescent="0.25">
      <c r="R699" s="8" t="str">
        <f t="shared" si="20"/>
        <v/>
      </c>
      <c r="S699" s="82" t="str">
        <f t="shared" si="21"/>
        <v/>
      </c>
    </row>
    <row r="700" spans="18:19" x14ac:dyDescent="0.25">
      <c r="R700" s="8" t="str">
        <f t="shared" si="20"/>
        <v/>
      </c>
      <c r="S700" s="82" t="str">
        <f t="shared" si="21"/>
        <v/>
      </c>
    </row>
    <row r="701" spans="18:19" x14ac:dyDescent="0.25">
      <c r="R701" s="8" t="str">
        <f t="shared" si="20"/>
        <v/>
      </c>
      <c r="S701" s="82" t="str">
        <f t="shared" si="21"/>
        <v/>
      </c>
    </row>
    <row r="702" spans="18:19" x14ac:dyDescent="0.25">
      <c r="R702" s="8" t="str">
        <f t="shared" si="20"/>
        <v/>
      </c>
      <c r="S702" s="82" t="str">
        <f t="shared" si="21"/>
        <v/>
      </c>
    </row>
    <row r="703" spans="18:19" x14ac:dyDescent="0.25">
      <c r="R703" s="8" t="str">
        <f t="shared" si="20"/>
        <v/>
      </c>
      <c r="S703" s="82" t="str">
        <f t="shared" si="21"/>
        <v/>
      </c>
    </row>
    <row r="704" spans="18:19" x14ac:dyDescent="0.25">
      <c r="R704" s="8" t="str">
        <f t="shared" si="20"/>
        <v/>
      </c>
      <c r="S704" s="82" t="str">
        <f t="shared" si="21"/>
        <v/>
      </c>
    </row>
    <row r="705" spans="18:19" x14ac:dyDescent="0.25">
      <c r="R705" s="8" t="str">
        <f t="shared" si="20"/>
        <v/>
      </c>
      <c r="S705" s="82" t="str">
        <f t="shared" si="21"/>
        <v/>
      </c>
    </row>
    <row r="706" spans="18:19" x14ac:dyDescent="0.25">
      <c r="R706" s="8" t="str">
        <f t="shared" si="20"/>
        <v/>
      </c>
      <c r="S706" s="82" t="str">
        <f t="shared" si="21"/>
        <v/>
      </c>
    </row>
    <row r="707" spans="18:19" x14ac:dyDescent="0.25">
      <c r="R707" s="8" t="str">
        <f t="shared" si="20"/>
        <v/>
      </c>
      <c r="S707" s="82" t="str">
        <f t="shared" si="21"/>
        <v/>
      </c>
    </row>
    <row r="708" spans="18:19" x14ac:dyDescent="0.25">
      <c r="R708" s="8" t="str">
        <f t="shared" si="20"/>
        <v/>
      </c>
      <c r="S708" s="82" t="str">
        <f t="shared" si="21"/>
        <v/>
      </c>
    </row>
    <row r="709" spans="18:19" x14ac:dyDescent="0.25">
      <c r="R709" s="8" t="str">
        <f t="shared" si="20"/>
        <v/>
      </c>
      <c r="S709" s="82" t="str">
        <f t="shared" si="21"/>
        <v/>
      </c>
    </row>
    <row r="710" spans="18:19" x14ac:dyDescent="0.25">
      <c r="R710" s="8" t="str">
        <f t="shared" si="20"/>
        <v/>
      </c>
      <c r="S710" s="82" t="str">
        <f t="shared" si="21"/>
        <v/>
      </c>
    </row>
    <row r="711" spans="18:19" x14ac:dyDescent="0.25">
      <c r="R711" s="8" t="str">
        <f t="shared" si="20"/>
        <v/>
      </c>
      <c r="S711" s="82" t="str">
        <f t="shared" si="21"/>
        <v/>
      </c>
    </row>
    <row r="712" spans="18:19" x14ac:dyDescent="0.25">
      <c r="R712" s="8" t="str">
        <f t="shared" si="20"/>
        <v/>
      </c>
      <c r="S712" s="82" t="str">
        <f t="shared" si="21"/>
        <v/>
      </c>
    </row>
    <row r="713" spans="18:19" x14ac:dyDescent="0.25">
      <c r="R713" s="8" t="str">
        <f t="shared" si="20"/>
        <v/>
      </c>
      <c r="S713" s="82" t="str">
        <f t="shared" si="21"/>
        <v/>
      </c>
    </row>
    <row r="714" spans="18:19" x14ac:dyDescent="0.25">
      <c r="R714" s="8" t="str">
        <f t="shared" si="20"/>
        <v/>
      </c>
      <c r="S714" s="82" t="str">
        <f t="shared" si="21"/>
        <v/>
      </c>
    </row>
    <row r="715" spans="18:19" x14ac:dyDescent="0.25">
      <c r="R715" s="8" t="str">
        <f t="shared" si="20"/>
        <v/>
      </c>
      <c r="S715" s="82" t="str">
        <f t="shared" si="21"/>
        <v/>
      </c>
    </row>
    <row r="716" spans="18:19" x14ac:dyDescent="0.25">
      <c r="R716" s="8" t="str">
        <f t="shared" si="20"/>
        <v/>
      </c>
      <c r="S716" s="82" t="str">
        <f t="shared" si="21"/>
        <v/>
      </c>
    </row>
    <row r="717" spans="18:19" x14ac:dyDescent="0.25">
      <c r="R717" s="8" t="str">
        <f t="shared" si="20"/>
        <v/>
      </c>
      <c r="S717" s="82" t="str">
        <f t="shared" si="21"/>
        <v/>
      </c>
    </row>
    <row r="718" spans="18:19" x14ac:dyDescent="0.25">
      <c r="R718" s="8" t="str">
        <f t="shared" si="20"/>
        <v/>
      </c>
      <c r="S718" s="82" t="str">
        <f t="shared" si="21"/>
        <v/>
      </c>
    </row>
    <row r="719" spans="18:19" x14ac:dyDescent="0.25">
      <c r="R719" s="8" t="str">
        <f t="shared" si="20"/>
        <v/>
      </c>
      <c r="S719" s="82" t="str">
        <f t="shared" si="21"/>
        <v/>
      </c>
    </row>
    <row r="720" spans="18:19" x14ac:dyDescent="0.25">
      <c r="R720" s="8" t="str">
        <f t="shared" si="20"/>
        <v/>
      </c>
      <c r="S720" s="82" t="str">
        <f t="shared" si="21"/>
        <v/>
      </c>
    </row>
    <row r="721" spans="18:19" x14ac:dyDescent="0.25">
      <c r="R721" s="8" t="str">
        <f t="shared" si="20"/>
        <v/>
      </c>
      <c r="S721" s="82" t="str">
        <f t="shared" si="21"/>
        <v/>
      </c>
    </row>
    <row r="722" spans="18:19" x14ac:dyDescent="0.25">
      <c r="R722" s="8" t="str">
        <f t="shared" si="20"/>
        <v/>
      </c>
      <c r="S722" s="82" t="str">
        <f t="shared" si="21"/>
        <v/>
      </c>
    </row>
    <row r="723" spans="18:19" x14ac:dyDescent="0.25">
      <c r="R723" s="8" t="str">
        <f t="shared" si="20"/>
        <v/>
      </c>
      <c r="S723" s="82" t="str">
        <f t="shared" si="21"/>
        <v/>
      </c>
    </row>
    <row r="724" spans="18:19" x14ac:dyDescent="0.25">
      <c r="R724" s="8" t="str">
        <f t="shared" si="20"/>
        <v/>
      </c>
      <c r="S724" s="82" t="str">
        <f t="shared" si="21"/>
        <v/>
      </c>
    </row>
    <row r="725" spans="18:19" x14ac:dyDescent="0.25">
      <c r="R725" s="8" t="str">
        <f t="shared" si="20"/>
        <v/>
      </c>
      <c r="S725" s="82" t="str">
        <f t="shared" si="21"/>
        <v/>
      </c>
    </row>
    <row r="726" spans="18:19" x14ac:dyDescent="0.25">
      <c r="R726" s="8" t="str">
        <f t="shared" ref="R726:R775" si="22">IF(A726="",(""),(MONTH(A726)))</f>
        <v/>
      </c>
      <c r="S726" s="82" t="str">
        <f t="shared" ref="S726:S775" si="23">IF(B726="",(""),IF(B726="3 - Nota de Crédito A",-Q726,IF(B726="8 - Nota de Crédito B",-Q726,(Q726))))</f>
        <v/>
      </c>
    </row>
    <row r="727" spans="18:19" x14ac:dyDescent="0.25">
      <c r="R727" s="8" t="str">
        <f t="shared" si="22"/>
        <v/>
      </c>
      <c r="S727" s="82" t="str">
        <f t="shared" si="23"/>
        <v/>
      </c>
    </row>
    <row r="728" spans="18:19" x14ac:dyDescent="0.25">
      <c r="R728" s="8" t="str">
        <f t="shared" si="22"/>
        <v/>
      </c>
      <c r="S728" s="82" t="str">
        <f t="shared" si="23"/>
        <v/>
      </c>
    </row>
    <row r="729" spans="18:19" x14ac:dyDescent="0.25">
      <c r="R729" s="8" t="str">
        <f t="shared" si="22"/>
        <v/>
      </c>
      <c r="S729" s="82" t="str">
        <f t="shared" si="23"/>
        <v/>
      </c>
    </row>
    <row r="730" spans="18:19" x14ac:dyDescent="0.25">
      <c r="R730" s="8" t="str">
        <f t="shared" si="22"/>
        <v/>
      </c>
      <c r="S730" s="82" t="str">
        <f t="shared" si="23"/>
        <v/>
      </c>
    </row>
    <row r="731" spans="18:19" x14ac:dyDescent="0.25">
      <c r="R731" s="8" t="str">
        <f t="shared" si="22"/>
        <v/>
      </c>
      <c r="S731" s="82" t="str">
        <f t="shared" si="23"/>
        <v/>
      </c>
    </row>
    <row r="732" spans="18:19" x14ac:dyDescent="0.25">
      <c r="R732" s="8" t="str">
        <f t="shared" si="22"/>
        <v/>
      </c>
      <c r="S732" s="82" t="str">
        <f t="shared" si="23"/>
        <v/>
      </c>
    </row>
    <row r="733" spans="18:19" x14ac:dyDescent="0.25">
      <c r="R733" s="8" t="str">
        <f t="shared" si="22"/>
        <v/>
      </c>
      <c r="S733" s="82" t="str">
        <f t="shared" si="23"/>
        <v/>
      </c>
    </row>
    <row r="734" spans="18:19" x14ac:dyDescent="0.25">
      <c r="R734" s="8" t="str">
        <f t="shared" si="22"/>
        <v/>
      </c>
      <c r="S734" s="82" t="str">
        <f t="shared" si="23"/>
        <v/>
      </c>
    </row>
    <row r="735" spans="18:19" x14ac:dyDescent="0.25">
      <c r="R735" s="8" t="str">
        <f t="shared" si="22"/>
        <v/>
      </c>
      <c r="S735" s="82" t="str">
        <f t="shared" si="23"/>
        <v/>
      </c>
    </row>
    <row r="736" spans="18:19" x14ac:dyDescent="0.25">
      <c r="R736" s="8" t="str">
        <f t="shared" si="22"/>
        <v/>
      </c>
      <c r="S736" s="82" t="str">
        <f t="shared" si="23"/>
        <v/>
      </c>
    </row>
    <row r="737" spans="18:19" x14ac:dyDescent="0.25">
      <c r="R737" s="8" t="str">
        <f t="shared" si="22"/>
        <v/>
      </c>
      <c r="S737" s="82" t="str">
        <f t="shared" si="23"/>
        <v/>
      </c>
    </row>
    <row r="738" spans="18:19" x14ac:dyDescent="0.25">
      <c r="R738" s="8" t="str">
        <f t="shared" si="22"/>
        <v/>
      </c>
      <c r="S738" s="82" t="str">
        <f t="shared" si="23"/>
        <v/>
      </c>
    </row>
    <row r="739" spans="18:19" x14ac:dyDescent="0.25">
      <c r="R739" s="8" t="str">
        <f t="shared" si="22"/>
        <v/>
      </c>
      <c r="S739" s="82" t="str">
        <f t="shared" si="23"/>
        <v/>
      </c>
    </row>
    <row r="740" spans="18:19" x14ac:dyDescent="0.25">
      <c r="R740" s="8" t="str">
        <f t="shared" si="22"/>
        <v/>
      </c>
      <c r="S740" s="82" t="str">
        <f t="shared" si="23"/>
        <v/>
      </c>
    </row>
    <row r="741" spans="18:19" x14ac:dyDescent="0.25">
      <c r="R741" s="8" t="str">
        <f t="shared" si="22"/>
        <v/>
      </c>
      <c r="S741" s="82" t="str">
        <f t="shared" si="23"/>
        <v/>
      </c>
    </row>
    <row r="742" spans="18:19" x14ac:dyDescent="0.25">
      <c r="R742" s="8" t="str">
        <f t="shared" si="22"/>
        <v/>
      </c>
      <c r="S742" s="82" t="str">
        <f t="shared" si="23"/>
        <v/>
      </c>
    </row>
    <row r="743" spans="18:19" x14ac:dyDescent="0.25">
      <c r="R743" s="8" t="str">
        <f t="shared" si="22"/>
        <v/>
      </c>
      <c r="S743" s="82" t="str">
        <f t="shared" si="23"/>
        <v/>
      </c>
    </row>
    <row r="744" spans="18:19" x14ac:dyDescent="0.25">
      <c r="R744" s="8" t="str">
        <f t="shared" si="22"/>
        <v/>
      </c>
      <c r="S744" s="82" t="str">
        <f t="shared" si="23"/>
        <v/>
      </c>
    </row>
    <row r="745" spans="18:19" x14ac:dyDescent="0.25">
      <c r="R745" s="8" t="str">
        <f t="shared" si="22"/>
        <v/>
      </c>
      <c r="S745" s="82" t="str">
        <f t="shared" si="23"/>
        <v/>
      </c>
    </row>
    <row r="746" spans="18:19" x14ac:dyDescent="0.25">
      <c r="R746" s="8" t="str">
        <f t="shared" si="22"/>
        <v/>
      </c>
      <c r="S746" s="82" t="str">
        <f t="shared" si="23"/>
        <v/>
      </c>
    </row>
    <row r="747" spans="18:19" x14ac:dyDescent="0.25">
      <c r="R747" s="8" t="str">
        <f t="shared" si="22"/>
        <v/>
      </c>
      <c r="S747" s="82" t="str">
        <f t="shared" si="23"/>
        <v/>
      </c>
    </row>
    <row r="748" spans="18:19" x14ac:dyDescent="0.25">
      <c r="R748" s="8" t="str">
        <f t="shared" si="22"/>
        <v/>
      </c>
      <c r="S748" s="82" t="str">
        <f t="shared" si="23"/>
        <v/>
      </c>
    </row>
    <row r="749" spans="18:19" x14ac:dyDescent="0.25">
      <c r="R749" s="8" t="str">
        <f t="shared" si="22"/>
        <v/>
      </c>
      <c r="S749" s="82" t="str">
        <f t="shared" si="23"/>
        <v/>
      </c>
    </row>
    <row r="750" spans="18:19" x14ac:dyDescent="0.25">
      <c r="R750" s="8" t="str">
        <f t="shared" si="22"/>
        <v/>
      </c>
      <c r="S750" s="82" t="str">
        <f t="shared" si="23"/>
        <v/>
      </c>
    </row>
    <row r="751" spans="18:19" x14ac:dyDescent="0.25">
      <c r="R751" s="8" t="str">
        <f t="shared" si="22"/>
        <v/>
      </c>
      <c r="S751" s="82" t="str">
        <f t="shared" si="23"/>
        <v/>
      </c>
    </row>
    <row r="752" spans="18:19" x14ac:dyDescent="0.25">
      <c r="R752" s="8" t="str">
        <f t="shared" si="22"/>
        <v/>
      </c>
      <c r="S752" s="82" t="str">
        <f t="shared" si="23"/>
        <v/>
      </c>
    </row>
    <row r="753" spans="18:19" x14ac:dyDescent="0.25">
      <c r="R753" s="8" t="str">
        <f t="shared" si="22"/>
        <v/>
      </c>
      <c r="S753" s="82" t="str">
        <f t="shared" si="23"/>
        <v/>
      </c>
    </row>
    <row r="754" spans="18:19" x14ac:dyDescent="0.25">
      <c r="R754" s="8" t="str">
        <f t="shared" si="22"/>
        <v/>
      </c>
      <c r="S754" s="82" t="str">
        <f t="shared" si="23"/>
        <v/>
      </c>
    </row>
    <row r="755" spans="18:19" x14ac:dyDescent="0.25">
      <c r="R755" s="8" t="str">
        <f t="shared" si="22"/>
        <v/>
      </c>
      <c r="S755" s="82" t="str">
        <f t="shared" si="23"/>
        <v/>
      </c>
    </row>
    <row r="756" spans="18:19" x14ac:dyDescent="0.25">
      <c r="R756" s="8" t="str">
        <f t="shared" si="22"/>
        <v/>
      </c>
      <c r="S756" s="82" t="str">
        <f t="shared" si="23"/>
        <v/>
      </c>
    </row>
    <row r="757" spans="18:19" x14ac:dyDescent="0.25">
      <c r="R757" s="8" t="str">
        <f t="shared" si="22"/>
        <v/>
      </c>
      <c r="S757" s="82" t="str">
        <f t="shared" si="23"/>
        <v/>
      </c>
    </row>
    <row r="758" spans="18:19" x14ac:dyDescent="0.25">
      <c r="R758" s="8" t="str">
        <f t="shared" si="22"/>
        <v/>
      </c>
      <c r="S758" s="82" t="str">
        <f t="shared" si="23"/>
        <v/>
      </c>
    </row>
    <row r="759" spans="18:19" x14ac:dyDescent="0.25">
      <c r="R759" s="8" t="str">
        <f t="shared" si="22"/>
        <v/>
      </c>
      <c r="S759" s="82" t="str">
        <f t="shared" si="23"/>
        <v/>
      </c>
    </row>
    <row r="760" spans="18:19" x14ac:dyDescent="0.25">
      <c r="R760" s="8" t="str">
        <f t="shared" si="22"/>
        <v/>
      </c>
      <c r="S760" s="82" t="str">
        <f t="shared" si="23"/>
        <v/>
      </c>
    </row>
    <row r="761" spans="18:19" x14ac:dyDescent="0.25">
      <c r="R761" s="8" t="str">
        <f t="shared" si="22"/>
        <v/>
      </c>
      <c r="S761" s="82" t="str">
        <f t="shared" si="23"/>
        <v/>
      </c>
    </row>
    <row r="762" spans="18:19" x14ac:dyDescent="0.25">
      <c r="R762" s="8" t="str">
        <f t="shared" si="22"/>
        <v/>
      </c>
      <c r="S762" s="82" t="str">
        <f t="shared" si="23"/>
        <v/>
      </c>
    </row>
    <row r="763" spans="18:19" x14ac:dyDescent="0.25">
      <c r="R763" s="8" t="str">
        <f t="shared" si="22"/>
        <v/>
      </c>
      <c r="S763" s="82" t="str">
        <f t="shared" si="23"/>
        <v/>
      </c>
    </row>
    <row r="764" spans="18:19" x14ac:dyDescent="0.25">
      <c r="R764" s="8" t="str">
        <f t="shared" si="22"/>
        <v/>
      </c>
      <c r="S764" s="82" t="str">
        <f t="shared" si="23"/>
        <v/>
      </c>
    </row>
    <row r="765" spans="18:19" x14ac:dyDescent="0.25">
      <c r="R765" s="8" t="str">
        <f t="shared" si="22"/>
        <v/>
      </c>
      <c r="S765" s="82" t="str">
        <f t="shared" si="23"/>
        <v/>
      </c>
    </row>
    <row r="766" spans="18:19" x14ac:dyDescent="0.25">
      <c r="R766" s="8" t="str">
        <f t="shared" si="22"/>
        <v/>
      </c>
      <c r="S766" s="82" t="str">
        <f t="shared" si="23"/>
        <v/>
      </c>
    </row>
    <row r="767" spans="18:19" x14ac:dyDescent="0.25">
      <c r="R767" s="8" t="str">
        <f t="shared" si="22"/>
        <v/>
      </c>
      <c r="S767" s="82" t="str">
        <f t="shared" si="23"/>
        <v/>
      </c>
    </row>
    <row r="768" spans="18:19" x14ac:dyDescent="0.25">
      <c r="R768" s="8" t="str">
        <f t="shared" si="22"/>
        <v/>
      </c>
      <c r="S768" s="82" t="str">
        <f t="shared" si="23"/>
        <v/>
      </c>
    </row>
    <row r="769" spans="18:19" x14ac:dyDescent="0.25">
      <c r="R769" s="8" t="str">
        <f t="shared" si="22"/>
        <v/>
      </c>
      <c r="S769" s="82" t="str">
        <f t="shared" si="23"/>
        <v/>
      </c>
    </row>
    <row r="770" spans="18:19" x14ac:dyDescent="0.25">
      <c r="R770" s="8" t="str">
        <f t="shared" si="22"/>
        <v/>
      </c>
      <c r="S770" s="82" t="str">
        <f t="shared" si="23"/>
        <v/>
      </c>
    </row>
    <row r="771" spans="18:19" x14ac:dyDescent="0.25">
      <c r="R771" s="8" t="str">
        <f t="shared" si="22"/>
        <v/>
      </c>
      <c r="S771" s="82" t="str">
        <f t="shared" si="23"/>
        <v/>
      </c>
    </row>
    <row r="772" spans="18:19" x14ac:dyDescent="0.25">
      <c r="R772" s="8" t="str">
        <f t="shared" si="22"/>
        <v/>
      </c>
      <c r="S772" s="82" t="str">
        <f t="shared" si="23"/>
        <v/>
      </c>
    </row>
    <row r="773" spans="18:19" x14ac:dyDescent="0.25">
      <c r="R773" s="8" t="str">
        <f t="shared" si="22"/>
        <v/>
      </c>
      <c r="S773" s="82" t="str">
        <f t="shared" si="23"/>
        <v/>
      </c>
    </row>
    <row r="774" spans="18:19" x14ac:dyDescent="0.25">
      <c r="R774" s="8" t="str">
        <f t="shared" si="22"/>
        <v/>
      </c>
      <c r="S774" s="82" t="str">
        <f t="shared" si="23"/>
        <v/>
      </c>
    </row>
    <row r="775" spans="18:19" x14ac:dyDescent="0.25">
      <c r="R775" s="8" t="str">
        <f t="shared" si="22"/>
        <v/>
      </c>
      <c r="S775" s="82" t="str">
        <f t="shared" si="23"/>
        <v/>
      </c>
    </row>
    <row r="776" spans="18:19" x14ac:dyDescent="0.25">
      <c r="R776" s="8" t="str">
        <f t="shared" ref="R776:R839" si="24">IF(A776="",(""),(MONTH(A776)))</f>
        <v/>
      </c>
      <c r="S776" s="82" t="str">
        <f t="shared" ref="S776:S839" si="25">IF(B776="",(""),IF(B776="3 - Nota de Crédito A",-Q776,IF(B776="8 - Nota de Crédito B",-Q776,(Q776))))</f>
        <v/>
      </c>
    </row>
    <row r="777" spans="18:19" x14ac:dyDescent="0.25">
      <c r="R777" s="8" t="str">
        <f t="shared" si="24"/>
        <v/>
      </c>
      <c r="S777" s="82" t="str">
        <f t="shared" si="25"/>
        <v/>
      </c>
    </row>
    <row r="778" spans="18:19" x14ac:dyDescent="0.25">
      <c r="R778" s="8" t="str">
        <f t="shared" si="24"/>
        <v/>
      </c>
      <c r="S778" s="82" t="str">
        <f t="shared" si="25"/>
        <v/>
      </c>
    </row>
    <row r="779" spans="18:19" x14ac:dyDescent="0.25">
      <c r="R779" s="8" t="str">
        <f t="shared" si="24"/>
        <v/>
      </c>
      <c r="S779" s="82" t="str">
        <f t="shared" si="25"/>
        <v/>
      </c>
    </row>
    <row r="780" spans="18:19" x14ac:dyDescent="0.25">
      <c r="R780" s="8" t="str">
        <f t="shared" si="24"/>
        <v/>
      </c>
      <c r="S780" s="82" t="str">
        <f t="shared" si="25"/>
        <v/>
      </c>
    </row>
    <row r="781" spans="18:19" x14ac:dyDescent="0.25">
      <c r="R781" s="8" t="str">
        <f t="shared" si="24"/>
        <v/>
      </c>
      <c r="S781" s="82" t="str">
        <f t="shared" si="25"/>
        <v/>
      </c>
    </row>
    <row r="782" spans="18:19" x14ac:dyDescent="0.25">
      <c r="R782" s="8" t="str">
        <f t="shared" si="24"/>
        <v/>
      </c>
      <c r="S782" s="82" t="str">
        <f t="shared" si="25"/>
        <v/>
      </c>
    </row>
    <row r="783" spans="18:19" x14ac:dyDescent="0.25">
      <c r="R783" s="8" t="str">
        <f t="shared" si="24"/>
        <v/>
      </c>
      <c r="S783" s="82" t="str">
        <f t="shared" si="25"/>
        <v/>
      </c>
    </row>
    <row r="784" spans="18:19" x14ac:dyDescent="0.25">
      <c r="R784" s="8" t="str">
        <f t="shared" si="24"/>
        <v/>
      </c>
      <c r="S784" s="82" t="str">
        <f t="shared" si="25"/>
        <v/>
      </c>
    </row>
    <row r="785" spans="18:19" x14ac:dyDescent="0.25">
      <c r="R785" s="8" t="str">
        <f t="shared" si="24"/>
        <v/>
      </c>
      <c r="S785" s="82" t="str">
        <f t="shared" si="25"/>
        <v/>
      </c>
    </row>
    <row r="786" spans="18:19" x14ac:dyDescent="0.25">
      <c r="R786" s="8" t="str">
        <f t="shared" si="24"/>
        <v/>
      </c>
      <c r="S786" s="82" t="str">
        <f t="shared" si="25"/>
        <v/>
      </c>
    </row>
    <row r="787" spans="18:19" x14ac:dyDescent="0.25">
      <c r="R787" s="8" t="str">
        <f t="shared" si="24"/>
        <v/>
      </c>
      <c r="S787" s="82" t="str">
        <f t="shared" si="25"/>
        <v/>
      </c>
    </row>
    <row r="788" spans="18:19" x14ac:dyDescent="0.25">
      <c r="R788" s="8" t="str">
        <f t="shared" si="24"/>
        <v/>
      </c>
      <c r="S788" s="82" t="str">
        <f t="shared" si="25"/>
        <v/>
      </c>
    </row>
    <row r="789" spans="18:19" x14ac:dyDescent="0.25">
      <c r="R789" s="8" t="str">
        <f t="shared" si="24"/>
        <v/>
      </c>
      <c r="S789" s="82" t="str">
        <f t="shared" si="25"/>
        <v/>
      </c>
    </row>
    <row r="790" spans="18:19" x14ac:dyDescent="0.25">
      <c r="R790" s="8" t="str">
        <f t="shared" si="24"/>
        <v/>
      </c>
      <c r="S790" s="82" t="str">
        <f t="shared" si="25"/>
        <v/>
      </c>
    </row>
    <row r="791" spans="18:19" x14ac:dyDescent="0.25">
      <c r="R791" s="8" t="str">
        <f t="shared" si="24"/>
        <v/>
      </c>
      <c r="S791" s="82" t="str">
        <f t="shared" si="25"/>
        <v/>
      </c>
    </row>
    <row r="792" spans="18:19" x14ac:dyDescent="0.25">
      <c r="R792" s="8" t="str">
        <f t="shared" si="24"/>
        <v/>
      </c>
      <c r="S792" s="82" t="str">
        <f t="shared" si="25"/>
        <v/>
      </c>
    </row>
    <row r="793" spans="18:19" x14ac:dyDescent="0.25">
      <c r="R793" s="8" t="str">
        <f t="shared" si="24"/>
        <v/>
      </c>
      <c r="S793" s="82" t="str">
        <f t="shared" si="25"/>
        <v/>
      </c>
    </row>
    <row r="794" spans="18:19" x14ac:dyDescent="0.25">
      <c r="R794" s="8" t="str">
        <f t="shared" si="24"/>
        <v/>
      </c>
      <c r="S794" s="82" t="str">
        <f t="shared" si="25"/>
        <v/>
      </c>
    </row>
    <row r="795" spans="18:19" x14ac:dyDescent="0.25">
      <c r="R795" s="8" t="str">
        <f t="shared" si="24"/>
        <v/>
      </c>
      <c r="S795" s="82" t="str">
        <f t="shared" si="25"/>
        <v/>
      </c>
    </row>
    <row r="796" spans="18:19" x14ac:dyDescent="0.25">
      <c r="R796" s="8" t="str">
        <f t="shared" si="24"/>
        <v/>
      </c>
      <c r="S796" s="82" t="str">
        <f t="shared" si="25"/>
        <v/>
      </c>
    </row>
    <row r="797" spans="18:19" x14ac:dyDescent="0.25">
      <c r="R797" s="8" t="str">
        <f t="shared" si="24"/>
        <v/>
      </c>
      <c r="S797" s="82" t="str">
        <f t="shared" si="25"/>
        <v/>
      </c>
    </row>
    <row r="798" spans="18:19" x14ac:dyDescent="0.25">
      <c r="R798" s="8" t="str">
        <f t="shared" si="24"/>
        <v/>
      </c>
      <c r="S798" s="82" t="str">
        <f t="shared" si="25"/>
        <v/>
      </c>
    </row>
    <row r="799" spans="18:19" x14ac:dyDescent="0.25">
      <c r="R799" s="8" t="str">
        <f t="shared" si="24"/>
        <v/>
      </c>
      <c r="S799" s="82" t="str">
        <f t="shared" si="25"/>
        <v/>
      </c>
    </row>
    <row r="800" spans="18:19" x14ac:dyDescent="0.25">
      <c r="R800" s="8" t="str">
        <f t="shared" si="24"/>
        <v/>
      </c>
      <c r="S800" s="82" t="str">
        <f t="shared" si="25"/>
        <v/>
      </c>
    </row>
    <row r="801" spans="18:19" x14ac:dyDescent="0.25">
      <c r="R801" s="8" t="str">
        <f t="shared" si="24"/>
        <v/>
      </c>
      <c r="S801" s="82" t="str">
        <f t="shared" si="25"/>
        <v/>
      </c>
    </row>
    <row r="802" spans="18:19" x14ac:dyDescent="0.25">
      <c r="R802" s="8" t="str">
        <f t="shared" si="24"/>
        <v/>
      </c>
      <c r="S802" s="82" t="str">
        <f t="shared" si="25"/>
        <v/>
      </c>
    </row>
    <row r="803" spans="18:19" x14ac:dyDescent="0.25">
      <c r="R803" s="8" t="str">
        <f t="shared" si="24"/>
        <v/>
      </c>
      <c r="S803" s="82" t="str">
        <f t="shared" si="25"/>
        <v/>
      </c>
    </row>
    <row r="804" spans="18:19" x14ac:dyDescent="0.25">
      <c r="R804" s="8" t="str">
        <f t="shared" si="24"/>
        <v/>
      </c>
      <c r="S804" s="82" t="str">
        <f t="shared" si="25"/>
        <v/>
      </c>
    </row>
    <row r="805" spans="18:19" x14ac:dyDescent="0.25">
      <c r="R805" s="8" t="str">
        <f t="shared" si="24"/>
        <v/>
      </c>
      <c r="S805" s="82" t="str">
        <f t="shared" si="25"/>
        <v/>
      </c>
    </row>
    <row r="806" spans="18:19" x14ac:dyDescent="0.25">
      <c r="R806" s="8" t="str">
        <f t="shared" si="24"/>
        <v/>
      </c>
      <c r="S806" s="82" t="str">
        <f t="shared" si="25"/>
        <v/>
      </c>
    </row>
    <row r="807" spans="18:19" x14ac:dyDescent="0.25">
      <c r="R807" s="8" t="str">
        <f t="shared" si="24"/>
        <v/>
      </c>
      <c r="S807" s="82" t="str">
        <f t="shared" si="25"/>
        <v/>
      </c>
    </row>
    <row r="808" spans="18:19" x14ac:dyDescent="0.25">
      <c r="R808" s="8" t="str">
        <f t="shared" si="24"/>
        <v/>
      </c>
      <c r="S808" s="82" t="str">
        <f t="shared" si="25"/>
        <v/>
      </c>
    </row>
    <row r="809" spans="18:19" x14ac:dyDescent="0.25">
      <c r="R809" s="8" t="str">
        <f t="shared" si="24"/>
        <v/>
      </c>
      <c r="S809" s="82" t="str">
        <f t="shared" si="25"/>
        <v/>
      </c>
    </row>
    <row r="810" spans="18:19" x14ac:dyDescent="0.25">
      <c r="R810" s="8" t="str">
        <f t="shared" si="24"/>
        <v/>
      </c>
      <c r="S810" s="82" t="str">
        <f t="shared" si="25"/>
        <v/>
      </c>
    </row>
    <row r="811" spans="18:19" x14ac:dyDescent="0.25">
      <c r="R811" s="8" t="str">
        <f t="shared" si="24"/>
        <v/>
      </c>
      <c r="S811" s="82" t="str">
        <f t="shared" si="25"/>
        <v/>
      </c>
    </row>
    <row r="812" spans="18:19" x14ac:dyDescent="0.25">
      <c r="R812" s="8" t="str">
        <f t="shared" si="24"/>
        <v/>
      </c>
      <c r="S812" s="82" t="str">
        <f t="shared" si="25"/>
        <v/>
      </c>
    </row>
    <row r="813" spans="18:19" x14ac:dyDescent="0.25">
      <c r="R813" s="8" t="str">
        <f t="shared" si="24"/>
        <v/>
      </c>
      <c r="S813" s="82" t="str">
        <f t="shared" si="25"/>
        <v/>
      </c>
    </row>
    <row r="814" spans="18:19" x14ac:dyDescent="0.25">
      <c r="R814" s="8" t="str">
        <f t="shared" si="24"/>
        <v/>
      </c>
      <c r="S814" s="82" t="str">
        <f t="shared" si="25"/>
        <v/>
      </c>
    </row>
    <row r="815" spans="18:19" x14ac:dyDescent="0.25">
      <c r="R815" s="8" t="str">
        <f t="shared" si="24"/>
        <v/>
      </c>
      <c r="S815" s="82" t="str">
        <f t="shared" si="25"/>
        <v/>
      </c>
    </row>
    <row r="816" spans="18:19" x14ac:dyDescent="0.25">
      <c r="R816" s="8" t="str">
        <f t="shared" si="24"/>
        <v/>
      </c>
      <c r="S816" s="82" t="str">
        <f t="shared" si="25"/>
        <v/>
      </c>
    </row>
    <row r="817" spans="18:19" x14ac:dyDescent="0.25">
      <c r="R817" s="8" t="str">
        <f t="shared" si="24"/>
        <v/>
      </c>
      <c r="S817" s="82" t="str">
        <f t="shared" si="25"/>
        <v/>
      </c>
    </row>
    <row r="818" spans="18:19" x14ac:dyDescent="0.25">
      <c r="R818" s="8" t="str">
        <f t="shared" si="24"/>
        <v/>
      </c>
      <c r="S818" s="82" t="str">
        <f t="shared" si="25"/>
        <v/>
      </c>
    </row>
    <row r="819" spans="18:19" x14ac:dyDescent="0.25">
      <c r="R819" s="8" t="str">
        <f t="shared" si="24"/>
        <v/>
      </c>
      <c r="S819" s="82" t="str">
        <f t="shared" si="25"/>
        <v/>
      </c>
    </row>
    <row r="820" spans="18:19" x14ac:dyDescent="0.25">
      <c r="R820" s="8" t="str">
        <f t="shared" si="24"/>
        <v/>
      </c>
      <c r="S820" s="82" t="str">
        <f t="shared" si="25"/>
        <v/>
      </c>
    </row>
    <row r="821" spans="18:19" x14ac:dyDescent="0.25">
      <c r="R821" s="8" t="str">
        <f t="shared" si="24"/>
        <v/>
      </c>
      <c r="S821" s="82" t="str">
        <f t="shared" si="25"/>
        <v/>
      </c>
    </row>
    <row r="822" spans="18:19" x14ac:dyDescent="0.25">
      <c r="R822" s="8" t="str">
        <f t="shared" si="24"/>
        <v/>
      </c>
      <c r="S822" s="82" t="str">
        <f t="shared" si="25"/>
        <v/>
      </c>
    </row>
    <row r="823" spans="18:19" x14ac:dyDescent="0.25">
      <c r="R823" s="8" t="str">
        <f t="shared" si="24"/>
        <v/>
      </c>
      <c r="S823" s="82" t="str">
        <f t="shared" si="25"/>
        <v/>
      </c>
    </row>
    <row r="824" spans="18:19" x14ac:dyDescent="0.25">
      <c r="R824" s="8" t="str">
        <f t="shared" si="24"/>
        <v/>
      </c>
      <c r="S824" s="82" t="str">
        <f t="shared" si="25"/>
        <v/>
      </c>
    </row>
    <row r="825" spans="18:19" x14ac:dyDescent="0.25">
      <c r="R825" s="8" t="str">
        <f t="shared" si="24"/>
        <v/>
      </c>
      <c r="S825" s="82" t="str">
        <f t="shared" si="25"/>
        <v/>
      </c>
    </row>
    <row r="826" spans="18:19" x14ac:dyDescent="0.25">
      <c r="R826" s="8" t="str">
        <f t="shared" si="24"/>
        <v/>
      </c>
      <c r="S826" s="82" t="str">
        <f t="shared" si="25"/>
        <v/>
      </c>
    </row>
    <row r="827" spans="18:19" x14ac:dyDescent="0.25">
      <c r="R827" s="8" t="str">
        <f t="shared" si="24"/>
        <v/>
      </c>
      <c r="S827" s="82" t="str">
        <f t="shared" si="25"/>
        <v/>
      </c>
    </row>
    <row r="828" spans="18:19" x14ac:dyDescent="0.25">
      <c r="R828" s="8" t="str">
        <f t="shared" si="24"/>
        <v/>
      </c>
      <c r="S828" s="82" t="str">
        <f t="shared" si="25"/>
        <v/>
      </c>
    </row>
    <row r="829" spans="18:19" x14ac:dyDescent="0.25">
      <c r="R829" s="8" t="str">
        <f t="shared" si="24"/>
        <v/>
      </c>
      <c r="S829" s="82" t="str">
        <f t="shared" si="25"/>
        <v/>
      </c>
    </row>
    <row r="830" spans="18:19" x14ac:dyDescent="0.25">
      <c r="R830" s="8" t="str">
        <f t="shared" si="24"/>
        <v/>
      </c>
      <c r="S830" s="82" t="str">
        <f t="shared" si="25"/>
        <v/>
      </c>
    </row>
    <row r="831" spans="18:19" x14ac:dyDescent="0.25">
      <c r="R831" s="8" t="str">
        <f t="shared" si="24"/>
        <v/>
      </c>
      <c r="S831" s="82" t="str">
        <f t="shared" si="25"/>
        <v/>
      </c>
    </row>
    <row r="832" spans="18:19" x14ac:dyDescent="0.25">
      <c r="R832" s="8" t="str">
        <f t="shared" si="24"/>
        <v/>
      </c>
      <c r="S832" s="82" t="str">
        <f t="shared" si="25"/>
        <v/>
      </c>
    </row>
    <row r="833" spans="18:19" x14ac:dyDescent="0.25">
      <c r="R833" s="8" t="str">
        <f t="shared" si="24"/>
        <v/>
      </c>
      <c r="S833" s="82" t="str">
        <f t="shared" si="25"/>
        <v/>
      </c>
    </row>
    <row r="834" spans="18:19" x14ac:dyDescent="0.25">
      <c r="R834" s="8" t="str">
        <f t="shared" si="24"/>
        <v/>
      </c>
      <c r="S834" s="82" t="str">
        <f t="shared" si="25"/>
        <v/>
      </c>
    </row>
    <row r="835" spans="18:19" x14ac:dyDescent="0.25">
      <c r="R835" s="8" t="str">
        <f t="shared" si="24"/>
        <v/>
      </c>
      <c r="S835" s="82" t="str">
        <f t="shared" si="25"/>
        <v/>
      </c>
    </row>
    <row r="836" spans="18:19" x14ac:dyDescent="0.25">
      <c r="R836" s="8" t="str">
        <f t="shared" si="24"/>
        <v/>
      </c>
      <c r="S836" s="82" t="str">
        <f t="shared" si="25"/>
        <v/>
      </c>
    </row>
    <row r="837" spans="18:19" x14ac:dyDescent="0.25">
      <c r="R837" s="8" t="str">
        <f t="shared" si="24"/>
        <v/>
      </c>
      <c r="S837" s="82" t="str">
        <f t="shared" si="25"/>
        <v/>
      </c>
    </row>
    <row r="838" spans="18:19" x14ac:dyDescent="0.25">
      <c r="R838" s="8" t="str">
        <f t="shared" si="24"/>
        <v/>
      </c>
      <c r="S838" s="82" t="str">
        <f t="shared" si="25"/>
        <v/>
      </c>
    </row>
    <row r="839" spans="18:19" x14ac:dyDescent="0.25">
      <c r="R839" s="8" t="str">
        <f t="shared" si="24"/>
        <v/>
      </c>
      <c r="S839" s="82" t="str">
        <f t="shared" si="25"/>
        <v/>
      </c>
    </row>
    <row r="840" spans="18:19" x14ac:dyDescent="0.25">
      <c r="R840" s="8" t="str">
        <f t="shared" ref="R840:R903" si="26">IF(A840="",(""),(MONTH(A840)))</f>
        <v/>
      </c>
      <c r="S840" s="82" t="str">
        <f t="shared" ref="S840:S903" si="27">IF(B840="",(""),IF(B840="3 - Nota de Crédito A",-Q840,IF(B840="8 - Nota de Crédito B",-Q840,(Q840))))</f>
        <v/>
      </c>
    </row>
    <row r="841" spans="18:19" x14ac:dyDescent="0.25">
      <c r="R841" s="8" t="str">
        <f t="shared" si="26"/>
        <v/>
      </c>
      <c r="S841" s="82" t="str">
        <f t="shared" si="27"/>
        <v/>
      </c>
    </row>
    <row r="842" spans="18:19" x14ac:dyDescent="0.25">
      <c r="R842" s="8" t="str">
        <f t="shared" si="26"/>
        <v/>
      </c>
      <c r="S842" s="82" t="str">
        <f t="shared" si="27"/>
        <v/>
      </c>
    </row>
    <row r="843" spans="18:19" x14ac:dyDescent="0.25">
      <c r="R843" s="8" t="str">
        <f t="shared" si="26"/>
        <v/>
      </c>
      <c r="S843" s="82" t="str">
        <f t="shared" si="27"/>
        <v/>
      </c>
    </row>
    <row r="844" spans="18:19" x14ac:dyDescent="0.25">
      <c r="R844" s="8" t="str">
        <f t="shared" si="26"/>
        <v/>
      </c>
      <c r="S844" s="82" t="str">
        <f t="shared" si="27"/>
        <v/>
      </c>
    </row>
    <row r="845" spans="18:19" x14ac:dyDescent="0.25">
      <c r="R845" s="8" t="str">
        <f t="shared" si="26"/>
        <v/>
      </c>
      <c r="S845" s="82" t="str">
        <f t="shared" si="27"/>
        <v/>
      </c>
    </row>
    <row r="846" spans="18:19" x14ac:dyDescent="0.25">
      <c r="R846" s="8" t="str">
        <f t="shared" si="26"/>
        <v/>
      </c>
      <c r="S846" s="82" t="str">
        <f t="shared" si="27"/>
        <v/>
      </c>
    </row>
    <row r="847" spans="18:19" x14ac:dyDescent="0.25">
      <c r="R847" s="8" t="str">
        <f t="shared" si="26"/>
        <v/>
      </c>
      <c r="S847" s="82" t="str">
        <f t="shared" si="27"/>
        <v/>
      </c>
    </row>
    <row r="848" spans="18:19" x14ac:dyDescent="0.25">
      <c r="R848" s="8" t="str">
        <f t="shared" si="26"/>
        <v/>
      </c>
      <c r="S848" s="82" t="str">
        <f t="shared" si="27"/>
        <v/>
      </c>
    </row>
    <row r="849" spans="18:19" x14ac:dyDescent="0.25">
      <c r="R849" s="8" t="str">
        <f t="shared" si="26"/>
        <v/>
      </c>
      <c r="S849" s="82" t="str">
        <f t="shared" si="27"/>
        <v/>
      </c>
    </row>
    <row r="850" spans="18:19" x14ac:dyDescent="0.25">
      <c r="R850" s="8" t="str">
        <f t="shared" si="26"/>
        <v/>
      </c>
      <c r="S850" s="82" t="str">
        <f t="shared" si="27"/>
        <v/>
      </c>
    </row>
    <row r="851" spans="18:19" x14ac:dyDescent="0.25">
      <c r="R851" s="8" t="str">
        <f t="shared" si="26"/>
        <v/>
      </c>
      <c r="S851" s="82" t="str">
        <f t="shared" si="27"/>
        <v/>
      </c>
    </row>
    <row r="852" spans="18:19" x14ac:dyDescent="0.25">
      <c r="R852" s="8" t="str">
        <f t="shared" si="26"/>
        <v/>
      </c>
      <c r="S852" s="82" t="str">
        <f t="shared" si="27"/>
        <v/>
      </c>
    </row>
    <row r="853" spans="18:19" x14ac:dyDescent="0.25">
      <c r="R853" s="8" t="str">
        <f t="shared" si="26"/>
        <v/>
      </c>
      <c r="S853" s="82" t="str">
        <f t="shared" si="27"/>
        <v/>
      </c>
    </row>
    <row r="854" spans="18:19" x14ac:dyDescent="0.25">
      <c r="R854" s="8" t="str">
        <f t="shared" si="26"/>
        <v/>
      </c>
      <c r="S854" s="82" t="str">
        <f t="shared" si="27"/>
        <v/>
      </c>
    </row>
    <row r="855" spans="18:19" x14ac:dyDescent="0.25">
      <c r="R855" s="8" t="str">
        <f t="shared" si="26"/>
        <v/>
      </c>
      <c r="S855" s="82" t="str">
        <f t="shared" si="27"/>
        <v/>
      </c>
    </row>
    <row r="856" spans="18:19" x14ac:dyDescent="0.25">
      <c r="R856" s="8" t="str">
        <f t="shared" si="26"/>
        <v/>
      </c>
      <c r="S856" s="82" t="str">
        <f t="shared" si="27"/>
        <v/>
      </c>
    </row>
    <row r="857" spans="18:19" x14ac:dyDescent="0.25">
      <c r="R857" s="8" t="str">
        <f t="shared" si="26"/>
        <v/>
      </c>
      <c r="S857" s="82" t="str">
        <f t="shared" si="27"/>
        <v/>
      </c>
    </row>
    <row r="858" spans="18:19" x14ac:dyDescent="0.25">
      <c r="R858" s="8" t="str">
        <f t="shared" si="26"/>
        <v/>
      </c>
      <c r="S858" s="82" t="str">
        <f t="shared" si="27"/>
        <v/>
      </c>
    </row>
    <row r="859" spans="18:19" x14ac:dyDescent="0.25">
      <c r="R859" s="8" t="str">
        <f t="shared" si="26"/>
        <v/>
      </c>
      <c r="S859" s="82" t="str">
        <f t="shared" si="27"/>
        <v/>
      </c>
    </row>
    <row r="860" spans="18:19" x14ac:dyDescent="0.25">
      <c r="R860" s="8" t="str">
        <f t="shared" si="26"/>
        <v/>
      </c>
      <c r="S860" s="82" t="str">
        <f t="shared" si="27"/>
        <v/>
      </c>
    </row>
    <row r="861" spans="18:19" x14ac:dyDescent="0.25">
      <c r="R861" s="8" t="str">
        <f t="shared" si="26"/>
        <v/>
      </c>
      <c r="S861" s="82" t="str">
        <f t="shared" si="27"/>
        <v/>
      </c>
    </row>
    <row r="862" spans="18:19" x14ac:dyDescent="0.25">
      <c r="R862" s="8" t="str">
        <f t="shared" si="26"/>
        <v/>
      </c>
      <c r="S862" s="82" t="str">
        <f t="shared" si="27"/>
        <v/>
      </c>
    </row>
    <row r="863" spans="18:19" x14ac:dyDescent="0.25">
      <c r="R863" s="8" t="str">
        <f t="shared" si="26"/>
        <v/>
      </c>
      <c r="S863" s="82" t="str">
        <f t="shared" si="27"/>
        <v/>
      </c>
    </row>
    <row r="864" spans="18:19" x14ac:dyDescent="0.25">
      <c r="R864" s="8" t="str">
        <f t="shared" si="26"/>
        <v/>
      </c>
      <c r="S864" s="82" t="str">
        <f t="shared" si="27"/>
        <v/>
      </c>
    </row>
    <row r="865" spans="18:19" x14ac:dyDescent="0.25">
      <c r="R865" s="8" t="str">
        <f t="shared" si="26"/>
        <v/>
      </c>
      <c r="S865" s="82" t="str">
        <f t="shared" si="27"/>
        <v/>
      </c>
    </row>
    <row r="866" spans="18:19" x14ac:dyDescent="0.25">
      <c r="R866" s="8" t="str">
        <f t="shared" si="26"/>
        <v/>
      </c>
      <c r="S866" s="82" t="str">
        <f t="shared" si="27"/>
        <v/>
      </c>
    </row>
    <row r="867" spans="18:19" x14ac:dyDescent="0.25">
      <c r="R867" s="8" t="str">
        <f t="shared" si="26"/>
        <v/>
      </c>
      <c r="S867" s="82" t="str">
        <f t="shared" si="27"/>
        <v/>
      </c>
    </row>
    <row r="868" spans="18:19" x14ac:dyDescent="0.25">
      <c r="R868" s="8" t="str">
        <f t="shared" si="26"/>
        <v/>
      </c>
      <c r="S868" s="82" t="str">
        <f t="shared" si="27"/>
        <v/>
      </c>
    </row>
    <row r="869" spans="18:19" x14ac:dyDescent="0.25">
      <c r="R869" s="8" t="str">
        <f t="shared" si="26"/>
        <v/>
      </c>
      <c r="S869" s="82" t="str">
        <f t="shared" si="27"/>
        <v/>
      </c>
    </row>
    <row r="870" spans="18:19" x14ac:dyDescent="0.25">
      <c r="R870" s="8" t="str">
        <f t="shared" si="26"/>
        <v/>
      </c>
      <c r="S870" s="82" t="str">
        <f t="shared" si="27"/>
        <v/>
      </c>
    </row>
    <row r="871" spans="18:19" x14ac:dyDescent="0.25">
      <c r="R871" s="8" t="str">
        <f t="shared" si="26"/>
        <v/>
      </c>
      <c r="S871" s="82" t="str">
        <f t="shared" si="27"/>
        <v/>
      </c>
    </row>
    <row r="872" spans="18:19" x14ac:dyDescent="0.25">
      <c r="R872" s="8" t="str">
        <f t="shared" si="26"/>
        <v/>
      </c>
      <c r="S872" s="82" t="str">
        <f t="shared" si="27"/>
        <v/>
      </c>
    </row>
    <row r="873" spans="18:19" x14ac:dyDescent="0.25">
      <c r="R873" s="8" t="str">
        <f t="shared" si="26"/>
        <v/>
      </c>
      <c r="S873" s="82" t="str">
        <f t="shared" si="27"/>
        <v/>
      </c>
    </row>
    <row r="874" spans="18:19" x14ac:dyDescent="0.25">
      <c r="R874" s="8" t="str">
        <f t="shared" si="26"/>
        <v/>
      </c>
      <c r="S874" s="82" t="str">
        <f t="shared" si="27"/>
        <v/>
      </c>
    </row>
    <row r="875" spans="18:19" x14ac:dyDescent="0.25">
      <c r="R875" s="8" t="str">
        <f t="shared" si="26"/>
        <v/>
      </c>
      <c r="S875" s="82" t="str">
        <f t="shared" si="27"/>
        <v/>
      </c>
    </row>
    <row r="876" spans="18:19" x14ac:dyDescent="0.25">
      <c r="R876" s="8" t="str">
        <f t="shared" si="26"/>
        <v/>
      </c>
      <c r="S876" s="82" t="str">
        <f t="shared" si="27"/>
        <v/>
      </c>
    </row>
    <row r="877" spans="18:19" x14ac:dyDescent="0.25">
      <c r="R877" s="8" t="str">
        <f t="shared" si="26"/>
        <v/>
      </c>
      <c r="S877" s="82" t="str">
        <f t="shared" si="27"/>
        <v/>
      </c>
    </row>
    <row r="878" spans="18:19" x14ac:dyDescent="0.25">
      <c r="R878" s="8" t="str">
        <f t="shared" si="26"/>
        <v/>
      </c>
      <c r="S878" s="82" t="str">
        <f t="shared" si="27"/>
        <v/>
      </c>
    </row>
    <row r="879" spans="18:19" x14ac:dyDescent="0.25">
      <c r="R879" s="8" t="str">
        <f t="shared" si="26"/>
        <v/>
      </c>
      <c r="S879" s="82" t="str">
        <f t="shared" si="27"/>
        <v/>
      </c>
    </row>
    <row r="880" spans="18:19" x14ac:dyDescent="0.25">
      <c r="R880" s="8" t="str">
        <f t="shared" si="26"/>
        <v/>
      </c>
      <c r="S880" s="82" t="str">
        <f t="shared" si="27"/>
        <v/>
      </c>
    </row>
    <row r="881" spans="18:19" x14ac:dyDescent="0.25">
      <c r="R881" s="8" t="str">
        <f t="shared" si="26"/>
        <v/>
      </c>
      <c r="S881" s="82" t="str">
        <f t="shared" si="27"/>
        <v/>
      </c>
    </row>
    <row r="882" spans="18:19" x14ac:dyDescent="0.25">
      <c r="R882" s="8" t="str">
        <f t="shared" si="26"/>
        <v/>
      </c>
      <c r="S882" s="82" t="str">
        <f t="shared" si="27"/>
        <v/>
      </c>
    </row>
    <row r="883" spans="18:19" x14ac:dyDescent="0.25">
      <c r="R883" s="8" t="str">
        <f t="shared" si="26"/>
        <v/>
      </c>
      <c r="S883" s="82" t="str">
        <f t="shared" si="27"/>
        <v/>
      </c>
    </row>
    <row r="884" spans="18:19" x14ac:dyDescent="0.25">
      <c r="R884" s="8" t="str">
        <f t="shared" si="26"/>
        <v/>
      </c>
      <c r="S884" s="82" t="str">
        <f t="shared" si="27"/>
        <v/>
      </c>
    </row>
    <row r="885" spans="18:19" x14ac:dyDescent="0.25">
      <c r="R885" s="8" t="str">
        <f t="shared" si="26"/>
        <v/>
      </c>
      <c r="S885" s="82" t="str">
        <f t="shared" si="27"/>
        <v/>
      </c>
    </row>
    <row r="886" spans="18:19" x14ac:dyDescent="0.25">
      <c r="R886" s="8" t="str">
        <f t="shared" si="26"/>
        <v/>
      </c>
      <c r="S886" s="82" t="str">
        <f t="shared" si="27"/>
        <v/>
      </c>
    </row>
    <row r="887" spans="18:19" x14ac:dyDescent="0.25">
      <c r="R887" s="8" t="str">
        <f t="shared" si="26"/>
        <v/>
      </c>
      <c r="S887" s="82" t="str">
        <f t="shared" si="27"/>
        <v/>
      </c>
    </row>
    <row r="888" spans="18:19" x14ac:dyDescent="0.25">
      <c r="R888" s="8" t="str">
        <f t="shared" si="26"/>
        <v/>
      </c>
      <c r="S888" s="82" t="str">
        <f t="shared" si="27"/>
        <v/>
      </c>
    </row>
    <row r="889" spans="18:19" x14ac:dyDescent="0.25">
      <c r="R889" s="8" t="str">
        <f t="shared" si="26"/>
        <v/>
      </c>
      <c r="S889" s="82" t="str">
        <f t="shared" si="27"/>
        <v/>
      </c>
    </row>
    <row r="890" spans="18:19" x14ac:dyDescent="0.25">
      <c r="R890" s="8" t="str">
        <f t="shared" si="26"/>
        <v/>
      </c>
      <c r="S890" s="82" t="str">
        <f t="shared" si="27"/>
        <v/>
      </c>
    </row>
    <row r="891" spans="18:19" x14ac:dyDescent="0.25">
      <c r="R891" s="8" t="str">
        <f t="shared" si="26"/>
        <v/>
      </c>
      <c r="S891" s="82" t="str">
        <f t="shared" si="27"/>
        <v/>
      </c>
    </row>
    <row r="892" spans="18:19" x14ac:dyDescent="0.25">
      <c r="R892" s="8" t="str">
        <f t="shared" si="26"/>
        <v/>
      </c>
      <c r="S892" s="82" t="str">
        <f t="shared" si="27"/>
        <v/>
      </c>
    </row>
    <row r="893" spans="18:19" x14ac:dyDescent="0.25">
      <c r="R893" s="8" t="str">
        <f t="shared" si="26"/>
        <v/>
      </c>
      <c r="S893" s="82" t="str">
        <f t="shared" si="27"/>
        <v/>
      </c>
    </row>
    <row r="894" spans="18:19" x14ac:dyDescent="0.25">
      <c r="R894" s="8" t="str">
        <f t="shared" si="26"/>
        <v/>
      </c>
      <c r="S894" s="82" t="str">
        <f t="shared" si="27"/>
        <v/>
      </c>
    </row>
    <row r="895" spans="18:19" x14ac:dyDescent="0.25">
      <c r="R895" s="8" t="str">
        <f t="shared" si="26"/>
        <v/>
      </c>
      <c r="S895" s="82" t="str">
        <f t="shared" si="27"/>
        <v/>
      </c>
    </row>
    <row r="896" spans="18:19" x14ac:dyDescent="0.25">
      <c r="R896" s="8" t="str">
        <f t="shared" si="26"/>
        <v/>
      </c>
      <c r="S896" s="82" t="str">
        <f t="shared" si="27"/>
        <v/>
      </c>
    </row>
    <row r="897" spans="18:19" x14ac:dyDescent="0.25">
      <c r="R897" s="8" t="str">
        <f t="shared" si="26"/>
        <v/>
      </c>
      <c r="S897" s="82" t="str">
        <f t="shared" si="27"/>
        <v/>
      </c>
    </row>
    <row r="898" spans="18:19" x14ac:dyDescent="0.25">
      <c r="R898" s="8" t="str">
        <f t="shared" si="26"/>
        <v/>
      </c>
      <c r="S898" s="82" t="str">
        <f t="shared" si="27"/>
        <v/>
      </c>
    </row>
    <row r="899" spans="18:19" x14ac:dyDescent="0.25">
      <c r="R899" s="8" t="str">
        <f t="shared" si="26"/>
        <v/>
      </c>
      <c r="S899" s="82" t="str">
        <f t="shared" si="27"/>
        <v/>
      </c>
    </row>
    <row r="900" spans="18:19" x14ac:dyDescent="0.25">
      <c r="R900" s="8" t="str">
        <f t="shared" si="26"/>
        <v/>
      </c>
      <c r="S900" s="82" t="str">
        <f t="shared" si="27"/>
        <v/>
      </c>
    </row>
    <row r="901" spans="18:19" x14ac:dyDescent="0.25">
      <c r="R901" s="8" t="str">
        <f t="shared" si="26"/>
        <v/>
      </c>
      <c r="S901" s="82" t="str">
        <f t="shared" si="27"/>
        <v/>
      </c>
    </row>
    <row r="902" spans="18:19" x14ac:dyDescent="0.25">
      <c r="R902" s="8" t="str">
        <f t="shared" si="26"/>
        <v/>
      </c>
      <c r="S902" s="82" t="str">
        <f t="shared" si="27"/>
        <v/>
      </c>
    </row>
    <row r="903" spans="18:19" x14ac:dyDescent="0.25">
      <c r="R903" s="8" t="str">
        <f t="shared" si="26"/>
        <v/>
      </c>
      <c r="S903" s="82" t="str">
        <f t="shared" si="27"/>
        <v/>
      </c>
    </row>
    <row r="904" spans="18:19" x14ac:dyDescent="0.25">
      <c r="R904" s="8" t="str">
        <f t="shared" ref="R904:R967" si="28">IF(A904="",(""),(MONTH(A904)))</f>
        <v/>
      </c>
      <c r="S904" s="82" t="str">
        <f t="shared" ref="S904:S967" si="29">IF(B904="",(""),IF(B904="3 - Nota de Crédito A",-Q904,IF(B904="8 - Nota de Crédito B",-Q904,(Q904))))</f>
        <v/>
      </c>
    </row>
    <row r="905" spans="18:19" x14ac:dyDescent="0.25">
      <c r="R905" s="8" t="str">
        <f t="shared" si="28"/>
        <v/>
      </c>
      <c r="S905" s="82" t="str">
        <f t="shared" si="29"/>
        <v/>
      </c>
    </row>
    <row r="906" spans="18:19" x14ac:dyDescent="0.25">
      <c r="R906" s="8" t="str">
        <f t="shared" si="28"/>
        <v/>
      </c>
      <c r="S906" s="82" t="str">
        <f t="shared" si="29"/>
        <v/>
      </c>
    </row>
    <row r="907" spans="18:19" x14ac:dyDescent="0.25">
      <c r="R907" s="8" t="str">
        <f t="shared" si="28"/>
        <v/>
      </c>
      <c r="S907" s="82" t="str">
        <f t="shared" si="29"/>
        <v/>
      </c>
    </row>
    <row r="908" spans="18:19" x14ac:dyDescent="0.25">
      <c r="R908" s="8" t="str">
        <f t="shared" si="28"/>
        <v/>
      </c>
      <c r="S908" s="82" t="str">
        <f t="shared" si="29"/>
        <v/>
      </c>
    </row>
    <row r="909" spans="18:19" x14ac:dyDescent="0.25">
      <c r="R909" s="8" t="str">
        <f t="shared" si="28"/>
        <v/>
      </c>
      <c r="S909" s="82" t="str">
        <f t="shared" si="29"/>
        <v/>
      </c>
    </row>
    <row r="910" spans="18:19" x14ac:dyDescent="0.25">
      <c r="R910" s="8" t="str">
        <f t="shared" si="28"/>
        <v/>
      </c>
      <c r="S910" s="82" t="str">
        <f t="shared" si="29"/>
        <v/>
      </c>
    </row>
    <row r="911" spans="18:19" x14ac:dyDescent="0.25">
      <c r="R911" s="8" t="str">
        <f t="shared" si="28"/>
        <v/>
      </c>
      <c r="S911" s="82" t="str">
        <f t="shared" si="29"/>
        <v/>
      </c>
    </row>
    <row r="912" spans="18:19" x14ac:dyDescent="0.25">
      <c r="R912" s="8" t="str">
        <f t="shared" si="28"/>
        <v/>
      </c>
      <c r="S912" s="82" t="str">
        <f t="shared" si="29"/>
        <v/>
      </c>
    </row>
    <row r="913" spans="18:19" x14ac:dyDescent="0.25">
      <c r="R913" s="8" t="str">
        <f t="shared" si="28"/>
        <v/>
      </c>
      <c r="S913" s="82" t="str">
        <f t="shared" si="29"/>
        <v/>
      </c>
    </row>
    <row r="914" spans="18:19" x14ac:dyDescent="0.25">
      <c r="R914" s="8" t="str">
        <f t="shared" si="28"/>
        <v/>
      </c>
      <c r="S914" s="82" t="str">
        <f t="shared" si="29"/>
        <v/>
      </c>
    </row>
    <row r="915" spans="18:19" x14ac:dyDescent="0.25">
      <c r="R915" s="8" t="str">
        <f t="shared" si="28"/>
        <v/>
      </c>
      <c r="S915" s="82" t="str">
        <f t="shared" si="29"/>
        <v/>
      </c>
    </row>
    <row r="916" spans="18:19" x14ac:dyDescent="0.25">
      <c r="R916" s="8" t="str">
        <f t="shared" si="28"/>
        <v/>
      </c>
      <c r="S916" s="82" t="str">
        <f t="shared" si="29"/>
        <v/>
      </c>
    </row>
    <row r="917" spans="18:19" x14ac:dyDescent="0.25">
      <c r="R917" s="8" t="str">
        <f t="shared" si="28"/>
        <v/>
      </c>
      <c r="S917" s="82" t="str">
        <f t="shared" si="29"/>
        <v/>
      </c>
    </row>
    <row r="918" spans="18:19" x14ac:dyDescent="0.25">
      <c r="R918" s="8" t="str">
        <f t="shared" si="28"/>
        <v/>
      </c>
      <c r="S918" s="82" t="str">
        <f t="shared" si="29"/>
        <v/>
      </c>
    </row>
    <row r="919" spans="18:19" x14ac:dyDescent="0.25">
      <c r="R919" s="8" t="str">
        <f t="shared" si="28"/>
        <v/>
      </c>
      <c r="S919" s="82" t="str">
        <f t="shared" si="29"/>
        <v/>
      </c>
    </row>
    <row r="920" spans="18:19" x14ac:dyDescent="0.25">
      <c r="R920" s="8" t="str">
        <f t="shared" si="28"/>
        <v/>
      </c>
      <c r="S920" s="82" t="str">
        <f t="shared" si="29"/>
        <v/>
      </c>
    </row>
    <row r="921" spans="18:19" x14ac:dyDescent="0.25">
      <c r="R921" s="8" t="str">
        <f t="shared" si="28"/>
        <v/>
      </c>
      <c r="S921" s="82" t="str">
        <f t="shared" si="29"/>
        <v/>
      </c>
    </row>
    <row r="922" spans="18:19" x14ac:dyDescent="0.25">
      <c r="R922" s="8" t="str">
        <f t="shared" si="28"/>
        <v/>
      </c>
      <c r="S922" s="82" t="str">
        <f t="shared" si="29"/>
        <v/>
      </c>
    </row>
    <row r="923" spans="18:19" x14ac:dyDescent="0.25">
      <c r="R923" s="8" t="str">
        <f t="shared" si="28"/>
        <v/>
      </c>
      <c r="S923" s="82" t="str">
        <f t="shared" si="29"/>
        <v/>
      </c>
    </row>
    <row r="924" spans="18:19" x14ac:dyDescent="0.25">
      <c r="R924" s="8" t="str">
        <f t="shared" si="28"/>
        <v/>
      </c>
      <c r="S924" s="82" t="str">
        <f t="shared" si="29"/>
        <v/>
      </c>
    </row>
    <row r="925" spans="18:19" x14ac:dyDescent="0.25">
      <c r="R925" s="8" t="str">
        <f t="shared" si="28"/>
        <v/>
      </c>
      <c r="S925" s="82" t="str">
        <f t="shared" si="29"/>
        <v/>
      </c>
    </row>
    <row r="926" spans="18:19" x14ac:dyDescent="0.25">
      <c r="R926" s="8" t="str">
        <f t="shared" si="28"/>
        <v/>
      </c>
      <c r="S926" s="82" t="str">
        <f t="shared" si="29"/>
        <v/>
      </c>
    </row>
    <row r="927" spans="18:19" x14ac:dyDescent="0.25">
      <c r="R927" s="8" t="str">
        <f t="shared" si="28"/>
        <v/>
      </c>
      <c r="S927" s="82" t="str">
        <f t="shared" si="29"/>
        <v/>
      </c>
    </row>
    <row r="928" spans="18:19" x14ac:dyDescent="0.25">
      <c r="R928" s="8" t="str">
        <f t="shared" si="28"/>
        <v/>
      </c>
      <c r="S928" s="82" t="str">
        <f t="shared" si="29"/>
        <v/>
      </c>
    </row>
    <row r="929" spans="18:19" x14ac:dyDescent="0.25">
      <c r="R929" s="8" t="str">
        <f t="shared" si="28"/>
        <v/>
      </c>
      <c r="S929" s="82" t="str">
        <f t="shared" si="29"/>
        <v/>
      </c>
    </row>
    <row r="930" spans="18:19" x14ac:dyDescent="0.25">
      <c r="R930" s="8" t="str">
        <f t="shared" si="28"/>
        <v/>
      </c>
      <c r="S930" s="82" t="str">
        <f t="shared" si="29"/>
        <v/>
      </c>
    </row>
    <row r="931" spans="18:19" x14ac:dyDescent="0.25">
      <c r="R931" s="8" t="str">
        <f t="shared" si="28"/>
        <v/>
      </c>
      <c r="S931" s="82" t="str">
        <f t="shared" si="29"/>
        <v/>
      </c>
    </row>
    <row r="932" spans="18:19" x14ac:dyDescent="0.25">
      <c r="R932" s="8" t="str">
        <f t="shared" si="28"/>
        <v/>
      </c>
      <c r="S932" s="82" t="str">
        <f t="shared" si="29"/>
        <v/>
      </c>
    </row>
    <row r="933" spans="18:19" x14ac:dyDescent="0.25">
      <c r="R933" s="8" t="str">
        <f t="shared" si="28"/>
        <v/>
      </c>
      <c r="S933" s="82" t="str">
        <f t="shared" si="29"/>
        <v/>
      </c>
    </row>
    <row r="934" spans="18:19" x14ac:dyDescent="0.25">
      <c r="R934" s="8" t="str">
        <f t="shared" si="28"/>
        <v/>
      </c>
      <c r="S934" s="82" t="str">
        <f t="shared" si="29"/>
        <v/>
      </c>
    </row>
    <row r="935" spans="18:19" x14ac:dyDescent="0.25">
      <c r="R935" s="8" t="str">
        <f t="shared" si="28"/>
        <v/>
      </c>
      <c r="S935" s="82" t="str">
        <f t="shared" si="29"/>
        <v/>
      </c>
    </row>
    <row r="936" spans="18:19" x14ac:dyDescent="0.25">
      <c r="R936" s="8" t="str">
        <f t="shared" si="28"/>
        <v/>
      </c>
      <c r="S936" s="82" t="str">
        <f t="shared" si="29"/>
        <v/>
      </c>
    </row>
    <row r="937" spans="18:19" x14ac:dyDescent="0.25">
      <c r="R937" s="8" t="str">
        <f t="shared" si="28"/>
        <v/>
      </c>
      <c r="S937" s="82" t="str">
        <f t="shared" si="29"/>
        <v/>
      </c>
    </row>
    <row r="938" spans="18:19" x14ac:dyDescent="0.25">
      <c r="R938" s="8" t="str">
        <f t="shared" si="28"/>
        <v/>
      </c>
      <c r="S938" s="82" t="str">
        <f t="shared" si="29"/>
        <v/>
      </c>
    </row>
    <row r="939" spans="18:19" x14ac:dyDescent="0.25">
      <c r="R939" s="8" t="str">
        <f t="shared" si="28"/>
        <v/>
      </c>
      <c r="S939" s="82" t="str">
        <f t="shared" si="29"/>
        <v/>
      </c>
    </row>
    <row r="940" spans="18:19" x14ac:dyDescent="0.25">
      <c r="R940" s="8" t="str">
        <f t="shared" si="28"/>
        <v/>
      </c>
      <c r="S940" s="82" t="str">
        <f t="shared" si="29"/>
        <v/>
      </c>
    </row>
    <row r="941" spans="18:19" x14ac:dyDescent="0.25">
      <c r="R941" s="8" t="str">
        <f t="shared" si="28"/>
        <v/>
      </c>
      <c r="S941" s="82" t="str">
        <f t="shared" si="29"/>
        <v/>
      </c>
    </row>
    <row r="942" spans="18:19" x14ac:dyDescent="0.25">
      <c r="R942" s="8" t="str">
        <f t="shared" si="28"/>
        <v/>
      </c>
      <c r="S942" s="82" t="str">
        <f t="shared" si="29"/>
        <v/>
      </c>
    </row>
    <row r="943" spans="18:19" x14ac:dyDescent="0.25">
      <c r="R943" s="8" t="str">
        <f t="shared" si="28"/>
        <v/>
      </c>
      <c r="S943" s="82" t="str">
        <f t="shared" si="29"/>
        <v/>
      </c>
    </row>
    <row r="944" spans="18:19" x14ac:dyDescent="0.25">
      <c r="R944" s="8" t="str">
        <f t="shared" si="28"/>
        <v/>
      </c>
      <c r="S944" s="82" t="str">
        <f t="shared" si="29"/>
        <v/>
      </c>
    </row>
    <row r="945" spans="18:19" x14ac:dyDescent="0.25">
      <c r="R945" s="8" t="str">
        <f t="shared" si="28"/>
        <v/>
      </c>
      <c r="S945" s="82" t="str">
        <f t="shared" si="29"/>
        <v/>
      </c>
    </row>
    <row r="946" spans="18:19" x14ac:dyDescent="0.25">
      <c r="R946" s="8" t="str">
        <f t="shared" si="28"/>
        <v/>
      </c>
      <c r="S946" s="82" t="str">
        <f t="shared" si="29"/>
        <v/>
      </c>
    </row>
    <row r="947" spans="18:19" x14ac:dyDescent="0.25">
      <c r="R947" s="8" t="str">
        <f t="shared" si="28"/>
        <v/>
      </c>
      <c r="S947" s="82" t="str">
        <f t="shared" si="29"/>
        <v/>
      </c>
    </row>
    <row r="948" spans="18:19" x14ac:dyDescent="0.25">
      <c r="R948" s="8" t="str">
        <f t="shared" si="28"/>
        <v/>
      </c>
      <c r="S948" s="82" t="str">
        <f t="shared" si="29"/>
        <v/>
      </c>
    </row>
    <row r="949" spans="18:19" x14ac:dyDescent="0.25">
      <c r="R949" s="8" t="str">
        <f t="shared" si="28"/>
        <v/>
      </c>
      <c r="S949" s="82" t="str">
        <f t="shared" si="29"/>
        <v/>
      </c>
    </row>
    <row r="950" spans="18:19" x14ac:dyDescent="0.25">
      <c r="R950" s="8" t="str">
        <f t="shared" si="28"/>
        <v/>
      </c>
      <c r="S950" s="82" t="str">
        <f t="shared" si="29"/>
        <v/>
      </c>
    </row>
    <row r="951" spans="18:19" x14ac:dyDescent="0.25">
      <c r="R951" s="8" t="str">
        <f t="shared" si="28"/>
        <v/>
      </c>
      <c r="S951" s="82" t="str">
        <f t="shared" si="29"/>
        <v/>
      </c>
    </row>
    <row r="952" spans="18:19" x14ac:dyDescent="0.25">
      <c r="R952" s="8" t="str">
        <f t="shared" si="28"/>
        <v/>
      </c>
      <c r="S952" s="82" t="str">
        <f t="shared" si="29"/>
        <v/>
      </c>
    </row>
    <row r="953" spans="18:19" x14ac:dyDescent="0.25">
      <c r="R953" s="8" t="str">
        <f t="shared" si="28"/>
        <v/>
      </c>
      <c r="S953" s="82" t="str">
        <f t="shared" si="29"/>
        <v/>
      </c>
    </row>
    <row r="954" spans="18:19" x14ac:dyDescent="0.25">
      <c r="R954" s="8" t="str">
        <f t="shared" si="28"/>
        <v/>
      </c>
      <c r="S954" s="82" t="str">
        <f t="shared" si="29"/>
        <v/>
      </c>
    </row>
    <row r="955" spans="18:19" x14ac:dyDescent="0.25">
      <c r="R955" s="8" t="str">
        <f t="shared" si="28"/>
        <v/>
      </c>
      <c r="S955" s="82" t="str">
        <f t="shared" si="29"/>
        <v/>
      </c>
    </row>
    <row r="956" spans="18:19" x14ac:dyDescent="0.25">
      <c r="R956" s="8" t="str">
        <f t="shared" si="28"/>
        <v/>
      </c>
      <c r="S956" s="82" t="str">
        <f t="shared" si="29"/>
        <v/>
      </c>
    </row>
    <row r="957" spans="18:19" x14ac:dyDescent="0.25">
      <c r="R957" s="8" t="str">
        <f t="shared" si="28"/>
        <v/>
      </c>
      <c r="S957" s="82" t="str">
        <f t="shared" si="29"/>
        <v/>
      </c>
    </row>
    <row r="958" spans="18:19" x14ac:dyDescent="0.25">
      <c r="R958" s="8" t="str">
        <f t="shared" si="28"/>
        <v/>
      </c>
      <c r="S958" s="82" t="str">
        <f t="shared" si="29"/>
        <v/>
      </c>
    </row>
    <row r="959" spans="18:19" x14ac:dyDescent="0.25">
      <c r="R959" s="8" t="str">
        <f t="shared" si="28"/>
        <v/>
      </c>
      <c r="S959" s="82" t="str">
        <f t="shared" si="29"/>
        <v/>
      </c>
    </row>
    <row r="960" spans="18:19" x14ac:dyDescent="0.25">
      <c r="R960" s="8" t="str">
        <f t="shared" si="28"/>
        <v/>
      </c>
      <c r="S960" s="82" t="str">
        <f t="shared" si="29"/>
        <v/>
      </c>
    </row>
    <row r="961" spans="18:19" x14ac:dyDescent="0.25">
      <c r="R961" s="8" t="str">
        <f t="shared" si="28"/>
        <v/>
      </c>
      <c r="S961" s="82" t="str">
        <f t="shared" si="29"/>
        <v/>
      </c>
    </row>
    <row r="962" spans="18:19" x14ac:dyDescent="0.25">
      <c r="R962" s="8" t="str">
        <f t="shared" si="28"/>
        <v/>
      </c>
      <c r="S962" s="82" t="str">
        <f t="shared" si="29"/>
        <v/>
      </c>
    </row>
    <row r="963" spans="18:19" x14ac:dyDescent="0.25">
      <c r="R963" s="8" t="str">
        <f t="shared" si="28"/>
        <v/>
      </c>
      <c r="S963" s="82" t="str">
        <f t="shared" si="29"/>
        <v/>
      </c>
    </row>
    <row r="964" spans="18:19" x14ac:dyDescent="0.25">
      <c r="R964" s="8" t="str">
        <f t="shared" si="28"/>
        <v/>
      </c>
      <c r="S964" s="82" t="str">
        <f t="shared" si="29"/>
        <v/>
      </c>
    </row>
    <row r="965" spans="18:19" x14ac:dyDescent="0.25">
      <c r="R965" s="8" t="str">
        <f t="shared" si="28"/>
        <v/>
      </c>
      <c r="S965" s="82" t="str">
        <f t="shared" si="29"/>
        <v/>
      </c>
    </row>
    <row r="966" spans="18:19" x14ac:dyDescent="0.25">
      <c r="R966" s="8" t="str">
        <f t="shared" si="28"/>
        <v/>
      </c>
      <c r="S966" s="82" t="str">
        <f t="shared" si="29"/>
        <v/>
      </c>
    </row>
    <row r="967" spans="18:19" x14ac:dyDescent="0.25">
      <c r="R967" s="8" t="str">
        <f t="shared" si="28"/>
        <v/>
      </c>
      <c r="S967" s="82" t="str">
        <f t="shared" si="29"/>
        <v/>
      </c>
    </row>
    <row r="968" spans="18:19" x14ac:dyDescent="0.25">
      <c r="R968" s="8" t="str">
        <f t="shared" ref="R968:R1031" si="30">IF(A968="",(""),(MONTH(A968)))</f>
        <v/>
      </c>
      <c r="S968" s="82" t="str">
        <f t="shared" ref="S968:S1031" si="31">IF(B968="",(""),IF(B968="3 - Nota de Crédito A",-Q968,IF(B968="8 - Nota de Crédito B",-Q968,(Q968))))</f>
        <v/>
      </c>
    </row>
    <row r="969" spans="18:19" x14ac:dyDescent="0.25">
      <c r="R969" s="8" t="str">
        <f t="shared" si="30"/>
        <v/>
      </c>
      <c r="S969" s="82" t="str">
        <f t="shared" si="31"/>
        <v/>
      </c>
    </row>
    <row r="970" spans="18:19" x14ac:dyDescent="0.25">
      <c r="R970" s="8" t="str">
        <f t="shared" si="30"/>
        <v/>
      </c>
      <c r="S970" s="82" t="str">
        <f t="shared" si="31"/>
        <v/>
      </c>
    </row>
    <row r="971" spans="18:19" x14ac:dyDescent="0.25">
      <c r="R971" s="8" t="str">
        <f t="shared" si="30"/>
        <v/>
      </c>
      <c r="S971" s="82" t="str">
        <f t="shared" si="31"/>
        <v/>
      </c>
    </row>
    <row r="972" spans="18:19" x14ac:dyDescent="0.25">
      <c r="R972" s="8" t="str">
        <f t="shared" si="30"/>
        <v/>
      </c>
      <c r="S972" s="82" t="str">
        <f t="shared" si="31"/>
        <v/>
      </c>
    </row>
    <row r="973" spans="18:19" x14ac:dyDescent="0.25">
      <c r="R973" s="8" t="str">
        <f t="shared" si="30"/>
        <v/>
      </c>
      <c r="S973" s="82" t="str">
        <f t="shared" si="31"/>
        <v/>
      </c>
    </row>
    <row r="974" spans="18:19" x14ac:dyDescent="0.25">
      <c r="R974" s="8" t="str">
        <f t="shared" si="30"/>
        <v/>
      </c>
      <c r="S974" s="82" t="str">
        <f t="shared" si="31"/>
        <v/>
      </c>
    </row>
    <row r="975" spans="18:19" x14ac:dyDescent="0.25">
      <c r="R975" s="8" t="str">
        <f t="shared" si="30"/>
        <v/>
      </c>
      <c r="S975" s="82" t="str">
        <f t="shared" si="31"/>
        <v/>
      </c>
    </row>
    <row r="976" spans="18:19" x14ac:dyDescent="0.25">
      <c r="R976" s="8" t="str">
        <f t="shared" si="30"/>
        <v/>
      </c>
      <c r="S976" s="82" t="str">
        <f t="shared" si="31"/>
        <v/>
      </c>
    </row>
    <row r="977" spans="18:19" x14ac:dyDescent="0.25">
      <c r="R977" s="8" t="str">
        <f t="shared" si="30"/>
        <v/>
      </c>
      <c r="S977" s="82" t="str">
        <f t="shared" si="31"/>
        <v/>
      </c>
    </row>
    <row r="978" spans="18:19" x14ac:dyDescent="0.25">
      <c r="R978" s="8" t="str">
        <f t="shared" si="30"/>
        <v/>
      </c>
      <c r="S978" s="82" t="str">
        <f t="shared" si="31"/>
        <v/>
      </c>
    </row>
    <row r="979" spans="18:19" x14ac:dyDescent="0.25">
      <c r="R979" s="8" t="str">
        <f t="shared" si="30"/>
        <v/>
      </c>
      <c r="S979" s="82" t="str">
        <f t="shared" si="31"/>
        <v/>
      </c>
    </row>
    <row r="980" spans="18:19" x14ac:dyDescent="0.25">
      <c r="R980" s="8" t="str">
        <f t="shared" si="30"/>
        <v/>
      </c>
      <c r="S980" s="82" t="str">
        <f t="shared" si="31"/>
        <v/>
      </c>
    </row>
    <row r="981" spans="18:19" x14ac:dyDescent="0.25">
      <c r="R981" s="8" t="str">
        <f t="shared" si="30"/>
        <v/>
      </c>
      <c r="S981" s="82" t="str">
        <f t="shared" si="31"/>
        <v/>
      </c>
    </row>
    <row r="982" spans="18:19" x14ac:dyDescent="0.25">
      <c r="R982" s="8" t="str">
        <f t="shared" si="30"/>
        <v/>
      </c>
      <c r="S982" s="82" t="str">
        <f t="shared" si="31"/>
        <v/>
      </c>
    </row>
    <row r="983" spans="18:19" x14ac:dyDescent="0.25">
      <c r="R983" s="8" t="str">
        <f t="shared" si="30"/>
        <v/>
      </c>
      <c r="S983" s="82" t="str">
        <f t="shared" si="31"/>
        <v/>
      </c>
    </row>
    <row r="984" spans="18:19" x14ac:dyDescent="0.25">
      <c r="R984" s="8" t="str">
        <f t="shared" si="30"/>
        <v/>
      </c>
      <c r="S984" s="82" t="str">
        <f t="shared" si="31"/>
        <v/>
      </c>
    </row>
    <row r="985" spans="18:19" x14ac:dyDescent="0.25">
      <c r="R985" s="8" t="str">
        <f t="shared" si="30"/>
        <v/>
      </c>
      <c r="S985" s="82" t="str">
        <f t="shared" si="31"/>
        <v/>
      </c>
    </row>
    <row r="986" spans="18:19" x14ac:dyDescent="0.25">
      <c r="R986" s="8" t="str">
        <f t="shared" si="30"/>
        <v/>
      </c>
      <c r="S986" s="82" t="str">
        <f t="shared" si="31"/>
        <v/>
      </c>
    </row>
    <row r="987" spans="18:19" x14ac:dyDescent="0.25">
      <c r="R987" s="8" t="str">
        <f t="shared" si="30"/>
        <v/>
      </c>
      <c r="S987" s="82" t="str">
        <f t="shared" si="31"/>
        <v/>
      </c>
    </row>
    <row r="988" spans="18:19" x14ac:dyDescent="0.25">
      <c r="R988" s="8" t="str">
        <f t="shared" si="30"/>
        <v/>
      </c>
      <c r="S988" s="82" t="str">
        <f t="shared" si="31"/>
        <v/>
      </c>
    </row>
    <row r="989" spans="18:19" x14ac:dyDescent="0.25">
      <c r="R989" s="8" t="str">
        <f t="shared" si="30"/>
        <v/>
      </c>
      <c r="S989" s="82" t="str">
        <f t="shared" si="31"/>
        <v/>
      </c>
    </row>
    <row r="990" spans="18:19" x14ac:dyDescent="0.25">
      <c r="R990" s="8" t="str">
        <f t="shared" si="30"/>
        <v/>
      </c>
      <c r="S990" s="82" t="str">
        <f t="shared" si="31"/>
        <v/>
      </c>
    </row>
    <row r="991" spans="18:19" x14ac:dyDescent="0.25">
      <c r="R991" s="8" t="str">
        <f t="shared" si="30"/>
        <v/>
      </c>
      <c r="S991" s="82" t="str">
        <f t="shared" si="31"/>
        <v/>
      </c>
    </row>
    <row r="992" spans="18:19" x14ac:dyDescent="0.25">
      <c r="R992" s="8" t="str">
        <f t="shared" si="30"/>
        <v/>
      </c>
      <c r="S992" s="82" t="str">
        <f t="shared" si="31"/>
        <v/>
      </c>
    </row>
    <row r="993" spans="18:19" x14ac:dyDescent="0.25">
      <c r="R993" s="8" t="str">
        <f t="shared" si="30"/>
        <v/>
      </c>
      <c r="S993" s="82" t="str">
        <f t="shared" si="31"/>
        <v/>
      </c>
    </row>
    <row r="994" spans="18:19" x14ac:dyDescent="0.25">
      <c r="R994" s="8" t="str">
        <f t="shared" si="30"/>
        <v/>
      </c>
      <c r="S994" s="82" t="str">
        <f t="shared" si="31"/>
        <v/>
      </c>
    </row>
    <row r="995" spans="18:19" x14ac:dyDescent="0.25">
      <c r="R995" s="8" t="str">
        <f t="shared" si="30"/>
        <v/>
      </c>
      <c r="S995" s="82" t="str">
        <f t="shared" si="31"/>
        <v/>
      </c>
    </row>
    <row r="996" spans="18:19" x14ac:dyDescent="0.25">
      <c r="R996" s="8" t="str">
        <f t="shared" si="30"/>
        <v/>
      </c>
      <c r="S996" s="82" t="str">
        <f t="shared" si="31"/>
        <v/>
      </c>
    </row>
    <row r="997" spans="18:19" x14ac:dyDescent="0.25">
      <c r="R997" s="8" t="str">
        <f t="shared" si="30"/>
        <v/>
      </c>
      <c r="S997" s="82" t="str">
        <f t="shared" si="31"/>
        <v/>
      </c>
    </row>
    <row r="998" spans="18:19" x14ac:dyDescent="0.25">
      <c r="R998" s="8" t="str">
        <f t="shared" si="30"/>
        <v/>
      </c>
      <c r="S998" s="82" t="str">
        <f t="shared" si="31"/>
        <v/>
      </c>
    </row>
    <row r="999" spans="18:19" x14ac:dyDescent="0.25">
      <c r="R999" s="8" t="str">
        <f t="shared" si="30"/>
        <v/>
      </c>
      <c r="S999" s="82" t="str">
        <f t="shared" si="31"/>
        <v/>
      </c>
    </row>
    <row r="1000" spans="18:19" x14ac:dyDescent="0.25">
      <c r="R1000" s="8" t="str">
        <f t="shared" si="30"/>
        <v/>
      </c>
      <c r="S1000" s="82" t="str">
        <f t="shared" si="31"/>
        <v/>
      </c>
    </row>
    <row r="1001" spans="18:19" x14ac:dyDescent="0.25">
      <c r="R1001" s="8" t="str">
        <f t="shared" si="30"/>
        <v/>
      </c>
      <c r="S1001" s="82" t="str">
        <f t="shared" si="31"/>
        <v/>
      </c>
    </row>
    <row r="1002" spans="18:19" x14ac:dyDescent="0.25">
      <c r="R1002" s="8" t="str">
        <f t="shared" si="30"/>
        <v/>
      </c>
      <c r="S1002" s="82" t="str">
        <f t="shared" si="31"/>
        <v/>
      </c>
    </row>
    <row r="1003" spans="18:19" x14ac:dyDescent="0.25">
      <c r="R1003" s="8" t="str">
        <f t="shared" si="30"/>
        <v/>
      </c>
      <c r="S1003" s="82" t="str">
        <f t="shared" si="31"/>
        <v/>
      </c>
    </row>
    <row r="1004" spans="18:19" x14ac:dyDescent="0.25">
      <c r="R1004" s="8" t="str">
        <f t="shared" si="30"/>
        <v/>
      </c>
      <c r="S1004" s="82" t="str">
        <f t="shared" si="31"/>
        <v/>
      </c>
    </row>
    <row r="1005" spans="18:19" x14ac:dyDescent="0.25">
      <c r="R1005" s="8" t="str">
        <f t="shared" si="30"/>
        <v/>
      </c>
      <c r="S1005" s="82" t="str">
        <f t="shared" si="31"/>
        <v/>
      </c>
    </row>
    <row r="1006" spans="18:19" x14ac:dyDescent="0.25">
      <c r="R1006" s="8" t="str">
        <f t="shared" si="30"/>
        <v/>
      </c>
      <c r="S1006" s="82" t="str">
        <f t="shared" si="31"/>
        <v/>
      </c>
    </row>
    <row r="1007" spans="18:19" x14ac:dyDescent="0.25">
      <c r="R1007" s="8" t="str">
        <f t="shared" si="30"/>
        <v/>
      </c>
      <c r="S1007" s="82" t="str">
        <f t="shared" si="31"/>
        <v/>
      </c>
    </row>
    <row r="1008" spans="18:19" x14ac:dyDescent="0.25">
      <c r="R1008" s="8" t="str">
        <f t="shared" si="30"/>
        <v/>
      </c>
      <c r="S1008" s="82" t="str">
        <f t="shared" si="31"/>
        <v/>
      </c>
    </row>
    <row r="1009" spans="18:19" x14ac:dyDescent="0.25">
      <c r="R1009" s="8" t="str">
        <f t="shared" si="30"/>
        <v/>
      </c>
      <c r="S1009" s="82" t="str">
        <f t="shared" si="31"/>
        <v/>
      </c>
    </row>
    <row r="1010" spans="18:19" x14ac:dyDescent="0.25">
      <c r="R1010" s="8" t="str">
        <f t="shared" si="30"/>
        <v/>
      </c>
      <c r="S1010" s="82" t="str">
        <f t="shared" si="31"/>
        <v/>
      </c>
    </row>
    <row r="1011" spans="18:19" x14ac:dyDescent="0.25">
      <c r="R1011" s="8" t="str">
        <f t="shared" si="30"/>
        <v/>
      </c>
      <c r="S1011" s="82" t="str">
        <f t="shared" si="31"/>
        <v/>
      </c>
    </row>
    <row r="1012" spans="18:19" x14ac:dyDescent="0.25">
      <c r="R1012" s="8" t="str">
        <f t="shared" si="30"/>
        <v/>
      </c>
      <c r="S1012" s="82" t="str">
        <f t="shared" si="31"/>
        <v/>
      </c>
    </row>
    <row r="1013" spans="18:19" x14ac:dyDescent="0.25">
      <c r="R1013" s="8" t="str">
        <f t="shared" si="30"/>
        <v/>
      </c>
      <c r="S1013" s="82" t="str">
        <f t="shared" si="31"/>
        <v/>
      </c>
    </row>
    <row r="1014" spans="18:19" x14ac:dyDescent="0.25">
      <c r="R1014" s="8" t="str">
        <f t="shared" si="30"/>
        <v/>
      </c>
      <c r="S1014" s="82" t="str">
        <f t="shared" si="31"/>
        <v/>
      </c>
    </row>
    <row r="1015" spans="18:19" x14ac:dyDescent="0.25">
      <c r="R1015" s="8" t="str">
        <f t="shared" si="30"/>
        <v/>
      </c>
      <c r="S1015" s="82" t="str">
        <f t="shared" si="31"/>
        <v/>
      </c>
    </row>
    <row r="1016" spans="18:19" x14ac:dyDescent="0.25">
      <c r="R1016" s="8" t="str">
        <f t="shared" si="30"/>
        <v/>
      </c>
      <c r="S1016" s="82" t="str">
        <f t="shared" si="31"/>
        <v/>
      </c>
    </row>
    <row r="1017" spans="18:19" x14ac:dyDescent="0.25">
      <c r="R1017" s="8" t="str">
        <f t="shared" si="30"/>
        <v/>
      </c>
      <c r="S1017" s="82" t="str">
        <f t="shared" si="31"/>
        <v/>
      </c>
    </row>
    <row r="1018" spans="18:19" x14ac:dyDescent="0.25">
      <c r="R1018" s="8" t="str">
        <f t="shared" si="30"/>
        <v/>
      </c>
      <c r="S1018" s="82" t="str">
        <f t="shared" si="31"/>
        <v/>
      </c>
    </row>
    <row r="1019" spans="18:19" x14ac:dyDescent="0.25">
      <c r="R1019" s="8" t="str">
        <f t="shared" si="30"/>
        <v/>
      </c>
      <c r="S1019" s="82" t="str">
        <f t="shared" si="31"/>
        <v/>
      </c>
    </row>
    <row r="1020" spans="18:19" x14ac:dyDescent="0.25">
      <c r="R1020" s="8" t="str">
        <f t="shared" si="30"/>
        <v/>
      </c>
      <c r="S1020" s="82" t="str">
        <f t="shared" si="31"/>
        <v/>
      </c>
    </row>
    <row r="1021" spans="18:19" x14ac:dyDescent="0.25">
      <c r="R1021" s="8" t="str">
        <f t="shared" si="30"/>
        <v/>
      </c>
      <c r="S1021" s="82" t="str">
        <f t="shared" si="31"/>
        <v/>
      </c>
    </row>
    <row r="1022" spans="18:19" x14ac:dyDescent="0.25">
      <c r="R1022" s="8" t="str">
        <f t="shared" si="30"/>
        <v/>
      </c>
      <c r="S1022" s="82" t="str">
        <f t="shared" si="31"/>
        <v/>
      </c>
    </row>
    <row r="1023" spans="18:19" x14ac:dyDescent="0.25">
      <c r="R1023" s="8" t="str">
        <f t="shared" si="30"/>
        <v/>
      </c>
      <c r="S1023" s="82" t="str">
        <f t="shared" si="31"/>
        <v/>
      </c>
    </row>
    <row r="1024" spans="18:19" x14ac:dyDescent="0.25">
      <c r="R1024" s="8" t="str">
        <f t="shared" si="30"/>
        <v/>
      </c>
      <c r="S1024" s="82" t="str">
        <f t="shared" si="31"/>
        <v/>
      </c>
    </row>
    <row r="1025" spans="18:19" x14ac:dyDescent="0.25">
      <c r="R1025" s="8" t="str">
        <f t="shared" si="30"/>
        <v/>
      </c>
      <c r="S1025" s="82" t="str">
        <f t="shared" si="31"/>
        <v/>
      </c>
    </row>
    <row r="1026" spans="18:19" x14ac:dyDescent="0.25">
      <c r="R1026" s="8" t="str">
        <f t="shared" si="30"/>
        <v/>
      </c>
      <c r="S1026" s="82" t="str">
        <f t="shared" si="31"/>
        <v/>
      </c>
    </row>
    <row r="1027" spans="18:19" x14ac:dyDescent="0.25">
      <c r="R1027" s="8" t="str">
        <f t="shared" si="30"/>
        <v/>
      </c>
      <c r="S1027" s="82" t="str">
        <f t="shared" si="31"/>
        <v/>
      </c>
    </row>
    <row r="1028" spans="18:19" x14ac:dyDescent="0.25">
      <c r="R1028" s="8" t="str">
        <f t="shared" si="30"/>
        <v/>
      </c>
      <c r="S1028" s="82" t="str">
        <f t="shared" si="31"/>
        <v/>
      </c>
    </row>
    <row r="1029" spans="18:19" x14ac:dyDescent="0.25">
      <c r="R1029" s="8" t="str">
        <f t="shared" si="30"/>
        <v/>
      </c>
      <c r="S1029" s="82" t="str">
        <f t="shared" si="31"/>
        <v/>
      </c>
    </row>
    <row r="1030" spans="18:19" x14ac:dyDescent="0.25">
      <c r="R1030" s="8" t="str">
        <f t="shared" si="30"/>
        <v/>
      </c>
      <c r="S1030" s="82" t="str">
        <f t="shared" si="31"/>
        <v/>
      </c>
    </row>
    <row r="1031" spans="18:19" x14ac:dyDescent="0.25">
      <c r="R1031" s="8" t="str">
        <f t="shared" si="30"/>
        <v/>
      </c>
      <c r="S1031" s="82" t="str">
        <f t="shared" si="31"/>
        <v/>
      </c>
    </row>
    <row r="1032" spans="18:19" x14ac:dyDescent="0.25">
      <c r="R1032" s="8" t="str">
        <f t="shared" ref="R1032:R1095" si="32">IF(A1032="",(""),(MONTH(A1032)))</f>
        <v/>
      </c>
      <c r="S1032" s="82" t="str">
        <f t="shared" ref="S1032:S1095" si="33">IF(B1032="",(""),IF(B1032="3 - Nota de Crédito A",-Q1032,IF(B1032="8 - Nota de Crédito B",-Q1032,(Q1032))))</f>
        <v/>
      </c>
    </row>
    <row r="1033" spans="18:19" x14ac:dyDescent="0.25">
      <c r="R1033" s="8" t="str">
        <f t="shared" si="32"/>
        <v/>
      </c>
      <c r="S1033" s="82" t="str">
        <f t="shared" si="33"/>
        <v/>
      </c>
    </row>
    <row r="1034" spans="18:19" x14ac:dyDescent="0.25">
      <c r="R1034" s="8" t="str">
        <f t="shared" si="32"/>
        <v/>
      </c>
      <c r="S1034" s="82" t="str">
        <f t="shared" si="33"/>
        <v/>
      </c>
    </row>
    <row r="1035" spans="18:19" x14ac:dyDescent="0.25">
      <c r="R1035" s="8" t="str">
        <f t="shared" si="32"/>
        <v/>
      </c>
      <c r="S1035" s="82" t="str">
        <f t="shared" si="33"/>
        <v/>
      </c>
    </row>
    <row r="1036" spans="18:19" x14ac:dyDescent="0.25">
      <c r="R1036" s="8" t="str">
        <f t="shared" si="32"/>
        <v/>
      </c>
      <c r="S1036" s="82" t="str">
        <f t="shared" si="33"/>
        <v/>
      </c>
    </row>
    <row r="1037" spans="18:19" x14ac:dyDescent="0.25">
      <c r="R1037" s="8" t="str">
        <f t="shared" si="32"/>
        <v/>
      </c>
      <c r="S1037" s="82" t="str">
        <f t="shared" si="33"/>
        <v/>
      </c>
    </row>
    <row r="1038" spans="18:19" x14ac:dyDescent="0.25">
      <c r="R1038" s="8" t="str">
        <f t="shared" si="32"/>
        <v/>
      </c>
      <c r="S1038" s="82" t="str">
        <f t="shared" si="33"/>
        <v/>
      </c>
    </row>
    <row r="1039" spans="18:19" x14ac:dyDescent="0.25">
      <c r="R1039" s="8" t="str">
        <f t="shared" si="32"/>
        <v/>
      </c>
      <c r="S1039" s="82" t="str">
        <f t="shared" si="33"/>
        <v/>
      </c>
    </row>
    <row r="1040" spans="18:19" x14ac:dyDescent="0.25">
      <c r="R1040" s="8" t="str">
        <f t="shared" si="32"/>
        <v/>
      </c>
      <c r="S1040" s="82" t="str">
        <f t="shared" si="33"/>
        <v/>
      </c>
    </row>
    <row r="1041" spans="18:19" x14ac:dyDescent="0.25">
      <c r="R1041" s="8" t="str">
        <f t="shared" si="32"/>
        <v/>
      </c>
      <c r="S1041" s="82" t="str">
        <f t="shared" si="33"/>
        <v/>
      </c>
    </row>
    <row r="1042" spans="18:19" x14ac:dyDescent="0.25">
      <c r="R1042" s="8" t="str">
        <f t="shared" si="32"/>
        <v/>
      </c>
      <c r="S1042" s="82" t="str">
        <f t="shared" si="33"/>
        <v/>
      </c>
    </row>
    <row r="1043" spans="18:19" x14ac:dyDescent="0.25">
      <c r="R1043" s="8" t="str">
        <f t="shared" si="32"/>
        <v/>
      </c>
      <c r="S1043" s="82" t="str">
        <f t="shared" si="33"/>
        <v/>
      </c>
    </row>
    <row r="1044" spans="18:19" x14ac:dyDescent="0.25">
      <c r="R1044" s="8" t="str">
        <f t="shared" si="32"/>
        <v/>
      </c>
      <c r="S1044" s="82" t="str">
        <f t="shared" si="33"/>
        <v/>
      </c>
    </row>
    <row r="1045" spans="18:19" x14ac:dyDescent="0.25">
      <c r="R1045" s="8" t="str">
        <f t="shared" si="32"/>
        <v/>
      </c>
      <c r="S1045" s="82" t="str">
        <f t="shared" si="33"/>
        <v/>
      </c>
    </row>
    <row r="1046" spans="18:19" x14ac:dyDescent="0.25">
      <c r="R1046" s="8" t="str">
        <f t="shared" si="32"/>
        <v/>
      </c>
      <c r="S1046" s="82" t="str">
        <f t="shared" si="33"/>
        <v/>
      </c>
    </row>
    <row r="1047" spans="18:19" x14ac:dyDescent="0.25">
      <c r="R1047" s="8" t="str">
        <f t="shared" si="32"/>
        <v/>
      </c>
      <c r="S1047" s="82" t="str">
        <f t="shared" si="33"/>
        <v/>
      </c>
    </row>
    <row r="1048" spans="18:19" x14ac:dyDescent="0.25">
      <c r="R1048" s="8" t="str">
        <f t="shared" si="32"/>
        <v/>
      </c>
      <c r="S1048" s="82" t="str">
        <f t="shared" si="33"/>
        <v/>
      </c>
    </row>
    <row r="1049" spans="18:19" x14ac:dyDescent="0.25">
      <c r="R1049" s="8" t="str">
        <f t="shared" si="32"/>
        <v/>
      </c>
      <c r="S1049" s="82" t="str">
        <f t="shared" si="33"/>
        <v/>
      </c>
    </row>
    <row r="1050" spans="18:19" x14ac:dyDescent="0.25">
      <c r="R1050" s="8" t="str">
        <f t="shared" si="32"/>
        <v/>
      </c>
      <c r="S1050" s="82" t="str">
        <f t="shared" si="33"/>
        <v/>
      </c>
    </row>
    <row r="1051" spans="18:19" x14ac:dyDescent="0.25">
      <c r="R1051" s="8" t="str">
        <f t="shared" si="32"/>
        <v/>
      </c>
      <c r="S1051" s="82" t="str">
        <f t="shared" si="33"/>
        <v/>
      </c>
    </row>
    <row r="1052" spans="18:19" x14ac:dyDescent="0.25">
      <c r="R1052" s="8" t="str">
        <f t="shared" si="32"/>
        <v/>
      </c>
      <c r="S1052" s="82" t="str">
        <f t="shared" si="33"/>
        <v/>
      </c>
    </row>
    <row r="1053" spans="18:19" x14ac:dyDescent="0.25">
      <c r="R1053" s="8" t="str">
        <f t="shared" si="32"/>
        <v/>
      </c>
      <c r="S1053" s="82" t="str">
        <f t="shared" si="33"/>
        <v/>
      </c>
    </row>
    <row r="1054" spans="18:19" x14ac:dyDescent="0.25">
      <c r="R1054" s="8" t="str">
        <f t="shared" si="32"/>
        <v/>
      </c>
      <c r="S1054" s="82" t="str">
        <f t="shared" si="33"/>
        <v/>
      </c>
    </row>
    <row r="1055" spans="18:19" x14ac:dyDescent="0.25">
      <c r="R1055" s="8" t="str">
        <f t="shared" si="32"/>
        <v/>
      </c>
      <c r="S1055" s="82" t="str">
        <f t="shared" si="33"/>
        <v/>
      </c>
    </row>
    <row r="1056" spans="18:19" x14ac:dyDescent="0.25">
      <c r="R1056" s="8" t="str">
        <f t="shared" si="32"/>
        <v/>
      </c>
      <c r="S1056" s="82" t="str">
        <f t="shared" si="33"/>
        <v/>
      </c>
    </row>
    <row r="1057" spans="18:19" x14ac:dyDescent="0.25">
      <c r="R1057" s="8" t="str">
        <f t="shared" si="32"/>
        <v/>
      </c>
      <c r="S1057" s="82" t="str">
        <f t="shared" si="33"/>
        <v/>
      </c>
    </row>
    <row r="1058" spans="18:19" x14ac:dyDescent="0.25">
      <c r="R1058" s="8" t="str">
        <f t="shared" si="32"/>
        <v/>
      </c>
      <c r="S1058" s="82" t="str">
        <f t="shared" si="33"/>
        <v/>
      </c>
    </row>
    <row r="1059" spans="18:19" x14ac:dyDescent="0.25">
      <c r="R1059" s="8" t="str">
        <f t="shared" si="32"/>
        <v/>
      </c>
      <c r="S1059" s="82" t="str">
        <f t="shared" si="33"/>
        <v/>
      </c>
    </row>
    <row r="1060" spans="18:19" x14ac:dyDescent="0.25">
      <c r="R1060" s="8" t="str">
        <f t="shared" si="32"/>
        <v/>
      </c>
      <c r="S1060" s="82" t="str">
        <f t="shared" si="33"/>
        <v/>
      </c>
    </row>
    <row r="1061" spans="18:19" x14ac:dyDescent="0.25">
      <c r="R1061" s="8" t="str">
        <f t="shared" si="32"/>
        <v/>
      </c>
      <c r="S1061" s="82" t="str">
        <f t="shared" si="33"/>
        <v/>
      </c>
    </row>
    <row r="1062" spans="18:19" x14ac:dyDescent="0.25">
      <c r="R1062" s="8" t="str">
        <f t="shared" si="32"/>
        <v/>
      </c>
      <c r="S1062" s="82" t="str">
        <f t="shared" si="33"/>
        <v/>
      </c>
    </row>
    <row r="1063" spans="18:19" x14ac:dyDescent="0.25">
      <c r="R1063" s="8" t="str">
        <f t="shared" si="32"/>
        <v/>
      </c>
      <c r="S1063" s="82" t="str">
        <f t="shared" si="33"/>
        <v/>
      </c>
    </row>
    <row r="1064" spans="18:19" x14ac:dyDescent="0.25">
      <c r="R1064" s="8" t="str">
        <f t="shared" si="32"/>
        <v/>
      </c>
      <c r="S1064" s="82" t="str">
        <f t="shared" si="33"/>
        <v/>
      </c>
    </row>
    <row r="1065" spans="18:19" x14ac:dyDescent="0.25">
      <c r="R1065" s="8" t="str">
        <f t="shared" si="32"/>
        <v/>
      </c>
      <c r="S1065" s="82" t="str">
        <f t="shared" si="33"/>
        <v/>
      </c>
    </row>
    <row r="1066" spans="18:19" x14ac:dyDescent="0.25">
      <c r="R1066" s="8" t="str">
        <f t="shared" si="32"/>
        <v/>
      </c>
      <c r="S1066" s="82" t="str">
        <f t="shared" si="33"/>
        <v/>
      </c>
    </row>
    <row r="1067" spans="18:19" x14ac:dyDescent="0.25">
      <c r="R1067" s="8" t="str">
        <f t="shared" si="32"/>
        <v/>
      </c>
      <c r="S1067" s="82" t="str">
        <f t="shared" si="33"/>
        <v/>
      </c>
    </row>
    <row r="1068" spans="18:19" x14ac:dyDescent="0.25">
      <c r="R1068" s="8" t="str">
        <f t="shared" si="32"/>
        <v/>
      </c>
      <c r="S1068" s="82" t="str">
        <f t="shared" si="33"/>
        <v/>
      </c>
    </row>
    <row r="1069" spans="18:19" x14ac:dyDescent="0.25">
      <c r="R1069" s="8" t="str">
        <f t="shared" si="32"/>
        <v/>
      </c>
      <c r="S1069" s="82" t="str">
        <f t="shared" si="33"/>
        <v/>
      </c>
    </row>
    <row r="1070" spans="18:19" x14ac:dyDescent="0.25">
      <c r="R1070" s="8" t="str">
        <f t="shared" si="32"/>
        <v/>
      </c>
      <c r="S1070" s="82" t="str">
        <f t="shared" si="33"/>
        <v/>
      </c>
    </row>
    <row r="1071" spans="18:19" x14ac:dyDescent="0.25">
      <c r="R1071" s="8" t="str">
        <f t="shared" si="32"/>
        <v/>
      </c>
      <c r="S1071" s="82" t="str">
        <f t="shared" si="33"/>
        <v/>
      </c>
    </row>
    <row r="1072" spans="18:19" x14ac:dyDescent="0.25">
      <c r="R1072" s="8" t="str">
        <f t="shared" si="32"/>
        <v/>
      </c>
      <c r="S1072" s="82" t="str">
        <f t="shared" si="33"/>
        <v/>
      </c>
    </row>
    <row r="1073" spans="18:19" x14ac:dyDescent="0.25">
      <c r="R1073" s="8" t="str">
        <f t="shared" si="32"/>
        <v/>
      </c>
      <c r="S1073" s="82" t="str">
        <f t="shared" si="33"/>
        <v/>
      </c>
    </row>
    <row r="1074" spans="18:19" x14ac:dyDescent="0.25">
      <c r="R1074" s="8" t="str">
        <f t="shared" si="32"/>
        <v/>
      </c>
      <c r="S1074" s="82" t="str">
        <f t="shared" si="33"/>
        <v/>
      </c>
    </row>
    <row r="1075" spans="18:19" x14ac:dyDescent="0.25">
      <c r="R1075" s="8" t="str">
        <f t="shared" si="32"/>
        <v/>
      </c>
      <c r="S1075" s="82" t="str">
        <f t="shared" si="33"/>
        <v/>
      </c>
    </row>
    <row r="1076" spans="18:19" x14ac:dyDescent="0.25">
      <c r="R1076" s="8" t="str">
        <f t="shared" si="32"/>
        <v/>
      </c>
      <c r="S1076" s="82" t="str">
        <f t="shared" si="33"/>
        <v/>
      </c>
    </row>
    <row r="1077" spans="18:19" x14ac:dyDescent="0.25">
      <c r="R1077" s="8" t="str">
        <f t="shared" si="32"/>
        <v/>
      </c>
      <c r="S1077" s="82" t="str">
        <f t="shared" si="33"/>
        <v/>
      </c>
    </row>
    <row r="1078" spans="18:19" x14ac:dyDescent="0.25">
      <c r="R1078" s="8" t="str">
        <f t="shared" si="32"/>
        <v/>
      </c>
      <c r="S1078" s="82" t="str">
        <f t="shared" si="33"/>
        <v/>
      </c>
    </row>
    <row r="1079" spans="18:19" x14ac:dyDescent="0.25">
      <c r="R1079" s="8" t="str">
        <f t="shared" si="32"/>
        <v/>
      </c>
      <c r="S1079" s="82" t="str">
        <f t="shared" si="33"/>
        <v/>
      </c>
    </row>
    <row r="1080" spans="18:19" x14ac:dyDescent="0.25">
      <c r="R1080" s="8" t="str">
        <f t="shared" si="32"/>
        <v/>
      </c>
      <c r="S1080" s="82" t="str">
        <f t="shared" si="33"/>
        <v/>
      </c>
    </row>
    <row r="1081" spans="18:19" x14ac:dyDescent="0.25">
      <c r="R1081" s="8" t="str">
        <f t="shared" si="32"/>
        <v/>
      </c>
      <c r="S1081" s="82" t="str">
        <f t="shared" si="33"/>
        <v/>
      </c>
    </row>
    <row r="1082" spans="18:19" x14ac:dyDescent="0.25">
      <c r="R1082" s="8" t="str">
        <f t="shared" si="32"/>
        <v/>
      </c>
      <c r="S1082" s="82" t="str">
        <f t="shared" si="33"/>
        <v/>
      </c>
    </row>
    <row r="1083" spans="18:19" x14ac:dyDescent="0.25">
      <c r="R1083" s="8" t="str">
        <f t="shared" si="32"/>
        <v/>
      </c>
      <c r="S1083" s="82" t="str">
        <f t="shared" si="33"/>
        <v/>
      </c>
    </row>
    <row r="1084" spans="18:19" x14ac:dyDescent="0.25">
      <c r="R1084" s="8" t="str">
        <f t="shared" si="32"/>
        <v/>
      </c>
      <c r="S1084" s="82" t="str">
        <f t="shared" si="33"/>
        <v/>
      </c>
    </row>
    <row r="1085" spans="18:19" x14ac:dyDescent="0.25">
      <c r="R1085" s="8" t="str">
        <f t="shared" si="32"/>
        <v/>
      </c>
      <c r="S1085" s="82" t="str">
        <f t="shared" si="33"/>
        <v/>
      </c>
    </row>
    <row r="1086" spans="18:19" x14ac:dyDescent="0.25">
      <c r="R1086" s="8" t="str">
        <f t="shared" si="32"/>
        <v/>
      </c>
      <c r="S1086" s="82" t="str">
        <f t="shared" si="33"/>
        <v/>
      </c>
    </row>
    <row r="1087" spans="18:19" x14ac:dyDescent="0.25">
      <c r="R1087" s="8" t="str">
        <f t="shared" si="32"/>
        <v/>
      </c>
      <c r="S1087" s="82" t="str">
        <f t="shared" si="33"/>
        <v/>
      </c>
    </row>
    <row r="1088" spans="18:19" x14ac:dyDescent="0.25">
      <c r="R1088" s="8" t="str">
        <f t="shared" si="32"/>
        <v/>
      </c>
      <c r="S1088" s="82" t="str">
        <f t="shared" si="33"/>
        <v/>
      </c>
    </row>
    <row r="1089" spans="18:19" x14ac:dyDescent="0.25">
      <c r="R1089" s="8" t="str">
        <f t="shared" si="32"/>
        <v/>
      </c>
      <c r="S1089" s="82" t="str">
        <f t="shared" si="33"/>
        <v/>
      </c>
    </row>
    <row r="1090" spans="18:19" x14ac:dyDescent="0.25">
      <c r="R1090" s="8" t="str">
        <f t="shared" si="32"/>
        <v/>
      </c>
      <c r="S1090" s="82" t="str">
        <f t="shared" si="33"/>
        <v/>
      </c>
    </row>
    <row r="1091" spans="18:19" x14ac:dyDescent="0.25">
      <c r="R1091" s="8" t="str">
        <f t="shared" si="32"/>
        <v/>
      </c>
      <c r="S1091" s="82" t="str">
        <f t="shared" si="33"/>
        <v/>
      </c>
    </row>
    <row r="1092" spans="18:19" x14ac:dyDescent="0.25">
      <c r="R1092" s="8" t="str">
        <f t="shared" si="32"/>
        <v/>
      </c>
      <c r="S1092" s="82" t="str">
        <f t="shared" si="33"/>
        <v/>
      </c>
    </row>
    <row r="1093" spans="18:19" x14ac:dyDescent="0.25">
      <c r="R1093" s="8" t="str">
        <f t="shared" si="32"/>
        <v/>
      </c>
      <c r="S1093" s="82" t="str">
        <f t="shared" si="33"/>
        <v/>
      </c>
    </row>
    <row r="1094" spans="18:19" x14ac:dyDescent="0.25">
      <c r="R1094" s="8" t="str">
        <f t="shared" si="32"/>
        <v/>
      </c>
      <c r="S1094" s="82" t="str">
        <f t="shared" si="33"/>
        <v/>
      </c>
    </row>
    <row r="1095" spans="18:19" x14ac:dyDescent="0.25">
      <c r="R1095" s="8" t="str">
        <f t="shared" si="32"/>
        <v/>
      </c>
      <c r="S1095" s="82" t="str">
        <f t="shared" si="33"/>
        <v/>
      </c>
    </row>
    <row r="1096" spans="18:19" x14ac:dyDescent="0.25">
      <c r="R1096" s="8" t="str">
        <f t="shared" ref="R1096:R1159" si="34">IF(A1096="",(""),(MONTH(A1096)))</f>
        <v/>
      </c>
      <c r="S1096" s="82" t="str">
        <f t="shared" ref="S1096:S1159" si="35">IF(B1096="",(""),IF(B1096="3 - Nota de Crédito A",-Q1096,IF(B1096="8 - Nota de Crédito B",-Q1096,(Q1096))))</f>
        <v/>
      </c>
    </row>
    <row r="1097" spans="18:19" x14ac:dyDescent="0.25">
      <c r="R1097" s="8" t="str">
        <f t="shared" si="34"/>
        <v/>
      </c>
      <c r="S1097" s="82" t="str">
        <f t="shared" si="35"/>
        <v/>
      </c>
    </row>
    <row r="1098" spans="18:19" x14ac:dyDescent="0.25">
      <c r="R1098" s="8" t="str">
        <f t="shared" si="34"/>
        <v/>
      </c>
      <c r="S1098" s="82" t="str">
        <f t="shared" si="35"/>
        <v/>
      </c>
    </row>
    <row r="1099" spans="18:19" x14ac:dyDescent="0.25">
      <c r="R1099" s="8" t="str">
        <f t="shared" si="34"/>
        <v/>
      </c>
      <c r="S1099" s="82" t="str">
        <f t="shared" si="35"/>
        <v/>
      </c>
    </row>
    <row r="1100" spans="18:19" x14ac:dyDescent="0.25">
      <c r="R1100" s="8" t="str">
        <f t="shared" si="34"/>
        <v/>
      </c>
      <c r="S1100" s="82" t="str">
        <f t="shared" si="35"/>
        <v/>
      </c>
    </row>
    <row r="1101" spans="18:19" x14ac:dyDescent="0.25">
      <c r="R1101" s="8" t="str">
        <f t="shared" si="34"/>
        <v/>
      </c>
      <c r="S1101" s="82" t="str">
        <f t="shared" si="35"/>
        <v/>
      </c>
    </row>
    <row r="1102" spans="18:19" x14ac:dyDescent="0.25">
      <c r="R1102" s="8" t="str">
        <f t="shared" si="34"/>
        <v/>
      </c>
      <c r="S1102" s="82" t="str">
        <f t="shared" si="35"/>
        <v/>
      </c>
    </row>
    <row r="1103" spans="18:19" x14ac:dyDescent="0.25">
      <c r="R1103" s="8" t="str">
        <f t="shared" si="34"/>
        <v/>
      </c>
      <c r="S1103" s="82" t="str">
        <f t="shared" si="35"/>
        <v/>
      </c>
    </row>
    <row r="1104" spans="18:19" x14ac:dyDescent="0.25">
      <c r="R1104" s="8" t="str">
        <f t="shared" si="34"/>
        <v/>
      </c>
      <c r="S1104" s="82" t="str">
        <f t="shared" si="35"/>
        <v/>
      </c>
    </row>
    <row r="1105" spans="18:19" x14ac:dyDescent="0.25">
      <c r="R1105" s="8" t="str">
        <f t="shared" si="34"/>
        <v/>
      </c>
      <c r="S1105" s="82" t="str">
        <f t="shared" si="35"/>
        <v/>
      </c>
    </row>
    <row r="1106" spans="18:19" x14ac:dyDescent="0.25">
      <c r="R1106" s="8" t="str">
        <f t="shared" si="34"/>
        <v/>
      </c>
      <c r="S1106" s="82" t="str">
        <f t="shared" si="35"/>
        <v/>
      </c>
    </row>
    <row r="1107" spans="18:19" x14ac:dyDescent="0.25">
      <c r="R1107" s="8" t="str">
        <f t="shared" si="34"/>
        <v/>
      </c>
      <c r="S1107" s="82" t="str">
        <f t="shared" si="35"/>
        <v/>
      </c>
    </row>
    <row r="1108" spans="18:19" x14ac:dyDescent="0.25">
      <c r="R1108" s="8" t="str">
        <f t="shared" si="34"/>
        <v/>
      </c>
      <c r="S1108" s="82" t="str">
        <f t="shared" si="35"/>
        <v/>
      </c>
    </row>
    <row r="1109" spans="18:19" x14ac:dyDescent="0.25">
      <c r="R1109" s="8" t="str">
        <f t="shared" si="34"/>
        <v/>
      </c>
      <c r="S1109" s="82" t="str">
        <f t="shared" si="35"/>
        <v/>
      </c>
    </row>
    <row r="1110" spans="18:19" x14ac:dyDescent="0.25">
      <c r="R1110" s="8" t="str">
        <f t="shared" si="34"/>
        <v/>
      </c>
      <c r="S1110" s="82" t="str">
        <f t="shared" si="35"/>
        <v/>
      </c>
    </row>
    <row r="1111" spans="18:19" x14ac:dyDescent="0.25">
      <c r="R1111" s="8" t="str">
        <f t="shared" si="34"/>
        <v/>
      </c>
      <c r="S1111" s="82" t="str">
        <f t="shared" si="35"/>
        <v/>
      </c>
    </row>
    <row r="1112" spans="18:19" x14ac:dyDescent="0.25">
      <c r="R1112" s="8" t="str">
        <f t="shared" si="34"/>
        <v/>
      </c>
      <c r="S1112" s="82" t="str">
        <f t="shared" si="35"/>
        <v/>
      </c>
    </row>
    <row r="1113" spans="18:19" x14ac:dyDescent="0.25">
      <c r="R1113" s="8" t="str">
        <f t="shared" si="34"/>
        <v/>
      </c>
      <c r="S1113" s="82" t="str">
        <f t="shared" si="35"/>
        <v/>
      </c>
    </row>
    <row r="1114" spans="18:19" x14ac:dyDescent="0.25">
      <c r="R1114" s="8" t="str">
        <f t="shared" si="34"/>
        <v/>
      </c>
      <c r="S1114" s="82" t="str">
        <f t="shared" si="35"/>
        <v/>
      </c>
    </row>
    <row r="1115" spans="18:19" x14ac:dyDescent="0.25">
      <c r="R1115" s="8" t="str">
        <f t="shared" si="34"/>
        <v/>
      </c>
      <c r="S1115" s="82" t="str">
        <f t="shared" si="35"/>
        <v/>
      </c>
    </row>
    <row r="1116" spans="18:19" x14ac:dyDescent="0.25">
      <c r="R1116" s="8" t="str">
        <f t="shared" si="34"/>
        <v/>
      </c>
      <c r="S1116" s="82" t="str">
        <f t="shared" si="35"/>
        <v/>
      </c>
    </row>
    <row r="1117" spans="18:19" x14ac:dyDescent="0.25">
      <c r="R1117" s="8" t="str">
        <f t="shared" si="34"/>
        <v/>
      </c>
      <c r="S1117" s="82" t="str">
        <f t="shared" si="35"/>
        <v/>
      </c>
    </row>
    <row r="1118" spans="18:19" x14ac:dyDescent="0.25">
      <c r="R1118" s="8" t="str">
        <f t="shared" si="34"/>
        <v/>
      </c>
      <c r="S1118" s="82" t="str">
        <f t="shared" si="35"/>
        <v/>
      </c>
    </row>
    <row r="1119" spans="18:19" x14ac:dyDescent="0.25">
      <c r="R1119" s="8" t="str">
        <f t="shared" si="34"/>
        <v/>
      </c>
      <c r="S1119" s="82" t="str">
        <f t="shared" si="35"/>
        <v/>
      </c>
    </row>
    <row r="1120" spans="18:19" x14ac:dyDescent="0.25">
      <c r="R1120" s="8" t="str">
        <f t="shared" si="34"/>
        <v/>
      </c>
      <c r="S1120" s="82" t="str">
        <f t="shared" si="35"/>
        <v/>
      </c>
    </row>
    <row r="1121" spans="18:19" x14ac:dyDescent="0.25">
      <c r="R1121" s="8" t="str">
        <f t="shared" si="34"/>
        <v/>
      </c>
      <c r="S1121" s="82" t="str">
        <f t="shared" si="35"/>
        <v/>
      </c>
    </row>
    <row r="1122" spans="18:19" x14ac:dyDescent="0.25">
      <c r="R1122" s="8" t="str">
        <f t="shared" si="34"/>
        <v/>
      </c>
      <c r="S1122" s="82" t="str">
        <f t="shared" si="35"/>
        <v/>
      </c>
    </row>
    <row r="1123" spans="18:19" x14ac:dyDescent="0.25">
      <c r="R1123" s="8" t="str">
        <f t="shared" si="34"/>
        <v/>
      </c>
      <c r="S1123" s="82" t="str">
        <f t="shared" si="35"/>
        <v/>
      </c>
    </row>
    <row r="1124" spans="18:19" x14ac:dyDescent="0.25">
      <c r="R1124" s="8" t="str">
        <f t="shared" si="34"/>
        <v/>
      </c>
      <c r="S1124" s="82" t="str">
        <f t="shared" si="35"/>
        <v/>
      </c>
    </row>
    <row r="1125" spans="18:19" x14ac:dyDescent="0.25">
      <c r="R1125" s="8" t="str">
        <f t="shared" si="34"/>
        <v/>
      </c>
      <c r="S1125" s="82" t="str">
        <f t="shared" si="35"/>
        <v/>
      </c>
    </row>
    <row r="1126" spans="18:19" x14ac:dyDescent="0.25">
      <c r="R1126" s="8" t="str">
        <f t="shared" si="34"/>
        <v/>
      </c>
      <c r="S1126" s="82" t="str">
        <f t="shared" si="35"/>
        <v/>
      </c>
    </row>
    <row r="1127" spans="18:19" x14ac:dyDescent="0.25">
      <c r="R1127" s="8" t="str">
        <f t="shared" si="34"/>
        <v/>
      </c>
      <c r="S1127" s="82" t="str">
        <f t="shared" si="35"/>
        <v/>
      </c>
    </row>
    <row r="1128" spans="18:19" x14ac:dyDescent="0.25">
      <c r="R1128" s="8" t="str">
        <f t="shared" si="34"/>
        <v/>
      </c>
      <c r="S1128" s="82" t="str">
        <f t="shared" si="35"/>
        <v/>
      </c>
    </row>
    <row r="1129" spans="18:19" x14ac:dyDescent="0.25">
      <c r="R1129" s="8" t="str">
        <f t="shared" si="34"/>
        <v/>
      </c>
      <c r="S1129" s="82" t="str">
        <f t="shared" si="35"/>
        <v/>
      </c>
    </row>
    <row r="1130" spans="18:19" x14ac:dyDescent="0.25">
      <c r="R1130" s="8" t="str">
        <f t="shared" si="34"/>
        <v/>
      </c>
      <c r="S1130" s="82" t="str">
        <f t="shared" si="35"/>
        <v/>
      </c>
    </row>
    <row r="1131" spans="18:19" x14ac:dyDescent="0.25">
      <c r="R1131" s="8" t="str">
        <f t="shared" si="34"/>
        <v/>
      </c>
      <c r="S1131" s="82" t="str">
        <f t="shared" si="35"/>
        <v/>
      </c>
    </row>
    <row r="1132" spans="18:19" x14ac:dyDescent="0.25">
      <c r="R1132" s="8" t="str">
        <f t="shared" si="34"/>
        <v/>
      </c>
      <c r="S1132" s="82" t="str">
        <f t="shared" si="35"/>
        <v/>
      </c>
    </row>
    <row r="1133" spans="18:19" x14ac:dyDescent="0.25">
      <c r="R1133" s="8" t="str">
        <f t="shared" si="34"/>
        <v/>
      </c>
      <c r="S1133" s="82" t="str">
        <f t="shared" si="35"/>
        <v/>
      </c>
    </row>
    <row r="1134" spans="18:19" x14ac:dyDescent="0.25">
      <c r="R1134" s="8" t="str">
        <f t="shared" si="34"/>
        <v/>
      </c>
      <c r="S1134" s="82" t="str">
        <f t="shared" si="35"/>
        <v/>
      </c>
    </row>
    <row r="1135" spans="18:19" x14ac:dyDescent="0.25">
      <c r="R1135" s="8" t="str">
        <f t="shared" si="34"/>
        <v/>
      </c>
      <c r="S1135" s="82" t="str">
        <f t="shared" si="35"/>
        <v/>
      </c>
    </row>
    <row r="1136" spans="18:19" x14ac:dyDescent="0.25">
      <c r="R1136" s="8" t="str">
        <f t="shared" si="34"/>
        <v/>
      </c>
      <c r="S1136" s="82" t="str">
        <f t="shared" si="35"/>
        <v/>
      </c>
    </row>
    <row r="1137" spans="18:19" x14ac:dyDescent="0.25">
      <c r="R1137" s="8" t="str">
        <f t="shared" si="34"/>
        <v/>
      </c>
      <c r="S1137" s="82" t="str">
        <f t="shared" si="35"/>
        <v/>
      </c>
    </row>
    <row r="1138" spans="18:19" x14ac:dyDescent="0.25">
      <c r="R1138" s="8" t="str">
        <f t="shared" si="34"/>
        <v/>
      </c>
      <c r="S1138" s="82" t="str">
        <f t="shared" si="35"/>
        <v/>
      </c>
    </row>
    <row r="1139" spans="18:19" x14ac:dyDescent="0.25">
      <c r="R1139" s="8" t="str">
        <f t="shared" si="34"/>
        <v/>
      </c>
      <c r="S1139" s="82" t="str">
        <f t="shared" si="35"/>
        <v/>
      </c>
    </row>
    <row r="1140" spans="18:19" x14ac:dyDescent="0.25">
      <c r="R1140" s="8" t="str">
        <f t="shared" si="34"/>
        <v/>
      </c>
      <c r="S1140" s="82" t="str">
        <f t="shared" si="35"/>
        <v/>
      </c>
    </row>
    <row r="1141" spans="18:19" x14ac:dyDescent="0.25">
      <c r="R1141" s="8" t="str">
        <f t="shared" si="34"/>
        <v/>
      </c>
      <c r="S1141" s="82" t="str">
        <f t="shared" si="35"/>
        <v/>
      </c>
    </row>
    <row r="1142" spans="18:19" x14ac:dyDescent="0.25">
      <c r="R1142" s="8" t="str">
        <f t="shared" si="34"/>
        <v/>
      </c>
      <c r="S1142" s="82" t="str">
        <f t="shared" si="35"/>
        <v/>
      </c>
    </row>
    <row r="1143" spans="18:19" x14ac:dyDescent="0.25">
      <c r="R1143" s="8" t="str">
        <f t="shared" si="34"/>
        <v/>
      </c>
      <c r="S1143" s="82" t="str">
        <f t="shared" si="35"/>
        <v/>
      </c>
    </row>
    <row r="1144" spans="18:19" x14ac:dyDescent="0.25">
      <c r="R1144" s="8" t="str">
        <f t="shared" si="34"/>
        <v/>
      </c>
      <c r="S1144" s="82" t="str">
        <f t="shared" si="35"/>
        <v/>
      </c>
    </row>
    <row r="1145" spans="18:19" x14ac:dyDescent="0.25">
      <c r="R1145" s="8" t="str">
        <f t="shared" si="34"/>
        <v/>
      </c>
      <c r="S1145" s="82" t="str">
        <f t="shared" si="35"/>
        <v/>
      </c>
    </row>
    <row r="1146" spans="18:19" x14ac:dyDescent="0.25">
      <c r="R1146" s="8" t="str">
        <f t="shared" si="34"/>
        <v/>
      </c>
      <c r="S1146" s="82" t="str">
        <f t="shared" si="35"/>
        <v/>
      </c>
    </row>
    <row r="1147" spans="18:19" x14ac:dyDescent="0.25">
      <c r="R1147" s="8" t="str">
        <f t="shared" si="34"/>
        <v/>
      </c>
      <c r="S1147" s="82" t="str">
        <f t="shared" si="35"/>
        <v/>
      </c>
    </row>
    <row r="1148" spans="18:19" x14ac:dyDescent="0.25">
      <c r="R1148" s="8" t="str">
        <f t="shared" si="34"/>
        <v/>
      </c>
      <c r="S1148" s="82" t="str">
        <f t="shared" si="35"/>
        <v/>
      </c>
    </row>
    <row r="1149" spans="18:19" x14ac:dyDescent="0.25">
      <c r="R1149" s="8" t="str">
        <f t="shared" si="34"/>
        <v/>
      </c>
      <c r="S1149" s="82" t="str">
        <f t="shared" si="35"/>
        <v/>
      </c>
    </row>
    <row r="1150" spans="18:19" x14ac:dyDescent="0.25">
      <c r="R1150" s="8" t="str">
        <f t="shared" si="34"/>
        <v/>
      </c>
      <c r="S1150" s="82" t="str">
        <f t="shared" si="35"/>
        <v/>
      </c>
    </row>
    <row r="1151" spans="18:19" x14ac:dyDescent="0.25">
      <c r="R1151" s="8" t="str">
        <f t="shared" si="34"/>
        <v/>
      </c>
      <c r="S1151" s="82" t="str">
        <f t="shared" si="35"/>
        <v/>
      </c>
    </row>
    <row r="1152" spans="18:19" x14ac:dyDescent="0.25">
      <c r="R1152" s="8" t="str">
        <f t="shared" si="34"/>
        <v/>
      </c>
      <c r="S1152" s="82" t="str">
        <f t="shared" si="35"/>
        <v/>
      </c>
    </row>
    <row r="1153" spans="18:19" x14ac:dyDescent="0.25">
      <c r="R1153" s="8" t="str">
        <f t="shared" si="34"/>
        <v/>
      </c>
      <c r="S1153" s="82" t="str">
        <f t="shared" si="35"/>
        <v/>
      </c>
    </row>
    <row r="1154" spans="18:19" x14ac:dyDescent="0.25">
      <c r="R1154" s="8" t="str">
        <f t="shared" si="34"/>
        <v/>
      </c>
      <c r="S1154" s="82" t="str">
        <f t="shared" si="35"/>
        <v/>
      </c>
    </row>
    <row r="1155" spans="18:19" x14ac:dyDescent="0.25">
      <c r="R1155" s="8" t="str">
        <f t="shared" si="34"/>
        <v/>
      </c>
      <c r="S1155" s="82" t="str">
        <f t="shared" si="35"/>
        <v/>
      </c>
    </row>
    <row r="1156" spans="18:19" x14ac:dyDescent="0.25">
      <c r="R1156" s="8" t="str">
        <f t="shared" si="34"/>
        <v/>
      </c>
      <c r="S1156" s="82" t="str">
        <f t="shared" si="35"/>
        <v/>
      </c>
    </row>
    <row r="1157" spans="18:19" x14ac:dyDescent="0.25">
      <c r="R1157" s="8" t="str">
        <f t="shared" si="34"/>
        <v/>
      </c>
      <c r="S1157" s="82" t="str">
        <f t="shared" si="35"/>
        <v/>
      </c>
    </row>
    <row r="1158" spans="18:19" x14ac:dyDescent="0.25">
      <c r="R1158" s="8" t="str">
        <f t="shared" si="34"/>
        <v/>
      </c>
      <c r="S1158" s="82" t="str">
        <f t="shared" si="35"/>
        <v/>
      </c>
    </row>
    <row r="1159" spans="18:19" x14ac:dyDescent="0.25">
      <c r="R1159" s="8" t="str">
        <f t="shared" si="34"/>
        <v/>
      </c>
      <c r="S1159" s="82" t="str">
        <f t="shared" si="35"/>
        <v/>
      </c>
    </row>
    <row r="1160" spans="18:19" x14ac:dyDescent="0.25">
      <c r="R1160" s="8" t="str">
        <f t="shared" ref="R1160:R1223" si="36">IF(A1160="",(""),(MONTH(A1160)))</f>
        <v/>
      </c>
      <c r="S1160" s="82" t="str">
        <f t="shared" ref="S1160:S1223" si="37">IF(B1160="",(""),IF(B1160="3 - Nota de Crédito A",-Q1160,IF(B1160="8 - Nota de Crédito B",-Q1160,(Q1160))))</f>
        <v/>
      </c>
    </row>
    <row r="1161" spans="18:19" x14ac:dyDescent="0.25">
      <c r="R1161" s="8" t="str">
        <f t="shared" si="36"/>
        <v/>
      </c>
      <c r="S1161" s="82" t="str">
        <f t="shared" si="37"/>
        <v/>
      </c>
    </row>
    <row r="1162" spans="18:19" x14ac:dyDescent="0.25">
      <c r="R1162" s="8" t="str">
        <f t="shared" si="36"/>
        <v/>
      </c>
      <c r="S1162" s="82" t="str">
        <f t="shared" si="37"/>
        <v/>
      </c>
    </row>
    <row r="1163" spans="18:19" x14ac:dyDescent="0.25">
      <c r="R1163" s="8" t="str">
        <f t="shared" si="36"/>
        <v/>
      </c>
      <c r="S1163" s="82" t="str">
        <f t="shared" si="37"/>
        <v/>
      </c>
    </row>
    <row r="1164" spans="18:19" x14ac:dyDescent="0.25">
      <c r="R1164" s="8" t="str">
        <f t="shared" si="36"/>
        <v/>
      </c>
      <c r="S1164" s="82" t="str">
        <f t="shared" si="37"/>
        <v/>
      </c>
    </row>
    <row r="1165" spans="18:19" x14ac:dyDescent="0.25">
      <c r="R1165" s="8" t="str">
        <f t="shared" si="36"/>
        <v/>
      </c>
      <c r="S1165" s="82" t="str">
        <f t="shared" si="37"/>
        <v/>
      </c>
    </row>
    <row r="1166" spans="18:19" x14ac:dyDescent="0.25">
      <c r="R1166" s="8" t="str">
        <f t="shared" si="36"/>
        <v/>
      </c>
      <c r="S1166" s="82" t="str">
        <f t="shared" si="37"/>
        <v/>
      </c>
    </row>
    <row r="1167" spans="18:19" x14ac:dyDescent="0.25">
      <c r="R1167" s="8" t="str">
        <f t="shared" si="36"/>
        <v/>
      </c>
      <c r="S1167" s="82" t="str">
        <f t="shared" si="37"/>
        <v/>
      </c>
    </row>
    <row r="1168" spans="18:19" x14ac:dyDescent="0.25">
      <c r="R1168" s="8" t="str">
        <f t="shared" si="36"/>
        <v/>
      </c>
      <c r="S1168" s="82" t="str">
        <f t="shared" si="37"/>
        <v/>
      </c>
    </row>
    <row r="1169" spans="18:19" x14ac:dyDescent="0.25">
      <c r="R1169" s="8" t="str">
        <f t="shared" si="36"/>
        <v/>
      </c>
      <c r="S1169" s="82" t="str">
        <f t="shared" si="37"/>
        <v/>
      </c>
    </row>
    <row r="1170" spans="18:19" x14ac:dyDescent="0.25">
      <c r="R1170" s="8" t="str">
        <f t="shared" si="36"/>
        <v/>
      </c>
      <c r="S1170" s="82" t="str">
        <f t="shared" si="37"/>
        <v/>
      </c>
    </row>
    <row r="1171" spans="18:19" x14ac:dyDescent="0.25">
      <c r="R1171" s="8" t="str">
        <f t="shared" si="36"/>
        <v/>
      </c>
      <c r="S1171" s="82" t="str">
        <f t="shared" si="37"/>
        <v/>
      </c>
    </row>
    <row r="1172" spans="18:19" x14ac:dyDescent="0.25">
      <c r="R1172" s="8" t="str">
        <f t="shared" si="36"/>
        <v/>
      </c>
      <c r="S1172" s="82" t="str">
        <f t="shared" si="37"/>
        <v/>
      </c>
    </row>
    <row r="1173" spans="18:19" x14ac:dyDescent="0.25">
      <c r="R1173" s="8" t="str">
        <f t="shared" si="36"/>
        <v/>
      </c>
      <c r="S1173" s="82" t="str">
        <f t="shared" si="37"/>
        <v/>
      </c>
    </row>
    <row r="1174" spans="18:19" x14ac:dyDescent="0.25">
      <c r="R1174" s="8" t="str">
        <f t="shared" si="36"/>
        <v/>
      </c>
      <c r="S1174" s="82" t="str">
        <f t="shared" si="37"/>
        <v/>
      </c>
    </row>
    <row r="1175" spans="18:19" x14ac:dyDescent="0.25">
      <c r="R1175" s="8" t="str">
        <f t="shared" si="36"/>
        <v/>
      </c>
      <c r="S1175" s="82" t="str">
        <f t="shared" si="37"/>
        <v/>
      </c>
    </row>
    <row r="1176" spans="18:19" x14ac:dyDescent="0.25">
      <c r="R1176" s="8" t="str">
        <f t="shared" si="36"/>
        <v/>
      </c>
      <c r="S1176" s="82" t="str">
        <f t="shared" si="37"/>
        <v/>
      </c>
    </row>
    <row r="1177" spans="18:19" x14ac:dyDescent="0.25">
      <c r="R1177" s="8" t="str">
        <f t="shared" si="36"/>
        <v/>
      </c>
      <c r="S1177" s="82" t="str">
        <f t="shared" si="37"/>
        <v/>
      </c>
    </row>
    <row r="1178" spans="18:19" x14ac:dyDescent="0.25">
      <c r="R1178" s="8" t="str">
        <f t="shared" si="36"/>
        <v/>
      </c>
      <c r="S1178" s="82" t="str">
        <f t="shared" si="37"/>
        <v/>
      </c>
    </row>
    <row r="1179" spans="18:19" x14ac:dyDescent="0.25">
      <c r="R1179" s="8" t="str">
        <f t="shared" si="36"/>
        <v/>
      </c>
      <c r="S1179" s="82" t="str">
        <f t="shared" si="37"/>
        <v/>
      </c>
    </row>
    <row r="1180" spans="18:19" x14ac:dyDescent="0.25">
      <c r="R1180" s="8" t="str">
        <f t="shared" si="36"/>
        <v/>
      </c>
      <c r="S1180" s="82" t="str">
        <f t="shared" si="37"/>
        <v/>
      </c>
    </row>
    <row r="1181" spans="18:19" x14ac:dyDescent="0.25">
      <c r="R1181" s="8" t="str">
        <f t="shared" si="36"/>
        <v/>
      </c>
      <c r="S1181" s="82" t="str">
        <f t="shared" si="37"/>
        <v/>
      </c>
    </row>
    <row r="1182" spans="18:19" x14ac:dyDescent="0.25">
      <c r="R1182" s="8" t="str">
        <f t="shared" si="36"/>
        <v/>
      </c>
      <c r="S1182" s="82" t="str">
        <f t="shared" si="37"/>
        <v/>
      </c>
    </row>
    <row r="1183" spans="18:19" x14ac:dyDescent="0.25">
      <c r="R1183" s="8" t="str">
        <f t="shared" si="36"/>
        <v/>
      </c>
      <c r="S1183" s="82" t="str">
        <f t="shared" si="37"/>
        <v/>
      </c>
    </row>
    <row r="1184" spans="18:19" x14ac:dyDescent="0.25">
      <c r="R1184" s="8" t="str">
        <f t="shared" si="36"/>
        <v/>
      </c>
      <c r="S1184" s="82" t="str">
        <f t="shared" si="37"/>
        <v/>
      </c>
    </row>
    <row r="1185" spans="18:19" x14ac:dyDescent="0.25">
      <c r="R1185" s="8" t="str">
        <f t="shared" si="36"/>
        <v/>
      </c>
      <c r="S1185" s="82" t="str">
        <f t="shared" si="37"/>
        <v/>
      </c>
    </row>
    <row r="1186" spans="18:19" x14ac:dyDescent="0.25">
      <c r="R1186" s="8" t="str">
        <f t="shared" si="36"/>
        <v/>
      </c>
      <c r="S1186" s="82" t="str">
        <f t="shared" si="37"/>
        <v/>
      </c>
    </row>
    <row r="1187" spans="18:19" x14ac:dyDescent="0.25">
      <c r="R1187" s="8" t="str">
        <f t="shared" si="36"/>
        <v/>
      </c>
      <c r="S1187" s="82" t="str">
        <f t="shared" si="37"/>
        <v/>
      </c>
    </row>
    <row r="1188" spans="18:19" x14ac:dyDescent="0.25">
      <c r="R1188" s="8" t="str">
        <f t="shared" si="36"/>
        <v/>
      </c>
      <c r="S1188" s="82" t="str">
        <f t="shared" si="37"/>
        <v/>
      </c>
    </row>
    <row r="1189" spans="18:19" x14ac:dyDescent="0.25">
      <c r="R1189" s="8" t="str">
        <f t="shared" si="36"/>
        <v/>
      </c>
      <c r="S1189" s="82" t="str">
        <f t="shared" si="37"/>
        <v/>
      </c>
    </row>
    <row r="1190" spans="18:19" x14ac:dyDescent="0.25">
      <c r="R1190" s="8" t="str">
        <f t="shared" si="36"/>
        <v/>
      </c>
      <c r="S1190" s="82" t="str">
        <f t="shared" si="37"/>
        <v/>
      </c>
    </row>
    <row r="1191" spans="18:19" x14ac:dyDescent="0.25">
      <c r="R1191" s="8" t="str">
        <f t="shared" si="36"/>
        <v/>
      </c>
      <c r="S1191" s="82" t="str">
        <f t="shared" si="37"/>
        <v/>
      </c>
    </row>
    <row r="1192" spans="18:19" x14ac:dyDescent="0.25">
      <c r="R1192" s="8" t="str">
        <f t="shared" si="36"/>
        <v/>
      </c>
      <c r="S1192" s="82" t="str">
        <f t="shared" si="37"/>
        <v/>
      </c>
    </row>
    <row r="1193" spans="18:19" x14ac:dyDescent="0.25">
      <c r="R1193" s="8" t="str">
        <f t="shared" si="36"/>
        <v/>
      </c>
      <c r="S1193" s="82" t="str">
        <f t="shared" si="37"/>
        <v/>
      </c>
    </row>
    <row r="1194" spans="18:19" x14ac:dyDescent="0.25">
      <c r="R1194" s="8" t="str">
        <f t="shared" si="36"/>
        <v/>
      </c>
      <c r="S1194" s="82" t="str">
        <f t="shared" si="37"/>
        <v/>
      </c>
    </row>
    <row r="1195" spans="18:19" x14ac:dyDescent="0.25">
      <c r="R1195" s="8" t="str">
        <f t="shared" si="36"/>
        <v/>
      </c>
      <c r="S1195" s="82" t="str">
        <f t="shared" si="37"/>
        <v/>
      </c>
    </row>
    <row r="1196" spans="18:19" x14ac:dyDescent="0.25">
      <c r="R1196" s="8" t="str">
        <f t="shared" si="36"/>
        <v/>
      </c>
      <c r="S1196" s="82" t="str">
        <f t="shared" si="37"/>
        <v/>
      </c>
    </row>
    <row r="1197" spans="18:19" x14ac:dyDescent="0.25">
      <c r="R1197" s="8" t="str">
        <f t="shared" si="36"/>
        <v/>
      </c>
      <c r="S1197" s="82" t="str">
        <f t="shared" si="37"/>
        <v/>
      </c>
    </row>
    <row r="1198" spans="18:19" x14ac:dyDescent="0.25">
      <c r="R1198" s="8" t="str">
        <f t="shared" si="36"/>
        <v/>
      </c>
      <c r="S1198" s="82" t="str">
        <f t="shared" si="37"/>
        <v/>
      </c>
    </row>
    <row r="1199" spans="18:19" x14ac:dyDescent="0.25">
      <c r="R1199" s="8" t="str">
        <f t="shared" si="36"/>
        <v/>
      </c>
      <c r="S1199" s="82" t="str">
        <f t="shared" si="37"/>
        <v/>
      </c>
    </row>
    <row r="1200" spans="18:19" x14ac:dyDescent="0.25">
      <c r="R1200" s="8" t="str">
        <f t="shared" si="36"/>
        <v/>
      </c>
      <c r="S1200" s="82" t="str">
        <f t="shared" si="37"/>
        <v/>
      </c>
    </row>
    <row r="1201" spans="18:19" x14ac:dyDescent="0.25">
      <c r="R1201" s="8" t="str">
        <f t="shared" si="36"/>
        <v/>
      </c>
      <c r="S1201" s="82" t="str">
        <f t="shared" si="37"/>
        <v/>
      </c>
    </row>
    <row r="1202" spans="18:19" x14ac:dyDescent="0.25">
      <c r="R1202" s="8" t="str">
        <f t="shared" si="36"/>
        <v/>
      </c>
      <c r="S1202" s="82" t="str">
        <f t="shared" si="37"/>
        <v/>
      </c>
    </row>
    <row r="1203" spans="18:19" x14ac:dyDescent="0.25">
      <c r="R1203" s="8" t="str">
        <f t="shared" si="36"/>
        <v/>
      </c>
      <c r="S1203" s="82" t="str">
        <f t="shared" si="37"/>
        <v/>
      </c>
    </row>
    <row r="1204" spans="18:19" x14ac:dyDescent="0.25">
      <c r="R1204" s="8" t="str">
        <f t="shared" si="36"/>
        <v/>
      </c>
      <c r="S1204" s="82" t="str">
        <f t="shared" si="37"/>
        <v/>
      </c>
    </row>
    <row r="1205" spans="18:19" x14ac:dyDescent="0.25">
      <c r="R1205" s="8" t="str">
        <f t="shared" si="36"/>
        <v/>
      </c>
      <c r="S1205" s="82" t="str">
        <f t="shared" si="37"/>
        <v/>
      </c>
    </row>
    <row r="1206" spans="18:19" x14ac:dyDescent="0.25">
      <c r="R1206" s="8" t="str">
        <f t="shared" si="36"/>
        <v/>
      </c>
      <c r="S1206" s="82" t="str">
        <f t="shared" si="37"/>
        <v/>
      </c>
    </row>
    <row r="1207" spans="18:19" x14ac:dyDescent="0.25">
      <c r="R1207" s="8" t="str">
        <f t="shared" si="36"/>
        <v/>
      </c>
      <c r="S1207" s="82" t="str">
        <f t="shared" si="37"/>
        <v/>
      </c>
    </row>
    <row r="1208" spans="18:19" x14ac:dyDescent="0.25">
      <c r="R1208" s="8" t="str">
        <f t="shared" si="36"/>
        <v/>
      </c>
      <c r="S1208" s="82" t="str">
        <f t="shared" si="37"/>
        <v/>
      </c>
    </row>
    <row r="1209" spans="18:19" x14ac:dyDescent="0.25">
      <c r="R1209" s="8" t="str">
        <f t="shared" si="36"/>
        <v/>
      </c>
      <c r="S1209" s="82" t="str">
        <f t="shared" si="37"/>
        <v/>
      </c>
    </row>
    <row r="1210" spans="18:19" x14ac:dyDescent="0.25">
      <c r="R1210" s="8" t="str">
        <f t="shared" si="36"/>
        <v/>
      </c>
      <c r="S1210" s="82" t="str">
        <f t="shared" si="37"/>
        <v/>
      </c>
    </row>
    <row r="1211" spans="18:19" x14ac:dyDescent="0.25">
      <c r="R1211" s="8" t="str">
        <f t="shared" si="36"/>
        <v/>
      </c>
      <c r="S1211" s="82" t="str">
        <f t="shared" si="37"/>
        <v/>
      </c>
    </row>
    <row r="1212" spans="18:19" x14ac:dyDescent="0.25">
      <c r="R1212" s="8" t="str">
        <f t="shared" si="36"/>
        <v/>
      </c>
      <c r="S1212" s="82" t="str">
        <f t="shared" si="37"/>
        <v/>
      </c>
    </row>
    <row r="1213" spans="18:19" x14ac:dyDescent="0.25">
      <c r="R1213" s="8" t="str">
        <f t="shared" si="36"/>
        <v/>
      </c>
      <c r="S1213" s="82" t="str">
        <f t="shared" si="37"/>
        <v/>
      </c>
    </row>
    <row r="1214" spans="18:19" x14ac:dyDescent="0.25">
      <c r="R1214" s="8" t="str">
        <f t="shared" si="36"/>
        <v/>
      </c>
      <c r="S1214" s="82" t="str">
        <f t="shared" si="37"/>
        <v/>
      </c>
    </row>
    <row r="1215" spans="18:19" x14ac:dyDescent="0.25">
      <c r="R1215" s="8" t="str">
        <f t="shared" si="36"/>
        <v/>
      </c>
      <c r="S1215" s="82" t="str">
        <f t="shared" si="37"/>
        <v/>
      </c>
    </row>
    <row r="1216" spans="18:19" x14ac:dyDescent="0.25">
      <c r="R1216" s="8" t="str">
        <f t="shared" si="36"/>
        <v/>
      </c>
      <c r="S1216" s="82" t="str">
        <f t="shared" si="37"/>
        <v/>
      </c>
    </row>
    <row r="1217" spans="18:19" x14ac:dyDescent="0.25">
      <c r="R1217" s="8" t="str">
        <f t="shared" si="36"/>
        <v/>
      </c>
      <c r="S1217" s="82" t="str">
        <f t="shared" si="37"/>
        <v/>
      </c>
    </row>
    <row r="1218" spans="18:19" x14ac:dyDescent="0.25">
      <c r="R1218" s="8" t="str">
        <f t="shared" si="36"/>
        <v/>
      </c>
      <c r="S1218" s="82" t="str">
        <f t="shared" si="37"/>
        <v/>
      </c>
    </row>
    <row r="1219" spans="18:19" x14ac:dyDescent="0.25">
      <c r="R1219" s="8" t="str">
        <f t="shared" si="36"/>
        <v/>
      </c>
      <c r="S1219" s="82" t="str">
        <f t="shared" si="37"/>
        <v/>
      </c>
    </row>
    <row r="1220" spans="18:19" x14ac:dyDescent="0.25">
      <c r="R1220" s="8" t="str">
        <f t="shared" si="36"/>
        <v/>
      </c>
      <c r="S1220" s="82" t="str">
        <f t="shared" si="37"/>
        <v/>
      </c>
    </row>
    <row r="1221" spans="18:19" x14ac:dyDescent="0.25">
      <c r="R1221" s="8" t="str">
        <f t="shared" si="36"/>
        <v/>
      </c>
      <c r="S1221" s="82" t="str">
        <f t="shared" si="37"/>
        <v/>
      </c>
    </row>
    <row r="1222" spans="18:19" x14ac:dyDescent="0.25">
      <c r="R1222" s="8" t="str">
        <f t="shared" si="36"/>
        <v/>
      </c>
      <c r="S1222" s="82" t="str">
        <f t="shared" si="37"/>
        <v/>
      </c>
    </row>
    <row r="1223" spans="18:19" x14ac:dyDescent="0.25">
      <c r="R1223" s="8" t="str">
        <f t="shared" si="36"/>
        <v/>
      </c>
      <c r="S1223" s="82" t="str">
        <f t="shared" si="37"/>
        <v/>
      </c>
    </row>
    <row r="1224" spans="18:19" x14ac:dyDescent="0.25">
      <c r="R1224" s="8" t="str">
        <f t="shared" ref="R1224:R1287" si="38">IF(A1224="",(""),(MONTH(A1224)))</f>
        <v/>
      </c>
      <c r="S1224" s="82" t="str">
        <f t="shared" ref="S1224:S1287" si="39">IF(B1224="",(""),IF(B1224="3 - Nota de Crédito A",-Q1224,IF(B1224="8 - Nota de Crédito B",-Q1224,(Q1224))))</f>
        <v/>
      </c>
    </row>
    <row r="1225" spans="18:19" x14ac:dyDescent="0.25">
      <c r="R1225" s="8" t="str">
        <f t="shared" si="38"/>
        <v/>
      </c>
      <c r="S1225" s="82" t="str">
        <f t="shared" si="39"/>
        <v/>
      </c>
    </row>
    <row r="1226" spans="18:19" x14ac:dyDescent="0.25">
      <c r="R1226" s="8" t="str">
        <f t="shared" si="38"/>
        <v/>
      </c>
      <c r="S1226" s="82" t="str">
        <f t="shared" si="39"/>
        <v/>
      </c>
    </row>
    <row r="1227" spans="18:19" x14ac:dyDescent="0.25">
      <c r="R1227" s="8" t="str">
        <f t="shared" si="38"/>
        <v/>
      </c>
      <c r="S1227" s="82" t="str">
        <f t="shared" si="39"/>
        <v/>
      </c>
    </row>
    <row r="1228" spans="18:19" x14ac:dyDescent="0.25">
      <c r="R1228" s="8" t="str">
        <f t="shared" si="38"/>
        <v/>
      </c>
      <c r="S1228" s="82" t="str">
        <f t="shared" si="39"/>
        <v/>
      </c>
    </row>
    <row r="1229" spans="18:19" x14ac:dyDescent="0.25">
      <c r="R1229" s="8" t="str">
        <f t="shared" si="38"/>
        <v/>
      </c>
      <c r="S1229" s="82" t="str">
        <f t="shared" si="39"/>
        <v/>
      </c>
    </row>
    <row r="1230" spans="18:19" x14ac:dyDescent="0.25">
      <c r="R1230" s="8" t="str">
        <f t="shared" si="38"/>
        <v/>
      </c>
      <c r="S1230" s="82" t="str">
        <f t="shared" si="39"/>
        <v/>
      </c>
    </row>
    <row r="1231" spans="18:19" x14ac:dyDescent="0.25">
      <c r="R1231" s="8" t="str">
        <f t="shared" si="38"/>
        <v/>
      </c>
      <c r="S1231" s="82" t="str">
        <f t="shared" si="39"/>
        <v/>
      </c>
    </row>
    <row r="1232" spans="18:19" x14ac:dyDescent="0.25">
      <c r="R1232" s="8" t="str">
        <f t="shared" si="38"/>
        <v/>
      </c>
      <c r="S1232" s="82" t="str">
        <f t="shared" si="39"/>
        <v/>
      </c>
    </row>
    <row r="1233" spans="18:19" x14ac:dyDescent="0.25">
      <c r="R1233" s="8" t="str">
        <f t="shared" si="38"/>
        <v/>
      </c>
      <c r="S1233" s="82" t="str">
        <f t="shared" si="39"/>
        <v/>
      </c>
    </row>
    <row r="1234" spans="18:19" x14ac:dyDescent="0.25">
      <c r="R1234" s="8" t="str">
        <f t="shared" si="38"/>
        <v/>
      </c>
      <c r="S1234" s="82" t="str">
        <f t="shared" si="39"/>
        <v/>
      </c>
    </row>
    <row r="1235" spans="18:19" x14ac:dyDescent="0.25">
      <c r="R1235" s="8" t="str">
        <f t="shared" si="38"/>
        <v/>
      </c>
      <c r="S1235" s="82" t="str">
        <f t="shared" si="39"/>
        <v/>
      </c>
    </row>
    <row r="1236" spans="18:19" x14ac:dyDescent="0.25">
      <c r="R1236" s="8" t="str">
        <f t="shared" si="38"/>
        <v/>
      </c>
      <c r="S1236" s="82" t="str">
        <f t="shared" si="39"/>
        <v/>
      </c>
    </row>
    <row r="1237" spans="18:19" x14ac:dyDescent="0.25">
      <c r="R1237" s="8" t="str">
        <f t="shared" si="38"/>
        <v/>
      </c>
      <c r="S1237" s="82" t="str">
        <f t="shared" si="39"/>
        <v/>
      </c>
    </row>
    <row r="1238" spans="18:19" x14ac:dyDescent="0.25">
      <c r="R1238" s="8" t="str">
        <f t="shared" si="38"/>
        <v/>
      </c>
      <c r="S1238" s="82" t="str">
        <f t="shared" si="39"/>
        <v/>
      </c>
    </row>
    <row r="1239" spans="18:19" x14ac:dyDescent="0.25">
      <c r="R1239" s="8" t="str">
        <f t="shared" si="38"/>
        <v/>
      </c>
      <c r="S1239" s="82" t="str">
        <f t="shared" si="39"/>
        <v/>
      </c>
    </row>
    <row r="1240" spans="18:19" x14ac:dyDescent="0.25">
      <c r="R1240" s="8" t="str">
        <f t="shared" si="38"/>
        <v/>
      </c>
      <c r="S1240" s="82" t="str">
        <f t="shared" si="39"/>
        <v/>
      </c>
    </row>
    <row r="1241" spans="18:19" x14ac:dyDescent="0.25">
      <c r="R1241" s="8" t="str">
        <f t="shared" si="38"/>
        <v/>
      </c>
      <c r="S1241" s="82" t="str">
        <f t="shared" si="39"/>
        <v/>
      </c>
    </row>
    <row r="1242" spans="18:19" x14ac:dyDescent="0.25">
      <c r="R1242" s="8" t="str">
        <f t="shared" si="38"/>
        <v/>
      </c>
      <c r="S1242" s="82" t="str">
        <f t="shared" si="39"/>
        <v/>
      </c>
    </row>
    <row r="1243" spans="18:19" x14ac:dyDescent="0.25">
      <c r="R1243" s="8" t="str">
        <f t="shared" si="38"/>
        <v/>
      </c>
      <c r="S1243" s="82" t="str">
        <f t="shared" si="39"/>
        <v/>
      </c>
    </row>
    <row r="1244" spans="18:19" x14ac:dyDescent="0.25">
      <c r="R1244" s="8" t="str">
        <f t="shared" si="38"/>
        <v/>
      </c>
      <c r="S1244" s="82" t="str">
        <f t="shared" si="39"/>
        <v/>
      </c>
    </row>
    <row r="1245" spans="18:19" x14ac:dyDescent="0.25">
      <c r="R1245" s="8" t="str">
        <f t="shared" si="38"/>
        <v/>
      </c>
      <c r="S1245" s="82" t="str">
        <f t="shared" si="39"/>
        <v/>
      </c>
    </row>
    <row r="1246" spans="18:19" x14ac:dyDescent="0.25">
      <c r="R1246" s="8" t="str">
        <f t="shared" si="38"/>
        <v/>
      </c>
      <c r="S1246" s="82" t="str">
        <f t="shared" si="39"/>
        <v/>
      </c>
    </row>
    <row r="1247" spans="18:19" x14ac:dyDescent="0.25">
      <c r="R1247" s="8" t="str">
        <f t="shared" si="38"/>
        <v/>
      </c>
      <c r="S1247" s="82" t="str">
        <f t="shared" si="39"/>
        <v/>
      </c>
    </row>
    <row r="1248" spans="18:19" x14ac:dyDescent="0.25">
      <c r="R1248" s="8" t="str">
        <f t="shared" si="38"/>
        <v/>
      </c>
      <c r="S1248" s="82" t="str">
        <f t="shared" si="39"/>
        <v/>
      </c>
    </row>
    <row r="1249" spans="18:19" x14ac:dyDescent="0.25">
      <c r="R1249" s="8" t="str">
        <f t="shared" si="38"/>
        <v/>
      </c>
      <c r="S1249" s="82" t="str">
        <f t="shared" si="39"/>
        <v/>
      </c>
    </row>
    <row r="1250" spans="18:19" x14ac:dyDescent="0.25">
      <c r="R1250" s="8" t="str">
        <f t="shared" si="38"/>
        <v/>
      </c>
      <c r="S1250" s="82" t="str">
        <f t="shared" si="39"/>
        <v/>
      </c>
    </row>
    <row r="1251" spans="18:19" x14ac:dyDescent="0.25">
      <c r="R1251" s="8" t="str">
        <f t="shared" si="38"/>
        <v/>
      </c>
      <c r="S1251" s="82" t="str">
        <f t="shared" si="39"/>
        <v/>
      </c>
    </row>
    <row r="1252" spans="18:19" x14ac:dyDescent="0.25">
      <c r="R1252" s="8" t="str">
        <f t="shared" si="38"/>
        <v/>
      </c>
      <c r="S1252" s="82" t="str">
        <f t="shared" si="39"/>
        <v/>
      </c>
    </row>
    <row r="1253" spans="18:19" x14ac:dyDescent="0.25">
      <c r="R1253" s="8" t="str">
        <f t="shared" si="38"/>
        <v/>
      </c>
      <c r="S1253" s="82" t="str">
        <f t="shared" si="39"/>
        <v/>
      </c>
    </row>
    <row r="1254" spans="18:19" x14ac:dyDescent="0.25">
      <c r="R1254" s="8" t="str">
        <f t="shared" si="38"/>
        <v/>
      </c>
      <c r="S1254" s="82" t="str">
        <f t="shared" si="39"/>
        <v/>
      </c>
    </row>
    <row r="1255" spans="18:19" x14ac:dyDescent="0.25">
      <c r="R1255" s="8" t="str">
        <f t="shared" si="38"/>
        <v/>
      </c>
      <c r="S1255" s="82" t="str">
        <f t="shared" si="39"/>
        <v/>
      </c>
    </row>
    <row r="1256" spans="18:19" x14ac:dyDescent="0.25">
      <c r="R1256" s="8" t="str">
        <f t="shared" si="38"/>
        <v/>
      </c>
      <c r="S1256" s="82" t="str">
        <f t="shared" si="39"/>
        <v/>
      </c>
    </row>
    <row r="1257" spans="18:19" x14ac:dyDescent="0.25">
      <c r="R1257" s="8" t="str">
        <f t="shared" si="38"/>
        <v/>
      </c>
      <c r="S1257" s="82" t="str">
        <f t="shared" si="39"/>
        <v/>
      </c>
    </row>
    <row r="1258" spans="18:19" x14ac:dyDescent="0.25">
      <c r="R1258" s="8" t="str">
        <f t="shared" si="38"/>
        <v/>
      </c>
      <c r="S1258" s="82" t="str">
        <f t="shared" si="39"/>
        <v/>
      </c>
    </row>
    <row r="1259" spans="18:19" x14ac:dyDescent="0.25">
      <c r="R1259" s="8" t="str">
        <f t="shared" si="38"/>
        <v/>
      </c>
      <c r="S1259" s="82" t="str">
        <f t="shared" si="39"/>
        <v/>
      </c>
    </row>
    <row r="1260" spans="18:19" x14ac:dyDescent="0.25">
      <c r="R1260" s="8" t="str">
        <f t="shared" si="38"/>
        <v/>
      </c>
      <c r="S1260" s="82" t="str">
        <f t="shared" si="39"/>
        <v/>
      </c>
    </row>
    <row r="1261" spans="18:19" x14ac:dyDescent="0.25">
      <c r="R1261" s="8" t="str">
        <f t="shared" si="38"/>
        <v/>
      </c>
      <c r="S1261" s="82" t="str">
        <f t="shared" si="39"/>
        <v/>
      </c>
    </row>
    <row r="1262" spans="18:19" x14ac:dyDescent="0.25">
      <c r="R1262" s="8" t="str">
        <f t="shared" si="38"/>
        <v/>
      </c>
      <c r="S1262" s="82" t="str">
        <f t="shared" si="39"/>
        <v/>
      </c>
    </row>
    <row r="1263" spans="18:19" x14ac:dyDescent="0.25">
      <c r="R1263" s="8" t="str">
        <f t="shared" si="38"/>
        <v/>
      </c>
      <c r="S1263" s="82" t="str">
        <f t="shared" si="39"/>
        <v/>
      </c>
    </row>
    <row r="1264" spans="18:19" x14ac:dyDescent="0.25">
      <c r="R1264" s="8" t="str">
        <f t="shared" si="38"/>
        <v/>
      </c>
      <c r="S1264" s="82" t="str">
        <f t="shared" si="39"/>
        <v/>
      </c>
    </row>
    <row r="1265" spans="18:19" x14ac:dyDescent="0.25">
      <c r="R1265" s="8" t="str">
        <f t="shared" si="38"/>
        <v/>
      </c>
      <c r="S1265" s="82" t="str">
        <f t="shared" si="39"/>
        <v/>
      </c>
    </row>
    <row r="1266" spans="18:19" x14ac:dyDescent="0.25">
      <c r="R1266" s="8" t="str">
        <f t="shared" si="38"/>
        <v/>
      </c>
      <c r="S1266" s="82" t="str">
        <f t="shared" si="39"/>
        <v/>
      </c>
    </row>
    <row r="1267" spans="18:19" x14ac:dyDescent="0.25">
      <c r="R1267" s="8" t="str">
        <f t="shared" si="38"/>
        <v/>
      </c>
      <c r="S1267" s="82" t="str">
        <f t="shared" si="39"/>
        <v/>
      </c>
    </row>
    <row r="1268" spans="18:19" x14ac:dyDescent="0.25">
      <c r="R1268" s="8" t="str">
        <f t="shared" si="38"/>
        <v/>
      </c>
      <c r="S1268" s="82" t="str">
        <f t="shared" si="39"/>
        <v/>
      </c>
    </row>
    <row r="1269" spans="18:19" x14ac:dyDescent="0.25">
      <c r="R1269" s="8" t="str">
        <f t="shared" si="38"/>
        <v/>
      </c>
      <c r="S1269" s="82" t="str">
        <f t="shared" si="39"/>
        <v/>
      </c>
    </row>
    <row r="1270" spans="18:19" x14ac:dyDescent="0.25">
      <c r="R1270" s="8" t="str">
        <f t="shared" si="38"/>
        <v/>
      </c>
      <c r="S1270" s="82" t="str">
        <f t="shared" si="39"/>
        <v/>
      </c>
    </row>
    <row r="1271" spans="18:19" x14ac:dyDescent="0.25">
      <c r="R1271" s="8" t="str">
        <f t="shared" si="38"/>
        <v/>
      </c>
      <c r="S1271" s="82" t="str">
        <f t="shared" si="39"/>
        <v/>
      </c>
    </row>
    <row r="1272" spans="18:19" x14ac:dyDescent="0.25">
      <c r="R1272" s="8" t="str">
        <f t="shared" si="38"/>
        <v/>
      </c>
      <c r="S1272" s="82" t="str">
        <f t="shared" si="39"/>
        <v/>
      </c>
    </row>
    <row r="1273" spans="18:19" x14ac:dyDescent="0.25">
      <c r="R1273" s="8" t="str">
        <f t="shared" si="38"/>
        <v/>
      </c>
      <c r="S1273" s="82" t="str">
        <f t="shared" si="39"/>
        <v/>
      </c>
    </row>
    <row r="1274" spans="18:19" x14ac:dyDescent="0.25">
      <c r="R1274" s="8" t="str">
        <f t="shared" si="38"/>
        <v/>
      </c>
      <c r="S1274" s="82" t="str">
        <f t="shared" si="39"/>
        <v/>
      </c>
    </row>
    <row r="1275" spans="18:19" x14ac:dyDescent="0.25">
      <c r="R1275" s="8" t="str">
        <f t="shared" si="38"/>
        <v/>
      </c>
      <c r="S1275" s="82" t="str">
        <f t="shared" si="39"/>
        <v/>
      </c>
    </row>
    <row r="1276" spans="18:19" x14ac:dyDescent="0.25">
      <c r="R1276" s="8" t="str">
        <f t="shared" si="38"/>
        <v/>
      </c>
      <c r="S1276" s="82" t="str">
        <f t="shared" si="39"/>
        <v/>
      </c>
    </row>
    <row r="1277" spans="18:19" x14ac:dyDescent="0.25">
      <c r="R1277" s="8" t="str">
        <f t="shared" si="38"/>
        <v/>
      </c>
      <c r="S1277" s="82" t="str">
        <f t="shared" si="39"/>
        <v/>
      </c>
    </row>
    <row r="1278" spans="18:19" x14ac:dyDescent="0.25">
      <c r="R1278" s="8" t="str">
        <f t="shared" si="38"/>
        <v/>
      </c>
      <c r="S1278" s="82" t="str">
        <f t="shared" si="39"/>
        <v/>
      </c>
    </row>
    <row r="1279" spans="18:19" x14ac:dyDescent="0.25">
      <c r="R1279" s="8" t="str">
        <f t="shared" si="38"/>
        <v/>
      </c>
      <c r="S1279" s="82" t="str">
        <f t="shared" si="39"/>
        <v/>
      </c>
    </row>
    <row r="1280" spans="18:19" x14ac:dyDescent="0.25">
      <c r="R1280" s="8" t="str">
        <f t="shared" si="38"/>
        <v/>
      </c>
      <c r="S1280" s="82" t="str">
        <f t="shared" si="39"/>
        <v/>
      </c>
    </row>
    <row r="1281" spans="18:19" x14ac:dyDescent="0.25">
      <c r="R1281" s="8" t="str">
        <f t="shared" si="38"/>
        <v/>
      </c>
      <c r="S1281" s="82" t="str">
        <f t="shared" si="39"/>
        <v/>
      </c>
    </row>
    <row r="1282" spans="18:19" x14ac:dyDescent="0.25">
      <c r="R1282" s="8" t="str">
        <f t="shared" si="38"/>
        <v/>
      </c>
      <c r="S1282" s="82" t="str">
        <f t="shared" si="39"/>
        <v/>
      </c>
    </row>
    <row r="1283" spans="18:19" x14ac:dyDescent="0.25">
      <c r="R1283" s="8" t="str">
        <f t="shared" si="38"/>
        <v/>
      </c>
      <c r="S1283" s="82" t="str">
        <f t="shared" si="39"/>
        <v/>
      </c>
    </row>
    <row r="1284" spans="18:19" x14ac:dyDescent="0.25">
      <c r="R1284" s="8" t="str">
        <f t="shared" si="38"/>
        <v/>
      </c>
      <c r="S1284" s="82" t="str">
        <f t="shared" si="39"/>
        <v/>
      </c>
    </row>
    <row r="1285" spans="18:19" x14ac:dyDescent="0.25">
      <c r="R1285" s="8" t="str">
        <f t="shared" si="38"/>
        <v/>
      </c>
      <c r="S1285" s="82" t="str">
        <f t="shared" si="39"/>
        <v/>
      </c>
    </row>
    <row r="1286" spans="18:19" x14ac:dyDescent="0.25">
      <c r="R1286" s="8" t="str">
        <f t="shared" si="38"/>
        <v/>
      </c>
      <c r="S1286" s="82" t="str">
        <f t="shared" si="39"/>
        <v/>
      </c>
    </row>
    <row r="1287" spans="18:19" x14ac:dyDescent="0.25">
      <c r="R1287" s="8" t="str">
        <f t="shared" si="38"/>
        <v/>
      </c>
      <c r="S1287" s="82" t="str">
        <f t="shared" si="39"/>
        <v/>
      </c>
    </row>
    <row r="1288" spans="18:19" x14ac:dyDescent="0.25">
      <c r="R1288" s="8" t="str">
        <f t="shared" ref="R1288:R1351" si="40">IF(A1288="",(""),(MONTH(A1288)))</f>
        <v/>
      </c>
      <c r="S1288" s="82" t="str">
        <f t="shared" ref="S1288:S1351" si="41">IF(B1288="",(""),IF(B1288="3 - Nota de Crédito A",-Q1288,IF(B1288="8 - Nota de Crédito B",-Q1288,(Q1288))))</f>
        <v/>
      </c>
    </row>
    <row r="1289" spans="18:19" x14ac:dyDescent="0.25">
      <c r="R1289" s="8" t="str">
        <f t="shared" si="40"/>
        <v/>
      </c>
      <c r="S1289" s="82" t="str">
        <f t="shared" si="41"/>
        <v/>
      </c>
    </row>
    <row r="1290" spans="18:19" x14ac:dyDescent="0.25">
      <c r="R1290" s="8" t="str">
        <f t="shared" si="40"/>
        <v/>
      </c>
      <c r="S1290" s="82" t="str">
        <f t="shared" si="41"/>
        <v/>
      </c>
    </row>
    <row r="1291" spans="18:19" x14ac:dyDescent="0.25">
      <c r="R1291" s="8" t="str">
        <f t="shared" si="40"/>
        <v/>
      </c>
      <c r="S1291" s="82" t="str">
        <f t="shared" si="41"/>
        <v/>
      </c>
    </row>
    <row r="1292" spans="18:19" x14ac:dyDescent="0.25">
      <c r="R1292" s="8" t="str">
        <f t="shared" si="40"/>
        <v/>
      </c>
      <c r="S1292" s="82" t="str">
        <f t="shared" si="41"/>
        <v/>
      </c>
    </row>
    <row r="1293" spans="18:19" x14ac:dyDescent="0.25">
      <c r="R1293" s="8" t="str">
        <f t="shared" si="40"/>
        <v/>
      </c>
      <c r="S1293" s="82" t="str">
        <f t="shared" si="41"/>
        <v/>
      </c>
    </row>
    <row r="1294" spans="18:19" x14ac:dyDescent="0.25">
      <c r="R1294" s="8" t="str">
        <f t="shared" si="40"/>
        <v/>
      </c>
      <c r="S1294" s="82" t="str">
        <f t="shared" si="41"/>
        <v/>
      </c>
    </row>
    <row r="1295" spans="18:19" x14ac:dyDescent="0.25">
      <c r="R1295" s="8" t="str">
        <f t="shared" si="40"/>
        <v/>
      </c>
      <c r="S1295" s="82" t="str">
        <f t="shared" si="41"/>
        <v/>
      </c>
    </row>
    <row r="1296" spans="18:19" x14ac:dyDescent="0.25">
      <c r="R1296" s="8" t="str">
        <f t="shared" si="40"/>
        <v/>
      </c>
      <c r="S1296" s="82" t="str">
        <f t="shared" si="41"/>
        <v/>
      </c>
    </row>
    <row r="1297" spans="18:19" x14ac:dyDescent="0.25">
      <c r="R1297" s="8" t="str">
        <f t="shared" si="40"/>
        <v/>
      </c>
      <c r="S1297" s="82" t="str">
        <f t="shared" si="41"/>
        <v/>
      </c>
    </row>
    <row r="1298" spans="18:19" x14ac:dyDescent="0.25">
      <c r="R1298" s="8" t="str">
        <f t="shared" si="40"/>
        <v/>
      </c>
      <c r="S1298" s="82" t="str">
        <f t="shared" si="41"/>
        <v/>
      </c>
    </row>
    <row r="1299" spans="18:19" x14ac:dyDescent="0.25">
      <c r="R1299" s="8" t="str">
        <f t="shared" si="40"/>
        <v/>
      </c>
      <c r="S1299" s="82" t="str">
        <f t="shared" si="41"/>
        <v/>
      </c>
    </row>
    <row r="1300" spans="18:19" x14ac:dyDescent="0.25">
      <c r="R1300" s="8" t="str">
        <f t="shared" si="40"/>
        <v/>
      </c>
      <c r="S1300" s="82" t="str">
        <f t="shared" si="41"/>
        <v/>
      </c>
    </row>
    <row r="1301" spans="18:19" x14ac:dyDescent="0.25">
      <c r="R1301" s="8" t="str">
        <f t="shared" si="40"/>
        <v/>
      </c>
      <c r="S1301" s="82" t="str">
        <f t="shared" si="41"/>
        <v/>
      </c>
    </row>
    <row r="1302" spans="18:19" x14ac:dyDescent="0.25">
      <c r="R1302" s="8" t="str">
        <f t="shared" si="40"/>
        <v/>
      </c>
      <c r="S1302" s="82" t="str">
        <f t="shared" si="41"/>
        <v/>
      </c>
    </row>
    <row r="1303" spans="18:19" x14ac:dyDescent="0.25">
      <c r="R1303" s="8" t="str">
        <f t="shared" si="40"/>
        <v/>
      </c>
      <c r="S1303" s="82" t="str">
        <f t="shared" si="41"/>
        <v/>
      </c>
    </row>
    <row r="1304" spans="18:19" x14ac:dyDescent="0.25">
      <c r="R1304" s="8" t="str">
        <f t="shared" si="40"/>
        <v/>
      </c>
      <c r="S1304" s="82" t="str">
        <f t="shared" si="41"/>
        <v/>
      </c>
    </row>
    <row r="1305" spans="18:19" x14ac:dyDescent="0.25">
      <c r="R1305" s="8" t="str">
        <f t="shared" si="40"/>
        <v/>
      </c>
      <c r="S1305" s="82" t="str">
        <f t="shared" si="41"/>
        <v/>
      </c>
    </row>
    <row r="1306" spans="18:19" x14ac:dyDescent="0.25">
      <c r="R1306" s="8" t="str">
        <f t="shared" si="40"/>
        <v/>
      </c>
      <c r="S1306" s="82" t="str">
        <f t="shared" si="41"/>
        <v/>
      </c>
    </row>
    <row r="1307" spans="18:19" x14ac:dyDescent="0.25">
      <c r="R1307" s="8" t="str">
        <f t="shared" si="40"/>
        <v/>
      </c>
      <c r="S1307" s="82" t="str">
        <f t="shared" si="41"/>
        <v/>
      </c>
    </row>
    <row r="1308" spans="18:19" x14ac:dyDescent="0.25">
      <c r="R1308" s="8" t="str">
        <f t="shared" si="40"/>
        <v/>
      </c>
      <c r="S1308" s="82" t="str">
        <f t="shared" si="41"/>
        <v/>
      </c>
    </row>
    <row r="1309" spans="18:19" x14ac:dyDescent="0.25">
      <c r="R1309" s="8" t="str">
        <f t="shared" si="40"/>
        <v/>
      </c>
      <c r="S1309" s="82" t="str">
        <f t="shared" si="41"/>
        <v/>
      </c>
    </row>
    <row r="1310" spans="18:19" x14ac:dyDescent="0.25">
      <c r="R1310" s="8" t="str">
        <f t="shared" si="40"/>
        <v/>
      </c>
      <c r="S1310" s="82" t="str">
        <f t="shared" si="41"/>
        <v/>
      </c>
    </row>
    <row r="1311" spans="18:19" x14ac:dyDescent="0.25">
      <c r="R1311" s="8" t="str">
        <f t="shared" si="40"/>
        <v/>
      </c>
      <c r="S1311" s="82" t="str">
        <f t="shared" si="41"/>
        <v/>
      </c>
    </row>
    <row r="1312" spans="18:19" x14ac:dyDescent="0.25">
      <c r="R1312" s="8" t="str">
        <f t="shared" si="40"/>
        <v/>
      </c>
      <c r="S1312" s="82" t="str">
        <f t="shared" si="41"/>
        <v/>
      </c>
    </row>
    <row r="1313" spans="18:19" x14ac:dyDescent="0.25">
      <c r="R1313" s="8" t="str">
        <f t="shared" si="40"/>
        <v/>
      </c>
      <c r="S1313" s="82" t="str">
        <f t="shared" si="41"/>
        <v/>
      </c>
    </row>
    <row r="1314" spans="18:19" x14ac:dyDescent="0.25">
      <c r="R1314" s="8" t="str">
        <f t="shared" si="40"/>
        <v/>
      </c>
      <c r="S1314" s="82" t="str">
        <f t="shared" si="41"/>
        <v/>
      </c>
    </row>
    <row r="1315" spans="18:19" x14ac:dyDescent="0.25">
      <c r="R1315" s="8" t="str">
        <f t="shared" si="40"/>
        <v/>
      </c>
      <c r="S1315" s="82" t="str">
        <f t="shared" si="41"/>
        <v/>
      </c>
    </row>
    <row r="1316" spans="18:19" x14ac:dyDescent="0.25">
      <c r="R1316" s="8" t="str">
        <f t="shared" si="40"/>
        <v/>
      </c>
      <c r="S1316" s="82" t="str">
        <f t="shared" si="41"/>
        <v/>
      </c>
    </row>
    <row r="1317" spans="18:19" x14ac:dyDescent="0.25">
      <c r="R1317" s="8" t="str">
        <f t="shared" si="40"/>
        <v/>
      </c>
      <c r="S1317" s="82" t="str">
        <f t="shared" si="41"/>
        <v/>
      </c>
    </row>
    <row r="1318" spans="18:19" x14ac:dyDescent="0.25">
      <c r="R1318" s="8" t="str">
        <f t="shared" si="40"/>
        <v/>
      </c>
      <c r="S1318" s="82" t="str">
        <f t="shared" si="41"/>
        <v/>
      </c>
    </row>
    <row r="1319" spans="18:19" x14ac:dyDescent="0.25">
      <c r="R1319" s="8" t="str">
        <f t="shared" si="40"/>
        <v/>
      </c>
      <c r="S1319" s="82" t="str">
        <f t="shared" si="41"/>
        <v/>
      </c>
    </row>
    <row r="1320" spans="18:19" x14ac:dyDescent="0.25">
      <c r="R1320" s="8" t="str">
        <f t="shared" si="40"/>
        <v/>
      </c>
      <c r="S1320" s="82" t="str">
        <f t="shared" si="41"/>
        <v/>
      </c>
    </row>
    <row r="1321" spans="18:19" x14ac:dyDescent="0.25">
      <c r="R1321" s="8" t="str">
        <f t="shared" si="40"/>
        <v/>
      </c>
      <c r="S1321" s="82" t="str">
        <f t="shared" si="41"/>
        <v/>
      </c>
    </row>
    <row r="1322" spans="18:19" x14ac:dyDescent="0.25">
      <c r="R1322" s="8" t="str">
        <f t="shared" si="40"/>
        <v/>
      </c>
      <c r="S1322" s="82" t="str">
        <f t="shared" si="41"/>
        <v/>
      </c>
    </row>
    <row r="1323" spans="18:19" x14ac:dyDescent="0.25">
      <c r="R1323" s="8" t="str">
        <f t="shared" si="40"/>
        <v/>
      </c>
      <c r="S1323" s="82" t="str">
        <f t="shared" si="41"/>
        <v/>
      </c>
    </row>
    <row r="1324" spans="18:19" x14ac:dyDescent="0.25">
      <c r="R1324" s="8" t="str">
        <f t="shared" si="40"/>
        <v/>
      </c>
      <c r="S1324" s="82" t="str">
        <f t="shared" si="41"/>
        <v/>
      </c>
    </row>
    <row r="1325" spans="18:19" x14ac:dyDescent="0.25">
      <c r="R1325" s="8" t="str">
        <f t="shared" si="40"/>
        <v/>
      </c>
      <c r="S1325" s="82" t="str">
        <f t="shared" si="41"/>
        <v/>
      </c>
    </row>
    <row r="1326" spans="18:19" x14ac:dyDescent="0.25">
      <c r="R1326" s="8" t="str">
        <f t="shared" si="40"/>
        <v/>
      </c>
      <c r="S1326" s="82" t="str">
        <f t="shared" si="41"/>
        <v/>
      </c>
    </row>
    <row r="1327" spans="18:19" x14ac:dyDescent="0.25">
      <c r="R1327" s="8" t="str">
        <f t="shared" si="40"/>
        <v/>
      </c>
      <c r="S1327" s="82" t="str">
        <f t="shared" si="41"/>
        <v/>
      </c>
    </row>
    <row r="1328" spans="18:19" x14ac:dyDescent="0.25">
      <c r="R1328" s="8" t="str">
        <f t="shared" si="40"/>
        <v/>
      </c>
      <c r="S1328" s="82" t="str">
        <f t="shared" si="41"/>
        <v/>
      </c>
    </row>
    <row r="1329" spans="18:19" x14ac:dyDescent="0.25">
      <c r="R1329" s="8" t="str">
        <f t="shared" si="40"/>
        <v/>
      </c>
      <c r="S1329" s="82" t="str">
        <f t="shared" si="41"/>
        <v/>
      </c>
    </row>
    <row r="1330" spans="18:19" x14ac:dyDescent="0.25">
      <c r="R1330" s="8" t="str">
        <f t="shared" si="40"/>
        <v/>
      </c>
      <c r="S1330" s="82" t="str">
        <f t="shared" si="41"/>
        <v/>
      </c>
    </row>
    <row r="1331" spans="18:19" x14ac:dyDescent="0.25">
      <c r="R1331" s="8" t="str">
        <f t="shared" si="40"/>
        <v/>
      </c>
      <c r="S1331" s="82" t="str">
        <f t="shared" si="41"/>
        <v/>
      </c>
    </row>
    <row r="1332" spans="18:19" x14ac:dyDescent="0.25">
      <c r="R1332" s="8" t="str">
        <f t="shared" si="40"/>
        <v/>
      </c>
      <c r="S1332" s="82" t="str">
        <f t="shared" si="41"/>
        <v/>
      </c>
    </row>
    <row r="1333" spans="18:19" x14ac:dyDescent="0.25">
      <c r="R1333" s="8" t="str">
        <f t="shared" si="40"/>
        <v/>
      </c>
      <c r="S1333" s="82" t="str">
        <f t="shared" si="41"/>
        <v/>
      </c>
    </row>
    <row r="1334" spans="18:19" x14ac:dyDescent="0.25">
      <c r="R1334" s="8" t="str">
        <f t="shared" si="40"/>
        <v/>
      </c>
      <c r="S1334" s="82" t="str">
        <f t="shared" si="41"/>
        <v/>
      </c>
    </row>
    <row r="1335" spans="18:19" x14ac:dyDescent="0.25">
      <c r="R1335" s="8" t="str">
        <f t="shared" si="40"/>
        <v/>
      </c>
      <c r="S1335" s="82" t="str">
        <f t="shared" si="41"/>
        <v/>
      </c>
    </row>
    <row r="1336" spans="18:19" x14ac:dyDescent="0.25">
      <c r="R1336" s="8" t="str">
        <f t="shared" si="40"/>
        <v/>
      </c>
      <c r="S1336" s="82" t="str">
        <f t="shared" si="41"/>
        <v/>
      </c>
    </row>
    <row r="1337" spans="18:19" x14ac:dyDescent="0.25">
      <c r="R1337" s="8" t="str">
        <f t="shared" si="40"/>
        <v/>
      </c>
      <c r="S1337" s="82" t="str">
        <f t="shared" si="41"/>
        <v/>
      </c>
    </row>
    <row r="1338" spans="18:19" x14ac:dyDescent="0.25">
      <c r="R1338" s="8" t="str">
        <f t="shared" si="40"/>
        <v/>
      </c>
      <c r="S1338" s="82" t="str">
        <f t="shared" si="41"/>
        <v/>
      </c>
    </row>
    <row r="1339" spans="18:19" x14ac:dyDescent="0.25">
      <c r="R1339" s="8" t="str">
        <f t="shared" si="40"/>
        <v/>
      </c>
      <c r="S1339" s="82" t="str">
        <f t="shared" si="41"/>
        <v/>
      </c>
    </row>
    <row r="1340" spans="18:19" x14ac:dyDescent="0.25">
      <c r="R1340" s="8" t="str">
        <f t="shared" si="40"/>
        <v/>
      </c>
      <c r="S1340" s="82" t="str">
        <f t="shared" si="41"/>
        <v/>
      </c>
    </row>
    <row r="1341" spans="18:19" x14ac:dyDescent="0.25">
      <c r="R1341" s="8" t="str">
        <f t="shared" si="40"/>
        <v/>
      </c>
      <c r="S1341" s="82" t="str">
        <f t="shared" si="41"/>
        <v/>
      </c>
    </row>
    <row r="1342" spans="18:19" x14ac:dyDescent="0.25">
      <c r="R1342" s="8" t="str">
        <f t="shared" si="40"/>
        <v/>
      </c>
      <c r="S1342" s="82" t="str">
        <f t="shared" si="41"/>
        <v/>
      </c>
    </row>
    <row r="1343" spans="18:19" x14ac:dyDescent="0.25">
      <c r="R1343" s="8" t="str">
        <f t="shared" si="40"/>
        <v/>
      </c>
      <c r="S1343" s="82" t="str">
        <f t="shared" si="41"/>
        <v/>
      </c>
    </row>
    <row r="1344" spans="18:19" x14ac:dyDescent="0.25">
      <c r="R1344" s="8" t="str">
        <f t="shared" si="40"/>
        <v/>
      </c>
      <c r="S1344" s="82" t="str">
        <f t="shared" si="41"/>
        <v/>
      </c>
    </row>
    <row r="1345" spans="18:19" x14ac:dyDescent="0.25">
      <c r="R1345" s="8" t="str">
        <f t="shared" si="40"/>
        <v/>
      </c>
      <c r="S1345" s="82" t="str">
        <f t="shared" si="41"/>
        <v/>
      </c>
    </row>
    <row r="1346" spans="18:19" x14ac:dyDescent="0.25">
      <c r="R1346" s="8" t="str">
        <f t="shared" si="40"/>
        <v/>
      </c>
      <c r="S1346" s="82" t="str">
        <f t="shared" si="41"/>
        <v/>
      </c>
    </row>
    <row r="1347" spans="18:19" x14ac:dyDescent="0.25">
      <c r="R1347" s="8" t="str">
        <f t="shared" si="40"/>
        <v/>
      </c>
      <c r="S1347" s="82" t="str">
        <f t="shared" si="41"/>
        <v/>
      </c>
    </row>
    <row r="1348" spans="18:19" x14ac:dyDescent="0.25">
      <c r="R1348" s="8" t="str">
        <f t="shared" si="40"/>
        <v/>
      </c>
      <c r="S1348" s="82" t="str">
        <f t="shared" si="41"/>
        <v/>
      </c>
    </row>
    <row r="1349" spans="18:19" x14ac:dyDescent="0.25">
      <c r="R1349" s="8" t="str">
        <f t="shared" si="40"/>
        <v/>
      </c>
      <c r="S1349" s="82" t="str">
        <f t="shared" si="41"/>
        <v/>
      </c>
    </row>
    <row r="1350" spans="18:19" x14ac:dyDescent="0.25">
      <c r="R1350" s="8" t="str">
        <f t="shared" si="40"/>
        <v/>
      </c>
      <c r="S1350" s="82" t="str">
        <f t="shared" si="41"/>
        <v/>
      </c>
    </row>
    <row r="1351" spans="18:19" x14ac:dyDescent="0.25">
      <c r="R1351" s="8" t="str">
        <f t="shared" si="40"/>
        <v/>
      </c>
      <c r="S1351" s="82" t="str">
        <f t="shared" si="41"/>
        <v/>
      </c>
    </row>
    <row r="1352" spans="18:19" x14ac:dyDescent="0.25">
      <c r="R1352" s="8" t="str">
        <f t="shared" ref="R1352:R1415" si="42">IF(A1352="",(""),(MONTH(A1352)))</f>
        <v/>
      </c>
      <c r="S1352" s="82" t="str">
        <f t="shared" ref="S1352:S1415" si="43">IF(B1352="",(""),IF(B1352="3 - Nota de Crédito A",-Q1352,IF(B1352="8 - Nota de Crédito B",-Q1352,(Q1352))))</f>
        <v/>
      </c>
    </row>
    <row r="1353" spans="18:19" x14ac:dyDescent="0.25">
      <c r="R1353" s="8" t="str">
        <f t="shared" si="42"/>
        <v/>
      </c>
      <c r="S1353" s="82" t="str">
        <f t="shared" si="43"/>
        <v/>
      </c>
    </row>
    <row r="1354" spans="18:19" x14ac:dyDescent="0.25">
      <c r="R1354" s="8" t="str">
        <f t="shared" si="42"/>
        <v/>
      </c>
      <c r="S1354" s="82" t="str">
        <f t="shared" si="43"/>
        <v/>
      </c>
    </row>
    <row r="1355" spans="18:19" x14ac:dyDescent="0.25">
      <c r="R1355" s="8" t="str">
        <f t="shared" si="42"/>
        <v/>
      </c>
      <c r="S1355" s="82" t="str">
        <f t="shared" si="43"/>
        <v/>
      </c>
    </row>
    <row r="1356" spans="18:19" x14ac:dyDescent="0.25">
      <c r="R1356" s="8" t="str">
        <f t="shared" si="42"/>
        <v/>
      </c>
      <c r="S1356" s="82" t="str">
        <f t="shared" si="43"/>
        <v/>
      </c>
    </row>
    <row r="1357" spans="18:19" x14ac:dyDescent="0.25">
      <c r="R1357" s="8" t="str">
        <f t="shared" si="42"/>
        <v/>
      </c>
      <c r="S1357" s="82" t="str">
        <f t="shared" si="43"/>
        <v/>
      </c>
    </row>
    <row r="1358" spans="18:19" x14ac:dyDescent="0.25">
      <c r="R1358" s="8" t="str">
        <f t="shared" si="42"/>
        <v/>
      </c>
      <c r="S1358" s="82" t="str">
        <f t="shared" si="43"/>
        <v/>
      </c>
    </row>
    <row r="1359" spans="18:19" x14ac:dyDescent="0.25">
      <c r="R1359" s="8" t="str">
        <f t="shared" si="42"/>
        <v/>
      </c>
      <c r="S1359" s="82" t="str">
        <f t="shared" si="43"/>
        <v/>
      </c>
    </row>
    <row r="1360" spans="18:19" x14ac:dyDescent="0.25">
      <c r="R1360" s="8" t="str">
        <f t="shared" si="42"/>
        <v/>
      </c>
      <c r="S1360" s="82" t="str">
        <f t="shared" si="43"/>
        <v/>
      </c>
    </row>
    <row r="1361" spans="18:19" x14ac:dyDescent="0.25">
      <c r="R1361" s="8" t="str">
        <f t="shared" si="42"/>
        <v/>
      </c>
      <c r="S1361" s="82" t="str">
        <f t="shared" si="43"/>
        <v/>
      </c>
    </row>
    <row r="1362" spans="18:19" x14ac:dyDescent="0.25">
      <c r="R1362" s="8" t="str">
        <f t="shared" si="42"/>
        <v/>
      </c>
      <c r="S1362" s="82" t="str">
        <f t="shared" si="43"/>
        <v/>
      </c>
    </row>
    <row r="1363" spans="18:19" x14ac:dyDescent="0.25">
      <c r="R1363" s="8" t="str">
        <f t="shared" si="42"/>
        <v/>
      </c>
      <c r="S1363" s="82" t="str">
        <f t="shared" si="43"/>
        <v/>
      </c>
    </row>
    <row r="1364" spans="18:19" x14ac:dyDescent="0.25">
      <c r="R1364" s="8" t="str">
        <f t="shared" si="42"/>
        <v/>
      </c>
      <c r="S1364" s="82" t="str">
        <f t="shared" si="43"/>
        <v/>
      </c>
    </row>
    <row r="1365" spans="18:19" x14ac:dyDescent="0.25">
      <c r="R1365" s="8" t="str">
        <f t="shared" si="42"/>
        <v/>
      </c>
      <c r="S1365" s="82" t="str">
        <f t="shared" si="43"/>
        <v/>
      </c>
    </row>
    <row r="1366" spans="18:19" x14ac:dyDescent="0.25">
      <c r="R1366" s="8" t="str">
        <f t="shared" si="42"/>
        <v/>
      </c>
      <c r="S1366" s="82" t="str">
        <f t="shared" si="43"/>
        <v/>
      </c>
    </row>
    <row r="1367" spans="18:19" x14ac:dyDescent="0.25">
      <c r="R1367" s="8" t="str">
        <f t="shared" si="42"/>
        <v/>
      </c>
      <c r="S1367" s="82" t="str">
        <f t="shared" si="43"/>
        <v/>
      </c>
    </row>
    <row r="1368" spans="18:19" x14ac:dyDescent="0.25">
      <c r="R1368" s="8" t="str">
        <f t="shared" si="42"/>
        <v/>
      </c>
      <c r="S1368" s="82" t="str">
        <f t="shared" si="43"/>
        <v/>
      </c>
    </row>
    <row r="1369" spans="18:19" x14ac:dyDescent="0.25">
      <c r="R1369" s="8" t="str">
        <f t="shared" si="42"/>
        <v/>
      </c>
      <c r="S1369" s="82" t="str">
        <f t="shared" si="43"/>
        <v/>
      </c>
    </row>
    <row r="1370" spans="18:19" x14ac:dyDescent="0.25">
      <c r="R1370" s="8" t="str">
        <f t="shared" si="42"/>
        <v/>
      </c>
      <c r="S1370" s="82" t="str">
        <f t="shared" si="43"/>
        <v/>
      </c>
    </row>
    <row r="1371" spans="18:19" x14ac:dyDescent="0.25">
      <c r="R1371" s="8" t="str">
        <f t="shared" si="42"/>
        <v/>
      </c>
      <c r="S1371" s="82" t="str">
        <f t="shared" si="43"/>
        <v/>
      </c>
    </row>
    <row r="1372" spans="18:19" x14ac:dyDescent="0.25">
      <c r="R1372" s="8" t="str">
        <f t="shared" si="42"/>
        <v/>
      </c>
      <c r="S1372" s="82" t="str">
        <f t="shared" si="43"/>
        <v/>
      </c>
    </row>
    <row r="1373" spans="18:19" x14ac:dyDescent="0.25">
      <c r="R1373" s="8" t="str">
        <f t="shared" si="42"/>
        <v/>
      </c>
      <c r="S1373" s="82" t="str">
        <f t="shared" si="43"/>
        <v/>
      </c>
    </row>
    <row r="1374" spans="18:19" x14ac:dyDescent="0.25">
      <c r="R1374" s="8" t="str">
        <f t="shared" si="42"/>
        <v/>
      </c>
      <c r="S1374" s="82" t="str">
        <f t="shared" si="43"/>
        <v/>
      </c>
    </row>
    <row r="1375" spans="18:19" x14ac:dyDescent="0.25">
      <c r="R1375" s="8" t="str">
        <f t="shared" si="42"/>
        <v/>
      </c>
      <c r="S1375" s="82" t="str">
        <f t="shared" si="43"/>
        <v/>
      </c>
    </row>
    <row r="1376" spans="18:19" x14ac:dyDescent="0.25">
      <c r="R1376" s="8" t="str">
        <f t="shared" si="42"/>
        <v/>
      </c>
      <c r="S1376" s="82" t="str">
        <f t="shared" si="43"/>
        <v/>
      </c>
    </row>
    <row r="1377" spans="18:19" x14ac:dyDescent="0.25">
      <c r="R1377" s="8" t="str">
        <f t="shared" si="42"/>
        <v/>
      </c>
      <c r="S1377" s="82" t="str">
        <f t="shared" si="43"/>
        <v/>
      </c>
    </row>
    <row r="1378" spans="18:19" x14ac:dyDescent="0.25">
      <c r="R1378" s="8" t="str">
        <f t="shared" si="42"/>
        <v/>
      </c>
      <c r="S1378" s="82" t="str">
        <f t="shared" si="43"/>
        <v/>
      </c>
    </row>
    <row r="1379" spans="18:19" x14ac:dyDescent="0.25">
      <c r="R1379" s="8" t="str">
        <f t="shared" si="42"/>
        <v/>
      </c>
      <c r="S1379" s="82" t="str">
        <f t="shared" si="43"/>
        <v/>
      </c>
    </row>
    <row r="1380" spans="18:19" x14ac:dyDescent="0.25">
      <c r="R1380" s="8" t="str">
        <f t="shared" si="42"/>
        <v/>
      </c>
      <c r="S1380" s="82" t="str">
        <f t="shared" si="43"/>
        <v/>
      </c>
    </row>
    <row r="1381" spans="18:19" x14ac:dyDescent="0.25">
      <c r="R1381" s="8" t="str">
        <f t="shared" si="42"/>
        <v/>
      </c>
      <c r="S1381" s="82" t="str">
        <f t="shared" si="43"/>
        <v/>
      </c>
    </row>
    <row r="1382" spans="18:19" x14ac:dyDescent="0.25">
      <c r="R1382" s="8" t="str">
        <f t="shared" si="42"/>
        <v/>
      </c>
      <c r="S1382" s="82" t="str">
        <f t="shared" si="43"/>
        <v/>
      </c>
    </row>
    <row r="1383" spans="18:19" x14ac:dyDescent="0.25">
      <c r="R1383" s="8" t="str">
        <f t="shared" si="42"/>
        <v/>
      </c>
      <c r="S1383" s="82" t="str">
        <f t="shared" si="43"/>
        <v/>
      </c>
    </row>
    <row r="1384" spans="18:19" x14ac:dyDescent="0.25">
      <c r="R1384" s="8" t="str">
        <f t="shared" si="42"/>
        <v/>
      </c>
      <c r="S1384" s="82" t="str">
        <f t="shared" si="43"/>
        <v/>
      </c>
    </row>
    <row r="1385" spans="18:19" x14ac:dyDescent="0.25">
      <c r="R1385" s="8" t="str">
        <f t="shared" si="42"/>
        <v/>
      </c>
      <c r="S1385" s="82" t="str">
        <f t="shared" si="43"/>
        <v/>
      </c>
    </row>
    <row r="1386" spans="18:19" x14ac:dyDescent="0.25">
      <c r="R1386" s="8" t="str">
        <f t="shared" si="42"/>
        <v/>
      </c>
      <c r="S1386" s="82" t="str">
        <f t="shared" si="43"/>
        <v/>
      </c>
    </row>
    <row r="1387" spans="18:19" x14ac:dyDescent="0.25">
      <c r="R1387" s="8" t="str">
        <f t="shared" si="42"/>
        <v/>
      </c>
      <c r="S1387" s="82" t="str">
        <f t="shared" si="43"/>
        <v/>
      </c>
    </row>
    <row r="1388" spans="18:19" x14ac:dyDescent="0.25">
      <c r="R1388" s="8" t="str">
        <f t="shared" si="42"/>
        <v/>
      </c>
      <c r="S1388" s="82" t="str">
        <f t="shared" si="43"/>
        <v/>
      </c>
    </row>
    <row r="1389" spans="18:19" x14ac:dyDescent="0.25">
      <c r="R1389" s="8" t="str">
        <f t="shared" si="42"/>
        <v/>
      </c>
      <c r="S1389" s="82" t="str">
        <f t="shared" si="43"/>
        <v/>
      </c>
    </row>
    <row r="1390" spans="18:19" x14ac:dyDescent="0.25">
      <c r="R1390" s="8" t="str">
        <f t="shared" si="42"/>
        <v/>
      </c>
      <c r="S1390" s="82" t="str">
        <f t="shared" si="43"/>
        <v/>
      </c>
    </row>
    <row r="1391" spans="18:19" x14ac:dyDescent="0.25">
      <c r="R1391" s="8" t="str">
        <f t="shared" si="42"/>
        <v/>
      </c>
      <c r="S1391" s="82" t="str">
        <f t="shared" si="43"/>
        <v/>
      </c>
    </row>
    <row r="1392" spans="18:19" x14ac:dyDescent="0.25">
      <c r="R1392" s="8" t="str">
        <f t="shared" si="42"/>
        <v/>
      </c>
      <c r="S1392" s="82" t="str">
        <f t="shared" si="43"/>
        <v/>
      </c>
    </row>
    <row r="1393" spans="18:19" x14ac:dyDescent="0.25">
      <c r="R1393" s="8" t="str">
        <f t="shared" si="42"/>
        <v/>
      </c>
      <c r="S1393" s="82" t="str">
        <f t="shared" si="43"/>
        <v/>
      </c>
    </row>
    <row r="1394" spans="18:19" x14ac:dyDescent="0.25">
      <c r="R1394" s="8" t="str">
        <f t="shared" si="42"/>
        <v/>
      </c>
      <c r="S1394" s="82" t="str">
        <f t="shared" si="43"/>
        <v/>
      </c>
    </row>
    <row r="1395" spans="18:19" x14ac:dyDescent="0.25">
      <c r="R1395" s="8" t="str">
        <f t="shared" si="42"/>
        <v/>
      </c>
      <c r="S1395" s="82" t="str">
        <f t="shared" si="43"/>
        <v/>
      </c>
    </row>
    <row r="1396" spans="18:19" x14ac:dyDescent="0.25">
      <c r="R1396" s="8" t="str">
        <f t="shared" si="42"/>
        <v/>
      </c>
      <c r="S1396" s="82" t="str">
        <f t="shared" si="43"/>
        <v/>
      </c>
    </row>
    <row r="1397" spans="18:19" x14ac:dyDescent="0.25">
      <c r="R1397" s="8" t="str">
        <f t="shared" si="42"/>
        <v/>
      </c>
      <c r="S1397" s="82" t="str">
        <f t="shared" si="43"/>
        <v/>
      </c>
    </row>
    <row r="1398" spans="18:19" x14ac:dyDescent="0.25">
      <c r="R1398" s="8" t="str">
        <f t="shared" si="42"/>
        <v/>
      </c>
      <c r="S1398" s="82" t="str">
        <f t="shared" si="43"/>
        <v/>
      </c>
    </row>
    <row r="1399" spans="18:19" x14ac:dyDescent="0.25">
      <c r="R1399" s="8" t="str">
        <f t="shared" si="42"/>
        <v/>
      </c>
      <c r="S1399" s="82" t="str">
        <f t="shared" si="43"/>
        <v/>
      </c>
    </row>
    <row r="1400" spans="18:19" x14ac:dyDescent="0.25">
      <c r="R1400" s="8" t="str">
        <f t="shared" si="42"/>
        <v/>
      </c>
      <c r="S1400" s="82" t="str">
        <f t="shared" si="43"/>
        <v/>
      </c>
    </row>
    <row r="1401" spans="18:19" x14ac:dyDescent="0.25">
      <c r="R1401" s="8" t="str">
        <f t="shared" si="42"/>
        <v/>
      </c>
      <c r="S1401" s="82" t="str">
        <f t="shared" si="43"/>
        <v/>
      </c>
    </row>
    <row r="1402" spans="18:19" x14ac:dyDescent="0.25">
      <c r="R1402" s="8" t="str">
        <f t="shared" si="42"/>
        <v/>
      </c>
      <c r="S1402" s="82" t="str">
        <f t="shared" si="43"/>
        <v/>
      </c>
    </row>
    <row r="1403" spans="18:19" x14ac:dyDescent="0.25">
      <c r="R1403" s="8" t="str">
        <f t="shared" si="42"/>
        <v/>
      </c>
      <c r="S1403" s="82" t="str">
        <f t="shared" si="43"/>
        <v/>
      </c>
    </row>
    <row r="1404" spans="18:19" x14ac:dyDescent="0.25">
      <c r="R1404" s="8" t="str">
        <f t="shared" si="42"/>
        <v/>
      </c>
      <c r="S1404" s="82" t="str">
        <f t="shared" si="43"/>
        <v/>
      </c>
    </row>
    <row r="1405" spans="18:19" x14ac:dyDescent="0.25">
      <c r="R1405" s="8" t="str">
        <f t="shared" si="42"/>
        <v/>
      </c>
      <c r="S1405" s="82" t="str">
        <f t="shared" si="43"/>
        <v/>
      </c>
    </row>
    <row r="1406" spans="18:19" x14ac:dyDescent="0.25">
      <c r="R1406" s="8" t="str">
        <f t="shared" si="42"/>
        <v/>
      </c>
      <c r="S1406" s="82" t="str">
        <f t="shared" si="43"/>
        <v/>
      </c>
    </row>
    <row r="1407" spans="18:19" x14ac:dyDescent="0.25">
      <c r="R1407" s="8" t="str">
        <f t="shared" si="42"/>
        <v/>
      </c>
      <c r="S1407" s="82" t="str">
        <f t="shared" si="43"/>
        <v/>
      </c>
    </row>
    <row r="1408" spans="18:19" x14ac:dyDescent="0.25">
      <c r="R1408" s="8" t="str">
        <f t="shared" si="42"/>
        <v/>
      </c>
      <c r="S1408" s="82" t="str">
        <f t="shared" si="43"/>
        <v/>
      </c>
    </row>
    <row r="1409" spans="18:19" x14ac:dyDescent="0.25">
      <c r="R1409" s="8" t="str">
        <f t="shared" si="42"/>
        <v/>
      </c>
      <c r="S1409" s="82" t="str">
        <f t="shared" si="43"/>
        <v/>
      </c>
    </row>
    <row r="1410" spans="18:19" x14ac:dyDescent="0.25">
      <c r="R1410" s="8" t="str">
        <f t="shared" si="42"/>
        <v/>
      </c>
      <c r="S1410" s="82" t="str">
        <f t="shared" si="43"/>
        <v/>
      </c>
    </row>
    <row r="1411" spans="18:19" x14ac:dyDescent="0.25">
      <c r="R1411" s="8" t="str">
        <f t="shared" si="42"/>
        <v/>
      </c>
      <c r="S1411" s="82" t="str">
        <f t="shared" si="43"/>
        <v/>
      </c>
    </row>
    <row r="1412" spans="18:19" x14ac:dyDescent="0.25">
      <c r="R1412" s="8" t="str">
        <f t="shared" si="42"/>
        <v/>
      </c>
      <c r="S1412" s="82" t="str">
        <f t="shared" si="43"/>
        <v/>
      </c>
    </row>
    <row r="1413" spans="18:19" x14ac:dyDescent="0.25">
      <c r="R1413" s="8" t="str">
        <f t="shared" si="42"/>
        <v/>
      </c>
      <c r="S1413" s="82" t="str">
        <f t="shared" si="43"/>
        <v/>
      </c>
    </row>
    <row r="1414" spans="18:19" x14ac:dyDescent="0.25">
      <c r="R1414" s="8" t="str">
        <f t="shared" si="42"/>
        <v/>
      </c>
      <c r="S1414" s="82" t="str">
        <f t="shared" si="43"/>
        <v/>
      </c>
    </row>
    <row r="1415" spans="18:19" x14ac:dyDescent="0.25">
      <c r="R1415" s="8" t="str">
        <f t="shared" si="42"/>
        <v/>
      </c>
      <c r="S1415" s="82" t="str">
        <f t="shared" si="43"/>
        <v/>
      </c>
    </row>
    <row r="1416" spans="18:19" x14ac:dyDescent="0.25">
      <c r="R1416" s="8" t="str">
        <f t="shared" ref="R1416:R1479" si="44">IF(A1416="",(""),(MONTH(A1416)))</f>
        <v/>
      </c>
      <c r="S1416" s="82" t="str">
        <f t="shared" ref="S1416:S1479" si="45">IF(B1416="",(""),IF(B1416="3 - Nota de Crédito A",-Q1416,IF(B1416="8 - Nota de Crédito B",-Q1416,(Q1416))))</f>
        <v/>
      </c>
    </row>
    <row r="1417" spans="18:19" x14ac:dyDescent="0.25">
      <c r="R1417" s="8" t="str">
        <f t="shared" si="44"/>
        <v/>
      </c>
      <c r="S1417" s="82" t="str">
        <f t="shared" si="45"/>
        <v/>
      </c>
    </row>
    <row r="1418" spans="18:19" x14ac:dyDescent="0.25">
      <c r="R1418" s="8" t="str">
        <f t="shared" si="44"/>
        <v/>
      </c>
      <c r="S1418" s="82" t="str">
        <f t="shared" si="45"/>
        <v/>
      </c>
    </row>
    <row r="1419" spans="18:19" x14ac:dyDescent="0.25">
      <c r="R1419" s="8" t="str">
        <f t="shared" si="44"/>
        <v/>
      </c>
      <c r="S1419" s="82" t="str">
        <f t="shared" si="45"/>
        <v/>
      </c>
    </row>
    <row r="1420" spans="18:19" x14ac:dyDescent="0.25">
      <c r="R1420" s="8" t="str">
        <f t="shared" si="44"/>
        <v/>
      </c>
      <c r="S1420" s="82" t="str">
        <f t="shared" si="45"/>
        <v/>
      </c>
    </row>
    <row r="1421" spans="18:19" x14ac:dyDescent="0.25">
      <c r="R1421" s="8" t="str">
        <f t="shared" si="44"/>
        <v/>
      </c>
      <c r="S1421" s="82" t="str">
        <f t="shared" si="45"/>
        <v/>
      </c>
    </row>
    <row r="1422" spans="18:19" x14ac:dyDescent="0.25">
      <c r="R1422" s="8" t="str">
        <f t="shared" si="44"/>
        <v/>
      </c>
      <c r="S1422" s="82" t="str">
        <f t="shared" si="45"/>
        <v/>
      </c>
    </row>
    <row r="1423" spans="18:19" x14ac:dyDescent="0.25">
      <c r="R1423" s="8" t="str">
        <f t="shared" si="44"/>
        <v/>
      </c>
      <c r="S1423" s="82" t="str">
        <f t="shared" si="45"/>
        <v/>
      </c>
    </row>
    <row r="1424" spans="18:19" x14ac:dyDescent="0.25">
      <c r="R1424" s="8" t="str">
        <f t="shared" si="44"/>
        <v/>
      </c>
      <c r="S1424" s="82" t="str">
        <f t="shared" si="45"/>
        <v/>
      </c>
    </row>
    <row r="1425" spans="18:19" x14ac:dyDescent="0.25">
      <c r="R1425" s="8" t="str">
        <f t="shared" si="44"/>
        <v/>
      </c>
      <c r="S1425" s="82" t="str">
        <f t="shared" si="45"/>
        <v/>
      </c>
    </row>
    <row r="1426" spans="18:19" x14ac:dyDescent="0.25">
      <c r="R1426" s="8" t="str">
        <f t="shared" si="44"/>
        <v/>
      </c>
      <c r="S1426" s="82" t="str">
        <f t="shared" si="45"/>
        <v/>
      </c>
    </row>
    <row r="1427" spans="18:19" x14ac:dyDescent="0.25">
      <c r="R1427" s="8" t="str">
        <f t="shared" si="44"/>
        <v/>
      </c>
      <c r="S1427" s="82" t="str">
        <f t="shared" si="45"/>
        <v/>
      </c>
    </row>
    <row r="1428" spans="18:19" x14ac:dyDescent="0.25">
      <c r="R1428" s="8" t="str">
        <f t="shared" si="44"/>
        <v/>
      </c>
      <c r="S1428" s="82" t="str">
        <f t="shared" si="45"/>
        <v/>
      </c>
    </row>
    <row r="1429" spans="18:19" x14ac:dyDescent="0.25">
      <c r="R1429" s="8" t="str">
        <f t="shared" si="44"/>
        <v/>
      </c>
      <c r="S1429" s="82" t="str">
        <f t="shared" si="45"/>
        <v/>
      </c>
    </row>
    <row r="1430" spans="18:19" x14ac:dyDescent="0.25">
      <c r="R1430" s="8" t="str">
        <f t="shared" si="44"/>
        <v/>
      </c>
      <c r="S1430" s="82" t="str">
        <f t="shared" si="45"/>
        <v/>
      </c>
    </row>
    <row r="1431" spans="18:19" x14ac:dyDescent="0.25">
      <c r="R1431" s="8" t="str">
        <f t="shared" si="44"/>
        <v/>
      </c>
      <c r="S1431" s="82" t="str">
        <f t="shared" si="45"/>
        <v/>
      </c>
    </row>
    <row r="1432" spans="18:19" x14ac:dyDescent="0.25">
      <c r="R1432" s="8" t="str">
        <f t="shared" si="44"/>
        <v/>
      </c>
      <c r="S1432" s="82" t="str">
        <f t="shared" si="45"/>
        <v/>
      </c>
    </row>
    <row r="1433" spans="18:19" x14ac:dyDescent="0.25">
      <c r="R1433" s="8" t="str">
        <f t="shared" si="44"/>
        <v/>
      </c>
      <c r="S1433" s="82" t="str">
        <f t="shared" si="45"/>
        <v/>
      </c>
    </row>
    <row r="1434" spans="18:19" x14ac:dyDescent="0.25">
      <c r="R1434" s="8" t="str">
        <f t="shared" si="44"/>
        <v/>
      </c>
      <c r="S1434" s="82" t="str">
        <f t="shared" si="45"/>
        <v/>
      </c>
    </row>
    <row r="1435" spans="18:19" x14ac:dyDescent="0.25">
      <c r="R1435" s="8" t="str">
        <f t="shared" si="44"/>
        <v/>
      </c>
      <c r="S1435" s="82" t="str">
        <f t="shared" si="45"/>
        <v/>
      </c>
    </row>
    <row r="1436" spans="18:19" x14ac:dyDescent="0.25">
      <c r="R1436" s="8" t="str">
        <f t="shared" si="44"/>
        <v/>
      </c>
      <c r="S1436" s="82" t="str">
        <f t="shared" si="45"/>
        <v/>
      </c>
    </row>
    <row r="1437" spans="18:19" x14ac:dyDescent="0.25">
      <c r="R1437" s="8" t="str">
        <f t="shared" si="44"/>
        <v/>
      </c>
      <c r="S1437" s="82" t="str">
        <f t="shared" si="45"/>
        <v/>
      </c>
    </row>
    <row r="1438" spans="18:19" x14ac:dyDescent="0.25">
      <c r="R1438" s="8" t="str">
        <f t="shared" si="44"/>
        <v/>
      </c>
      <c r="S1438" s="82" t="str">
        <f t="shared" si="45"/>
        <v/>
      </c>
    </row>
    <row r="1439" spans="18:19" x14ac:dyDescent="0.25">
      <c r="R1439" s="8" t="str">
        <f t="shared" si="44"/>
        <v/>
      </c>
      <c r="S1439" s="82" t="str">
        <f t="shared" si="45"/>
        <v/>
      </c>
    </row>
    <row r="1440" spans="18:19" x14ac:dyDescent="0.25">
      <c r="R1440" s="8" t="str">
        <f t="shared" si="44"/>
        <v/>
      </c>
      <c r="S1440" s="82" t="str">
        <f t="shared" si="45"/>
        <v/>
      </c>
    </row>
    <row r="1441" spans="18:19" x14ac:dyDescent="0.25">
      <c r="R1441" s="8" t="str">
        <f t="shared" si="44"/>
        <v/>
      </c>
      <c r="S1441" s="82" t="str">
        <f t="shared" si="45"/>
        <v/>
      </c>
    </row>
    <row r="1442" spans="18:19" x14ac:dyDescent="0.25">
      <c r="R1442" s="8" t="str">
        <f t="shared" si="44"/>
        <v/>
      </c>
      <c r="S1442" s="82" t="str">
        <f t="shared" si="45"/>
        <v/>
      </c>
    </row>
    <row r="1443" spans="18:19" x14ac:dyDescent="0.25">
      <c r="R1443" s="8" t="str">
        <f t="shared" si="44"/>
        <v/>
      </c>
      <c r="S1443" s="82" t="str">
        <f t="shared" si="45"/>
        <v/>
      </c>
    </row>
    <row r="1444" spans="18:19" x14ac:dyDescent="0.25">
      <c r="R1444" s="8" t="str">
        <f t="shared" si="44"/>
        <v/>
      </c>
      <c r="S1444" s="82" t="str">
        <f t="shared" si="45"/>
        <v/>
      </c>
    </row>
    <row r="1445" spans="18:19" x14ac:dyDescent="0.25">
      <c r="R1445" s="8" t="str">
        <f t="shared" si="44"/>
        <v/>
      </c>
      <c r="S1445" s="82" t="str">
        <f t="shared" si="45"/>
        <v/>
      </c>
    </row>
    <row r="1446" spans="18:19" x14ac:dyDescent="0.25">
      <c r="R1446" s="8" t="str">
        <f t="shared" si="44"/>
        <v/>
      </c>
      <c r="S1446" s="82" t="str">
        <f t="shared" si="45"/>
        <v/>
      </c>
    </row>
    <row r="1447" spans="18:19" x14ac:dyDescent="0.25">
      <c r="R1447" s="8" t="str">
        <f t="shared" si="44"/>
        <v/>
      </c>
      <c r="S1447" s="82" t="str">
        <f t="shared" si="45"/>
        <v/>
      </c>
    </row>
    <row r="1448" spans="18:19" x14ac:dyDescent="0.25">
      <c r="R1448" s="8" t="str">
        <f t="shared" si="44"/>
        <v/>
      </c>
      <c r="S1448" s="82" t="str">
        <f t="shared" si="45"/>
        <v/>
      </c>
    </row>
    <row r="1449" spans="18:19" x14ac:dyDescent="0.25">
      <c r="R1449" s="8" t="str">
        <f t="shared" si="44"/>
        <v/>
      </c>
      <c r="S1449" s="82" t="str">
        <f t="shared" si="45"/>
        <v/>
      </c>
    </row>
    <row r="1450" spans="18:19" x14ac:dyDescent="0.25">
      <c r="R1450" s="8" t="str">
        <f t="shared" si="44"/>
        <v/>
      </c>
      <c r="S1450" s="82" t="str">
        <f t="shared" si="45"/>
        <v/>
      </c>
    </row>
    <row r="1451" spans="18:19" x14ac:dyDescent="0.25">
      <c r="R1451" s="8" t="str">
        <f t="shared" si="44"/>
        <v/>
      </c>
      <c r="S1451" s="82" t="str">
        <f t="shared" si="45"/>
        <v/>
      </c>
    </row>
    <row r="1452" spans="18:19" x14ac:dyDescent="0.25">
      <c r="R1452" s="8" t="str">
        <f t="shared" si="44"/>
        <v/>
      </c>
      <c r="S1452" s="82" t="str">
        <f t="shared" si="45"/>
        <v/>
      </c>
    </row>
    <row r="1453" spans="18:19" x14ac:dyDescent="0.25">
      <c r="R1453" s="8" t="str">
        <f t="shared" si="44"/>
        <v/>
      </c>
      <c r="S1453" s="82" t="str">
        <f t="shared" si="45"/>
        <v/>
      </c>
    </row>
    <row r="1454" spans="18:19" x14ac:dyDescent="0.25">
      <c r="R1454" s="8" t="str">
        <f t="shared" si="44"/>
        <v/>
      </c>
      <c r="S1454" s="82" t="str">
        <f t="shared" si="45"/>
        <v/>
      </c>
    </row>
    <row r="1455" spans="18:19" x14ac:dyDescent="0.25">
      <c r="R1455" s="8" t="str">
        <f t="shared" si="44"/>
        <v/>
      </c>
      <c r="S1455" s="82" t="str">
        <f t="shared" si="45"/>
        <v/>
      </c>
    </row>
    <row r="1456" spans="18:19" x14ac:dyDescent="0.25">
      <c r="R1456" s="8" t="str">
        <f t="shared" si="44"/>
        <v/>
      </c>
      <c r="S1456" s="82" t="str">
        <f t="shared" si="45"/>
        <v/>
      </c>
    </row>
    <row r="1457" spans="18:19" x14ac:dyDescent="0.25">
      <c r="R1457" s="8" t="str">
        <f t="shared" si="44"/>
        <v/>
      </c>
      <c r="S1457" s="82" t="str">
        <f t="shared" si="45"/>
        <v/>
      </c>
    </row>
    <row r="1458" spans="18:19" x14ac:dyDescent="0.25">
      <c r="R1458" s="8" t="str">
        <f t="shared" si="44"/>
        <v/>
      </c>
      <c r="S1458" s="82" t="str">
        <f t="shared" si="45"/>
        <v/>
      </c>
    </row>
    <row r="1459" spans="18:19" x14ac:dyDescent="0.25">
      <c r="R1459" s="8" t="str">
        <f t="shared" si="44"/>
        <v/>
      </c>
      <c r="S1459" s="82" t="str">
        <f t="shared" si="45"/>
        <v/>
      </c>
    </row>
    <row r="1460" spans="18:19" x14ac:dyDescent="0.25">
      <c r="R1460" s="8" t="str">
        <f t="shared" si="44"/>
        <v/>
      </c>
      <c r="S1460" s="82" t="str">
        <f t="shared" si="45"/>
        <v/>
      </c>
    </row>
    <row r="1461" spans="18:19" x14ac:dyDescent="0.25">
      <c r="R1461" s="8" t="str">
        <f t="shared" si="44"/>
        <v/>
      </c>
      <c r="S1461" s="82" t="str">
        <f t="shared" si="45"/>
        <v/>
      </c>
    </row>
    <row r="1462" spans="18:19" x14ac:dyDescent="0.25">
      <c r="R1462" s="8" t="str">
        <f t="shared" si="44"/>
        <v/>
      </c>
      <c r="S1462" s="82" t="str">
        <f t="shared" si="45"/>
        <v/>
      </c>
    </row>
    <row r="1463" spans="18:19" x14ac:dyDescent="0.25">
      <c r="R1463" s="8" t="str">
        <f t="shared" si="44"/>
        <v/>
      </c>
      <c r="S1463" s="82" t="str">
        <f t="shared" si="45"/>
        <v/>
      </c>
    </row>
    <row r="1464" spans="18:19" x14ac:dyDescent="0.25">
      <c r="R1464" s="8" t="str">
        <f t="shared" si="44"/>
        <v/>
      </c>
      <c r="S1464" s="82" t="str">
        <f t="shared" si="45"/>
        <v/>
      </c>
    </row>
    <row r="1465" spans="18:19" x14ac:dyDescent="0.25">
      <c r="R1465" s="8" t="str">
        <f t="shared" si="44"/>
        <v/>
      </c>
      <c r="S1465" s="82" t="str">
        <f t="shared" si="45"/>
        <v/>
      </c>
    </row>
    <row r="1466" spans="18:19" x14ac:dyDescent="0.25">
      <c r="R1466" s="8" t="str">
        <f t="shared" si="44"/>
        <v/>
      </c>
      <c r="S1466" s="82" t="str">
        <f t="shared" si="45"/>
        <v/>
      </c>
    </row>
    <row r="1467" spans="18:19" x14ac:dyDescent="0.25">
      <c r="R1467" s="8" t="str">
        <f t="shared" si="44"/>
        <v/>
      </c>
      <c r="S1467" s="82" t="str">
        <f t="shared" si="45"/>
        <v/>
      </c>
    </row>
    <row r="1468" spans="18:19" x14ac:dyDescent="0.25">
      <c r="R1468" s="8" t="str">
        <f t="shared" si="44"/>
        <v/>
      </c>
      <c r="S1468" s="82" t="str">
        <f t="shared" si="45"/>
        <v/>
      </c>
    </row>
    <row r="1469" spans="18:19" x14ac:dyDescent="0.25">
      <c r="R1469" s="8" t="str">
        <f t="shared" si="44"/>
        <v/>
      </c>
      <c r="S1469" s="82" t="str">
        <f t="shared" si="45"/>
        <v/>
      </c>
    </row>
    <row r="1470" spans="18:19" x14ac:dyDescent="0.25">
      <c r="R1470" s="8" t="str">
        <f t="shared" si="44"/>
        <v/>
      </c>
      <c r="S1470" s="82" t="str">
        <f t="shared" si="45"/>
        <v/>
      </c>
    </row>
    <row r="1471" spans="18:19" x14ac:dyDescent="0.25">
      <c r="R1471" s="8" t="str">
        <f t="shared" si="44"/>
        <v/>
      </c>
      <c r="S1471" s="82" t="str">
        <f t="shared" si="45"/>
        <v/>
      </c>
    </row>
    <row r="1472" spans="18:19" x14ac:dyDescent="0.25">
      <c r="R1472" s="8" t="str">
        <f t="shared" si="44"/>
        <v/>
      </c>
      <c r="S1472" s="82" t="str">
        <f t="shared" si="45"/>
        <v/>
      </c>
    </row>
    <row r="1473" spans="18:19" x14ac:dyDescent="0.25">
      <c r="R1473" s="8" t="str">
        <f t="shared" si="44"/>
        <v/>
      </c>
      <c r="S1473" s="82" t="str">
        <f t="shared" si="45"/>
        <v/>
      </c>
    </row>
    <row r="1474" spans="18:19" x14ac:dyDescent="0.25">
      <c r="R1474" s="8" t="str">
        <f t="shared" si="44"/>
        <v/>
      </c>
      <c r="S1474" s="82" t="str">
        <f t="shared" si="45"/>
        <v/>
      </c>
    </row>
    <row r="1475" spans="18:19" x14ac:dyDescent="0.25">
      <c r="R1475" s="8" t="str">
        <f t="shared" si="44"/>
        <v/>
      </c>
      <c r="S1475" s="82" t="str">
        <f t="shared" si="45"/>
        <v/>
      </c>
    </row>
    <row r="1476" spans="18:19" x14ac:dyDescent="0.25">
      <c r="R1476" s="8" t="str">
        <f t="shared" si="44"/>
        <v/>
      </c>
      <c r="S1476" s="82" t="str">
        <f t="shared" si="45"/>
        <v/>
      </c>
    </row>
    <row r="1477" spans="18:19" x14ac:dyDescent="0.25">
      <c r="R1477" s="8" t="str">
        <f t="shared" si="44"/>
        <v/>
      </c>
      <c r="S1477" s="82" t="str">
        <f t="shared" si="45"/>
        <v/>
      </c>
    </row>
    <row r="1478" spans="18:19" x14ac:dyDescent="0.25">
      <c r="R1478" s="8" t="str">
        <f t="shared" si="44"/>
        <v/>
      </c>
      <c r="S1478" s="82" t="str">
        <f t="shared" si="45"/>
        <v/>
      </c>
    </row>
    <row r="1479" spans="18:19" x14ac:dyDescent="0.25">
      <c r="R1479" s="8" t="str">
        <f t="shared" si="44"/>
        <v/>
      </c>
      <c r="S1479" s="82" t="str">
        <f t="shared" si="45"/>
        <v/>
      </c>
    </row>
    <row r="1480" spans="18:19" x14ac:dyDescent="0.25">
      <c r="R1480" s="8" t="str">
        <f t="shared" ref="R1480:R1543" si="46">IF(A1480="",(""),(MONTH(A1480)))</f>
        <v/>
      </c>
      <c r="S1480" s="82" t="str">
        <f t="shared" ref="S1480:S1543" si="47">IF(B1480="",(""),IF(B1480="3 - Nota de Crédito A",-Q1480,IF(B1480="8 - Nota de Crédito B",-Q1480,(Q1480))))</f>
        <v/>
      </c>
    </row>
    <row r="1481" spans="18:19" x14ac:dyDescent="0.25">
      <c r="R1481" s="8" t="str">
        <f t="shared" si="46"/>
        <v/>
      </c>
      <c r="S1481" s="82" t="str">
        <f t="shared" si="47"/>
        <v/>
      </c>
    </row>
    <row r="1482" spans="18:19" x14ac:dyDescent="0.25">
      <c r="R1482" s="8" t="str">
        <f t="shared" si="46"/>
        <v/>
      </c>
      <c r="S1482" s="82" t="str">
        <f t="shared" si="47"/>
        <v/>
      </c>
    </row>
    <row r="1483" spans="18:19" x14ac:dyDescent="0.25">
      <c r="R1483" s="8" t="str">
        <f t="shared" si="46"/>
        <v/>
      </c>
      <c r="S1483" s="82" t="str">
        <f t="shared" si="47"/>
        <v/>
      </c>
    </row>
    <row r="1484" spans="18:19" x14ac:dyDescent="0.25">
      <c r="R1484" s="8" t="str">
        <f t="shared" si="46"/>
        <v/>
      </c>
      <c r="S1484" s="82" t="str">
        <f t="shared" si="47"/>
        <v/>
      </c>
    </row>
    <row r="1485" spans="18:19" x14ac:dyDescent="0.25">
      <c r="R1485" s="8" t="str">
        <f t="shared" si="46"/>
        <v/>
      </c>
      <c r="S1485" s="82" t="str">
        <f t="shared" si="47"/>
        <v/>
      </c>
    </row>
    <row r="1486" spans="18:19" x14ac:dyDescent="0.25">
      <c r="R1486" s="8" t="str">
        <f t="shared" si="46"/>
        <v/>
      </c>
      <c r="S1486" s="82" t="str">
        <f t="shared" si="47"/>
        <v/>
      </c>
    </row>
    <row r="1487" spans="18:19" x14ac:dyDescent="0.25">
      <c r="R1487" s="8" t="str">
        <f t="shared" si="46"/>
        <v/>
      </c>
      <c r="S1487" s="82" t="str">
        <f t="shared" si="47"/>
        <v/>
      </c>
    </row>
    <row r="1488" spans="18:19" x14ac:dyDescent="0.25">
      <c r="R1488" s="8" t="str">
        <f t="shared" si="46"/>
        <v/>
      </c>
      <c r="S1488" s="82" t="str">
        <f t="shared" si="47"/>
        <v/>
      </c>
    </row>
    <row r="1489" spans="18:19" x14ac:dyDescent="0.25">
      <c r="R1489" s="8" t="str">
        <f t="shared" si="46"/>
        <v/>
      </c>
      <c r="S1489" s="82" t="str">
        <f t="shared" si="47"/>
        <v/>
      </c>
    </row>
    <row r="1490" spans="18:19" x14ac:dyDescent="0.25">
      <c r="R1490" s="8" t="str">
        <f t="shared" si="46"/>
        <v/>
      </c>
      <c r="S1490" s="82" t="str">
        <f t="shared" si="47"/>
        <v/>
      </c>
    </row>
    <row r="1491" spans="18:19" x14ac:dyDescent="0.25">
      <c r="R1491" s="8" t="str">
        <f t="shared" si="46"/>
        <v/>
      </c>
      <c r="S1491" s="82" t="str">
        <f t="shared" si="47"/>
        <v/>
      </c>
    </row>
    <row r="1492" spans="18:19" x14ac:dyDescent="0.25">
      <c r="R1492" s="8" t="str">
        <f t="shared" si="46"/>
        <v/>
      </c>
      <c r="S1492" s="82" t="str">
        <f t="shared" si="47"/>
        <v/>
      </c>
    </row>
    <row r="1493" spans="18:19" x14ac:dyDescent="0.25">
      <c r="R1493" s="8" t="str">
        <f t="shared" si="46"/>
        <v/>
      </c>
      <c r="S1493" s="82" t="str">
        <f t="shared" si="47"/>
        <v/>
      </c>
    </row>
    <row r="1494" spans="18:19" x14ac:dyDescent="0.25">
      <c r="R1494" s="8" t="str">
        <f t="shared" si="46"/>
        <v/>
      </c>
      <c r="S1494" s="82" t="str">
        <f t="shared" si="47"/>
        <v/>
      </c>
    </row>
    <row r="1495" spans="18:19" x14ac:dyDescent="0.25">
      <c r="R1495" s="8" t="str">
        <f t="shared" si="46"/>
        <v/>
      </c>
      <c r="S1495" s="82" t="str">
        <f t="shared" si="47"/>
        <v/>
      </c>
    </row>
    <row r="1496" spans="18:19" x14ac:dyDescent="0.25">
      <c r="R1496" s="8" t="str">
        <f t="shared" si="46"/>
        <v/>
      </c>
      <c r="S1496" s="82" t="str">
        <f t="shared" si="47"/>
        <v/>
      </c>
    </row>
    <row r="1497" spans="18:19" x14ac:dyDescent="0.25">
      <c r="R1497" s="8" t="str">
        <f t="shared" si="46"/>
        <v/>
      </c>
      <c r="S1497" s="82" t="str">
        <f t="shared" si="47"/>
        <v/>
      </c>
    </row>
    <row r="1498" spans="18:19" x14ac:dyDescent="0.25">
      <c r="R1498" s="8" t="str">
        <f t="shared" si="46"/>
        <v/>
      </c>
      <c r="S1498" s="82" t="str">
        <f t="shared" si="47"/>
        <v/>
      </c>
    </row>
    <row r="1499" spans="18:19" x14ac:dyDescent="0.25">
      <c r="R1499" s="8" t="str">
        <f t="shared" si="46"/>
        <v/>
      </c>
      <c r="S1499" s="82" t="str">
        <f t="shared" si="47"/>
        <v/>
      </c>
    </row>
    <row r="1500" spans="18:19" x14ac:dyDescent="0.25">
      <c r="R1500" s="8" t="str">
        <f t="shared" si="46"/>
        <v/>
      </c>
      <c r="S1500" s="82" t="str">
        <f t="shared" si="47"/>
        <v/>
      </c>
    </row>
    <row r="1501" spans="18:19" x14ac:dyDescent="0.25">
      <c r="R1501" s="8" t="str">
        <f t="shared" si="46"/>
        <v/>
      </c>
      <c r="S1501" s="82" t="str">
        <f t="shared" si="47"/>
        <v/>
      </c>
    </row>
    <row r="1502" spans="18:19" x14ac:dyDescent="0.25">
      <c r="R1502" s="8" t="str">
        <f t="shared" si="46"/>
        <v/>
      </c>
      <c r="S1502" s="82" t="str">
        <f t="shared" si="47"/>
        <v/>
      </c>
    </row>
    <row r="1503" spans="18:19" x14ac:dyDescent="0.25">
      <c r="R1503" s="8" t="str">
        <f t="shared" si="46"/>
        <v/>
      </c>
      <c r="S1503" s="82" t="str">
        <f t="shared" si="47"/>
        <v/>
      </c>
    </row>
    <row r="1504" spans="18:19" x14ac:dyDescent="0.25">
      <c r="R1504" s="8" t="str">
        <f t="shared" si="46"/>
        <v/>
      </c>
      <c r="S1504" s="82" t="str">
        <f t="shared" si="47"/>
        <v/>
      </c>
    </row>
    <row r="1505" spans="18:19" x14ac:dyDescent="0.25">
      <c r="R1505" s="8" t="str">
        <f t="shared" si="46"/>
        <v/>
      </c>
      <c r="S1505" s="82" t="str">
        <f t="shared" si="47"/>
        <v/>
      </c>
    </row>
    <row r="1506" spans="18:19" x14ac:dyDescent="0.25">
      <c r="R1506" s="8" t="str">
        <f t="shared" si="46"/>
        <v/>
      </c>
      <c r="S1506" s="82" t="str">
        <f t="shared" si="47"/>
        <v/>
      </c>
    </row>
    <row r="1507" spans="18:19" x14ac:dyDescent="0.25">
      <c r="R1507" s="8" t="str">
        <f t="shared" si="46"/>
        <v/>
      </c>
      <c r="S1507" s="82" t="str">
        <f t="shared" si="47"/>
        <v/>
      </c>
    </row>
    <row r="1508" spans="18:19" x14ac:dyDescent="0.25">
      <c r="R1508" s="8" t="str">
        <f t="shared" si="46"/>
        <v/>
      </c>
      <c r="S1508" s="82" t="str">
        <f t="shared" si="47"/>
        <v/>
      </c>
    </row>
    <row r="1509" spans="18:19" x14ac:dyDescent="0.25">
      <c r="R1509" s="8" t="str">
        <f t="shared" si="46"/>
        <v/>
      </c>
      <c r="S1509" s="82" t="str">
        <f t="shared" si="47"/>
        <v/>
      </c>
    </row>
    <row r="1510" spans="18:19" x14ac:dyDescent="0.25">
      <c r="R1510" s="8" t="str">
        <f t="shared" si="46"/>
        <v/>
      </c>
      <c r="S1510" s="82" t="str">
        <f t="shared" si="47"/>
        <v/>
      </c>
    </row>
    <row r="1511" spans="18:19" x14ac:dyDescent="0.25">
      <c r="R1511" s="8" t="str">
        <f t="shared" si="46"/>
        <v/>
      </c>
      <c r="S1511" s="82" t="str">
        <f t="shared" si="47"/>
        <v/>
      </c>
    </row>
    <row r="1512" spans="18:19" x14ac:dyDescent="0.25">
      <c r="R1512" s="8" t="str">
        <f t="shared" si="46"/>
        <v/>
      </c>
      <c r="S1512" s="82" t="str">
        <f t="shared" si="47"/>
        <v/>
      </c>
    </row>
    <row r="1513" spans="18:19" x14ac:dyDescent="0.25">
      <c r="R1513" s="8" t="str">
        <f t="shared" si="46"/>
        <v/>
      </c>
      <c r="S1513" s="82" t="str">
        <f t="shared" si="47"/>
        <v/>
      </c>
    </row>
    <row r="1514" spans="18:19" x14ac:dyDescent="0.25">
      <c r="R1514" s="8" t="str">
        <f t="shared" si="46"/>
        <v/>
      </c>
      <c r="S1514" s="82" t="str">
        <f t="shared" si="47"/>
        <v/>
      </c>
    </row>
    <row r="1515" spans="18:19" x14ac:dyDescent="0.25">
      <c r="R1515" s="8" t="str">
        <f t="shared" si="46"/>
        <v/>
      </c>
      <c r="S1515" s="82" t="str">
        <f t="shared" si="47"/>
        <v/>
      </c>
    </row>
    <row r="1516" spans="18:19" x14ac:dyDescent="0.25">
      <c r="R1516" s="8" t="str">
        <f t="shared" si="46"/>
        <v/>
      </c>
      <c r="S1516" s="82" t="str">
        <f t="shared" si="47"/>
        <v/>
      </c>
    </row>
    <row r="1517" spans="18:19" x14ac:dyDescent="0.25">
      <c r="R1517" s="8" t="str">
        <f t="shared" si="46"/>
        <v/>
      </c>
      <c r="S1517" s="82" t="str">
        <f t="shared" si="47"/>
        <v/>
      </c>
    </row>
    <row r="1518" spans="18:19" x14ac:dyDescent="0.25">
      <c r="R1518" s="8" t="str">
        <f t="shared" si="46"/>
        <v/>
      </c>
      <c r="S1518" s="82" t="str">
        <f t="shared" si="47"/>
        <v/>
      </c>
    </row>
    <row r="1519" spans="18:19" x14ac:dyDescent="0.25">
      <c r="R1519" s="8" t="str">
        <f t="shared" si="46"/>
        <v/>
      </c>
      <c r="S1519" s="82" t="str">
        <f t="shared" si="47"/>
        <v/>
      </c>
    </row>
    <row r="1520" spans="18:19" x14ac:dyDescent="0.25">
      <c r="R1520" s="8" t="str">
        <f t="shared" si="46"/>
        <v/>
      </c>
      <c r="S1520" s="82" t="str">
        <f t="shared" si="47"/>
        <v/>
      </c>
    </row>
    <row r="1521" spans="18:19" x14ac:dyDescent="0.25">
      <c r="R1521" s="8" t="str">
        <f t="shared" si="46"/>
        <v/>
      </c>
      <c r="S1521" s="82" t="str">
        <f t="shared" si="47"/>
        <v/>
      </c>
    </row>
    <row r="1522" spans="18:19" x14ac:dyDescent="0.25">
      <c r="R1522" s="8" t="str">
        <f t="shared" si="46"/>
        <v/>
      </c>
      <c r="S1522" s="82" t="str">
        <f t="shared" si="47"/>
        <v/>
      </c>
    </row>
    <row r="1523" spans="18:19" x14ac:dyDescent="0.25">
      <c r="R1523" s="8" t="str">
        <f t="shared" si="46"/>
        <v/>
      </c>
      <c r="S1523" s="82" t="str">
        <f t="shared" si="47"/>
        <v/>
      </c>
    </row>
    <row r="1524" spans="18:19" x14ac:dyDescent="0.25">
      <c r="R1524" s="8" t="str">
        <f t="shared" si="46"/>
        <v/>
      </c>
      <c r="S1524" s="82" t="str">
        <f t="shared" si="47"/>
        <v/>
      </c>
    </row>
    <row r="1525" spans="18:19" x14ac:dyDescent="0.25">
      <c r="R1525" s="8" t="str">
        <f t="shared" si="46"/>
        <v/>
      </c>
      <c r="S1525" s="82" t="str">
        <f t="shared" si="47"/>
        <v/>
      </c>
    </row>
    <row r="1526" spans="18:19" x14ac:dyDescent="0.25">
      <c r="R1526" s="8" t="str">
        <f t="shared" si="46"/>
        <v/>
      </c>
      <c r="S1526" s="82" t="str">
        <f t="shared" si="47"/>
        <v/>
      </c>
    </row>
    <row r="1527" spans="18:19" x14ac:dyDescent="0.25">
      <c r="R1527" s="8" t="str">
        <f t="shared" si="46"/>
        <v/>
      </c>
      <c r="S1527" s="82" t="str">
        <f t="shared" si="47"/>
        <v/>
      </c>
    </row>
    <row r="1528" spans="18:19" x14ac:dyDescent="0.25">
      <c r="R1528" s="8" t="str">
        <f t="shared" si="46"/>
        <v/>
      </c>
      <c r="S1528" s="82" t="str">
        <f t="shared" si="47"/>
        <v/>
      </c>
    </row>
    <row r="1529" spans="18:19" x14ac:dyDescent="0.25">
      <c r="R1529" s="8" t="str">
        <f t="shared" si="46"/>
        <v/>
      </c>
      <c r="S1529" s="82" t="str">
        <f t="shared" si="47"/>
        <v/>
      </c>
    </row>
    <row r="1530" spans="18:19" x14ac:dyDescent="0.25">
      <c r="R1530" s="8" t="str">
        <f t="shared" si="46"/>
        <v/>
      </c>
      <c r="S1530" s="82" t="str">
        <f t="shared" si="47"/>
        <v/>
      </c>
    </row>
    <row r="1531" spans="18:19" x14ac:dyDescent="0.25">
      <c r="R1531" s="8" t="str">
        <f t="shared" si="46"/>
        <v/>
      </c>
      <c r="S1531" s="82" t="str">
        <f t="shared" si="47"/>
        <v/>
      </c>
    </row>
    <row r="1532" spans="18:19" x14ac:dyDescent="0.25">
      <c r="R1532" s="8" t="str">
        <f t="shared" si="46"/>
        <v/>
      </c>
      <c r="S1532" s="82" t="str">
        <f t="shared" si="47"/>
        <v/>
      </c>
    </row>
    <row r="1533" spans="18:19" x14ac:dyDescent="0.25">
      <c r="R1533" s="8" t="str">
        <f t="shared" si="46"/>
        <v/>
      </c>
      <c r="S1533" s="82" t="str">
        <f t="shared" si="47"/>
        <v/>
      </c>
    </row>
    <row r="1534" spans="18:19" x14ac:dyDescent="0.25">
      <c r="R1534" s="8" t="str">
        <f t="shared" si="46"/>
        <v/>
      </c>
      <c r="S1534" s="82" t="str">
        <f t="shared" si="47"/>
        <v/>
      </c>
    </row>
    <row r="1535" spans="18:19" x14ac:dyDescent="0.25">
      <c r="R1535" s="8" t="str">
        <f t="shared" si="46"/>
        <v/>
      </c>
      <c r="S1535" s="82" t="str">
        <f t="shared" si="47"/>
        <v/>
      </c>
    </row>
    <row r="1536" spans="18:19" x14ac:dyDescent="0.25">
      <c r="R1536" s="8" t="str">
        <f t="shared" si="46"/>
        <v/>
      </c>
      <c r="S1536" s="82" t="str">
        <f t="shared" si="47"/>
        <v/>
      </c>
    </row>
    <row r="1537" spans="18:19" x14ac:dyDescent="0.25">
      <c r="R1537" s="8" t="str">
        <f t="shared" si="46"/>
        <v/>
      </c>
      <c r="S1537" s="82" t="str">
        <f t="shared" si="47"/>
        <v/>
      </c>
    </row>
    <row r="1538" spans="18:19" x14ac:dyDescent="0.25">
      <c r="R1538" s="8" t="str">
        <f t="shared" si="46"/>
        <v/>
      </c>
      <c r="S1538" s="82" t="str">
        <f t="shared" si="47"/>
        <v/>
      </c>
    </row>
    <row r="1539" spans="18:19" x14ac:dyDescent="0.25">
      <c r="R1539" s="8" t="str">
        <f t="shared" si="46"/>
        <v/>
      </c>
      <c r="S1539" s="82" t="str">
        <f t="shared" si="47"/>
        <v/>
      </c>
    </row>
    <row r="1540" spans="18:19" x14ac:dyDescent="0.25">
      <c r="R1540" s="8" t="str">
        <f t="shared" si="46"/>
        <v/>
      </c>
      <c r="S1540" s="82" t="str">
        <f t="shared" si="47"/>
        <v/>
      </c>
    </row>
    <row r="1541" spans="18:19" x14ac:dyDescent="0.25">
      <c r="R1541" s="8" t="str">
        <f t="shared" si="46"/>
        <v/>
      </c>
      <c r="S1541" s="82" t="str">
        <f t="shared" si="47"/>
        <v/>
      </c>
    </row>
    <row r="1542" spans="18:19" x14ac:dyDescent="0.25">
      <c r="R1542" s="8" t="str">
        <f t="shared" si="46"/>
        <v/>
      </c>
      <c r="S1542" s="82" t="str">
        <f t="shared" si="47"/>
        <v/>
      </c>
    </row>
    <row r="1543" spans="18:19" x14ac:dyDescent="0.25">
      <c r="R1543" s="8" t="str">
        <f t="shared" si="46"/>
        <v/>
      </c>
      <c r="S1543" s="82" t="str">
        <f t="shared" si="47"/>
        <v/>
      </c>
    </row>
    <row r="1544" spans="18:19" x14ac:dyDescent="0.25">
      <c r="R1544" s="8" t="str">
        <f t="shared" ref="R1544:R1607" si="48">IF(A1544="",(""),(MONTH(A1544)))</f>
        <v/>
      </c>
      <c r="S1544" s="82" t="str">
        <f t="shared" ref="S1544:S1607" si="49">IF(B1544="",(""),IF(B1544="3 - Nota de Crédito A",-Q1544,IF(B1544="8 - Nota de Crédito B",-Q1544,(Q1544))))</f>
        <v/>
      </c>
    </row>
    <row r="1545" spans="18:19" x14ac:dyDescent="0.25">
      <c r="R1545" s="8" t="str">
        <f t="shared" si="48"/>
        <v/>
      </c>
      <c r="S1545" s="82" t="str">
        <f t="shared" si="49"/>
        <v/>
      </c>
    </row>
    <row r="1546" spans="18:19" x14ac:dyDescent="0.25">
      <c r="R1546" s="8" t="str">
        <f t="shared" si="48"/>
        <v/>
      </c>
      <c r="S1546" s="82" t="str">
        <f t="shared" si="49"/>
        <v/>
      </c>
    </row>
    <row r="1547" spans="18:19" x14ac:dyDescent="0.25">
      <c r="R1547" s="8" t="str">
        <f t="shared" si="48"/>
        <v/>
      </c>
      <c r="S1547" s="82" t="str">
        <f t="shared" si="49"/>
        <v/>
      </c>
    </row>
    <row r="1548" spans="18:19" x14ac:dyDescent="0.25">
      <c r="R1548" s="8" t="str">
        <f t="shared" si="48"/>
        <v/>
      </c>
      <c r="S1548" s="82" t="str">
        <f t="shared" si="49"/>
        <v/>
      </c>
    </row>
    <row r="1549" spans="18:19" x14ac:dyDescent="0.25">
      <c r="R1549" s="8" t="str">
        <f t="shared" si="48"/>
        <v/>
      </c>
      <c r="S1549" s="82" t="str">
        <f t="shared" si="49"/>
        <v/>
      </c>
    </row>
    <row r="1550" spans="18:19" x14ac:dyDescent="0.25">
      <c r="R1550" s="8" t="str">
        <f t="shared" si="48"/>
        <v/>
      </c>
      <c r="S1550" s="82" t="str">
        <f t="shared" si="49"/>
        <v/>
      </c>
    </row>
    <row r="1551" spans="18:19" x14ac:dyDescent="0.25">
      <c r="R1551" s="8" t="str">
        <f t="shared" si="48"/>
        <v/>
      </c>
      <c r="S1551" s="82" t="str">
        <f t="shared" si="49"/>
        <v/>
      </c>
    </row>
    <row r="1552" spans="18:19" x14ac:dyDescent="0.25">
      <c r="R1552" s="8" t="str">
        <f t="shared" si="48"/>
        <v/>
      </c>
      <c r="S1552" s="82" t="str">
        <f t="shared" si="49"/>
        <v/>
      </c>
    </row>
    <row r="1553" spans="18:19" x14ac:dyDescent="0.25">
      <c r="R1553" s="8" t="str">
        <f t="shared" si="48"/>
        <v/>
      </c>
      <c r="S1553" s="82" t="str">
        <f t="shared" si="49"/>
        <v/>
      </c>
    </row>
    <row r="1554" spans="18:19" x14ac:dyDescent="0.25">
      <c r="R1554" s="8" t="str">
        <f t="shared" si="48"/>
        <v/>
      </c>
      <c r="S1554" s="82" t="str">
        <f t="shared" si="49"/>
        <v/>
      </c>
    </row>
    <row r="1555" spans="18:19" x14ac:dyDescent="0.25">
      <c r="R1555" s="8" t="str">
        <f t="shared" si="48"/>
        <v/>
      </c>
      <c r="S1555" s="82" t="str">
        <f t="shared" si="49"/>
        <v/>
      </c>
    </row>
    <row r="1556" spans="18:19" x14ac:dyDescent="0.25">
      <c r="R1556" s="8" t="str">
        <f t="shared" si="48"/>
        <v/>
      </c>
      <c r="S1556" s="82" t="str">
        <f t="shared" si="49"/>
        <v/>
      </c>
    </row>
    <row r="1557" spans="18:19" x14ac:dyDescent="0.25">
      <c r="R1557" s="8" t="str">
        <f t="shared" si="48"/>
        <v/>
      </c>
      <c r="S1557" s="82" t="str">
        <f t="shared" si="49"/>
        <v/>
      </c>
    </row>
    <row r="1558" spans="18:19" x14ac:dyDescent="0.25">
      <c r="R1558" s="8" t="str">
        <f t="shared" si="48"/>
        <v/>
      </c>
      <c r="S1558" s="82" t="str">
        <f t="shared" si="49"/>
        <v/>
      </c>
    </row>
    <row r="1559" spans="18:19" x14ac:dyDescent="0.25">
      <c r="R1559" s="8" t="str">
        <f t="shared" si="48"/>
        <v/>
      </c>
      <c r="S1559" s="82" t="str">
        <f t="shared" si="49"/>
        <v/>
      </c>
    </row>
    <row r="1560" spans="18:19" x14ac:dyDescent="0.25">
      <c r="R1560" s="8" t="str">
        <f t="shared" si="48"/>
        <v/>
      </c>
      <c r="S1560" s="82" t="str">
        <f t="shared" si="49"/>
        <v/>
      </c>
    </row>
    <row r="1561" spans="18:19" x14ac:dyDescent="0.25">
      <c r="R1561" s="8" t="str">
        <f t="shared" si="48"/>
        <v/>
      </c>
      <c r="S1561" s="82" t="str">
        <f t="shared" si="49"/>
        <v/>
      </c>
    </row>
    <row r="1562" spans="18:19" x14ac:dyDescent="0.25">
      <c r="R1562" s="8" t="str">
        <f t="shared" si="48"/>
        <v/>
      </c>
      <c r="S1562" s="82" t="str">
        <f t="shared" si="49"/>
        <v/>
      </c>
    </row>
    <row r="1563" spans="18:19" x14ac:dyDescent="0.25">
      <c r="R1563" s="8" t="str">
        <f t="shared" si="48"/>
        <v/>
      </c>
      <c r="S1563" s="82" t="str">
        <f t="shared" si="49"/>
        <v/>
      </c>
    </row>
    <row r="1564" spans="18:19" x14ac:dyDescent="0.25">
      <c r="R1564" s="8" t="str">
        <f t="shared" si="48"/>
        <v/>
      </c>
      <c r="S1564" s="82" t="str">
        <f t="shared" si="49"/>
        <v/>
      </c>
    </row>
    <row r="1565" spans="18:19" x14ac:dyDescent="0.25">
      <c r="R1565" s="8" t="str">
        <f t="shared" si="48"/>
        <v/>
      </c>
      <c r="S1565" s="82" t="str">
        <f t="shared" si="49"/>
        <v/>
      </c>
    </row>
    <row r="1566" spans="18:19" x14ac:dyDescent="0.25">
      <c r="R1566" s="8" t="str">
        <f t="shared" si="48"/>
        <v/>
      </c>
      <c r="S1566" s="82" t="str">
        <f t="shared" si="49"/>
        <v/>
      </c>
    </row>
    <row r="1567" spans="18:19" x14ac:dyDescent="0.25">
      <c r="R1567" s="8" t="str">
        <f t="shared" si="48"/>
        <v/>
      </c>
      <c r="S1567" s="82" t="str">
        <f t="shared" si="49"/>
        <v/>
      </c>
    </row>
    <row r="1568" spans="18:19" x14ac:dyDescent="0.25">
      <c r="R1568" s="8" t="str">
        <f t="shared" si="48"/>
        <v/>
      </c>
      <c r="S1568" s="82" t="str">
        <f t="shared" si="49"/>
        <v/>
      </c>
    </row>
    <row r="1569" spans="18:19" x14ac:dyDescent="0.25">
      <c r="R1569" s="8" t="str">
        <f t="shared" si="48"/>
        <v/>
      </c>
      <c r="S1569" s="82" t="str">
        <f t="shared" si="49"/>
        <v/>
      </c>
    </row>
    <row r="1570" spans="18:19" x14ac:dyDescent="0.25">
      <c r="R1570" s="8" t="str">
        <f t="shared" si="48"/>
        <v/>
      </c>
      <c r="S1570" s="82" t="str">
        <f t="shared" si="49"/>
        <v/>
      </c>
    </row>
    <row r="1571" spans="18:19" x14ac:dyDescent="0.25">
      <c r="R1571" s="8" t="str">
        <f t="shared" si="48"/>
        <v/>
      </c>
      <c r="S1571" s="82" t="str">
        <f t="shared" si="49"/>
        <v/>
      </c>
    </row>
    <row r="1572" spans="18:19" x14ac:dyDescent="0.25">
      <c r="R1572" s="8" t="str">
        <f t="shared" si="48"/>
        <v/>
      </c>
      <c r="S1572" s="82" t="str">
        <f t="shared" si="49"/>
        <v/>
      </c>
    </row>
    <row r="1573" spans="18:19" x14ac:dyDescent="0.25">
      <c r="R1573" s="8" t="str">
        <f t="shared" si="48"/>
        <v/>
      </c>
      <c r="S1573" s="82" t="str">
        <f t="shared" si="49"/>
        <v/>
      </c>
    </row>
    <row r="1574" spans="18:19" x14ac:dyDescent="0.25">
      <c r="R1574" s="8" t="str">
        <f t="shared" si="48"/>
        <v/>
      </c>
      <c r="S1574" s="82" t="str">
        <f t="shared" si="49"/>
        <v/>
      </c>
    </row>
    <row r="1575" spans="18:19" x14ac:dyDescent="0.25">
      <c r="R1575" s="8" t="str">
        <f t="shared" si="48"/>
        <v/>
      </c>
      <c r="S1575" s="82" t="str">
        <f t="shared" si="49"/>
        <v/>
      </c>
    </row>
    <row r="1576" spans="18:19" x14ac:dyDescent="0.25">
      <c r="R1576" s="8" t="str">
        <f t="shared" si="48"/>
        <v/>
      </c>
      <c r="S1576" s="82" t="str">
        <f t="shared" si="49"/>
        <v/>
      </c>
    </row>
    <row r="1577" spans="18:19" x14ac:dyDescent="0.25">
      <c r="R1577" s="8" t="str">
        <f t="shared" si="48"/>
        <v/>
      </c>
      <c r="S1577" s="82" t="str">
        <f t="shared" si="49"/>
        <v/>
      </c>
    </row>
    <row r="1578" spans="18:19" x14ac:dyDescent="0.25">
      <c r="R1578" s="8" t="str">
        <f t="shared" si="48"/>
        <v/>
      </c>
      <c r="S1578" s="82" t="str">
        <f t="shared" si="49"/>
        <v/>
      </c>
    </row>
    <row r="1579" spans="18:19" x14ac:dyDescent="0.25">
      <c r="R1579" s="8" t="str">
        <f t="shared" si="48"/>
        <v/>
      </c>
      <c r="S1579" s="82" t="str">
        <f t="shared" si="49"/>
        <v/>
      </c>
    </row>
    <row r="1580" spans="18:19" x14ac:dyDescent="0.25">
      <c r="R1580" s="8" t="str">
        <f t="shared" si="48"/>
        <v/>
      </c>
      <c r="S1580" s="82" t="str">
        <f t="shared" si="49"/>
        <v/>
      </c>
    </row>
    <row r="1581" spans="18:19" x14ac:dyDescent="0.25">
      <c r="R1581" s="8" t="str">
        <f t="shared" si="48"/>
        <v/>
      </c>
      <c r="S1581" s="82" t="str">
        <f t="shared" si="49"/>
        <v/>
      </c>
    </row>
    <row r="1582" spans="18:19" x14ac:dyDescent="0.25">
      <c r="R1582" s="8" t="str">
        <f t="shared" si="48"/>
        <v/>
      </c>
      <c r="S1582" s="82" t="str">
        <f t="shared" si="49"/>
        <v/>
      </c>
    </row>
    <row r="1583" spans="18:19" x14ac:dyDescent="0.25">
      <c r="R1583" s="8" t="str">
        <f t="shared" si="48"/>
        <v/>
      </c>
      <c r="S1583" s="82" t="str">
        <f t="shared" si="49"/>
        <v/>
      </c>
    </row>
    <row r="1584" spans="18:19" x14ac:dyDescent="0.25">
      <c r="R1584" s="8" t="str">
        <f t="shared" si="48"/>
        <v/>
      </c>
      <c r="S1584" s="82" t="str">
        <f t="shared" si="49"/>
        <v/>
      </c>
    </row>
    <row r="1585" spans="18:19" x14ac:dyDescent="0.25">
      <c r="R1585" s="8" t="str">
        <f t="shared" si="48"/>
        <v/>
      </c>
      <c r="S1585" s="82" t="str">
        <f t="shared" si="49"/>
        <v/>
      </c>
    </row>
    <row r="1586" spans="18:19" x14ac:dyDescent="0.25">
      <c r="R1586" s="8" t="str">
        <f t="shared" si="48"/>
        <v/>
      </c>
      <c r="S1586" s="82" t="str">
        <f t="shared" si="49"/>
        <v/>
      </c>
    </row>
    <row r="1587" spans="18:19" x14ac:dyDescent="0.25">
      <c r="R1587" s="8" t="str">
        <f t="shared" si="48"/>
        <v/>
      </c>
      <c r="S1587" s="82" t="str">
        <f t="shared" si="49"/>
        <v/>
      </c>
    </row>
    <row r="1588" spans="18:19" x14ac:dyDescent="0.25">
      <c r="R1588" s="8" t="str">
        <f t="shared" si="48"/>
        <v/>
      </c>
      <c r="S1588" s="82" t="str">
        <f t="shared" si="49"/>
        <v/>
      </c>
    </row>
    <row r="1589" spans="18:19" x14ac:dyDescent="0.25">
      <c r="R1589" s="8" t="str">
        <f t="shared" si="48"/>
        <v/>
      </c>
      <c r="S1589" s="82" t="str">
        <f t="shared" si="49"/>
        <v/>
      </c>
    </row>
    <row r="1590" spans="18:19" x14ac:dyDescent="0.25">
      <c r="R1590" s="8" t="str">
        <f t="shared" si="48"/>
        <v/>
      </c>
      <c r="S1590" s="82" t="str">
        <f t="shared" si="49"/>
        <v/>
      </c>
    </row>
    <row r="1591" spans="18:19" x14ac:dyDescent="0.25">
      <c r="R1591" s="8" t="str">
        <f t="shared" si="48"/>
        <v/>
      </c>
      <c r="S1591" s="82" t="str">
        <f t="shared" si="49"/>
        <v/>
      </c>
    </row>
    <row r="1592" spans="18:19" x14ac:dyDescent="0.25">
      <c r="R1592" s="8" t="str">
        <f t="shared" si="48"/>
        <v/>
      </c>
      <c r="S1592" s="82" t="str">
        <f t="shared" si="49"/>
        <v/>
      </c>
    </row>
    <row r="1593" spans="18:19" x14ac:dyDescent="0.25">
      <c r="R1593" s="8" t="str">
        <f t="shared" si="48"/>
        <v/>
      </c>
      <c r="S1593" s="82" t="str">
        <f t="shared" si="49"/>
        <v/>
      </c>
    </row>
    <row r="1594" spans="18:19" x14ac:dyDescent="0.25">
      <c r="R1594" s="8" t="str">
        <f t="shared" si="48"/>
        <v/>
      </c>
      <c r="S1594" s="82" t="str">
        <f t="shared" si="49"/>
        <v/>
      </c>
    </row>
    <row r="1595" spans="18:19" x14ac:dyDescent="0.25">
      <c r="R1595" s="8" t="str">
        <f t="shared" si="48"/>
        <v/>
      </c>
      <c r="S1595" s="82" t="str">
        <f t="shared" si="49"/>
        <v/>
      </c>
    </row>
    <row r="1596" spans="18:19" x14ac:dyDescent="0.25">
      <c r="R1596" s="8" t="str">
        <f t="shared" si="48"/>
        <v/>
      </c>
      <c r="S1596" s="82" t="str">
        <f t="shared" si="49"/>
        <v/>
      </c>
    </row>
    <row r="1597" spans="18:19" x14ac:dyDescent="0.25">
      <c r="R1597" s="8" t="str">
        <f t="shared" si="48"/>
        <v/>
      </c>
      <c r="S1597" s="82" t="str">
        <f t="shared" si="49"/>
        <v/>
      </c>
    </row>
    <row r="1598" spans="18:19" x14ac:dyDescent="0.25">
      <c r="R1598" s="8" t="str">
        <f t="shared" si="48"/>
        <v/>
      </c>
      <c r="S1598" s="82" t="str">
        <f t="shared" si="49"/>
        <v/>
      </c>
    </row>
    <row r="1599" spans="18:19" x14ac:dyDescent="0.25">
      <c r="R1599" s="8" t="str">
        <f t="shared" si="48"/>
        <v/>
      </c>
      <c r="S1599" s="82" t="str">
        <f t="shared" si="49"/>
        <v/>
      </c>
    </row>
    <row r="1600" spans="18:19" x14ac:dyDescent="0.25">
      <c r="R1600" s="8" t="str">
        <f t="shared" si="48"/>
        <v/>
      </c>
      <c r="S1600" s="82" t="str">
        <f t="shared" si="49"/>
        <v/>
      </c>
    </row>
    <row r="1601" spans="18:19" x14ac:dyDescent="0.25">
      <c r="R1601" s="8" t="str">
        <f t="shared" si="48"/>
        <v/>
      </c>
      <c r="S1601" s="82" t="str">
        <f t="shared" si="49"/>
        <v/>
      </c>
    </row>
    <row r="1602" spans="18:19" x14ac:dyDescent="0.25">
      <c r="R1602" s="8" t="str">
        <f t="shared" si="48"/>
        <v/>
      </c>
      <c r="S1602" s="82" t="str">
        <f t="shared" si="49"/>
        <v/>
      </c>
    </row>
    <row r="1603" spans="18:19" x14ac:dyDescent="0.25">
      <c r="R1603" s="8" t="str">
        <f t="shared" si="48"/>
        <v/>
      </c>
      <c r="S1603" s="82" t="str">
        <f t="shared" si="49"/>
        <v/>
      </c>
    </row>
    <row r="1604" spans="18:19" x14ac:dyDescent="0.25">
      <c r="R1604" s="8" t="str">
        <f t="shared" si="48"/>
        <v/>
      </c>
      <c r="S1604" s="82" t="str">
        <f t="shared" si="49"/>
        <v/>
      </c>
    </row>
    <row r="1605" spans="18:19" x14ac:dyDescent="0.25">
      <c r="R1605" s="8" t="str">
        <f t="shared" si="48"/>
        <v/>
      </c>
      <c r="S1605" s="82" t="str">
        <f t="shared" si="49"/>
        <v/>
      </c>
    </row>
    <row r="1606" spans="18:19" x14ac:dyDescent="0.25">
      <c r="R1606" s="8" t="str">
        <f t="shared" si="48"/>
        <v/>
      </c>
      <c r="S1606" s="82" t="str">
        <f t="shared" si="49"/>
        <v/>
      </c>
    </row>
    <row r="1607" spans="18:19" x14ac:dyDescent="0.25">
      <c r="R1607" s="8" t="str">
        <f t="shared" si="48"/>
        <v/>
      </c>
      <c r="S1607" s="82" t="str">
        <f t="shared" si="49"/>
        <v/>
      </c>
    </row>
    <row r="1608" spans="18:19" x14ac:dyDescent="0.25">
      <c r="R1608" s="8" t="str">
        <f t="shared" ref="R1608:R1671" si="50">IF(A1608="",(""),(MONTH(A1608)))</f>
        <v/>
      </c>
      <c r="S1608" s="82" t="str">
        <f t="shared" ref="S1608:S1671" si="51">IF(B1608="",(""),IF(B1608="3 - Nota de Crédito A",-Q1608,IF(B1608="8 - Nota de Crédito B",-Q1608,(Q1608))))</f>
        <v/>
      </c>
    </row>
    <row r="1609" spans="18:19" x14ac:dyDescent="0.25">
      <c r="R1609" s="8" t="str">
        <f t="shared" si="50"/>
        <v/>
      </c>
      <c r="S1609" s="82" t="str">
        <f t="shared" si="51"/>
        <v/>
      </c>
    </row>
    <row r="1610" spans="18:19" x14ac:dyDescent="0.25">
      <c r="R1610" s="8" t="str">
        <f t="shared" si="50"/>
        <v/>
      </c>
      <c r="S1610" s="82" t="str">
        <f t="shared" si="51"/>
        <v/>
      </c>
    </row>
    <row r="1611" spans="18:19" x14ac:dyDescent="0.25">
      <c r="R1611" s="8" t="str">
        <f t="shared" si="50"/>
        <v/>
      </c>
      <c r="S1611" s="82" t="str">
        <f t="shared" si="51"/>
        <v/>
      </c>
    </row>
    <row r="1612" spans="18:19" x14ac:dyDescent="0.25">
      <c r="R1612" s="8" t="str">
        <f t="shared" si="50"/>
        <v/>
      </c>
      <c r="S1612" s="82" t="str">
        <f t="shared" si="51"/>
        <v/>
      </c>
    </row>
    <row r="1613" spans="18:19" x14ac:dyDescent="0.25">
      <c r="R1613" s="8" t="str">
        <f t="shared" si="50"/>
        <v/>
      </c>
      <c r="S1613" s="82" t="str">
        <f t="shared" si="51"/>
        <v/>
      </c>
    </row>
    <row r="1614" spans="18:19" x14ac:dyDescent="0.25">
      <c r="R1614" s="8" t="str">
        <f t="shared" si="50"/>
        <v/>
      </c>
      <c r="S1614" s="82" t="str">
        <f t="shared" si="51"/>
        <v/>
      </c>
    </row>
    <row r="1615" spans="18:19" x14ac:dyDescent="0.25">
      <c r="R1615" s="8" t="str">
        <f t="shared" si="50"/>
        <v/>
      </c>
      <c r="S1615" s="82" t="str">
        <f t="shared" si="51"/>
        <v/>
      </c>
    </row>
    <row r="1616" spans="18:19" x14ac:dyDescent="0.25">
      <c r="R1616" s="8" t="str">
        <f t="shared" si="50"/>
        <v/>
      </c>
      <c r="S1616" s="82" t="str">
        <f t="shared" si="51"/>
        <v/>
      </c>
    </row>
    <row r="1617" spans="18:19" x14ac:dyDescent="0.25">
      <c r="R1617" s="8" t="str">
        <f t="shared" si="50"/>
        <v/>
      </c>
      <c r="S1617" s="82" t="str">
        <f t="shared" si="51"/>
        <v/>
      </c>
    </row>
    <row r="1618" spans="18:19" x14ac:dyDescent="0.25">
      <c r="R1618" s="8" t="str">
        <f t="shared" si="50"/>
        <v/>
      </c>
      <c r="S1618" s="82" t="str">
        <f t="shared" si="51"/>
        <v/>
      </c>
    </row>
    <row r="1619" spans="18:19" x14ac:dyDescent="0.25">
      <c r="R1619" s="8" t="str">
        <f t="shared" si="50"/>
        <v/>
      </c>
      <c r="S1619" s="82" t="str">
        <f t="shared" si="51"/>
        <v/>
      </c>
    </row>
    <row r="1620" spans="18:19" x14ac:dyDescent="0.25">
      <c r="R1620" s="8" t="str">
        <f t="shared" si="50"/>
        <v/>
      </c>
      <c r="S1620" s="82" t="str">
        <f t="shared" si="51"/>
        <v/>
      </c>
    </row>
    <row r="1621" spans="18:19" x14ac:dyDescent="0.25">
      <c r="R1621" s="8" t="str">
        <f t="shared" si="50"/>
        <v/>
      </c>
      <c r="S1621" s="82" t="str">
        <f t="shared" si="51"/>
        <v/>
      </c>
    </row>
    <row r="1622" spans="18:19" x14ac:dyDescent="0.25">
      <c r="R1622" s="8" t="str">
        <f t="shared" si="50"/>
        <v/>
      </c>
      <c r="S1622" s="82" t="str">
        <f t="shared" si="51"/>
        <v/>
      </c>
    </row>
    <row r="1623" spans="18:19" x14ac:dyDescent="0.25">
      <c r="R1623" s="8" t="str">
        <f t="shared" si="50"/>
        <v/>
      </c>
      <c r="S1623" s="82" t="str">
        <f t="shared" si="51"/>
        <v/>
      </c>
    </row>
    <row r="1624" spans="18:19" x14ac:dyDescent="0.25">
      <c r="R1624" s="8" t="str">
        <f t="shared" si="50"/>
        <v/>
      </c>
      <c r="S1624" s="82" t="str">
        <f t="shared" si="51"/>
        <v/>
      </c>
    </row>
    <row r="1625" spans="18:19" x14ac:dyDescent="0.25">
      <c r="R1625" s="8" t="str">
        <f t="shared" si="50"/>
        <v/>
      </c>
      <c r="S1625" s="82" t="str">
        <f t="shared" si="51"/>
        <v/>
      </c>
    </row>
    <row r="1626" spans="18:19" x14ac:dyDescent="0.25">
      <c r="R1626" s="8" t="str">
        <f t="shared" si="50"/>
        <v/>
      </c>
      <c r="S1626" s="82" t="str">
        <f t="shared" si="51"/>
        <v/>
      </c>
    </row>
    <row r="1627" spans="18:19" x14ac:dyDescent="0.25">
      <c r="R1627" s="8" t="str">
        <f t="shared" si="50"/>
        <v/>
      </c>
      <c r="S1627" s="82" t="str">
        <f t="shared" si="51"/>
        <v/>
      </c>
    </row>
    <row r="1628" spans="18:19" x14ac:dyDescent="0.25">
      <c r="R1628" s="8" t="str">
        <f t="shared" si="50"/>
        <v/>
      </c>
      <c r="S1628" s="82" t="str">
        <f t="shared" si="51"/>
        <v/>
      </c>
    </row>
    <row r="1629" spans="18:19" x14ac:dyDescent="0.25">
      <c r="R1629" s="8" t="str">
        <f t="shared" si="50"/>
        <v/>
      </c>
      <c r="S1629" s="82" t="str">
        <f t="shared" si="51"/>
        <v/>
      </c>
    </row>
    <row r="1630" spans="18:19" x14ac:dyDescent="0.25">
      <c r="R1630" s="8" t="str">
        <f t="shared" si="50"/>
        <v/>
      </c>
      <c r="S1630" s="82" t="str">
        <f t="shared" si="51"/>
        <v/>
      </c>
    </row>
    <row r="1631" spans="18:19" x14ac:dyDescent="0.25">
      <c r="R1631" s="8" t="str">
        <f t="shared" si="50"/>
        <v/>
      </c>
      <c r="S1631" s="82" t="str">
        <f t="shared" si="51"/>
        <v/>
      </c>
    </row>
    <row r="1632" spans="18:19" x14ac:dyDescent="0.25">
      <c r="R1632" s="8" t="str">
        <f t="shared" si="50"/>
        <v/>
      </c>
      <c r="S1632" s="82" t="str">
        <f t="shared" si="51"/>
        <v/>
      </c>
    </row>
    <row r="1633" spans="18:19" x14ac:dyDescent="0.25">
      <c r="R1633" s="8" t="str">
        <f t="shared" si="50"/>
        <v/>
      </c>
      <c r="S1633" s="82" t="str">
        <f t="shared" si="51"/>
        <v/>
      </c>
    </row>
    <row r="1634" spans="18:19" x14ac:dyDescent="0.25">
      <c r="R1634" s="8" t="str">
        <f t="shared" si="50"/>
        <v/>
      </c>
      <c r="S1634" s="82" t="str">
        <f t="shared" si="51"/>
        <v/>
      </c>
    </row>
    <row r="1635" spans="18:19" x14ac:dyDescent="0.25">
      <c r="R1635" s="8" t="str">
        <f t="shared" si="50"/>
        <v/>
      </c>
      <c r="S1635" s="82" t="str">
        <f t="shared" si="51"/>
        <v/>
      </c>
    </row>
    <row r="1636" spans="18:19" x14ac:dyDescent="0.25">
      <c r="R1636" s="8" t="str">
        <f t="shared" si="50"/>
        <v/>
      </c>
      <c r="S1636" s="82" t="str">
        <f t="shared" si="51"/>
        <v/>
      </c>
    </row>
    <row r="1637" spans="18:19" x14ac:dyDescent="0.25">
      <c r="R1637" s="8" t="str">
        <f t="shared" si="50"/>
        <v/>
      </c>
      <c r="S1637" s="82" t="str">
        <f t="shared" si="51"/>
        <v/>
      </c>
    </row>
    <row r="1638" spans="18:19" x14ac:dyDescent="0.25">
      <c r="R1638" s="8" t="str">
        <f t="shared" si="50"/>
        <v/>
      </c>
      <c r="S1638" s="82" t="str">
        <f t="shared" si="51"/>
        <v/>
      </c>
    </row>
    <row r="1639" spans="18:19" x14ac:dyDescent="0.25">
      <c r="R1639" s="8" t="str">
        <f t="shared" si="50"/>
        <v/>
      </c>
      <c r="S1639" s="82" t="str">
        <f t="shared" si="51"/>
        <v/>
      </c>
    </row>
    <row r="1640" spans="18:19" x14ac:dyDescent="0.25">
      <c r="R1640" s="8" t="str">
        <f t="shared" si="50"/>
        <v/>
      </c>
      <c r="S1640" s="82" t="str">
        <f t="shared" si="51"/>
        <v/>
      </c>
    </row>
    <row r="1641" spans="18:19" x14ac:dyDescent="0.25">
      <c r="R1641" s="8" t="str">
        <f t="shared" si="50"/>
        <v/>
      </c>
      <c r="S1641" s="82" t="str">
        <f t="shared" si="51"/>
        <v/>
      </c>
    </row>
    <row r="1642" spans="18:19" x14ac:dyDescent="0.25">
      <c r="R1642" s="8" t="str">
        <f t="shared" si="50"/>
        <v/>
      </c>
      <c r="S1642" s="82" t="str">
        <f t="shared" si="51"/>
        <v/>
      </c>
    </row>
    <row r="1643" spans="18:19" x14ac:dyDescent="0.25">
      <c r="R1643" s="8" t="str">
        <f t="shared" si="50"/>
        <v/>
      </c>
      <c r="S1643" s="82" t="str">
        <f t="shared" si="51"/>
        <v/>
      </c>
    </row>
    <row r="1644" spans="18:19" x14ac:dyDescent="0.25">
      <c r="R1644" s="8" t="str">
        <f t="shared" si="50"/>
        <v/>
      </c>
      <c r="S1644" s="82" t="str">
        <f t="shared" si="51"/>
        <v/>
      </c>
    </row>
    <row r="1645" spans="18:19" x14ac:dyDescent="0.25">
      <c r="R1645" s="8" t="str">
        <f t="shared" si="50"/>
        <v/>
      </c>
      <c r="S1645" s="82" t="str">
        <f t="shared" si="51"/>
        <v/>
      </c>
    </row>
    <row r="1646" spans="18:19" x14ac:dyDescent="0.25">
      <c r="R1646" s="8" t="str">
        <f t="shared" si="50"/>
        <v/>
      </c>
      <c r="S1646" s="82" t="str">
        <f t="shared" si="51"/>
        <v/>
      </c>
    </row>
    <row r="1647" spans="18:19" x14ac:dyDescent="0.25">
      <c r="R1647" s="8" t="str">
        <f t="shared" si="50"/>
        <v/>
      </c>
      <c r="S1647" s="82" t="str">
        <f t="shared" si="51"/>
        <v/>
      </c>
    </row>
    <row r="1648" spans="18:19" x14ac:dyDescent="0.25">
      <c r="R1648" s="8" t="str">
        <f t="shared" si="50"/>
        <v/>
      </c>
      <c r="S1648" s="82" t="str">
        <f t="shared" si="51"/>
        <v/>
      </c>
    </row>
    <row r="1649" spans="18:19" x14ac:dyDescent="0.25">
      <c r="R1649" s="8" t="str">
        <f t="shared" si="50"/>
        <v/>
      </c>
      <c r="S1649" s="82" t="str">
        <f t="shared" si="51"/>
        <v/>
      </c>
    </row>
    <row r="1650" spans="18:19" x14ac:dyDescent="0.25">
      <c r="R1650" s="8" t="str">
        <f t="shared" si="50"/>
        <v/>
      </c>
      <c r="S1650" s="82" t="str">
        <f t="shared" si="51"/>
        <v/>
      </c>
    </row>
    <row r="1651" spans="18:19" x14ac:dyDescent="0.25">
      <c r="R1651" s="8" t="str">
        <f t="shared" si="50"/>
        <v/>
      </c>
      <c r="S1651" s="82" t="str">
        <f t="shared" si="51"/>
        <v/>
      </c>
    </row>
    <row r="1652" spans="18:19" x14ac:dyDescent="0.25">
      <c r="R1652" s="8" t="str">
        <f t="shared" si="50"/>
        <v/>
      </c>
      <c r="S1652" s="82" t="str">
        <f t="shared" si="51"/>
        <v/>
      </c>
    </row>
    <row r="1653" spans="18:19" x14ac:dyDescent="0.25">
      <c r="R1653" s="8" t="str">
        <f t="shared" si="50"/>
        <v/>
      </c>
      <c r="S1653" s="82" t="str">
        <f t="shared" si="51"/>
        <v/>
      </c>
    </row>
    <row r="1654" spans="18:19" x14ac:dyDescent="0.25">
      <c r="R1654" s="8" t="str">
        <f t="shared" si="50"/>
        <v/>
      </c>
      <c r="S1654" s="82" t="str">
        <f t="shared" si="51"/>
        <v/>
      </c>
    </row>
    <row r="1655" spans="18:19" x14ac:dyDescent="0.25">
      <c r="R1655" s="8" t="str">
        <f t="shared" si="50"/>
        <v/>
      </c>
      <c r="S1655" s="82" t="str">
        <f t="shared" si="51"/>
        <v/>
      </c>
    </row>
    <row r="1656" spans="18:19" x14ac:dyDescent="0.25">
      <c r="R1656" s="8" t="str">
        <f t="shared" si="50"/>
        <v/>
      </c>
      <c r="S1656" s="82" t="str">
        <f t="shared" si="51"/>
        <v/>
      </c>
    </row>
    <row r="1657" spans="18:19" x14ac:dyDescent="0.25">
      <c r="R1657" s="8" t="str">
        <f t="shared" si="50"/>
        <v/>
      </c>
      <c r="S1657" s="82" t="str">
        <f t="shared" si="51"/>
        <v/>
      </c>
    </row>
    <row r="1658" spans="18:19" x14ac:dyDescent="0.25">
      <c r="R1658" s="8" t="str">
        <f t="shared" si="50"/>
        <v/>
      </c>
      <c r="S1658" s="82" t="str">
        <f t="shared" si="51"/>
        <v/>
      </c>
    </row>
    <row r="1659" spans="18:19" x14ac:dyDescent="0.25">
      <c r="R1659" s="8" t="str">
        <f t="shared" si="50"/>
        <v/>
      </c>
      <c r="S1659" s="82" t="str">
        <f t="shared" si="51"/>
        <v/>
      </c>
    </row>
    <row r="1660" spans="18:19" x14ac:dyDescent="0.25">
      <c r="R1660" s="8" t="str">
        <f t="shared" si="50"/>
        <v/>
      </c>
      <c r="S1660" s="82" t="str">
        <f t="shared" si="51"/>
        <v/>
      </c>
    </row>
    <row r="1661" spans="18:19" x14ac:dyDescent="0.25">
      <c r="R1661" s="8" t="str">
        <f t="shared" si="50"/>
        <v/>
      </c>
      <c r="S1661" s="82" t="str">
        <f t="shared" si="51"/>
        <v/>
      </c>
    </row>
    <row r="1662" spans="18:19" x14ac:dyDescent="0.25">
      <c r="R1662" s="8" t="str">
        <f t="shared" si="50"/>
        <v/>
      </c>
      <c r="S1662" s="82" t="str">
        <f t="shared" si="51"/>
        <v/>
      </c>
    </row>
    <row r="1663" spans="18:19" x14ac:dyDescent="0.25">
      <c r="R1663" s="8" t="str">
        <f t="shared" si="50"/>
        <v/>
      </c>
      <c r="S1663" s="82" t="str">
        <f t="shared" si="51"/>
        <v/>
      </c>
    </row>
    <row r="1664" spans="18:19" x14ac:dyDescent="0.25">
      <c r="R1664" s="8" t="str">
        <f t="shared" si="50"/>
        <v/>
      </c>
      <c r="S1664" s="82" t="str">
        <f t="shared" si="51"/>
        <v/>
      </c>
    </row>
    <row r="1665" spans="18:19" x14ac:dyDescent="0.25">
      <c r="R1665" s="8" t="str">
        <f t="shared" si="50"/>
        <v/>
      </c>
      <c r="S1665" s="82" t="str">
        <f t="shared" si="51"/>
        <v/>
      </c>
    </row>
    <row r="1666" spans="18:19" x14ac:dyDescent="0.25">
      <c r="R1666" s="8" t="str">
        <f t="shared" si="50"/>
        <v/>
      </c>
      <c r="S1666" s="82" t="str">
        <f t="shared" si="51"/>
        <v/>
      </c>
    </row>
    <row r="1667" spans="18:19" x14ac:dyDescent="0.25">
      <c r="R1667" s="8" t="str">
        <f t="shared" si="50"/>
        <v/>
      </c>
      <c r="S1667" s="82" t="str">
        <f t="shared" si="51"/>
        <v/>
      </c>
    </row>
    <row r="1668" spans="18:19" x14ac:dyDescent="0.25">
      <c r="R1668" s="8" t="str">
        <f t="shared" si="50"/>
        <v/>
      </c>
      <c r="S1668" s="82" t="str">
        <f t="shared" si="51"/>
        <v/>
      </c>
    </row>
    <row r="1669" spans="18:19" x14ac:dyDescent="0.25">
      <c r="R1669" s="8" t="str">
        <f t="shared" si="50"/>
        <v/>
      </c>
      <c r="S1669" s="82" t="str">
        <f t="shared" si="51"/>
        <v/>
      </c>
    </row>
    <row r="1670" spans="18:19" x14ac:dyDescent="0.25">
      <c r="R1670" s="8" t="str">
        <f t="shared" si="50"/>
        <v/>
      </c>
      <c r="S1670" s="82" t="str">
        <f t="shared" si="51"/>
        <v/>
      </c>
    </row>
    <row r="1671" spans="18:19" x14ac:dyDescent="0.25">
      <c r="R1671" s="8" t="str">
        <f t="shared" si="50"/>
        <v/>
      </c>
      <c r="S1671" s="82" t="str">
        <f t="shared" si="51"/>
        <v/>
      </c>
    </row>
    <row r="1672" spans="18:19" x14ac:dyDescent="0.25">
      <c r="R1672" s="8" t="str">
        <f t="shared" ref="R1672:R1735" si="52">IF(A1672="",(""),(MONTH(A1672)))</f>
        <v/>
      </c>
      <c r="S1672" s="82" t="str">
        <f t="shared" ref="S1672:S1735" si="53">IF(B1672="",(""),IF(B1672="3 - Nota de Crédito A",-Q1672,IF(B1672="8 - Nota de Crédito B",-Q1672,(Q1672))))</f>
        <v/>
      </c>
    </row>
    <row r="1673" spans="18:19" x14ac:dyDescent="0.25">
      <c r="R1673" s="8" t="str">
        <f t="shared" si="52"/>
        <v/>
      </c>
      <c r="S1673" s="82" t="str">
        <f t="shared" si="53"/>
        <v/>
      </c>
    </row>
    <row r="1674" spans="18:19" x14ac:dyDescent="0.25">
      <c r="R1674" s="8" t="str">
        <f t="shared" si="52"/>
        <v/>
      </c>
      <c r="S1674" s="82" t="str">
        <f t="shared" si="53"/>
        <v/>
      </c>
    </row>
    <row r="1675" spans="18:19" x14ac:dyDescent="0.25">
      <c r="R1675" s="8" t="str">
        <f t="shared" si="52"/>
        <v/>
      </c>
      <c r="S1675" s="82" t="str">
        <f t="shared" si="53"/>
        <v/>
      </c>
    </row>
    <row r="1676" spans="18:19" x14ac:dyDescent="0.25">
      <c r="R1676" s="8" t="str">
        <f t="shared" si="52"/>
        <v/>
      </c>
      <c r="S1676" s="82" t="str">
        <f t="shared" si="53"/>
        <v/>
      </c>
    </row>
    <row r="1677" spans="18:19" x14ac:dyDescent="0.25">
      <c r="R1677" s="8" t="str">
        <f t="shared" si="52"/>
        <v/>
      </c>
      <c r="S1677" s="82" t="str">
        <f t="shared" si="53"/>
        <v/>
      </c>
    </row>
    <row r="1678" spans="18:19" x14ac:dyDescent="0.25">
      <c r="R1678" s="8" t="str">
        <f t="shared" si="52"/>
        <v/>
      </c>
      <c r="S1678" s="82" t="str">
        <f t="shared" si="53"/>
        <v/>
      </c>
    </row>
    <row r="1679" spans="18:19" x14ac:dyDescent="0.25">
      <c r="R1679" s="8" t="str">
        <f t="shared" si="52"/>
        <v/>
      </c>
      <c r="S1679" s="82" t="str">
        <f t="shared" si="53"/>
        <v/>
      </c>
    </row>
    <row r="1680" spans="18:19" x14ac:dyDescent="0.25">
      <c r="R1680" s="8" t="str">
        <f t="shared" si="52"/>
        <v/>
      </c>
      <c r="S1680" s="82" t="str">
        <f t="shared" si="53"/>
        <v/>
      </c>
    </row>
    <row r="1681" spans="18:19" x14ac:dyDescent="0.25">
      <c r="R1681" s="8" t="str">
        <f t="shared" si="52"/>
        <v/>
      </c>
      <c r="S1681" s="82" t="str">
        <f t="shared" si="53"/>
        <v/>
      </c>
    </row>
    <row r="1682" spans="18:19" x14ac:dyDescent="0.25">
      <c r="R1682" s="8" t="str">
        <f t="shared" si="52"/>
        <v/>
      </c>
      <c r="S1682" s="82" t="str">
        <f t="shared" si="53"/>
        <v/>
      </c>
    </row>
    <row r="1683" spans="18:19" x14ac:dyDescent="0.25">
      <c r="R1683" s="8" t="str">
        <f t="shared" si="52"/>
        <v/>
      </c>
      <c r="S1683" s="82" t="str">
        <f t="shared" si="53"/>
        <v/>
      </c>
    </row>
    <row r="1684" spans="18:19" x14ac:dyDescent="0.25">
      <c r="R1684" s="8" t="str">
        <f t="shared" si="52"/>
        <v/>
      </c>
      <c r="S1684" s="82" t="str">
        <f t="shared" si="53"/>
        <v/>
      </c>
    </row>
    <row r="1685" spans="18:19" x14ac:dyDescent="0.25">
      <c r="R1685" s="8" t="str">
        <f t="shared" si="52"/>
        <v/>
      </c>
      <c r="S1685" s="82" t="str">
        <f t="shared" si="53"/>
        <v/>
      </c>
    </row>
    <row r="1686" spans="18:19" x14ac:dyDescent="0.25">
      <c r="R1686" s="8" t="str">
        <f t="shared" si="52"/>
        <v/>
      </c>
      <c r="S1686" s="82" t="str">
        <f t="shared" si="53"/>
        <v/>
      </c>
    </row>
    <row r="1687" spans="18:19" x14ac:dyDescent="0.25">
      <c r="R1687" s="8" t="str">
        <f t="shared" si="52"/>
        <v/>
      </c>
      <c r="S1687" s="82" t="str">
        <f t="shared" si="53"/>
        <v/>
      </c>
    </row>
    <row r="1688" spans="18:19" x14ac:dyDescent="0.25">
      <c r="R1688" s="8" t="str">
        <f t="shared" si="52"/>
        <v/>
      </c>
      <c r="S1688" s="82" t="str">
        <f t="shared" si="53"/>
        <v/>
      </c>
    </row>
    <row r="1689" spans="18:19" x14ac:dyDescent="0.25">
      <c r="R1689" s="8" t="str">
        <f t="shared" si="52"/>
        <v/>
      </c>
      <c r="S1689" s="82" t="str">
        <f t="shared" si="53"/>
        <v/>
      </c>
    </row>
    <row r="1690" spans="18:19" x14ac:dyDescent="0.25">
      <c r="R1690" s="8" t="str">
        <f t="shared" si="52"/>
        <v/>
      </c>
      <c r="S1690" s="82" t="str">
        <f t="shared" si="53"/>
        <v/>
      </c>
    </row>
    <row r="1691" spans="18:19" x14ac:dyDescent="0.25">
      <c r="R1691" s="8" t="str">
        <f t="shared" si="52"/>
        <v/>
      </c>
      <c r="S1691" s="82" t="str">
        <f t="shared" si="53"/>
        <v/>
      </c>
    </row>
    <row r="1692" spans="18:19" x14ac:dyDescent="0.25">
      <c r="R1692" s="8" t="str">
        <f t="shared" si="52"/>
        <v/>
      </c>
      <c r="S1692" s="82" t="str">
        <f t="shared" si="53"/>
        <v/>
      </c>
    </row>
    <row r="1693" spans="18:19" x14ac:dyDescent="0.25">
      <c r="R1693" s="8" t="str">
        <f t="shared" si="52"/>
        <v/>
      </c>
      <c r="S1693" s="82" t="str">
        <f t="shared" si="53"/>
        <v/>
      </c>
    </row>
    <row r="1694" spans="18:19" x14ac:dyDescent="0.25">
      <c r="R1694" s="8" t="str">
        <f t="shared" si="52"/>
        <v/>
      </c>
      <c r="S1694" s="82" t="str">
        <f t="shared" si="53"/>
        <v/>
      </c>
    </row>
    <row r="1695" spans="18:19" x14ac:dyDescent="0.25">
      <c r="R1695" s="8" t="str">
        <f t="shared" si="52"/>
        <v/>
      </c>
      <c r="S1695" s="82" t="str">
        <f t="shared" si="53"/>
        <v/>
      </c>
    </row>
    <row r="1696" spans="18:19" x14ac:dyDescent="0.25">
      <c r="R1696" s="8" t="str">
        <f t="shared" si="52"/>
        <v/>
      </c>
      <c r="S1696" s="82" t="str">
        <f t="shared" si="53"/>
        <v/>
      </c>
    </row>
    <row r="1697" spans="18:19" x14ac:dyDescent="0.25">
      <c r="R1697" s="8" t="str">
        <f t="shared" si="52"/>
        <v/>
      </c>
      <c r="S1697" s="82" t="str">
        <f t="shared" si="53"/>
        <v/>
      </c>
    </row>
    <row r="1698" spans="18:19" x14ac:dyDescent="0.25">
      <c r="R1698" s="8" t="str">
        <f t="shared" si="52"/>
        <v/>
      </c>
      <c r="S1698" s="82" t="str">
        <f t="shared" si="53"/>
        <v/>
      </c>
    </row>
    <row r="1699" spans="18:19" x14ac:dyDescent="0.25">
      <c r="R1699" s="8" t="str">
        <f t="shared" si="52"/>
        <v/>
      </c>
      <c r="S1699" s="82" t="str">
        <f t="shared" si="53"/>
        <v/>
      </c>
    </row>
    <row r="1700" spans="18:19" x14ac:dyDescent="0.25">
      <c r="R1700" s="8" t="str">
        <f t="shared" si="52"/>
        <v/>
      </c>
      <c r="S1700" s="82" t="str">
        <f t="shared" si="53"/>
        <v/>
      </c>
    </row>
    <row r="1701" spans="18:19" x14ac:dyDescent="0.25">
      <c r="R1701" s="8" t="str">
        <f t="shared" si="52"/>
        <v/>
      </c>
      <c r="S1701" s="82" t="str">
        <f t="shared" si="53"/>
        <v/>
      </c>
    </row>
    <row r="1702" spans="18:19" x14ac:dyDescent="0.25">
      <c r="R1702" s="8" t="str">
        <f t="shared" si="52"/>
        <v/>
      </c>
      <c r="S1702" s="82" t="str">
        <f t="shared" si="53"/>
        <v/>
      </c>
    </row>
    <row r="1703" spans="18:19" x14ac:dyDescent="0.25">
      <c r="R1703" s="8" t="str">
        <f t="shared" si="52"/>
        <v/>
      </c>
      <c r="S1703" s="82" t="str">
        <f t="shared" si="53"/>
        <v/>
      </c>
    </row>
    <row r="1704" spans="18:19" x14ac:dyDescent="0.25">
      <c r="R1704" s="8" t="str">
        <f t="shared" si="52"/>
        <v/>
      </c>
      <c r="S1704" s="82" t="str">
        <f t="shared" si="53"/>
        <v/>
      </c>
    </row>
    <row r="1705" spans="18:19" x14ac:dyDescent="0.25">
      <c r="R1705" s="8" t="str">
        <f t="shared" si="52"/>
        <v/>
      </c>
      <c r="S1705" s="82" t="str">
        <f t="shared" si="53"/>
        <v/>
      </c>
    </row>
    <row r="1706" spans="18:19" x14ac:dyDescent="0.25">
      <c r="R1706" s="8" t="str">
        <f t="shared" si="52"/>
        <v/>
      </c>
      <c r="S1706" s="82" t="str">
        <f t="shared" si="53"/>
        <v/>
      </c>
    </row>
    <row r="1707" spans="18:19" x14ac:dyDescent="0.25">
      <c r="R1707" s="8" t="str">
        <f t="shared" si="52"/>
        <v/>
      </c>
      <c r="S1707" s="82" t="str">
        <f t="shared" si="53"/>
        <v/>
      </c>
    </row>
    <row r="1708" spans="18:19" x14ac:dyDescent="0.25">
      <c r="R1708" s="8" t="str">
        <f t="shared" si="52"/>
        <v/>
      </c>
      <c r="S1708" s="82" t="str">
        <f t="shared" si="53"/>
        <v/>
      </c>
    </row>
    <row r="1709" spans="18:19" x14ac:dyDescent="0.25">
      <c r="R1709" s="8" t="str">
        <f t="shared" si="52"/>
        <v/>
      </c>
      <c r="S1709" s="82" t="str">
        <f t="shared" si="53"/>
        <v/>
      </c>
    </row>
    <row r="1710" spans="18:19" x14ac:dyDescent="0.25">
      <c r="R1710" s="8" t="str">
        <f t="shared" si="52"/>
        <v/>
      </c>
      <c r="S1710" s="82" t="str">
        <f t="shared" si="53"/>
        <v/>
      </c>
    </row>
    <row r="1711" spans="18:19" x14ac:dyDescent="0.25">
      <c r="R1711" s="8" t="str">
        <f t="shared" si="52"/>
        <v/>
      </c>
      <c r="S1711" s="82" t="str">
        <f t="shared" si="53"/>
        <v/>
      </c>
    </row>
    <row r="1712" spans="18:19" x14ac:dyDescent="0.25">
      <c r="R1712" s="8" t="str">
        <f t="shared" si="52"/>
        <v/>
      </c>
      <c r="S1712" s="82" t="str">
        <f t="shared" si="53"/>
        <v/>
      </c>
    </row>
    <row r="1713" spans="18:19" x14ac:dyDescent="0.25">
      <c r="R1713" s="8" t="str">
        <f t="shared" si="52"/>
        <v/>
      </c>
      <c r="S1713" s="82" t="str">
        <f t="shared" si="53"/>
        <v/>
      </c>
    </row>
    <row r="1714" spans="18:19" x14ac:dyDescent="0.25">
      <c r="R1714" s="8" t="str">
        <f t="shared" si="52"/>
        <v/>
      </c>
      <c r="S1714" s="82" t="str">
        <f t="shared" si="53"/>
        <v/>
      </c>
    </row>
    <row r="1715" spans="18:19" x14ac:dyDescent="0.25">
      <c r="R1715" s="8" t="str">
        <f t="shared" si="52"/>
        <v/>
      </c>
      <c r="S1715" s="82" t="str">
        <f t="shared" si="53"/>
        <v/>
      </c>
    </row>
    <row r="1716" spans="18:19" x14ac:dyDescent="0.25">
      <c r="R1716" s="8" t="str">
        <f t="shared" si="52"/>
        <v/>
      </c>
      <c r="S1716" s="82" t="str">
        <f t="shared" si="53"/>
        <v/>
      </c>
    </row>
    <row r="1717" spans="18:19" x14ac:dyDescent="0.25">
      <c r="R1717" s="8" t="str">
        <f t="shared" si="52"/>
        <v/>
      </c>
      <c r="S1717" s="82" t="str">
        <f t="shared" si="53"/>
        <v/>
      </c>
    </row>
    <row r="1718" spans="18:19" x14ac:dyDescent="0.25">
      <c r="R1718" s="8" t="str">
        <f t="shared" si="52"/>
        <v/>
      </c>
      <c r="S1718" s="82" t="str">
        <f t="shared" si="53"/>
        <v/>
      </c>
    </row>
    <row r="1719" spans="18:19" x14ac:dyDescent="0.25">
      <c r="R1719" s="8" t="str">
        <f t="shared" si="52"/>
        <v/>
      </c>
      <c r="S1719" s="82" t="str">
        <f t="shared" si="53"/>
        <v/>
      </c>
    </row>
    <row r="1720" spans="18:19" x14ac:dyDescent="0.25">
      <c r="R1720" s="8" t="str">
        <f t="shared" si="52"/>
        <v/>
      </c>
      <c r="S1720" s="82" t="str">
        <f t="shared" si="53"/>
        <v/>
      </c>
    </row>
    <row r="1721" spans="18:19" x14ac:dyDescent="0.25">
      <c r="R1721" s="8" t="str">
        <f t="shared" si="52"/>
        <v/>
      </c>
      <c r="S1721" s="82" t="str">
        <f t="shared" si="53"/>
        <v/>
      </c>
    </row>
    <row r="1722" spans="18:19" x14ac:dyDescent="0.25">
      <c r="R1722" s="8" t="str">
        <f t="shared" si="52"/>
        <v/>
      </c>
      <c r="S1722" s="82" t="str">
        <f t="shared" si="53"/>
        <v/>
      </c>
    </row>
    <row r="1723" spans="18:19" x14ac:dyDescent="0.25">
      <c r="R1723" s="8" t="str">
        <f t="shared" si="52"/>
        <v/>
      </c>
      <c r="S1723" s="82" t="str">
        <f t="shared" si="53"/>
        <v/>
      </c>
    </row>
    <row r="1724" spans="18:19" x14ac:dyDescent="0.25">
      <c r="R1724" s="8" t="str">
        <f t="shared" si="52"/>
        <v/>
      </c>
      <c r="S1724" s="82" t="str">
        <f t="shared" si="53"/>
        <v/>
      </c>
    </row>
    <row r="1725" spans="18:19" x14ac:dyDescent="0.25">
      <c r="R1725" s="8" t="str">
        <f t="shared" si="52"/>
        <v/>
      </c>
      <c r="S1725" s="82" t="str">
        <f t="shared" si="53"/>
        <v/>
      </c>
    </row>
    <row r="1726" spans="18:19" x14ac:dyDescent="0.25">
      <c r="R1726" s="8" t="str">
        <f t="shared" si="52"/>
        <v/>
      </c>
      <c r="S1726" s="82" t="str">
        <f t="shared" si="53"/>
        <v/>
      </c>
    </row>
    <row r="1727" spans="18:19" x14ac:dyDescent="0.25">
      <c r="R1727" s="8" t="str">
        <f t="shared" si="52"/>
        <v/>
      </c>
      <c r="S1727" s="82" t="str">
        <f t="shared" si="53"/>
        <v/>
      </c>
    </row>
    <row r="1728" spans="18:19" x14ac:dyDescent="0.25">
      <c r="R1728" s="8" t="str">
        <f t="shared" si="52"/>
        <v/>
      </c>
      <c r="S1728" s="82" t="str">
        <f t="shared" si="53"/>
        <v/>
      </c>
    </row>
    <row r="1729" spans="18:19" x14ac:dyDescent="0.25">
      <c r="R1729" s="8" t="str">
        <f t="shared" si="52"/>
        <v/>
      </c>
      <c r="S1729" s="82" t="str">
        <f t="shared" si="53"/>
        <v/>
      </c>
    </row>
    <row r="1730" spans="18:19" x14ac:dyDescent="0.25">
      <c r="R1730" s="8" t="str">
        <f t="shared" si="52"/>
        <v/>
      </c>
      <c r="S1730" s="82" t="str">
        <f t="shared" si="53"/>
        <v/>
      </c>
    </row>
    <row r="1731" spans="18:19" x14ac:dyDescent="0.25">
      <c r="R1731" s="8" t="str">
        <f t="shared" si="52"/>
        <v/>
      </c>
      <c r="S1731" s="82" t="str">
        <f t="shared" si="53"/>
        <v/>
      </c>
    </row>
    <row r="1732" spans="18:19" x14ac:dyDescent="0.25">
      <c r="R1732" s="8" t="str">
        <f t="shared" si="52"/>
        <v/>
      </c>
      <c r="S1732" s="82" t="str">
        <f t="shared" si="53"/>
        <v/>
      </c>
    </row>
    <row r="1733" spans="18:19" x14ac:dyDescent="0.25">
      <c r="R1733" s="8" t="str">
        <f t="shared" si="52"/>
        <v/>
      </c>
      <c r="S1733" s="82" t="str">
        <f t="shared" si="53"/>
        <v/>
      </c>
    </row>
    <row r="1734" spans="18:19" x14ac:dyDescent="0.25">
      <c r="R1734" s="8" t="str">
        <f t="shared" si="52"/>
        <v/>
      </c>
      <c r="S1734" s="82" t="str">
        <f t="shared" si="53"/>
        <v/>
      </c>
    </row>
    <row r="1735" spans="18:19" x14ac:dyDescent="0.25">
      <c r="R1735" s="8" t="str">
        <f t="shared" si="52"/>
        <v/>
      </c>
      <c r="S1735" s="82" t="str">
        <f t="shared" si="53"/>
        <v/>
      </c>
    </row>
    <row r="1736" spans="18:19" x14ac:dyDescent="0.25">
      <c r="R1736" s="8" t="str">
        <f t="shared" ref="R1736:R1799" si="54">IF(A1736="",(""),(MONTH(A1736)))</f>
        <v/>
      </c>
      <c r="S1736" s="82" t="str">
        <f t="shared" ref="S1736:S1799" si="55">IF(B1736="",(""),IF(B1736="3 - Nota de Crédito A",-Q1736,IF(B1736="8 - Nota de Crédito B",-Q1736,(Q1736))))</f>
        <v/>
      </c>
    </row>
    <row r="1737" spans="18:19" x14ac:dyDescent="0.25">
      <c r="R1737" s="8" t="str">
        <f t="shared" si="54"/>
        <v/>
      </c>
      <c r="S1737" s="82" t="str">
        <f t="shared" si="55"/>
        <v/>
      </c>
    </row>
    <row r="1738" spans="18:19" x14ac:dyDescent="0.25">
      <c r="R1738" s="8" t="str">
        <f t="shared" si="54"/>
        <v/>
      </c>
      <c r="S1738" s="82" t="str">
        <f t="shared" si="55"/>
        <v/>
      </c>
    </row>
    <row r="1739" spans="18:19" x14ac:dyDescent="0.25">
      <c r="R1739" s="8" t="str">
        <f t="shared" si="54"/>
        <v/>
      </c>
      <c r="S1739" s="82" t="str">
        <f t="shared" si="55"/>
        <v/>
      </c>
    </row>
    <row r="1740" spans="18:19" x14ac:dyDescent="0.25">
      <c r="R1740" s="8" t="str">
        <f t="shared" si="54"/>
        <v/>
      </c>
      <c r="S1740" s="82" t="str">
        <f t="shared" si="55"/>
        <v/>
      </c>
    </row>
    <row r="1741" spans="18:19" x14ac:dyDescent="0.25">
      <c r="R1741" s="8" t="str">
        <f t="shared" si="54"/>
        <v/>
      </c>
      <c r="S1741" s="82" t="str">
        <f t="shared" si="55"/>
        <v/>
      </c>
    </row>
    <row r="1742" spans="18:19" x14ac:dyDescent="0.25">
      <c r="R1742" s="8" t="str">
        <f t="shared" si="54"/>
        <v/>
      </c>
      <c r="S1742" s="82" t="str">
        <f t="shared" si="55"/>
        <v/>
      </c>
    </row>
    <row r="1743" spans="18:19" x14ac:dyDescent="0.25">
      <c r="R1743" s="8" t="str">
        <f t="shared" si="54"/>
        <v/>
      </c>
      <c r="S1743" s="82" t="str">
        <f t="shared" si="55"/>
        <v/>
      </c>
    </row>
    <row r="1744" spans="18:19" x14ac:dyDescent="0.25">
      <c r="R1744" s="8" t="str">
        <f t="shared" si="54"/>
        <v/>
      </c>
      <c r="S1744" s="82" t="str">
        <f t="shared" si="55"/>
        <v/>
      </c>
    </row>
    <row r="1745" spans="18:19" x14ac:dyDescent="0.25">
      <c r="R1745" s="8" t="str">
        <f t="shared" si="54"/>
        <v/>
      </c>
      <c r="S1745" s="82" t="str">
        <f t="shared" si="55"/>
        <v/>
      </c>
    </row>
    <row r="1746" spans="18:19" x14ac:dyDescent="0.25">
      <c r="R1746" s="8" t="str">
        <f t="shared" si="54"/>
        <v/>
      </c>
      <c r="S1746" s="82" t="str">
        <f t="shared" si="55"/>
        <v/>
      </c>
    </row>
    <row r="1747" spans="18:19" x14ac:dyDescent="0.25">
      <c r="R1747" s="8" t="str">
        <f t="shared" si="54"/>
        <v/>
      </c>
      <c r="S1747" s="82" t="str">
        <f t="shared" si="55"/>
        <v/>
      </c>
    </row>
    <row r="1748" spans="18:19" x14ac:dyDescent="0.25">
      <c r="R1748" s="8" t="str">
        <f t="shared" si="54"/>
        <v/>
      </c>
      <c r="S1748" s="82" t="str">
        <f t="shared" si="55"/>
        <v/>
      </c>
    </row>
    <row r="1749" spans="18:19" x14ac:dyDescent="0.25">
      <c r="R1749" s="8" t="str">
        <f t="shared" si="54"/>
        <v/>
      </c>
      <c r="S1749" s="82" t="str">
        <f t="shared" si="55"/>
        <v/>
      </c>
    </row>
    <row r="1750" spans="18:19" x14ac:dyDescent="0.25">
      <c r="R1750" s="8" t="str">
        <f t="shared" si="54"/>
        <v/>
      </c>
      <c r="S1750" s="82" t="str">
        <f t="shared" si="55"/>
        <v/>
      </c>
    </row>
    <row r="1751" spans="18:19" x14ac:dyDescent="0.25">
      <c r="R1751" s="8" t="str">
        <f t="shared" si="54"/>
        <v/>
      </c>
      <c r="S1751" s="82" t="str">
        <f t="shared" si="55"/>
        <v/>
      </c>
    </row>
    <row r="1752" spans="18:19" x14ac:dyDescent="0.25">
      <c r="R1752" s="8" t="str">
        <f t="shared" si="54"/>
        <v/>
      </c>
      <c r="S1752" s="82" t="str">
        <f t="shared" si="55"/>
        <v/>
      </c>
    </row>
    <row r="1753" spans="18:19" x14ac:dyDescent="0.25">
      <c r="R1753" s="8" t="str">
        <f t="shared" si="54"/>
        <v/>
      </c>
      <c r="S1753" s="82" t="str">
        <f t="shared" si="55"/>
        <v/>
      </c>
    </row>
    <row r="1754" spans="18:19" x14ac:dyDescent="0.25">
      <c r="R1754" s="8" t="str">
        <f t="shared" si="54"/>
        <v/>
      </c>
      <c r="S1754" s="82" t="str">
        <f t="shared" si="55"/>
        <v/>
      </c>
    </row>
    <row r="1755" spans="18:19" x14ac:dyDescent="0.25">
      <c r="R1755" s="8" t="str">
        <f t="shared" si="54"/>
        <v/>
      </c>
      <c r="S1755" s="82" t="str">
        <f t="shared" si="55"/>
        <v/>
      </c>
    </row>
    <row r="1756" spans="18:19" x14ac:dyDescent="0.25">
      <c r="R1756" s="8" t="str">
        <f t="shared" si="54"/>
        <v/>
      </c>
      <c r="S1756" s="82" t="str">
        <f t="shared" si="55"/>
        <v/>
      </c>
    </row>
    <row r="1757" spans="18:19" x14ac:dyDescent="0.25">
      <c r="R1757" s="8" t="str">
        <f t="shared" si="54"/>
        <v/>
      </c>
      <c r="S1757" s="82" t="str">
        <f t="shared" si="55"/>
        <v/>
      </c>
    </row>
    <row r="1758" spans="18:19" x14ac:dyDescent="0.25">
      <c r="R1758" s="8" t="str">
        <f t="shared" si="54"/>
        <v/>
      </c>
      <c r="S1758" s="82" t="str">
        <f t="shared" si="55"/>
        <v/>
      </c>
    </row>
    <row r="1759" spans="18:19" x14ac:dyDescent="0.25">
      <c r="R1759" s="8" t="str">
        <f t="shared" si="54"/>
        <v/>
      </c>
      <c r="S1759" s="82" t="str">
        <f t="shared" si="55"/>
        <v/>
      </c>
    </row>
    <row r="1760" spans="18:19" x14ac:dyDescent="0.25">
      <c r="R1760" s="8" t="str">
        <f t="shared" si="54"/>
        <v/>
      </c>
      <c r="S1760" s="82" t="str">
        <f t="shared" si="55"/>
        <v/>
      </c>
    </row>
    <row r="1761" spans="18:19" x14ac:dyDescent="0.25">
      <c r="R1761" s="8" t="str">
        <f t="shared" si="54"/>
        <v/>
      </c>
      <c r="S1761" s="82" t="str">
        <f t="shared" si="55"/>
        <v/>
      </c>
    </row>
    <row r="1762" spans="18:19" x14ac:dyDescent="0.25">
      <c r="R1762" s="8" t="str">
        <f t="shared" si="54"/>
        <v/>
      </c>
      <c r="S1762" s="82" t="str">
        <f t="shared" si="55"/>
        <v/>
      </c>
    </row>
    <row r="1763" spans="18:19" x14ac:dyDescent="0.25">
      <c r="R1763" s="8" t="str">
        <f t="shared" si="54"/>
        <v/>
      </c>
      <c r="S1763" s="82" t="str">
        <f t="shared" si="55"/>
        <v/>
      </c>
    </row>
    <row r="1764" spans="18:19" x14ac:dyDescent="0.25">
      <c r="R1764" s="8" t="str">
        <f t="shared" si="54"/>
        <v/>
      </c>
      <c r="S1764" s="82" t="str">
        <f t="shared" si="55"/>
        <v/>
      </c>
    </row>
    <row r="1765" spans="18:19" x14ac:dyDescent="0.25">
      <c r="R1765" s="8" t="str">
        <f t="shared" si="54"/>
        <v/>
      </c>
      <c r="S1765" s="82" t="str">
        <f t="shared" si="55"/>
        <v/>
      </c>
    </row>
    <row r="1766" spans="18:19" x14ac:dyDescent="0.25">
      <c r="R1766" s="8" t="str">
        <f t="shared" si="54"/>
        <v/>
      </c>
      <c r="S1766" s="82" t="str">
        <f t="shared" si="55"/>
        <v/>
      </c>
    </row>
    <row r="1767" spans="18:19" x14ac:dyDescent="0.25">
      <c r="R1767" s="8" t="str">
        <f t="shared" si="54"/>
        <v/>
      </c>
      <c r="S1767" s="82" t="str">
        <f t="shared" si="55"/>
        <v/>
      </c>
    </row>
    <row r="1768" spans="18:19" x14ac:dyDescent="0.25">
      <c r="R1768" s="8" t="str">
        <f t="shared" si="54"/>
        <v/>
      </c>
      <c r="S1768" s="82" t="str">
        <f t="shared" si="55"/>
        <v/>
      </c>
    </row>
    <row r="1769" spans="18:19" x14ac:dyDescent="0.25">
      <c r="R1769" s="8" t="str">
        <f t="shared" si="54"/>
        <v/>
      </c>
      <c r="S1769" s="82" t="str">
        <f t="shared" si="55"/>
        <v/>
      </c>
    </row>
    <row r="1770" spans="18:19" x14ac:dyDescent="0.25">
      <c r="R1770" s="8" t="str">
        <f t="shared" si="54"/>
        <v/>
      </c>
      <c r="S1770" s="82" t="str">
        <f t="shared" si="55"/>
        <v/>
      </c>
    </row>
    <row r="1771" spans="18:19" x14ac:dyDescent="0.25">
      <c r="R1771" s="8" t="str">
        <f t="shared" si="54"/>
        <v/>
      </c>
      <c r="S1771" s="82" t="str">
        <f t="shared" si="55"/>
        <v/>
      </c>
    </row>
    <row r="1772" spans="18:19" x14ac:dyDescent="0.25">
      <c r="R1772" s="8" t="str">
        <f t="shared" si="54"/>
        <v/>
      </c>
      <c r="S1772" s="82" t="str">
        <f t="shared" si="55"/>
        <v/>
      </c>
    </row>
    <row r="1773" spans="18:19" x14ac:dyDescent="0.25">
      <c r="R1773" s="8" t="str">
        <f t="shared" si="54"/>
        <v/>
      </c>
      <c r="S1773" s="82" t="str">
        <f t="shared" si="55"/>
        <v/>
      </c>
    </row>
    <row r="1774" spans="18:19" x14ac:dyDescent="0.25">
      <c r="R1774" s="8" t="str">
        <f t="shared" si="54"/>
        <v/>
      </c>
      <c r="S1774" s="82" t="str">
        <f t="shared" si="55"/>
        <v/>
      </c>
    </row>
    <row r="1775" spans="18:19" x14ac:dyDescent="0.25">
      <c r="R1775" s="8" t="str">
        <f t="shared" si="54"/>
        <v/>
      </c>
      <c r="S1775" s="82" t="str">
        <f t="shared" si="55"/>
        <v/>
      </c>
    </row>
    <row r="1776" spans="18:19" x14ac:dyDescent="0.25">
      <c r="R1776" s="8" t="str">
        <f t="shared" si="54"/>
        <v/>
      </c>
      <c r="S1776" s="82" t="str">
        <f t="shared" si="55"/>
        <v/>
      </c>
    </row>
    <row r="1777" spans="18:19" x14ac:dyDescent="0.25">
      <c r="R1777" s="8" t="str">
        <f t="shared" si="54"/>
        <v/>
      </c>
      <c r="S1777" s="82" t="str">
        <f t="shared" si="55"/>
        <v/>
      </c>
    </row>
    <row r="1778" spans="18:19" x14ac:dyDescent="0.25">
      <c r="R1778" s="8" t="str">
        <f t="shared" si="54"/>
        <v/>
      </c>
      <c r="S1778" s="82" t="str">
        <f t="shared" si="55"/>
        <v/>
      </c>
    </row>
    <row r="1779" spans="18:19" x14ac:dyDescent="0.25">
      <c r="R1779" s="8" t="str">
        <f t="shared" si="54"/>
        <v/>
      </c>
      <c r="S1779" s="82" t="str">
        <f t="shared" si="55"/>
        <v/>
      </c>
    </row>
    <row r="1780" spans="18:19" x14ac:dyDescent="0.25">
      <c r="R1780" s="8" t="str">
        <f t="shared" si="54"/>
        <v/>
      </c>
      <c r="S1780" s="82" t="str">
        <f t="shared" si="55"/>
        <v/>
      </c>
    </row>
    <row r="1781" spans="18:19" x14ac:dyDescent="0.25">
      <c r="R1781" s="8" t="str">
        <f t="shared" si="54"/>
        <v/>
      </c>
      <c r="S1781" s="82" t="str">
        <f t="shared" si="55"/>
        <v/>
      </c>
    </row>
    <row r="1782" spans="18:19" x14ac:dyDescent="0.25">
      <c r="R1782" s="8" t="str">
        <f t="shared" si="54"/>
        <v/>
      </c>
      <c r="S1782" s="82" t="str">
        <f t="shared" si="55"/>
        <v/>
      </c>
    </row>
    <row r="1783" spans="18:19" x14ac:dyDescent="0.25">
      <c r="R1783" s="8" t="str">
        <f t="shared" si="54"/>
        <v/>
      </c>
      <c r="S1783" s="82" t="str">
        <f t="shared" si="55"/>
        <v/>
      </c>
    </row>
    <row r="1784" spans="18:19" x14ac:dyDescent="0.25">
      <c r="R1784" s="8" t="str">
        <f t="shared" si="54"/>
        <v/>
      </c>
      <c r="S1784" s="82" t="str">
        <f t="shared" si="55"/>
        <v/>
      </c>
    </row>
    <row r="1785" spans="18:19" x14ac:dyDescent="0.25">
      <c r="R1785" s="8" t="str">
        <f t="shared" si="54"/>
        <v/>
      </c>
      <c r="S1785" s="82" t="str">
        <f t="shared" si="55"/>
        <v/>
      </c>
    </row>
    <row r="1786" spans="18:19" x14ac:dyDescent="0.25">
      <c r="R1786" s="8" t="str">
        <f t="shared" si="54"/>
        <v/>
      </c>
      <c r="S1786" s="82" t="str">
        <f t="shared" si="55"/>
        <v/>
      </c>
    </row>
    <row r="1787" spans="18:19" x14ac:dyDescent="0.25">
      <c r="R1787" s="8" t="str">
        <f t="shared" si="54"/>
        <v/>
      </c>
      <c r="S1787" s="82" t="str">
        <f t="shared" si="55"/>
        <v/>
      </c>
    </row>
    <row r="1788" spans="18:19" x14ac:dyDescent="0.25">
      <c r="R1788" s="8" t="str">
        <f t="shared" si="54"/>
        <v/>
      </c>
      <c r="S1788" s="82" t="str">
        <f t="shared" si="55"/>
        <v/>
      </c>
    </row>
    <row r="1789" spans="18:19" x14ac:dyDescent="0.25">
      <c r="R1789" s="8" t="str">
        <f t="shared" si="54"/>
        <v/>
      </c>
      <c r="S1789" s="82" t="str">
        <f t="shared" si="55"/>
        <v/>
      </c>
    </row>
    <row r="1790" spans="18:19" x14ac:dyDescent="0.25">
      <c r="R1790" s="8" t="str">
        <f t="shared" si="54"/>
        <v/>
      </c>
      <c r="S1790" s="82" t="str">
        <f t="shared" si="55"/>
        <v/>
      </c>
    </row>
    <row r="1791" spans="18:19" x14ac:dyDescent="0.25">
      <c r="R1791" s="8" t="str">
        <f t="shared" si="54"/>
        <v/>
      </c>
      <c r="S1791" s="82" t="str">
        <f t="shared" si="55"/>
        <v/>
      </c>
    </row>
    <row r="1792" spans="18:19" x14ac:dyDescent="0.25">
      <c r="R1792" s="8" t="str">
        <f t="shared" si="54"/>
        <v/>
      </c>
      <c r="S1792" s="82" t="str">
        <f t="shared" si="55"/>
        <v/>
      </c>
    </row>
    <row r="1793" spans="18:19" x14ac:dyDescent="0.25">
      <c r="R1793" s="8" t="str">
        <f t="shared" si="54"/>
        <v/>
      </c>
      <c r="S1793" s="82" t="str">
        <f t="shared" si="55"/>
        <v/>
      </c>
    </row>
    <row r="1794" spans="18:19" x14ac:dyDescent="0.25">
      <c r="R1794" s="8" t="str">
        <f t="shared" si="54"/>
        <v/>
      </c>
      <c r="S1794" s="82" t="str">
        <f t="shared" si="55"/>
        <v/>
      </c>
    </row>
    <row r="1795" spans="18:19" x14ac:dyDescent="0.25">
      <c r="R1795" s="8" t="str">
        <f t="shared" si="54"/>
        <v/>
      </c>
      <c r="S1795" s="82" t="str">
        <f t="shared" si="55"/>
        <v/>
      </c>
    </row>
    <row r="1796" spans="18:19" x14ac:dyDescent="0.25">
      <c r="R1796" s="8" t="str">
        <f t="shared" si="54"/>
        <v/>
      </c>
      <c r="S1796" s="82" t="str">
        <f t="shared" si="55"/>
        <v/>
      </c>
    </row>
    <row r="1797" spans="18:19" x14ac:dyDescent="0.25">
      <c r="R1797" s="8" t="str">
        <f t="shared" si="54"/>
        <v/>
      </c>
      <c r="S1797" s="82" t="str">
        <f t="shared" si="55"/>
        <v/>
      </c>
    </row>
    <row r="1798" spans="18:19" x14ac:dyDescent="0.25">
      <c r="R1798" s="8" t="str">
        <f t="shared" si="54"/>
        <v/>
      </c>
      <c r="S1798" s="82" t="str">
        <f t="shared" si="55"/>
        <v/>
      </c>
    </row>
    <row r="1799" spans="18:19" x14ac:dyDescent="0.25">
      <c r="R1799" s="8" t="str">
        <f t="shared" si="54"/>
        <v/>
      </c>
      <c r="S1799" s="82" t="str">
        <f t="shared" si="55"/>
        <v/>
      </c>
    </row>
    <row r="1800" spans="18:19" x14ac:dyDescent="0.25">
      <c r="R1800" s="8" t="str">
        <f t="shared" ref="R1800:R1863" si="56">IF(A1800="",(""),(MONTH(A1800)))</f>
        <v/>
      </c>
      <c r="S1800" s="82" t="str">
        <f t="shared" ref="S1800:S1863" si="57">IF(B1800="",(""),IF(B1800="3 - Nota de Crédito A",-Q1800,IF(B1800="8 - Nota de Crédito B",-Q1800,(Q1800))))</f>
        <v/>
      </c>
    </row>
    <row r="1801" spans="18:19" x14ac:dyDescent="0.25">
      <c r="R1801" s="8" t="str">
        <f t="shared" si="56"/>
        <v/>
      </c>
      <c r="S1801" s="82" t="str">
        <f t="shared" si="57"/>
        <v/>
      </c>
    </row>
    <row r="1802" spans="18:19" x14ac:dyDescent="0.25">
      <c r="R1802" s="8" t="str">
        <f t="shared" si="56"/>
        <v/>
      </c>
      <c r="S1802" s="82" t="str">
        <f t="shared" si="57"/>
        <v/>
      </c>
    </row>
    <row r="1803" spans="18:19" x14ac:dyDescent="0.25">
      <c r="R1803" s="8" t="str">
        <f t="shared" si="56"/>
        <v/>
      </c>
      <c r="S1803" s="82" t="str">
        <f t="shared" si="57"/>
        <v/>
      </c>
    </row>
    <row r="1804" spans="18:19" x14ac:dyDescent="0.25">
      <c r="R1804" s="8" t="str">
        <f t="shared" si="56"/>
        <v/>
      </c>
      <c r="S1804" s="82" t="str">
        <f t="shared" si="57"/>
        <v/>
      </c>
    </row>
    <row r="1805" spans="18:19" x14ac:dyDescent="0.25">
      <c r="R1805" s="8" t="str">
        <f t="shared" si="56"/>
        <v/>
      </c>
      <c r="S1805" s="82" t="str">
        <f t="shared" si="57"/>
        <v/>
      </c>
    </row>
    <row r="1806" spans="18:19" x14ac:dyDescent="0.25">
      <c r="R1806" s="8" t="str">
        <f t="shared" si="56"/>
        <v/>
      </c>
      <c r="S1806" s="82" t="str">
        <f t="shared" si="57"/>
        <v/>
      </c>
    </row>
    <row r="1807" spans="18:19" x14ac:dyDescent="0.25">
      <c r="R1807" s="8" t="str">
        <f t="shared" si="56"/>
        <v/>
      </c>
      <c r="S1807" s="82" t="str">
        <f t="shared" si="57"/>
        <v/>
      </c>
    </row>
    <row r="1808" spans="18:19" x14ac:dyDescent="0.25">
      <c r="R1808" s="8" t="str">
        <f t="shared" si="56"/>
        <v/>
      </c>
      <c r="S1808" s="82" t="str">
        <f t="shared" si="57"/>
        <v/>
      </c>
    </row>
    <row r="1809" spans="18:19" x14ac:dyDescent="0.25">
      <c r="R1809" s="8" t="str">
        <f t="shared" si="56"/>
        <v/>
      </c>
      <c r="S1809" s="82" t="str">
        <f t="shared" si="57"/>
        <v/>
      </c>
    </row>
    <row r="1810" spans="18:19" x14ac:dyDescent="0.25">
      <c r="R1810" s="8" t="str">
        <f t="shared" si="56"/>
        <v/>
      </c>
      <c r="S1810" s="82" t="str">
        <f t="shared" si="57"/>
        <v/>
      </c>
    </row>
    <row r="1811" spans="18:19" x14ac:dyDescent="0.25">
      <c r="R1811" s="8" t="str">
        <f t="shared" si="56"/>
        <v/>
      </c>
      <c r="S1811" s="82" t="str">
        <f t="shared" si="57"/>
        <v/>
      </c>
    </row>
    <row r="1812" spans="18:19" x14ac:dyDescent="0.25">
      <c r="R1812" s="8" t="str">
        <f t="shared" si="56"/>
        <v/>
      </c>
      <c r="S1812" s="82" t="str">
        <f t="shared" si="57"/>
        <v/>
      </c>
    </row>
    <row r="1813" spans="18:19" x14ac:dyDescent="0.25">
      <c r="R1813" s="8" t="str">
        <f t="shared" si="56"/>
        <v/>
      </c>
      <c r="S1813" s="82" t="str">
        <f t="shared" si="57"/>
        <v/>
      </c>
    </row>
    <row r="1814" spans="18:19" x14ac:dyDescent="0.25">
      <c r="R1814" s="8" t="str">
        <f t="shared" si="56"/>
        <v/>
      </c>
      <c r="S1814" s="82" t="str">
        <f t="shared" si="57"/>
        <v/>
      </c>
    </row>
    <row r="1815" spans="18:19" x14ac:dyDescent="0.25">
      <c r="R1815" s="8" t="str">
        <f t="shared" si="56"/>
        <v/>
      </c>
      <c r="S1815" s="82" t="str">
        <f t="shared" si="57"/>
        <v/>
      </c>
    </row>
    <row r="1816" spans="18:19" x14ac:dyDescent="0.25">
      <c r="R1816" s="8" t="str">
        <f t="shared" si="56"/>
        <v/>
      </c>
      <c r="S1816" s="82" t="str">
        <f t="shared" si="57"/>
        <v/>
      </c>
    </row>
    <row r="1817" spans="18:19" x14ac:dyDescent="0.25">
      <c r="R1817" s="8" t="str">
        <f t="shared" si="56"/>
        <v/>
      </c>
      <c r="S1817" s="82" t="str">
        <f t="shared" si="57"/>
        <v/>
      </c>
    </row>
    <row r="1818" spans="18:19" x14ac:dyDescent="0.25">
      <c r="R1818" s="8" t="str">
        <f t="shared" si="56"/>
        <v/>
      </c>
      <c r="S1818" s="82" t="str">
        <f t="shared" si="57"/>
        <v/>
      </c>
    </row>
    <row r="1819" spans="18:19" x14ac:dyDescent="0.25">
      <c r="R1819" s="8" t="str">
        <f t="shared" si="56"/>
        <v/>
      </c>
      <c r="S1819" s="82" t="str">
        <f t="shared" si="57"/>
        <v/>
      </c>
    </row>
    <row r="1820" spans="18:19" x14ac:dyDescent="0.25">
      <c r="R1820" s="8" t="str">
        <f t="shared" si="56"/>
        <v/>
      </c>
      <c r="S1820" s="82" t="str">
        <f t="shared" si="57"/>
        <v/>
      </c>
    </row>
    <row r="1821" spans="18:19" x14ac:dyDescent="0.25">
      <c r="R1821" s="8" t="str">
        <f t="shared" si="56"/>
        <v/>
      </c>
      <c r="S1821" s="82" t="str">
        <f t="shared" si="57"/>
        <v/>
      </c>
    </row>
    <row r="1822" spans="18:19" x14ac:dyDescent="0.25">
      <c r="R1822" s="8" t="str">
        <f t="shared" si="56"/>
        <v/>
      </c>
      <c r="S1822" s="82" t="str">
        <f t="shared" si="57"/>
        <v/>
      </c>
    </row>
    <row r="1823" spans="18:19" x14ac:dyDescent="0.25">
      <c r="R1823" s="8" t="str">
        <f t="shared" si="56"/>
        <v/>
      </c>
      <c r="S1823" s="82" t="str">
        <f t="shared" si="57"/>
        <v/>
      </c>
    </row>
    <row r="1824" spans="18:19" x14ac:dyDescent="0.25">
      <c r="R1824" s="8" t="str">
        <f t="shared" si="56"/>
        <v/>
      </c>
      <c r="S1824" s="82" t="str">
        <f t="shared" si="57"/>
        <v/>
      </c>
    </row>
    <row r="1825" spans="18:19" x14ac:dyDescent="0.25">
      <c r="R1825" s="8" t="str">
        <f t="shared" si="56"/>
        <v/>
      </c>
      <c r="S1825" s="82" t="str">
        <f t="shared" si="57"/>
        <v/>
      </c>
    </row>
    <row r="1826" spans="18:19" x14ac:dyDescent="0.25">
      <c r="R1826" s="8" t="str">
        <f t="shared" si="56"/>
        <v/>
      </c>
      <c r="S1826" s="82" t="str">
        <f t="shared" si="57"/>
        <v/>
      </c>
    </row>
    <row r="1827" spans="18:19" x14ac:dyDescent="0.25">
      <c r="R1827" s="8" t="str">
        <f t="shared" si="56"/>
        <v/>
      </c>
      <c r="S1827" s="82" t="str">
        <f t="shared" si="57"/>
        <v/>
      </c>
    </row>
    <row r="1828" spans="18:19" x14ac:dyDescent="0.25">
      <c r="R1828" s="8" t="str">
        <f t="shared" si="56"/>
        <v/>
      </c>
      <c r="S1828" s="82" t="str">
        <f t="shared" si="57"/>
        <v/>
      </c>
    </row>
    <row r="1829" spans="18:19" x14ac:dyDescent="0.25">
      <c r="R1829" s="8" t="str">
        <f t="shared" si="56"/>
        <v/>
      </c>
      <c r="S1829" s="82" t="str">
        <f t="shared" si="57"/>
        <v/>
      </c>
    </row>
    <row r="1830" spans="18:19" x14ac:dyDescent="0.25">
      <c r="R1830" s="8" t="str">
        <f t="shared" si="56"/>
        <v/>
      </c>
      <c r="S1830" s="82" t="str">
        <f t="shared" si="57"/>
        <v/>
      </c>
    </row>
    <row r="1831" spans="18:19" x14ac:dyDescent="0.25">
      <c r="R1831" s="8" t="str">
        <f t="shared" si="56"/>
        <v/>
      </c>
      <c r="S1831" s="82" t="str">
        <f t="shared" si="57"/>
        <v/>
      </c>
    </row>
    <row r="1832" spans="18:19" x14ac:dyDescent="0.25">
      <c r="R1832" s="8" t="str">
        <f t="shared" si="56"/>
        <v/>
      </c>
      <c r="S1832" s="82" t="str">
        <f t="shared" si="57"/>
        <v/>
      </c>
    </row>
    <row r="1833" spans="18:19" x14ac:dyDescent="0.25">
      <c r="R1833" s="8" t="str">
        <f t="shared" si="56"/>
        <v/>
      </c>
      <c r="S1833" s="82" t="str">
        <f t="shared" si="57"/>
        <v/>
      </c>
    </row>
    <row r="1834" spans="18:19" x14ac:dyDescent="0.25">
      <c r="R1834" s="8" t="str">
        <f t="shared" si="56"/>
        <v/>
      </c>
      <c r="S1834" s="82" t="str">
        <f t="shared" si="57"/>
        <v/>
      </c>
    </row>
    <row r="1835" spans="18:19" x14ac:dyDescent="0.25">
      <c r="R1835" s="8" t="str">
        <f t="shared" si="56"/>
        <v/>
      </c>
      <c r="S1835" s="82" t="str">
        <f t="shared" si="57"/>
        <v/>
      </c>
    </row>
    <row r="1836" spans="18:19" x14ac:dyDescent="0.25">
      <c r="R1836" s="8" t="str">
        <f t="shared" si="56"/>
        <v/>
      </c>
      <c r="S1836" s="82" t="str">
        <f t="shared" si="57"/>
        <v/>
      </c>
    </row>
    <row r="1837" spans="18:19" x14ac:dyDescent="0.25">
      <c r="R1837" s="8" t="str">
        <f t="shared" si="56"/>
        <v/>
      </c>
      <c r="S1837" s="82" t="str">
        <f t="shared" si="57"/>
        <v/>
      </c>
    </row>
    <row r="1838" spans="18:19" x14ac:dyDescent="0.25">
      <c r="R1838" s="8" t="str">
        <f t="shared" si="56"/>
        <v/>
      </c>
      <c r="S1838" s="82" t="str">
        <f t="shared" si="57"/>
        <v/>
      </c>
    </row>
    <row r="1839" spans="18:19" x14ac:dyDescent="0.25">
      <c r="R1839" s="8" t="str">
        <f t="shared" si="56"/>
        <v/>
      </c>
      <c r="S1839" s="82" t="str">
        <f t="shared" si="57"/>
        <v/>
      </c>
    </row>
    <row r="1840" spans="18:19" x14ac:dyDescent="0.25">
      <c r="R1840" s="8" t="str">
        <f t="shared" si="56"/>
        <v/>
      </c>
      <c r="S1840" s="82" t="str">
        <f t="shared" si="57"/>
        <v/>
      </c>
    </row>
    <row r="1841" spans="18:19" x14ac:dyDescent="0.25">
      <c r="R1841" s="8" t="str">
        <f t="shared" si="56"/>
        <v/>
      </c>
      <c r="S1841" s="82" t="str">
        <f t="shared" si="57"/>
        <v/>
      </c>
    </row>
    <row r="1842" spans="18:19" x14ac:dyDescent="0.25">
      <c r="R1842" s="8" t="str">
        <f t="shared" si="56"/>
        <v/>
      </c>
      <c r="S1842" s="82" t="str">
        <f t="shared" si="57"/>
        <v/>
      </c>
    </row>
    <row r="1843" spans="18:19" x14ac:dyDescent="0.25">
      <c r="R1843" s="8" t="str">
        <f t="shared" si="56"/>
        <v/>
      </c>
      <c r="S1843" s="82" t="str">
        <f t="shared" si="57"/>
        <v/>
      </c>
    </row>
    <row r="1844" spans="18:19" x14ac:dyDescent="0.25">
      <c r="R1844" s="8" t="str">
        <f t="shared" si="56"/>
        <v/>
      </c>
      <c r="S1844" s="82" t="str">
        <f t="shared" si="57"/>
        <v/>
      </c>
    </row>
    <row r="1845" spans="18:19" x14ac:dyDescent="0.25">
      <c r="R1845" s="8" t="str">
        <f t="shared" si="56"/>
        <v/>
      </c>
      <c r="S1845" s="82" t="str">
        <f t="shared" si="57"/>
        <v/>
      </c>
    </row>
    <row r="1846" spans="18:19" x14ac:dyDescent="0.25">
      <c r="R1846" s="8" t="str">
        <f t="shared" si="56"/>
        <v/>
      </c>
      <c r="S1846" s="82" t="str">
        <f t="shared" si="57"/>
        <v/>
      </c>
    </row>
    <row r="1847" spans="18:19" x14ac:dyDescent="0.25">
      <c r="R1847" s="8" t="str">
        <f t="shared" si="56"/>
        <v/>
      </c>
      <c r="S1847" s="82" t="str">
        <f t="shared" si="57"/>
        <v/>
      </c>
    </row>
    <row r="1848" spans="18:19" x14ac:dyDescent="0.25">
      <c r="R1848" s="8" t="str">
        <f t="shared" si="56"/>
        <v/>
      </c>
      <c r="S1848" s="82" t="str">
        <f t="shared" si="57"/>
        <v/>
      </c>
    </row>
    <row r="1849" spans="18:19" x14ac:dyDescent="0.25">
      <c r="R1849" s="8" t="str">
        <f t="shared" si="56"/>
        <v/>
      </c>
      <c r="S1849" s="82" t="str">
        <f t="shared" si="57"/>
        <v/>
      </c>
    </row>
    <row r="1850" spans="18:19" x14ac:dyDescent="0.25">
      <c r="R1850" s="8" t="str">
        <f t="shared" si="56"/>
        <v/>
      </c>
      <c r="S1850" s="82" t="str">
        <f t="shared" si="57"/>
        <v/>
      </c>
    </row>
    <row r="1851" spans="18:19" x14ac:dyDescent="0.25">
      <c r="R1851" s="8" t="str">
        <f t="shared" si="56"/>
        <v/>
      </c>
      <c r="S1851" s="82" t="str">
        <f t="shared" si="57"/>
        <v/>
      </c>
    </row>
    <row r="1852" spans="18:19" x14ac:dyDescent="0.25">
      <c r="R1852" s="8" t="str">
        <f t="shared" si="56"/>
        <v/>
      </c>
      <c r="S1852" s="82" t="str">
        <f t="shared" si="57"/>
        <v/>
      </c>
    </row>
    <row r="1853" spans="18:19" x14ac:dyDescent="0.25">
      <c r="R1853" s="8" t="str">
        <f t="shared" si="56"/>
        <v/>
      </c>
      <c r="S1853" s="82" t="str">
        <f t="shared" si="57"/>
        <v/>
      </c>
    </row>
    <row r="1854" spans="18:19" x14ac:dyDescent="0.25">
      <c r="R1854" s="8" t="str">
        <f t="shared" si="56"/>
        <v/>
      </c>
      <c r="S1854" s="82" t="str">
        <f t="shared" si="57"/>
        <v/>
      </c>
    </row>
    <row r="1855" spans="18:19" x14ac:dyDescent="0.25">
      <c r="R1855" s="8" t="str">
        <f t="shared" si="56"/>
        <v/>
      </c>
      <c r="S1855" s="82" t="str">
        <f t="shared" si="57"/>
        <v/>
      </c>
    </row>
    <row r="1856" spans="18:19" x14ac:dyDescent="0.25">
      <c r="R1856" s="8" t="str">
        <f t="shared" si="56"/>
        <v/>
      </c>
      <c r="S1856" s="82" t="str">
        <f t="shared" si="57"/>
        <v/>
      </c>
    </row>
    <row r="1857" spans="18:19" x14ac:dyDescent="0.25">
      <c r="R1857" s="8" t="str">
        <f t="shared" si="56"/>
        <v/>
      </c>
      <c r="S1857" s="82" t="str">
        <f t="shared" si="57"/>
        <v/>
      </c>
    </row>
    <row r="1858" spans="18:19" x14ac:dyDescent="0.25">
      <c r="R1858" s="8" t="str">
        <f t="shared" si="56"/>
        <v/>
      </c>
      <c r="S1858" s="82" t="str">
        <f t="shared" si="57"/>
        <v/>
      </c>
    </row>
    <row r="1859" spans="18:19" x14ac:dyDescent="0.25">
      <c r="R1859" s="8" t="str">
        <f t="shared" si="56"/>
        <v/>
      </c>
      <c r="S1859" s="82" t="str">
        <f t="shared" si="57"/>
        <v/>
      </c>
    </row>
    <row r="1860" spans="18:19" x14ac:dyDescent="0.25">
      <c r="R1860" s="8" t="str">
        <f t="shared" si="56"/>
        <v/>
      </c>
      <c r="S1860" s="82" t="str">
        <f t="shared" si="57"/>
        <v/>
      </c>
    </row>
    <row r="1861" spans="18:19" x14ac:dyDescent="0.25">
      <c r="R1861" s="8" t="str">
        <f t="shared" si="56"/>
        <v/>
      </c>
      <c r="S1861" s="82" t="str">
        <f t="shared" si="57"/>
        <v/>
      </c>
    </row>
    <row r="1862" spans="18:19" x14ac:dyDescent="0.25">
      <c r="R1862" s="8" t="str">
        <f t="shared" si="56"/>
        <v/>
      </c>
      <c r="S1862" s="82" t="str">
        <f t="shared" si="57"/>
        <v/>
      </c>
    </row>
    <row r="1863" spans="18:19" x14ac:dyDescent="0.25">
      <c r="R1863" s="8" t="str">
        <f t="shared" si="56"/>
        <v/>
      </c>
      <c r="S1863" s="82" t="str">
        <f t="shared" si="57"/>
        <v/>
      </c>
    </row>
    <row r="1864" spans="18:19" x14ac:dyDescent="0.25">
      <c r="R1864" s="8" t="str">
        <f t="shared" ref="R1864:R1927" si="58">IF(A1864="",(""),(MONTH(A1864)))</f>
        <v/>
      </c>
      <c r="S1864" s="82" t="str">
        <f t="shared" ref="S1864:S1927" si="59">IF(B1864="",(""),IF(B1864="3 - Nota de Crédito A",-Q1864,IF(B1864="8 - Nota de Crédito B",-Q1864,(Q1864))))</f>
        <v/>
      </c>
    </row>
    <row r="1865" spans="18:19" x14ac:dyDescent="0.25">
      <c r="R1865" s="8" t="str">
        <f t="shared" si="58"/>
        <v/>
      </c>
      <c r="S1865" s="82" t="str">
        <f t="shared" si="59"/>
        <v/>
      </c>
    </row>
    <row r="1866" spans="18:19" x14ac:dyDescent="0.25">
      <c r="R1866" s="8" t="str">
        <f t="shared" si="58"/>
        <v/>
      </c>
      <c r="S1866" s="82" t="str">
        <f t="shared" si="59"/>
        <v/>
      </c>
    </row>
    <row r="1867" spans="18:19" x14ac:dyDescent="0.25">
      <c r="R1867" s="8" t="str">
        <f t="shared" si="58"/>
        <v/>
      </c>
      <c r="S1867" s="82" t="str">
        <f t="shared" si="59"/>
        <v/>
      </c>
    </row>
    <row r="1868" spans="18:19" x14ac:dyDescent="0.25">
      <c r="R1868" s="8" t="str">
        <f t="shared" si="58"/>
        <v/>
      </c>
      <c r="S1868" s="82" t="str">
        <f t="shared" si="59"/>
        <v/>
      </c>
    </row>
    <row r="1869" spans="18:19" x14ac:dyDescent="0.25">
      <c r="R1869" s="8" t="str">
        <f t="shared" si="58"/>
        <v/>
      </c>
      <c r="S1869" s="82" t="str">
        <f t="shared" si="59"/>
        <v/>
      </c>
    </row>
    <row r="1870" spans="18:19" x14ac:dyDescent="0.25">
      <c r="R1870" s="8" t="str">
        <f t="shared" si="58"/>
        <v/>
      </c>
      <c r="S1870" s="82" t="str">
        <f t="shared" si="59"/>
        <v/>
      </c>
    </row>
    <row r="1871" spans="18:19" x14ac:dyDescent="0.25">
      <c r="R1871" s="8" t="str">
        <f t="shared" si="58"/>
        <v/>
      </c>
      <c r="S1871" s="82" t="str">
        <f t="shared" si="59"/>
        <v/>
      </c>
    </row>
    <row r="1872" spans="18:19" x14ac:dyDescent="0.25">
      <c r="R1872" s="8" t="str">
        <f t="shared" si="58"/>
        <v/>
      </c>
      <c r="S1872" s="82" t="str">
        <f t="shared" si="59"/>
        <v/>
      </c>
    </row>
    <row r="1873" spans="18:19" x14ac:dyDescent="0.25">
      <c r="R1873" s="8" t="str">
        <f t="shared" si="58"/>
        <v/>
      </c>
      <c r="S1873" s="82" t="str">
        <f t="shared" si="59"/>
        <v/>
      </c>
    </row>
    <row r="1874" spans="18:19" x14ac:dyDescent="0.25">
      <c r="R1874" s="8" t="str">
        <f t="shared" si="58"/>
        <v/>
      </c>
      <c r="S1874" s="82" t="str">
        <f t="shared" si="59"/>
        <v/>
      </c>
    </row>
    <row r="1875" spans="18:19" x14ac:dyDescent="0.25">
      <c r="R1875" s="8" t="str">
        <f t="shared" si="58"/>
        <v/>
      </c>
      <c r="S1875" s="82" t="str">
        <f t="shared" si="59"/>
        <v/>
      </c>
    </row>
    <row r="1876" spans="18:19" x14ac:dyDescent="0.25">
      <c r="R1876" s="8" t="str">
        <f t="shared" si="58"/>
        <v/>
      </c>
      <c r="S1876" s="82" t="str">
        <f t="shared" si="59"/>
        <v/>
      </c>
    </row>
    <row r="1877" spans="18:19" x14ac:dyDescent="0.25">
      <c r="R1877" s="8" t="str">
        <f t="shared" si="58"/>
        <v/>
      </c>
      <c r="S1877" s="82" t="str">
        <f t="shared" si="59"/>
        <v/>
      </c>
    </row>
    <row r="1878" spans="18:19" x14ac:dyDescent="0.25">
      <c r="R1878" s="8" t="str">
        <f t="shared" si="58"/>
        <v/>
      </c>
      <c r="S1878" s="82" t="str">
        <f t="shared" si="59"/>
        <v/>
      </c>
    </row>
    <row r="1879" spans="18:19" x14ac:dyDescent="0.25">
      <c r="R1879" s="8" t="str">
        <f t="shared" si="58"/>
        <v/>
      </c>
      <c r="S1879" s="82" t="str">
        <f t="shared" si="59"/>
        <v/>
      </c>
    </row>
    <row r="1880" spans="18:19" x14ac:dyDescent="0.25">
      <c r="R1880" s="8" t="str">
        <f t="shared" si="58"/>
        <v/>
      </c>
      <c r="S1880" s="82" t="str">
        <f t="shared" si="59"/>
        <v/>
      </c>
    </row>
    <row r="1881" spans="18:19" x14ac:dyDescent="0.25">
      <c r="R1881" s="8" t="str">
        <f t="shared" si="58"/>
        <v/>
      </c>
      <c r="S1881" s="82" t="str">
        <f t="shared" si="59"/>
        <v/>
      </c>
    </row>
    <row r="1882" spans="18:19" x14ac:dyDescent="0.25">
      <c r="R1882" s="8" t="str">
        <f t="shared" si="58"/>
        <v/>
      </c>
      <c r="S1882" s="82" t="str">
        <f t="shared" si="59"/>
        <v/>
      </c>
    </row>
    <row r="1883" spans="18:19" x14ac:dyDescent="0.25">
      <c r="R1883" s="8" t="str">
        <f t="shared" si="58"/>
        <v/>
      </c>
      <c r="S1883" s="82" t="str">
        <f t="shared" si="59"/>
        <v/>
      </c>
    </row>
    <row r="1884" spans="18:19" x14ac:dyDescent="0.25">
      <c r="R1884" s="8" t="str">
        <f t="shared" si="58"/>
        <v/>
      </c>
      <c r="S1884" s="82" t="str">
        <f t="shared" si="59"/>
        <v/>
      </c>
    </row>
    <row r="1885" spans="18:19" x14ac:dyDescent="0.25">
      <c r="R1885" s="8" t="str">
        <f t="shared" si="58"/>
        <v/>
      </c>
      <c r="S1885" s="82" t="str">
        <f t="shared" si="59"/>
        <v/>
      </c>
    </row>
    <row r="1886" spans="18:19" x14ac:dyDescent="0.25">
      <c r="R1886" s="8" t="str">
        <f t="shared" si="58"/>
        <v/>
      </c>
      <c r="S1886" s="82" t="str">
        <f t="shared" si="59"/>
        <v/>
      </c>
    </row>
    <row r="1887" spans="18:19" x14ac:dyDescent="0.25">
      <c r="R1887" s="8" t="str">
        <f t="shared" si="58"/>
        <v/>
      </c>
      <c r="S1887" s="82" t="str">
        <f t="shared" si="59"/>
        <v/>
      </c>
    </row>
    <row r="1888" spans="18:19" x14ac:dyDescent="0.25">
      <c r="R1888" s="8" t="str">
        <f t="shared" si="58"/>
        <v/>
      </c>
      <c r="S1888" s="82" t="str">
        <f t="shared" si="59"/>
        <v/>
      </c>
    </row>
    <row r="1889" spans="18:19" x14ac:dyDescent="0.25">
      <c r="R1889" s="8" t="str">
        <f t="shared" si="58"/>
        <v/>
      </c>
      <c r="S1889" s="82" t="str">
        <f t="shared" si="59"/>
        <v/>
      </c>
    </row>
    <row r="1890" spans="18:19" x14ac:dyDescent="0.25">
      <c r="R1890" s="8" t="str">
        <f t="shared" si="58"/>
        <v/>
      </c>
      <c r="S1890" s="82" t="str">
        <f t="shared" si="59"/>
        <v/>
      </c>
    </row>
    <row r="1891" spans="18:19" x14ac:dyDescent="0.25">
      <c r="R1891" s="8" t="str">
        <f t="shared" si="58"/>
        <v/>
      </c>
      <c r="S1891" s="82" t="str">
        <f t="shared" si="59"/>
        <v/>
      </c>
    </row>
    <row r="1892" spans="18:19" x14ac:dyDescent="0.25">
      <c r="R1892" s="8" t="str">
        <f t="shared" si="58"/>
        <v/>
      </c>
      <c r="S1892" s="82" t="str">
        <f t="shared" si="59"/>
        <v/>
      </c>
    </row>
    <row r="1893" spans="18:19" x14ac:dyDescent="0.25">
      <c r="R1893" s="8" t="str">
        <f t="shared" si="58"/>
        <v/>
      </c>
      <c r="S1893" s="82" t="str">
        <f t="shared" si="59"/>
        <v/>
      </c>
    </row>
    <row r="1894" spans="18:19" x14ac:dyDescent="0.25">
      <c r="R1894" s="8" t="str">
        <f t="shared" si="58"/>
        <v/>
      </c>
      <c r="S1894" s="82" t="str">
        <f t="shared" si="59"/>
        <v/>
      </c>
    </row>
    <row r="1895" spans="18:19" x14ac:dyDescent="0.25">
      <c r="R1895" s="8" t="str">
        <f t="shared" si="58"/>
        <v/>
      </c>
      <c r="S1895" s="82" t="str">
        <f t="shared" si="59"/>
        <v/>
      </c>
    </row>
    <row r="1896" spans="18:19" x14ac:dyDescent="0.25">
      <c r="R1896" s="8" t="str">
        <f t="shared" si="58"/>
        <v/>
      </c>
      <c r="S1896" s="82" t="str">
        <f t="shared" si="59"/>
        <v/>
      </c>
    </row>
    <row r="1897" spans="18:19" x14ac:dyDescent="0.25">
      <c r="R1897" s="8" t="str">
        <f t="shared" si="58"/>
        <v/>
      </c>
      <c r="S1897" s="82" t="str">
        <f t="shared" si="59"/>
        <v/>
      </c>
    </row>
    <row r="1898" spans="18:19" x14ac:dyDescent="0.25">
      <c r="R1898" s="8" t="str">
        <f t="shared" si="58"/>
        <v/>
      </c>
      <c r="S1898" s="82" t="str">
        <f t="shared" si="59"/>
        <v/>
      </c>
    </row>
    <row r="1899" spans="18:19" x14ac:dyDescent="0.25">
      <c r="R1899" s="8" t="str">
        <f t="shared" si="58"/>
        <v/>
      </c>
      <c r="S1899" s="82" t="str">
        <f t="shared" si="59"/>
        <v/>
      </c>
    </row>
    <row r="1900" spans="18:19" x14ac:dyDescent="0.25">
      <c r="R1900" s="8" t="str">
        <f t="shared" si="58"/>
        <v/>
      </c>
      <c r="S1900" s="82" t="str">
        <f t="shared" si="59"/>
        <v/>
      </c>
    </row>
    <row r="1901" spans="18:19" x14ac:dyDescent="0.25">
      <c r="R1901" s="8" t="str">
        <f t="shared" si="58"/>
        <v/>
      </c>
      <c r="S1901" s="82" t="str">
        <f t="shared" si="59"/>
        <v/>
      </c>
    </row>
    <row r="1902" spans="18:19" x14ac:dyDescent="0.25">
      <c r="R1902" s="8" t="str">
        <f t="shared" si="58"/>
        <v/>
      </c>
      <c r="S1902" s="82" t="str">
        <f t="shared" si="59"/>
        <v/>
      </c>
    </row>
    <row r="1903" spans="18:19" x14ac:dyDescent="0.25">
      <c r="R1903" s="8" t="str">
        <f t="shared" si="58"/>
        <v/>
      </c>
      <c r="S1903" s="82" t="str">
        <f t="shared" si="59"/>
        <v/>
      </c>
    </row>
    <row r="1904" spans="18:19" x14ac:dyDescent="0.25">
      <c r="R1904" s="8" t="str">
        <f t="shared" si="58"/>
        <v/>
      </c>
      <c r="S1904" s="82" t="str">
        <f t="shared" si="59"/>
        <v/>
      </c>
    </row>
    <row r="1905" spans="18:19" x14ac:dyDescent="0.25">
      <c r="R1905" s="8" t="str">
        <f t="shared" si="58"/>
        <v/>
      </c>
      <c r="S1905" s="82" t="str">
        <f t="shared" si="59"/>
        <v/>
      </c>
    </row>
    <row r="1906" spans="18:19" x14ac:dyDescent="0.25">
      <c r="R1906" s="8" t="str">
        <f t="shared" si="58"/>
        <v/>
      </c>
      <c r="S1906" s="82" t="str">
        <f t="shared" si="59"/>
        <v/>
      </c>
    </row>
    <row r="1907" spans="18:19" x14ac:dyDescent="0.25">
      <c r="R1907" s="8" t="str">
        <f t="shared" si="58"/>
        <v/>
      </c>
      <c r="S1907" s="82" t="str">
        <f t="shared" si="59"/>
        <v/>
      </c>
    </row>
    <row r="1908" spans="18:19" x14ac:dyDescent="0.25">
      <c r="R1908" s="8" t="str">
        <f t="shared" si="58"/>
        <v/>
      </c>
      <c r="S1908" s="82" t="str">
        <f t="shared" si="59"/>
        <v/>
      </c>
    </row>
    <row r="1909" spans="18:19" x14ac:dyDescent="0.25">
      <c r="R1909" s="8" t="str">
        <f t="shared" si="58"/>
        <v/>
      </c>
      <c r="S1909" s="82" t="str">
        <f t="shared" si="59"/>
        <v/>
      </c>
    </row>
    <row r="1910" spans="18:19" x14ac:dyDescent="0.25">
      <c r="R1910" s="8" t="str">
        <f t="shared" si="58"/>
        <v/>
      </c>
      <c r="S1910" s="82" t="str">
        <f t="shared" si="59"/>
        <v/>
      </c>
    </row>
    <row r="1911" spans="18:19" x14ac:dyDescent="0.25">
      <c r="R1911" s="8" t="str">
        <f t="shared" si="58"/>
        <v/>
      </c>
      <c r="S1911" s="82" t="str">
        <f t="shared" si="59"/>
        <v/>
      </c>
    </row>
    <row r="1912" spans="18:19" x14ac:dyDescent="0.25">
      <c r="R1912" s="8" t="str">
        <f t="shared" si="58"/>
        <v/>
      </c>
      <c r="S1912" s="82" t="str">
        <f t="shared" si="59"/>
        <v/>
      </c>
    </row>
    <row r="1913" spans="18:19" x14ac:dyDescent="0.25">
      <c r="R1913" s="8" t="str">
        <f t="shared" si="58"/>
        <v/>
      </c>
      <c r="S1913" s="82" t="str">
        <f t="shared" si="59"/>
        <v/>
      </c>
    </row>
    <row r="1914" spans="18:19" x14ac:dyDescent="0.25">
      <c r="R1914" s="8" t="str">
        <f t="shared" si="58"/>
        <v/>
      </c>
      <c r="S1914" s="82" t="str">
        <f t="shared" si="59"/>
        <v/>
      </c>
    </row>
    <row r="1915" spans="18:19" x14ac:dyDescent="0.25">
      <c r="R1915" s="8" t="str">
        <f t="shared" si="58"/>
        <v/>
      </c>
      <c r="S1915" s="82" t="str">
        <f t="shared" si="59"/>
        <v/>
      </c>
    </row>
    <row r="1916" spans="18:19" x14ac:dyDescent="0.25">
      <c r="R1916" s="8" t="str">
        <f t="shared" si="58"/>
        <v/>
      </c>
      <c r="S1916" s="82" t="str">
        <f t="shared" si="59"/>
        <v/>
      </c>
    </row>
    <row r="1917" spans="18:19" x14ac:dyDescent="0.25">
      <c r="R1917" s="8" t="str">
        <f t="shared" si="58"/>
        <v/>
      </c>
      <c r="S1917" s="82" t="str">
        <f t="shared" si="59"/>
        <v/>
      </c>
    </row>
    <row r="1918" spans="18:19" x14ac:dyDescent="0.25">
      <c r="R1918" s="8" t="str">
        <f t="shared" si="58"/>
        <v/>
      </c>
      <c r="S1918" s="82" t="str">
        <f t="shared" si="59"/>
        <v/>
      </c>
    </row>
    <row r="1919" spans="18:19" x14ac:dyDescent="0.25">
      <c r="R1919" s="8" t="str">
        <f t="shared" si="58"/>
        <v/>
      </c>
      <c r="S1919" s="82" t="str">
        <f t="shared" si="59"/>
        <v/>
      </c>
    </row>
    <row r="1920" spans="18:19" x14ac:dyDescent="0.25">
      <c r="R1920" s="8" t="str">
        <f t="shared" si="58"/>
        <v/>
      </c>
      <c r="S1920" s="82" t="str">
        <f t="shared" si="59"/>
        <v/>
      </c>
    </row>
    <row r="1921" spans="18:19" x14ac:dyDescent="0.25">
      <c r="R1921" s="8" t="str">
        <f t="shared" si="58"/>
        <v/>
      </c>
      <c r="S1921" s="82" t="str">
        <f t="shared" si="59"/>
        <v/>
      </c>
    </row>
    <row r="1922" spans="18:19" x14ac:dyDescent="0.25">
      <c r="R1922" s="8" t="str">
        <f t="shared" si="58"/>
        <v/>
      </c>
      <c r="S1922" s="82" t="str">
        <f t="shared" si="59"/>
        <v/>
      </c>
    </row>
    <row r="1923" spans="18:19" x14ac:dyDescent="0.25">
      <c r="R1923" s="8" t="str">
        <f t="shared" si="58"/>
        <v/>
      </c>
      <c r="S1923" s="82" t="str">
        <f t="shared" si="59"/>
        <v/>
      </c>
    </row>
    <row r="1924" spans="18:19" x14ac:dyDescent="0.25">
      <c r="R1924" s="8" t="str">
        <f t="shared" si="58"/>
        <v/>
      </c>
      <c r="S1924" s="82" t="str">
        <f t="shared" si="59"/>
        <v/>
      </c>
    </row>
    <row r="1925" spans="18:19" x14ac:dyDescent="0.25">
      <c r="R1925" s="8" t="str">
        <f t="shared" si="58"/>
        <v/>
      </c>
      <c r="S1925" s="82" t="str">
        <f t="shared" si="59"/>
        <v/>
      </c>
    </row>
    <row r="1926" spans="18:19" x14ac:dyDescent="0.25">
      <c r="R1926" s="8" t="str">
        <f t="shared" si="58"/>
        <v/>
      </c>
      <c r="S1926" s="82" t="str">
        <f t="shared" si="59"/>
        <v/>
      </c>
    </row>
    <row r="1927" spans="18:19" x14ac:dyDescent="0.25">
      <c r="R1927" s="8" t="str">
        <f t="shared" si="58"/>
        <v/>
      </c>
      <c r="S1927" s="82" t="str">
        <f t="shared" si="59"/>
        <v/>
      </c>
    </row>
    <row r="1928" spans="18:19" x14ac:dyDescent="0.25">
      <c r="R1928" s="8" t="str">
        <f t="shared" ref="R1928:R1991" si="60">IF(A1928="",(""),(MONTH(A1928)))</f>
        <v/>
      </c>
      <c r="S1928" s="82" t="str">
        <f t="shared" ref="S1928:S1991" si="61">IF(B1928="",(""),IF(B1928="3 - Nota de Crédito A",-Q1928,IF(B1928="8 - Nota de Crédito B",-Q1928,(Q1928))))</f>
        <v/>
      </c>
    </row>
    <row r="1929" spans="18:19" x14ac:dyDescent="0.25">
      <c r="R1929" s="8" t="str">
        <f t="shared" si="60"/>
        <v/>
      </c>
      <c r="S1929" s="82" t="str">
        <f t="shared" si="61"/>
        <v/>
      </c>
    </row>
    <row r="1930" spans="18:19" x14ac:dyDescent="0.25">
      <c r="R1930" s="8" t="str">
        <f t="shared" si="60"/>
        <v/>
      </c>
      <c r="S1930" s="82" t="str">
        <f t="shared" si="61"/>
        <v/>
      </c>
    </row>
    <row r="1931" spans="18:19" x14ac:dyDescent="0.25">
      <c r="R1931" s="8" t="str">
        <f t="shared" si="60"/>
        <v/>
      </c>
      <c r="S1931" s="82" t="str">
        <f t="shared" si="61"/>
        <v/>
      </c>
    </row>
    <row r="1932" spans="18:19" x14ac:dyDescent="0.25">
      <c r="R1932" s="8" t="str">
        <f t="shared" si="60"/>
        <v/>
      </c>
      <c r="S1932" s="82" t="str">
        <f t="shared" si="61"/>
        <v/>
      </c>
    </row>
    <row r="1933" spans="18:19" x14ac:dyDescent="0.25">
      <c r="R1933" s="8" t="str">
        <f t="shared" si="60"/>
        <v/>
      </c>
      <c r="S1933" s="82" t="str">
        <f t="shared" si="61"/>
        <v/>
      </c>
    </row>
    <row r="1934" spans="18:19" x14ac:dyDescent="0.25">
      <c r="R1934" s="8" t="str">
        <f t="shared" si="60"/>
        <v/>
      </c>
      <c r="S1934" s="82" t="str">
        <f t="shared" si="61"/>
        <v/>
      </c>
    </row>
    <row r="1935" spans="18:19" x14ac:dyDescent="0.25">
      <c r="R1935" s="8" t="str">
        <f t="shared" si="60"/>
        <v/>
      </c>
      <c r="S1935" s="82" t="str">
        <f t="shared" si="61"/>
        <v/>
      </c>
    </row>
    <row r="1936" spans="18:19" x14ac:dyDescent="0.25">
      <c r="R1936" s="8" t="str">
        <f t="shared" si="60"/>
        <v/>
      </c>
      <c r="S1936" s="82" t="str">
        <f t="shared" si="61"/>
        <v/>
      </c>
    </row>
    <row r="1937" spans="18:19" x14ac:dyDescent="0.25">
      <c r="R1937" s="8" t="str">
        <f t="shared" si="60"/>
        <v/>
      </c>
      <c r="S1937" s="82" t="str">
        <f t="shared" si="61"/>
        <v/>
      </c>
    </row>
    <row r="1938" spans="18:19" x14ac:dyDescent="0.25">
      <c r="R1938" s="8" t="str">
        <f t="shared" si="60"/>
        <v/>
      </c>
      <c r="S1938" s="82" t="str">
        <f t="shared" si="61"/>
        <v/>
      </c>
    </row>
    <row r="1939" spans="18:19" x14ac:dyDescent="0.25">
      <c r="R1939" s="8" t="str">
        <f t="shared" si="60"/>
        <v/>
      </c>
      <c r="S1939" s="82" t="str">
        <f t="shared" si="61"/>
        <v/>
      </c>
    </row>
    <row r="1940" spans="18:19" x14ac:dyDescent="0.25">
      <c r="R1940" s="8" t="str">
        <f t="shared" si="60"/>
        <v/>
      </c>
      <c r="S1940" s="82" t="str">
        <f t="shared" si="61"/>
        <v/>
      </c>
    </row>
    <row r="1941" spans="18:19" x14ac:dyDescent="0.25">
      <c r="R1941" s="8" t="str">
        <f t="shared" si="60"/>
        <v/>
      </c>
      <c r="S1941" s="82" t="str">
        <f t="shared" si="61"/>
        <v/>
      </c>
    </row>
    <row r="1942" spans="18:19" x14ac:dyDescent="0.25">
      <c r="R1942" s="8" t="str">
        <f t="shared" si="60"/>
        <v/>
      </c>
      <c r="S1942" s="82" t="str">
        <f t="shared" si="61"/>
        <v/>
      </c>
    </row>
    <row r="1943" spans="18:19" x14ac:dyDescent="0.25">
      <c r="R1943" s="8" t="str">
        <f t="shared" si="60"/>
        <v/>
      </c>
      <c r="S1943" s="82" t="str">
        <f t="shared" si="61"/>
        <v/>
      </c>
    </row>
    <row r="1944" spans="18:19" x14ac:dyDescent="0.25">
      <c r="R1944" s="8" t="str">
        <f t="shared" si="60"/>
        <v/>
      </c>
      <c r="S1944" s="82" t="str">
        <f t="shared" si="61"/>
        <v/>
      </c>
    </row>
    <row r="1945" spans="18:19" x14ac:dyDescent="0.25">
      <c r="R1945" s="8" t="str">
        <f t="shared" si="60"/>
        <v/>
      </c>
      <c r="S1945" s="82" t="str">
        <f t="shared" si="61"/>
        <v/>
      </c>
    </row>
    <row r="1946" spans="18:19" x14ac:dyDescent="0.25">
      <c r="R1946" s="8" t="str">
        <f t="shared" si="60"/>
        <v/>
      </c>
      <c r="S1946" s="82" t="str">
        <f t="shared" si="61"/>
        <v/>
      </c>
    </row>
    <row r="1947" spans="18:19" x14ac:dyDescent="0.25">
      <c r="R1947" s="8" t="str">
        <f t="shared" si="60"/>
        <v/>
      </c>
      <c r="S1947" s="82" t="str">
        <f t="shared" si="61"/>
        <v/>
      </c>
    </row>
    <row r="1948" spans="18:19" x14ac:dyDescent="0.25">
      <c r="R1948" s="8" t="str">
        <f t="shared" si="60"/>
        <v/>
      </c>
      <c r="S1948" s="82" t="str">
        <f t="shared" si="61"/>
        <v/>
      </c>
    </row>
    <row r="1949" spans="18:19" x14ac:dyDescent="0.25">
      <c r="R1949" s="8" t="str">
        <f t="shared" si="60"/>
        <v/>
      </c>
      <c r="S1949" s="82" t="str">
        <f t="shared" si="61"/>
        <v/>
      </c>
    </row>
    <row r="1950" spans="18:19" x14ac:dyDescent="0.25">
      <c r="R1950" s="8" t="str">
        <f t="shared" si="60"/>
        <v/>
      </c>
      <c r="S1950" s="82" t="str">
        <f t="shared" si="61"/>
        <v/>
      </c>
    </row>
    <row r="1951" spans="18:19" x14ac:dyDescent="0.25">
      <c r="R1951" s="8" t="str">
        <f t="shared" si="60"/>
        <v/>
      </c>
      <c r="S1951" s="82" t="str">
        <f t="shared" si="61"/>
        <v/>
      </c>
    </row>
    <row r="1952" spans="18:19" x14ac:dyDescent="0.25">
      <c r="R1952" s="8" t="str">
        <f t="shared" si="60"/>
        <v/>
      </c>
      <c r="S1952" s="82" t="str">
        <f t="shared" si="61"/>
        <v/>
      </c>
    </row>
    <row r="1953" spans="18:19" x14ac:dyDescent="0.25">
      <c r="R1953" s="8" t="str">
        <f t="shared" si="60"/>
        <v/>
      </c>
      <c r="S1953" s="82" t="str">
        <f t="shared" si="61"/>
        <v/>
      </c>
    </row>
    <row r="1954" spans="18:19" x14ac:dyDescent="0.25">
      <c r="R1954" s="8" t="str">
        <f t="shared" si="60"/>
        <v/>
      </c>
      <c r="S1954" s="82" t="str">
        <f t="shared" si="61"/>
        <v/>
      </c>
    </row>
    <row r="1955" spans="18:19" x14ac:dyDescent="0.25">
      <c r="R1955" s="8" t="str">
        <f t="shared" si="60"/>
        <v/>
      </c>
      <c r="S1955" s="82" t="str">
        <f t="shared" si="61"/>
        <v/>
      </c>
    </row>
    <row r="1956" spans="18:19" x14ac:dyDescent="0.25">
      <c r="R1956" s="8" t="str">
        <f t="shared" si="60"/>
        <v/>
      </c>
      <c r="S1956" s="82" t="str">
        <f t="shared" si="61"/>
        <v/>
      </c>
    </row>
    <row r="1957" spans="18:19" x14ac:dyDescent="0.25">
      <c r="R1957" s="8" t="str">
        <f t="shared" si="60"/>
        <v/>
      </c>
      <c r="S1957" s="82" t="str">
        <f t="shared" si="61"/>
        <v/>
      </c>
    </row>
    <row r="1958" spans="18:19" x14ac:dyDescent="0.25">
      <c r="R1958" s="8" t="str">
        <f t="shared" si="60"/>
        <v/>
      </c>
      <c r="S1958" s="82" t="str">
        <f t="shared" si="61"/>
        <v/>
      </c>
    </row>
    <row r="1959" spans="18:19" x14ac:dyDescent="0.25">
      <c r="R1959" s="8" t="str">
        <f t="shared" si="60"/>
        <v/>
      </c>
      <c r="S1959" s="82" t="str">
        <f t="shared" si="61"/>
        <v/>
      </c>
    </row>
    <row r="1960" spans="18:19" x14ac:dyDescent="0.25">
      <c r="R1960" s="8" t="str">
        <f t="shared" si="60"/>
        <v/>
      </c>
      <c r="S1960" s="82" t="str">
        <f t="shared" si="61"/>
        <v/>
      </c>
    </row>
    <row r="1961" spans="18:19" x14ac:dyDescent="0.25">
      <c r="R1961" s="8" t="str">
        <f t="shared" si="60"/>
        <v/>
      </c>
      <c r="S1961" s="82" t="str">
        <f t="shared" si="61"/>
        <v/>
      </c>
    </row>
    <row r="1962" spans="18:19" x14ac:dyDescent="0.25">
      <c r="R1962" s="8" t="str">
        <f t="shared" si="60"/>
        <v/>
      </c>
      <c r="S1962" s="82" t="str">
        <f t="shared" si="61"/>
        <v/>
      </c>
    </row>
    <row r="1963" spans="18:19" x14ac:dyDescent="0.25">
      <c r="R1963" s="8" t="str">
        <f t="shared" si="60"/>
        <v/>
      </c>
      <c r="S1963" s="82" t="str">
        <f t="shared" si="61"/>
        <v/>
      </c>
    </row>
    <row r="1964" spans="18:19" x14ac:dyDescent="0.25">
      <c r="R1964" s="8" t="str">
        <f t="shared" si="60"/>
        <v/>
      </c>
      <c r="S1964" s="82" t="str">
        <f t="shared" si="61"/>
        <v/>
      </c>
    </row>
    <row r="1965" spans="18:19" x14ac:dyDescent="0.25">
      <c r="R1965" s="8" t="str">
        <f t="shared" si="60"/>
        <v/>
      </c>
      <c r="S1965" s="82" t="str">
        <f t="shared" si="61"/>
        <v/>
      </c>
    </row>
    <row r="1966" spans="18:19" x14ac:dyDescent="0.25">
      <c r="R1966" s="8" t="str">
        <f t="shared" si="60"/>
        <v/>
      </c>
      <c r="S1966" s="82" t="str">
        <f t="shared" si="61"/>
        <v/>
      </c>
    </row>
    <row r="1967" spans="18:19" x14ac:dyDescent="0.25">
      <c r="R1967" s="8" t="str">
        <f t="shared" si="60"/>
        <v/>
      </c>
      <c r="S1967" s="82" t="str">
        <f t="shared" si="61"/>
        <v/>
      </c>
    </row>
    <row r="1968" spans="18:19" x14ac:dyDescent="0.25">
      <c r="R1968" s="8" t="str">
        <f t="shared" si="60"/>
        <v/>
      </c>
      <c r="S1968" s="82" t="str">
        <f t="shared" si="61"/>
        <v/>
      </c>
    </row>
    <row r="1969" spans="18:19" x14ac:dyDescent="0.25">
      <c r="R1969" s="8" t="str">
        <f t="shared" si="60"/>
        <v/>
      </c>
      <c r="S1969" s="82" t="str">
        <f t="shared" si="61"/>
        <v/>
      </c>
    </row>
    <row r="1970" spans="18:19" x14ac:dyDescent="0.25">
      <c r="R1970" s="8" t="str">
        <f t="shared" si="60"/>
        <v/>
      </c>
      <c r="S1970" s="82" t="str">
        <f t="shared" si="61"/>
        <v/>
      </c>
    </row>
    <row r="1971" spans="18:19" x14ac:dyDescent="0.25">
      <c r="R1971" s="8" t="str">
        <f t="shared" si="60"/>
        <v/>
      </c>
      <c r="S1971" s="82" t="str">
        <f t="shared" si="61"/>
        <v/>
      </c>
    </row>
    <row r="1972" spans="18:19" x14ac:dyDescent="0.25">
      <c r="R1972" s="8" t="str">
        <f t="shared" si="60"/>
        <v/>
      </c>
      <c r="S1972" s="82" t="str">
        <f t="shared" si="61"/>
        <v/>
      </c>
    </row>
    <row r="1973" spans="18:19" x14ac:dyDescent="0.25">
      <c r="R1973" s="8" t="str">
        <f t="shared" si="60"/>
        <v/>
      </c>
      <c r="S1973" s="82" t="str">
        <f t="shared" si="61"/>
        <v/>
      </c>
    </row>
    <row r="1974" spans="18:19" x14ac:dyDescent="0.25">
      <c r="R1974" s="8" t="str">
        <f t="shared" si="60"/>
        <v/>
      </c>
      <c r="S1974" s="82" t="str">
        <f t="shared" si="61"/>
        <v/>
      </c>
    </row>
    <row r="1975" spans="18:19" x14ac:dyDescent="0.25">
      <c r="R1975" s="8" t="str">
        <f t="shared" si="60"/>
        <v/>
      </c>
      <c r="S1975" s="82" t="str">
        <f t="shared" si="61"/>
        <v/>
      </c>
    </row>
    <row r="1976" spans="18:19" x14ac:dyDescent="0.25">
      <c r="R1976" s="8" t="str">
        <f t="shared" si="60"/>
        <v/>
      </c>
      <c r="S1976" s="82" t="str">
        <f t="shared" si="61"/>
        <v/>
      </c>
    </row>
    <row r="1977" spans="18:19" x14ac:dyDescent="0.25">
      <c r="R1977" s="8" t="str">
        <f t="shared" si="60"/>
        <v/>
      </c>
      <c r="S1977" s="82" t="str">
        <f t="shared" si="61"/>
        <v/>
      </c>
    </row>
    <row r="1978" spans="18:19" x14ac:dyDescent="0.25">
      <c r="R1978" s="8" t="str">
        <f t="shared" si="60"/>
        <v/>
      </c>
      <c r="S1978" s="82" t="str">
        <f t="shared" si="61"/>
        <v/>
      </c>
    </row>
    <row r="1979" spans="18:19" x14ac:dyDescent="0.25">
      <c r="R1979" s="8" t="str">
        <f t="shared" si="60"/>
        <v/>
      </c>
      <c r="S1979" s="82" t="str">
        <f t="shared" si="61"/>
        <v/>
      </c>
    </row>
    <row r="1980" spans="18:19" x14ac:dyDescent="0.25">
      <c r="R1980" s="8" t="str">
        <f t="shared" si="60"/>
        <v/>
      </c>
      <c r="S1980" s="82" t="str">
        <f t="shared" si="61"/>
        <v/>
      </c>
    </row>
    <row r="1981" spans="18:19" x14ac:dyDescent="0.25">
      <c r="R1981" s="8" t="str">
        <f t="shared" si="60"/>
        <v/>
      </c>
      <c r="S1981" s="82" t="str">
        <f t="shared" si="61"/>
        <v/>
      </c>
    </row>
    <row r="1982" spans="18:19" x14ac:dyDescent="0.25">
      <c r="R1982" s="8" t="str">
        <f t="shared" si="60"/>
        <v/>
      </c>
      <c r="S1982" s="82" t="str">
        <f t="shared" si="61"/>
        <v/>
      </c>
    </row>
    <row r="1983" spans="18:19" x14ac:dyDescent="0.25">
      <c r="R1983" s="8" t="str">
        <f t="shared" si="60"/>
        <v/>
      </c>
      <c r="S1983" s="82" t="str">
        <f t="shared" si="61"/>
        <v/>
      </c>
    </row>
    <row r="1984" spans="18:19" x14ac:dyDescent="0.25">
      <c r="R1984" s="8" t="str">
        <f t="shared" si="60"/>
        <v/>
      </c>
      <c r="S1984" s="82" t="str">
        <f t="shared" si="61"/>
        <v/>
      </c>
    </row>
    <row r="1985" spans="18:19" x14ac:dyDescent="0.25">
      <c r="R1985" s="8" t="str">
        <f t="shared" si="60"/>
        <v/>
      </c>
      <c r="S1985" s="82" t="str">
        <f t="shared" si="61"/>
        <v/>
      </c>
    </row>
    <row r="1986" spans="18:19" x14ac:dyDescent="0.25">
      <c r="R1986" s="8" t="str">
        <f t="shared" si="60"/>
        <v/>
      </c>
      <c r="S1986" s="82" t="str">
        <f t="shared" si="61"/>
        <v/>
      </c>
    </row>
    <row r="1987" spans="18:19" x14ac:dyDescent="0.25">
      <c r="R1987" s="8" t="str">
        <f t="shared" si="60"/>
        <v/>
      </c>
      <c r="S1987" s="82" t="str">
        <f t="shared" si="61"/>
        <v/>
      </c>
    </row>
    <row r="1988" spans="18:19" x14ac:dyDescent="0.25">
      <c r="R1988" s="8" t="str">
        <f t="shared" si="60"/>
        <v/>
      </c>
      <c r="S1988" s="82" t="str">
        <f t="shared" si="61"/>
        <v/>
      </c>
    </row>
    <row r="1989" spans="18:19" x14ac:dyDescent="0.25">
      <c r="R1989" s="8" t="str">
        <f t="shared" si="60"/>
        <v/>
      </c>
      <c r="S1989" s="82" t="str">
        <f t="shared" si="61"/>
        <v/>
      </c>
    </row>
    <row r="1990" spans="18:19" x14ac:dyDescent="0.25">
      <c r="R1990" s="8" t="str">
        <f t="shared" si="60"/>
        <v/>
      </c>
      <c r="S1990" s="82" t="str">
        <f t="shared" si="61"/>
        <v/>
      </c>
    </row>
    <row r="1991" spans="18:19" x14ac:dyDescent="0.25">
      <c r="R1991" s="8" t="str">
        <f t="shared" si="60"/>
        <v/>
      </c>
      <c r="S1991" s="82" t="str">
        <f t="shared" si="61"/>
        <v/>
      </c>
    </row>
    <row r="1992" spans="18:19" x14ac:dyDescent="0.25">
      <c r="R1992" s="8" t="str">
        <f t="shared" ref="R1992:R2055" si="62">IF(A1992="",(""),(MONTH(A1992)))</f>
        <v/>
      </c>
      <c r="S1992" s="82" t="str">
        <f t="shared" ref="S1992:S2055" si="63">IF(B1992="",(""),IF(B1992="3 - Nota de Crédito A",-Q1992,IF(B1992="8 - Nota de Crédito B",-Q1992,(Q1992))))</f>
        <v/>
      </c>
    </row>
    <row r="1993" spans="18:19" x14ac:dyDescent="0.25">
      <c r="R1993" s="8" t="str">
        <f t="shared" si="62"/>
        <v/>
      </c>
      <c r="S1993" s="82" t="str">
        <f t="shared" si="63"/>
        <v/>
      </c>
    </row>
    <row r="1994" spans="18:19" x14ac:dyDescent="0.25">
      <c r="R1994" s="8" t="str">
        <f t="shared" si="62"/>
        <v/>
      </c>
      <c r="S1994" s="82" t="str">
        <f t="shared" si="63"/>
        <v/>
      </c>
    </row>
    <row r="1995" spans="18:19" x14ac:dyDescent="0.25">
      <c r="R1995" s="8" t="str">
        <f t="shared" si="62"/>
        <v/>
      </c>
      <c r="S1995" s="82" t="str">
        <f t="shared" si="63"/>
        <v/>
      </c>
    </row>
    <row r="1996" spans="18:19" x14ac:dyDescent="0.25">
      <c r="R1996" s="8" t="str">
        <f t="shared" si="62"/>
        <v/>
      </c>
      <c r="S1996" s="82" t="str">
        <f t="shared" si="63"/>
        <v/>
      </c>
    </row>
    <row r="1997" spans="18:19" x14ac:dyDescent="0.25">
      <c r="R1997" s="8" t="str">
        <f t="shared" si="62"/>
        <v/>
      </c>
      <c r="S1997" s="82" t="str">
        <f t="shared" si="63"/>
        <v/>
      </c>
    </row>
    <row r="1998" spans="18:19" x14ac:dyDescent="0.25">
      <c r="R1998" s="8" t="str">
        <f t="shared" si="62"/>
        <v/>
      </c>
      <c r="S1998" s="82" t="str">
        <f t="shared" si="63"/>
        <v/>
      </c>
    </row>
    <row r="1999" spans="18:19" x14ac:dyDescent="0.25">
      <c r="R1999" s="8" t="str">
        <f t="shared" si="62"/>
        <v/>
      </c>
      <c r="S1999" s="82" t="str">
        <f t="shared" si="63"/>
        <v/>
      </c>
    </row>
    <row r="2000" spans="18:19" x14ac:dyDescent="0.25">
      <c r="R2000" s="8" t="str">
        <f t="shared" si="62"/>
        <v/>
      </c>
      <c r="S2000" s="82" t="str">
        <f t="shared" si="63"/>
        <v/>
      </c>
    </row>
    <row r="2001" spans="18:19" x14ac:dyDescent="0.25">
      <c r="R2001" s="8" t="str">
        <f t="shared" si="62"/>
        <v/>
      </c>
      <c r="S2001" s="82" t="str">
        <f t="shared" si="63"/>
        <v/>
      </c>
    </row>
    <row r="2002" spans="18:19" x14ac:dyDescent="0.25">
      <c r="R2002" s="8" t="str">
        <f t="shared" si="62"/>
        <v/>
      </c>
      <c r="S2002" s="82" t="str">
        <f t="shared" si="63"/>
        <v/>
      </c>
    </row>
    <row r="2003" spans="18:19" x14ac:dyDescent="0.25">
      <c r="R2003" s="8" t="str">
        <f t="shared" si="62"/>
        <v/>
      </c>
      <c r="S2003" s="82" t="str">
        <f t="shared" si="63"/>
        <v/>
      </c>
    </row>
    <row r="2004" spans="18:19" x14ac:dyDescent="0.25">
      <c r="R2004" s="8" t="str">
        <f t="shared" si="62"/>
        <v/>
      </c>
      <c r="S2004" s="82" t="str">
        <f t="shared" si="63"/>
        <v/>
      </c>
    </row>
    <row r="2005" spans="18:19" x14ac:dyDescent="0.25">
      <c r="R2005" s="8" t="str">
        <f t="shared" si="62"/>
        <v/>
      </c>
      <c r="S2005" s="82" t="str">
        <f t="shared" si="63"/>
        <v/>
      </c>
    </row>
    <row r="2006" spans="18:19" x14ac:dyDescent="0.25">
      <c r="R2006" s="8" t="str">
        <f t="shared" si="62"/>
        <v/>
      </c>
      <c r="S2006" s="82" t="str">
        <f t="shared" si="63"/>
        <v/>
      </c>
    </row>
    <row r="2007" spans="18:19" x14ac:dyDescent="0.25">
      <c r="R2007" s="8" t="str">
        <f t="shared" si="62"/>
        <v/>
      </c>
      <c r="S2007" s="82" t="str">
        <f t="shared" si="63"/>
        <v/>
      </c>
    </row>
    <row r="2008" spans="18:19" x14ac:dyDescent="0.25">
      <c r="R2008" s="8" t="str">
        <f t="shared" si="62"/>
        <v/>
      </c>
      <c r="S2008" s="82" t="str">
        <f t="shared" si="63"/>
        <v/>
      </c>
    </row>
    <row r="2009" spans="18:19" x14ac:dyDescent="0.25">
      <c r="R2009" s="8" t="str">
        <f t="shared" si="62"/>
        <v/>
      </c>
      <c r="S2009" s="82" t="str">
        <f t="shared" si="63"/>
        <v/>
      </c>
    </row>
    <row r="2010" spans="18:19" x14ac:dyDescent="0.25">
      <c r="R2010" s="8" t="str">
        <f t="shared" si="62"/>
        <v/>
      </c>
      <c r="S2010" s="82" t="str">
        <f t="shared" si="63"/>
        <v/>
      </c>
    </row>
    <row r="2011" spans="18:19" x14ac:dyDescent="0.25">
      <c r="R2011" s="8" t="str">
        <f t="shared" si="62"/>
        <v/>
      </c>
      <c r="S2011" s="82" t="str">
        <f t="shared" si="63"/>
        <v/>
      </c>
    </row>
    <row r="2012" spans="18:19" x14ac:dyDescent="0.25">
      <c r="R2012" s="8" t="str">
        <f t="shared" si="62"/>
        <v/>
      </c>
      <c r="S2012" s="82" t="str">
        <f t="shared" si="63"/>
        <v/>
      </c>
    </row>
    <row r="2013" spans="18:19" x14ac:dyDescent="0.25">
      <c r="R2013" s="8" t="str">
        <f t="shared" si="62"/>
        <v/>
      </c>
      <c r="S2013" s="82" t="str">
        <f t="shared" si="63"/>
        <v/>
      </c>
    </row>
    <row r="2014" spans="18:19" x14ac:dyDescent="0.25">
      <c r="R2014" s="8" t="str">
        <f t="shared" si="62"/>
        <v/>
      </c>
      <c r="S2014" s="82" t="str">
        <f t="shared" si="63"/>
        <v/>
      </c>
    </row>
    <row r="2015" spans="18:19" x14ac:dyDescent="0.25">
      <c r="R2015" s="8" t="str">
        <f t="shared" si="62"/>
        <v/>
      </c>
      <c r="S2015" s="82" t="str">
        <f t="shared" si="63"/>
        <v/>
      </c>
    </row>
    <row r="2016" spans="18:19" x14ac:dyDescent="0.25">
      <c r="R2016" s="8" t="str">
        <f t="shared" si="62"/>
        <v/>
      </c>
      <c r="S2016" s="82" t="str">
        <f t="shared" si="63"/>
        <v/>
      </c>
    </row>
    <row r="2017" spans="18:19" x14ac:dyDescent="0.25">
      <c r="R2017" s="8" t="str">
        <f t="shared" si="62"/>
        <v/>
      </c>
      <c r="S2017" s="82" t="str">
        <f t="shared" si="63"/>
        <v/>
      </c>
    </row>
    <row r="2018" spans="18:19" x14ac:dyDescent="0.25">
      <c r="R2018" s="8" t="str">
        <f t="shared" si="62"/>
        <v/>
      </c>
      <c r="S2018" s="82" t="str">
        <f t="shared" si="63"/>
        <v/>
      </c>
    </row>
    <row r="2019" spans="18:19" x14ac:dyDescent="0.25">
      <c r="R2019" s="8" t="str">
        <f t="shared" si="62"/>
        <v/>
      </c>
      <c r="S2019" s="82" t="str">
        <f t="shared" si="63"/>
        <v/>
      </c>
    </row>
    <row r="2020" spans="18:19" x14ac:dyDescent="0.25">
      <c r="R2020" s="8" t="str">
        <f t="shared" si="62"/>
        <v/>
      </c>
      <c r="S2020" s="82" t="str">
        <f t="shared" si="63"/>
        <v/>
      </c>
    </row>
    <row r="2021" spans="18:19" x14ac:dyDescent="0.25">
      <c r="R2021" s="8" t="str">
        <f t="shared" si="62"/>
        <v/>
      </c>
      <c r="S2021" s="82" t="str">
        <f t="shared" si="63"/>
        <v/>
      </c>
    </row>
    <row r="2022" spans="18:19" x14ac:dyDescent="0.25">
      <c r="R2022" s="8" t="str">
        <f t="shared" si="62"/>
        <v/>
      </c>
      <c r="S2022" s="82" t="str">
        <f t="shared" si="63"/>
        <v/>
      </c>
    </row>
    <row r="2023" spans="18:19" x14ac:dyDescent="0.25">
      <c r="R2023" s="8" t="str">
        <f t="shared" si="62"/>
        <v/>
      </c>
      <c r="S2023" s="82" t="str">
        <f t="shared" si="63"/>
        <v/>
      </c>
    </row>
    <row r="2024" spans="18:19" x14ac:dyDescent="0.25">
      <c r="R2024" s="8" t="str">
        <f t="shared" si="62"/>
        <v/>
      </c>
      <c r="S2024" s="82" t="str">
        <f t="shared" si="63"/>
        <v/>
      </c>
    </row>
    <row r="2025" spans="18:19" x14ac:dyDescent="0.25">
      <c r="R2025" s="8" t="str">
        <f t="shared" si="62"/>
        <v/>
      </c>
      <c r="S2025" s="82" t="str">
        <f t="shared" si="63"/>
        <v/>
      </c>
    </row>
    <row r="2026" spans="18:19" x14ac:dyDescent="0.25">
      <c r="R2026" s="8" t="str">
        <f t="shared" si="62"/>
        <v/>
      </c>
      <c r="S2026" s="82" t="str">
        <f t="shared" si="63"/>
        <v/>
      </c>
    </row>
    <row r="2027" spans="18:19" x14ac:dyDescent="0.25">
      <c r="R2027" s="8" t="str">
        <f t="shared" si="62"/>
        <v/>
      </c>
      <c r="S2027" s="82" t="str">
        <f t="shared" si="63"/>
        <v/>
      </c>
    </row>
    <row r="2028" spans="18:19" x14ac:dyDescent="0.25">
      <c r="R2028" s="8" t="str">
        <f t="shared" si="62"/>
        <v/>
      </c>
      <c r="S2028" s="82" t="str">
        <f t="shared" si="63"/>
        <v/>
      </c>
    </row>
    <row r="2029" spans="18:19" x14ac:dyDescent="0.25">
      <c r="R2029" s="8" t="str">
        <f t="shared" si="62"/>
        <v/>
      </c>
      <c r="S2029" s="82" t="str">
        <f t="shared" si="63"/>
        <v/>
      </c>
    </row>
    <row r="2030" spans="18:19" x14ac:dyDescent="0.25">
      <c r="R2030" s="8" t="str">
        <f t="shared" si="62"/>
        <v/>
      </c>
      <c r="S2030" s="82" t="str">
        <f t="shared" si="63"/>
        <v/>
      </c>
    </row>
    <row r="2031" spans="18:19" x14ac:dyDescent="0.25">
      <c r="R2031" s="8" t="str">
        <f t="shared" si="62"/>
        <v/>
      </c>
      <c r="S2031" s="82" t="str">
        <f t="shared" si="63"/>
        <v/>
      </c>
    </row>
    <row r="2032" spans="18:19" x14ac:dyDescent="0.25">
      <c r="R2032" s="8" t="str">
        <f t="shared" si="62"/>
        <v/>
      </c>
      <c r="S2032" s="82" t="str">
        <f t="shared" si="63"/>
        <v/>
      </c>
    </row>
    <row r="2033" spans="18:19" x14ac:dyDescent="0.25">
      <c r="R2033" s="8" t="str">
        <f t="shared" si="62"/>
        <v/>
      </c>
      <c r="S2033" s="82" t="str">
        <f t="shared" si="63"/>
        <v/>
      </c>
    </row>
    <row r="2034" spans="18:19" x14ac:dyDescent="0.25">
      <c r="R2034" s="8" t="str">
        <f t="shared" si="62"/>
        <v/>
      </c>
      <c r="S2034" s="82" t="str">
        <f t="shared" si="63"/>
        <v/>
      </c>
    </row>
    <row r="2035" spans="18:19" x14ac:dyDescent="0.25">
      <c r="R2035" s="8" t="str">
        <f t="shared" si="62"/>
        <v/>
      </c>
      <c r="S2035" s="82" t="str">
        <f t="shared" si="63"/>
        <v/>
      </c>
    </row>
    <row r="2036" spans="18:19" x14ac:dyDescent="0.25">
      <c r="R2036" s="8" t="str">
        <f t="shared" si="62"/>
        <v/>
      </c>
      <c r="S2036" s="82" t="str">
        <f t="shared" si="63"/>
        <v/>
      </c>
    </row>
    <row r="2037" spans="18:19" x14ac:dyDescent="0.25">
      <c r="R2037" s="8" t="str">
        <f t="shared" si="62"/>
        <v/>
      </c>
      <c r="S2037" s="82" t="str">
        <f t="shared" si="63"/>
        <v/>
      </c>
    </row>
    <row r="2038" spans="18:19" x14ac:dyDescent="0.25">
      <c r="R2038" s="8" t="str">
        <f t="shared" si="62"/>
        <v/>
      </c>
      <c r="S2038" s="82" t="str">
        <f t="shared" si="63"/>
        <v/>
      </c>
    </row>
    <row r="2039" spans="18:19" x14ac:dyDescent="0.25">
      <c r="R2039" s="8" t="str">
        <f t="shared" si="62"/>
        <v/>
      </c>
      <c r="S2039" s="82" t="str">
        <f t="shared" si="63"/>
        <v/>
      </c>
    </row>
    <row r="2040" spans="18:19" x14ac:dyDescent="0.25">
      <c r="R2040" s="8" t="str">
        <f t="shared" si="62"/>
        <v/>
      </c>
      <c r="S2040" s="82" t="str">
        <f t="shared" si="63"/>
        <v/>
      </c>
    </row>
    <row r="2041" spans="18:19" x14ac:dyDescent="0.25">
      <c r="R2041" s="8" t="str">
        <f t="shared" si="62"/>
        <v/>
      </c>
      <c r="S2041" s="82" t="str">
        <f t="shared" si="63"/>
        <v/>
      </c>
    </row>
    <row r="2042" spans="18:19" x14ac:dyDescent="0.25">
      <c r="R2042" s="8" t="str">
        <f t="shared" si="62"/>
        <v/>
      </c>
      <c r="S2042" s="82" t="str">
        <f t="shared" si="63"/>
        <v/>
      </c>
    </row>
    <row r="2043" spans="18:19" x14ac:dyDescent="0.25">
      <c r="R2043" s="8" t="str">
        <f t="shared" si="62"/>
        <v/>
      </c>
      <c r="S2043" s="82" t="str">
        <f t="shared" si="63"/>
        <v/>
      </c>
    </row>
    <row r="2044" spans="18:19" x14ac:dyDescent="0.25">
      <c r="R2044" s="8" t="str">
        <f t="shared" si="62"/>
        <v/>
      </c>
      <c r="S2044" s="82" t="str">
        <f t="shared" si="63"/>
        <v/>
      </c>
    </row>
    <row r="2045" spans="18:19" x14ac:dyDescent="0.25">
      <c r="R2045" s="8" t="str">
        <f t="shared" si="62"/>
        <v/>
      </c>
      <c r="S2045" s="82" t="str">
        <f t="shared" si="63"/>
        <v/>
      </c>
    </row>
    <row r="2046" spans="18:19" x14ac:dyDescent="0.25">
      <c r="R2046" s="8" t="str">
        <f t="shared" si="62"/>
        <v/>
      </c>
      <c r="S2046" s="82" t="str">
        <f t="shared" si="63"/>
        <v/>
      </c>
    </row>
    <row r="2047" spans="18:19" x14ac:dyDescent="0.25">
      <c r="R2047" s="8" t="str">
        <f t="shared" si="62"/>
        <v/>
      </c>
      <c r="S2047" s="82" t="str">
        <f t="shared" si="63"/>
        <v/>
      </c>
    </row>
    <row r="2048" spans="18:19" x14ac:dyDescent="0.25">
      <c r="R2048" s="8" t="str">
        <f t="shared" si="62"/>
        <v/>
      </c>
      <c r="S2048" s="82" t="str">
        <f t="shared" si="63"/>
        <v/>
      </c>
    </row>
    <row r="2049" spans="18:19" x14ac:dyDescent="0.25">
      <c r="R2049" s="8" t="str">
        <f t="shared" si="62"/>
        <v/>
      </c>
      <c r="S2049" s="82" t="str">
        <f t="shared" si="63"/>
        <v/>
      </c>
    </row>
    <row r="2050" spans="18:19" x14ac:dyDescent="0.25">
      <c r="R2050" s="8" t="str">
        <f t="shared" si="62"/>
        <v/>
      </c>
      <c r="S2050" s="82" t="str">
        <f t="shared" si="63"/>
        <v/>
      </c>
    </row>
    <row r="2051" spans="18:19" x14ac:dyDescent="0.25">
      <c r="R2051" s="8" t="str">
        <f t="shared" si="62"/>
        <v/>
      </c>
      <c r="S2051" s="82" t="str">
        <f t="shared" si="63"/>
        <v/>
      </c>
    </row>
    <row r="2052" spans="18:19" x14ac:dyDescent="0.25">
      <c r="R2052" s="8" t="str">
        <f t="shared" si="62"/>
        <v/>
      </c>
      <c r="S2052" s="82" t="str">
        <f t="shared" si="63"/>
        <v/>
      </c>
    </row>
    <row r="2053" spans="18:19" x14ac:dyDescent="0.25">
      <c r="R2053" s="8" t="str">
        <f t="shared" si="62"/>
        <v/>
      </c>
      <c r="S2053" s="82" t="str">
        <f t="shared" si="63"/>
        <v/>
      </c>
    </row>
    <row r="2054" spans="18:19" x14ac:dyDescent="0.25">
      <c r="R2054" s="8" t="str">
        <f t="shared" si="62"/>
        <v/>
      </c>
      <c r="S2054" s="82" t="str">
        <f t="shared" si="63"/>
        <v/>
      </c>
    </row>
    <row r="2055" spans="18:19" x14ac:dyDescent="0.25">
      <c r="R2055" s="8" t="str">
        <f t="shared" si="62"/>
        <v/>
      </c>
      <c r="S2055" s="82" t="str">
        <f t="shared" si="63"/>
        <v/>
      </c>
    </row>
    <row r="2056" spans="18:19" x14ac:dyDescent="0.25">
      <c r="R2056" s="8" t="str">
        <f t="shared" ref="R2056:R2119" si="64">IF(A2056="",(""),(MONTH(A2056)))</f>
        <v/>
      </c>
      <c r="S2056" s="82" t="str">
        <f t="shared" ref="S2056:S2119" si="65">IF(B2056="",(""),IF(B2056="3 - Nota de Crédito A",-Q2056,IF(B2056="8 - Nota de Crédito B",-Q2056,(Q2056))))</f>
        <v/>
      </c>
    </row>
    <row r="2057" spans="18:19" x14ac:dyDescent="0.25">
      <c r="R2057" s="8" t="str">
        <f t="shared" si="64"/>
        <v/>
      </c>
      <c r="S2057" s="82" t="str">
        <f t="shared" si="65"/>
        <v/>
      </c>
    </row>
    <row r="2058" spans="18:19" x14ac:dyDescent="0.25">
      <c r="R2058" s="8" t="str">
        <f t="shared" si="64"/>
        <v/>
      </c>
      <c r="S2058" s="82" t="str">
        <f t="shared" si="65"/>
        <v/>
      </c>
    </row>
    <row r="2059" spans="18:19" x14ac:dyDescent="0.25">
      <c r="R2059" s="8" t="str">
        <f t="shared" si="64"/>
        <v/>
      </c>
      <c r="S2059" s="82" t="str">
        <f t="shared" si="65"/>
        <v/>
      </c>
    </row>
    <row r="2060" spans="18:19" x14ac:dyDescent="0.25">
      <c r="R2060" s="8" t="str">
        <f t="shared" si="64"/>
        <v/>
      </c>
      <c r="S2060" s="82" t="str">
        <f t="shared" si="65"/>
        <v/>
      </c>
    </row>
    <row r="2061" spans="18:19" x14ac:dyDescent="0.25">
      <c r="R2061" s="8" t="str">
        <f t="shared" si="64"/>
        <v/>
      </c>
      <c r="S2061" s="82" t="str">
        <f t="shared" si="65"/>
        <v/>
      </c>
    </row>
    <row r="2062" spans="18:19" x14ac:dyDescent="0.25">
      <c r="R2062" s="8" t="str">
        <f t="shared" si="64"/>
        <v/>
      </c>
      <c r="S2062" s="82" t="str">
        <f t="shared" si="65"/>
        <v/>
      </c>
    </row>
    <row r="2063" spans="18:19" x14ac:dyDescent="0.25">
      <c r="R2063" s="8" t="str">
        <f t="shared" si="64"/>
        <v/>
      </c>
      <c r="S2063" s="82" t="str">
        <f t="shared" si="65"/>
        <v/>
      </c>
    </row>
    <row r="2064" spans="18:19" x14ac:dyDescent="0.25">
      <c r="R2064" s="8" t="str">
        <f t="shared" si="64"/>
        <v/>
      </c>
      <c r="S2064" s="82" t="str">
        <f t="shared" si="65"/>
        <v/>
      </c>
    </row>
    <row r="2065" spans="18:19" x14ac:dyDescent="0.25">
      <c r="R2065" s="8" t="str">
        <f t="shared" si="64"/>
        <v/>
      </c>
      <c r="S2065" s="82" t="str">
        <f t="shared" si="65"/>
        <v/>
      </c>
    </row>
    <row r="2066" spans="18:19" x14ac:dyDescent="0.25">
      <c r="R2066" s="8" t="str">
        <f t="shared" si="64"/>
        <v/>
      </c>
      <c r="S2066" s="82" t="str">
        <f t="shared" si="65"/>
        <v/>
      </c>
    </row>
    <row r="2067" spans="18:19" x14ac:dyDescent="0.25">
      <c r="R2067" s="8" t="str">
        <f t="shared" si="64"/>
        <v/>
      </c>
      <c r="S2067" s="82" t="str">
        <f t="shared" si="65"/>
        <v/>
      </c>
    </row>
    <row r="2068" spans="18:19" x14ac:dyDescent="0.25">
      <c r="R2068" s="8" t="str">
        <f t="shared" si="64"/>
        <v/>
      </c>
      <c r="S2068" s="82" t="str">
        <f t="shared" si="65"/>
        <v/>
      </c>
    </row>
    <row r="2069" spans="18:19" x14ac:dyDescent="0.25">
      <c r="R2069" s="8" t="str">
        <f t="shared" si="64"/>
        <v/>
      </c>
      <c r="S2069" s="82" t="str">
        <f t="shared" si="65"/>
        <v/>
      </c>
    </row>
    <row r="2070" spans="18:19" x14ac:dyDescent="0.25">
      <c r="R2070" s="8" t="str">
        <f t="shared" si="64"/>
        <v/>
      </c>
      <c r="S2070" s="82" t="str">
        <f t="shared" si="65"/>
        <v/>
      </c>
    </row>
    <row r="2071" spans="18:19" x14ac:dyDescent="0.25">
      <c r="R2071" s="8" t="str">
        <f t="shared" si="64"/>
        <v/>
      </c>
      <c r="S2071" s="82" t="str">
        <f t="shared" si="65"/>
        <v/>
      </c>
    </row>
    <row r="2072" spans="18:19" x14ac:dyDescent="0.25">
      <c r="R2072" s="8" t="str">
        <f t="shared" si="64"/>
        <v/>
      </c>
      <c r="S2072" s="82" t="str">
        <f t="shared" si="65"/>
        <v/>
      </c>
    </row>
    <row r="2073" spans="18:19" x14ac:dyDescent="0.25">
      <c r="R2073" s="8" t="str">
        <f t="shared" si="64"/>
        <v/>
      </c>
      <c r="S2073" s="82" t="str">
        <f t="shared" si="65"/>
        <v/>
      </c>
    </row>
    <row r="2074" spans="18:19" x14ac:dyDescent="0.25">
      <c r="R2074" s="8" t="str">
        <f t="shared" si="64"/>
        <v/>
      </c>
      <c r="S2074" s="82" t="str">
        <f t="shared" si="65"/>
        <v/>
      </c>
    </row>
    <row r="2075" spans="18:19" x14ac:dyDescent="0.25">
      <c r="R2075" s="8" t="str">
        <f t="shared" si="64"/>
        <v/>
      </c>
      <c r="S2075" s="82" t="str">
        <f t="shared" si="65"/>
        <v/>
      </c>
    </row>
    <row r="2076" spans="18:19" x14ac:dyDescent="0.25">
      <c r="R2076" s="8" t="str">
        <f t="shared" si="64"/>
        <v/>
      </c>
      <c r="S2076" s="82" t="str">
        <f t="shared" si="65"/>
        <v/>
      </c>
    </row>
    <row r="2077" spans="18:19" x14ac:dyDescent="0.25">
      <c r="R2077" s="8" t="str">
        <f t="shared" si="64"/>
        <v/>
      </c>
      <c r="S2077" s="82" t="str">
        <f t="shared" si="65"/>
        <v/>
      </c>
    </row>
    <row r="2078" spans="18:19" x14ac:dyDescent="0.25">
      <c r="R2078" s="8" t="str">
        <f t="shared" si="64"/>
        <v/>
      </c>
      <c r="S2078" s="82" t="str">
        <f t="shared" si="65"/>
        <v/>
      </c>
    </row>
    <row r="2079" spans="18:19" x14ac:dyDescent="0.25">
      <c r="R2079" s="8" t="str">
        <f t="shared" si="64"/>
        <v/>
      </c>
      <c r="S2079" s="82" t="str">
        <f t="shared" si="65"/>
        <v/>
      </c>
    </row>
    <row r="2080" spans="18:19" x14ac:dyDescent="0.25">
      <c r="R2080" s="8" t="str">
        <f t="shared" si="64"/>
        <v/>
      </c>
      <c r="S2080" s="82" t="str">
        <f t="shared" si="65"/>
        <v/>
      </c>
    </row>
    <row r="2081" spans="18:19" x14ac:dyDescent="0.25">
      <c r="R2081" s="8" t="str">
        <f t="shared" si="64"/>
        <v/>
      </c>
      <c r="S2081" s="82" t="str">
        <f t="shared" si="65"/>
        <v/>
      </c>
    </row>
    <row r="2082" spans="18:19" x14ac:dyDescent="0.25">
      <c r="R2082" s="8" t="str">
        <f t="shared" si="64"/>
        <v/>
      </c>
      <c r="S2082" s="82" t="str">
        <f t="shared" si="65"/>
        <v/>
      </c>
    </row>
    <row r="2083" spans="18:19" x14ac:dyDescent="0.25">
      <c r="R2083" s="8" t="str">
        <f t="shared" si="64"/>
        <v/>
      </c>
      <c r="S2083" s="82" t="str">
        <f t="shared" si="65"/>
        <v/>
      </c>
    </row>
    <row r="2084" spans="18:19" x14ac:dyDescent="0.25">
      <c r="R2084" s="8" t="str">
        <f t="shared" si="64"/>
        <v/>
      </c>
      <c r="S2084" s="82" t="str">
        <f t="shared" si="65"/>
        <v/>
      </c>
    </row>
    <row r="2085" spans="18:19" x14ac:dyDescent="0.25">
      <c r="R2085" s="8" t="str">
        <f t="shared" si="64"/>
        <v/>
      </c>
      <c r="S2085" s="82" t="str">
        <f t="shared" si="65"/>
        <v/>
      </c>
    </row>
    <row r="2086" spans="18:19" x14ac:dyDescent="0.25">
      <c r="R2086" s="8" t="str">
        <f t="shared" si="64"/>
        <v/>
      </c>
      <c r="S2086" s="82" t="str">
        <f t="shared" si="65"/>
        <v/>
      </c>
    </row>
    <row r="2087" spans="18:19" x14ac:dyDescent="0.25">
      <c r="R2087" s="8" t="str">
        <f t="shared" si="64"/>
        <v/>
      </c>
      <c r="S2087" s="82" t="str">
        <f t="shared" si="65"/>
        <v/>
      </c>
    </row>
    <row r="2088" spans="18:19" x14ac:dyDescent="0.25">
      <c r="R2088" s="8" t="str">
        <f t="shared" si="64"/>
        <v/>
      </c>
      <c r="S2088" s="82" t="str">
        <f t="shared" si="65"/>
        <v/>
      </c>
    </row>
    <row r="2089" spans="18:19" x14ac:dyDescent="0.25">
      <c r="R2089" s="8" t="str">
        <f t="shared" si="64"/>
        <v/>
      </c>
      <c r="S2089" s="82" t="str">
        <f t="shared" si="65"/>
        <v/>
      </c>
    </row>
    <row r="2090" spans="18:19" x14ac:dyDescent="0.25">
      <c r="R2090" s="8" t="str">
        <f t="shared" si="64"/>
        <v/>
      </c>
      <c r="S2090" s="82" t="str">
        <f t="shared" si="65"/>
        <v/>
      </c>
    </row>
    <row r="2091" spans="18:19" x14ac:dyDescent="0.25">
      <c r="R2091" s="8" t="str">
        <f t="shared" si="64"/>
        <v/>
      </c>
      <c r="S2091" s="82" t="str">
        <f t="shared" si="65"/>
        <v/>
      </c>
    </row>
    <row r="2092" spans="18:19" x14ac:dyDescent="0.25">
      <c r="R2092" s="8" t="str">
        <f t="shared" si="64"/>
        <v/>
      </c>
      <c r="S2092" s="82" t="str">
        <f t="shared" si="65"/>
        <v/>
      </c>
    </row>
    <row r="2093" spans="18:19" x14ac:dyDescent="0.25">
      <c r="R2093" s="8" t="str">
        <f t="shared" si="64"/>
        <v/>
      </c>
      <c r="S2093" s="82" t="str">
        <f t="shared" si="65"/>
        <v/>
      </c>
    </row>
    <row r="2094" spans="18:19" x14ac:dyDescent="0.25">
      <c r="R2094" s="8" t="str">
        <f t="shared" si="64"/>
        <v/>
      </c>
      <c r="S2094" s="82" t="str">
        <f t="shared" si="65"/>
        <v/>
      </c>
    </row>
    <row r="2095" spans="18:19" x14ac:dyDescent="0.25">
      <c r="R2095" s="8" t="str">
        <f t="shared" si="64"/>
        <v/>
      </c>
      <c r="S2095" s="82" t="str">
        <f t="shared" si="65"/>
        <v/>
      </c>
    </row>
    <row r="2096" spans="18:19" x14ac:dyDescent="0.25">
      <c r="R2096" s="8" t="str">
        <f t="shared" si="64"/>
        <v/>
      </c>
      <c r="S2096" s="82" t="str">
        <f t="shared" si="65"/>
        <v/>
      </c>
    </row>
    <row r="2097" spans="18:19" x14ac:dyDescent="0.25">
      <c r="R2097" s="8" t="str">
        <f t="shared" si="64"/>
        <v/>
      </c>
      <c r="S2097" s="82" t="str">
        <f t="shared" si="65"/>
        <v/>
      </c>
    </row>
    <row r="2098" spans="18:19" x14ac:dyDescent="0.25">
      <c r="R2098" s="8" t="str">
        <f t="shared" si="64"/>
        <v/>
      </c>
      <c r="S2098" s="82" t="str">
        <f t="shared" si="65"/>
        <v/>
      </c>
    </row>
    <row r="2099" spans="18:19" x14ac:dyDescent="0.25">
      <c r="R2099" s="8" t="str">
        <f t="shared" si="64"/>
        <v/>
      </c>
      <c r="S2099" s="82" t="str">
        <f t="shared" si="65"/>
        <v/>
      </c>
    </row>
    <row r="2100" spans="18:19" x14ac:dyDescent="0.25">
      <c r="R2100" s="8" t="str">
        <f t="shared" si="64"/>
        <v/>
      </c>
      <c r="S2100" s="82" t="str">
        <f t="shared" si="65"/>
        <v/>
      </c>
    </row>
    <row r="2101" spans="18:19" x14ac:dyDescent="0.25">
      <c r="R2101" s="8" t="str">
        <f t="shared" si="64"/>
        <v/>
      </c>
      <c r="S2101" s="82" t="str">
        <f t="shared" si="65"/>
        <v/>
      </c>
    </row>
    <row r="2102" spans="18:19" x14ac:dyDescent="0.25">
      <c r="R2102" s="8" t="str">
        <f t="shared" si="64"/>
        <v/>
      </c>
      <c r="S2102" s="82" t="str">
        <f t="shared" si="65"/>
        <v/>
      </c>
    </row>
    <row r="2103" spans="18:19" x14ac:dyDescent="0.25">
      <c r="R2103" s="8" t="str">
        <f t="shared" si="64"/>
        <v/>
      </c>
      <c r="S2103" s="82" t="str">
        <f t="shared" si="65"/>
        <v/>
      </c>
    </row>
    <row r="2104" spans="18:19" x14ac:dyDescent="0.25">
      <c r="R2104" s="8" t="str">
        <f t="shared" si="64"/>
        <v/>
      </c>
      <c r="S2104" s="82" t="str">
        <f t="shared" si="65"/>
        <v/>
      </c>
    </row>
    <row r="2105" spans="18:19" x14ac:dyDescent="0.25">
      <c r="R2105" s="8" t="str">
        <f t="shared" si="64"/>
        <v/>
      </c>
      <c r="S2105" s="82" t="str">
        <f t="shared" si="65"/>
        <v/>
      </c>
    </row>
    <row r="2106" spans="18:19" x14ac:dyDescent="0.25">
      <c r="R2106" s="8" t="str">
        <f t="shared" si="64"/>
        <v/>
      </c>
      <c r="S2106" s="82" t="str">
        <f t="shared" si="65"/>
        <v/>
      </c>
    </row>
    <row r="2107" spans="18:19" x14ac:dyDescent="0.25">
      <c r="R2107" s="8" t="str">
        <f t="shared" si="64"/>
        <v/>
      </c>
      <c r="S2107" s="82" t="str">
        <f t="shared" si="65"/>
        <v/>
      </c>
    </row>
    <row r="2108" spans="18:19" x14ac:dyDescent="0.25">
      <c r="R2108" s="8" t="str">
        <f t="shared" si="64"/>
        <v/>
      </c>
      <c r="S2108" s="82" t="str">
        <f t="shared" si="65"/>
        <v/>
      </c>
    </row>
    <row r="2109" spans="18:19" x14ac:dyDescent="0.25">
      <c r="R2109" s="8" t="str">
        <f t="shared" si="64"/>
        <v/>
      </c>
      <c r="S2109" s="82" t="str">
        <f t="shared" si="65"/>
        <v/>
      </c>
    </row>
    <row r="2110" spans="18:19" x14ac:dyDescent="0.25">
      <c r="R2110" s="8" t="str">
        <f t="shared" si="64"/>
        <v/>
      </c>
      <c r="S2110" s="82" t="str">
        <f t="shared" si="65"/>
        <v/>
      </c>
    </row>
    <row r="2111" spans="18:19" x14ac:dyDescent="0.25">
      <c r="R2111" s="8" t="str">
        <f t="shared" si="64"/>
        <v/>
      </c>
      <c r="S2111" s="82" t="str">
        <f t="shared" si="65"/>
        <v/>
      </c>
    </row>
    <row r="2112" spans="18:19" x14ac:dyDescent="0.25">
      <c r="R2112" s="8" t="str">
        <f t="shared" si="64"/>
        <v/>
      </c>
      <c r="S2112" s="82" t="str">
        <f t="shared" si="65"/>
        <v/>
      </c>
    </row>
    <row r="2113" spans="18:19" x14ac:dyDescent="0.25">
      <c r="R2113" s="8" t="str">
        <f t="shared" si="64"/>
        <v/>
      </c>
      <c r="S2113" s="82" t="str">
        <f t="shared" si="65"/>
        <v/>
      </c>
    </row>
    <row r="2114" spans="18:19" x14ac:dyDescent="0.25">
      <c r="R2114" s="8" t="str">
        <f t="shared" si="64"/>
        <v/>
      </c>
      <c r="S2114" s="82" t="str">
        <f t="shared" si="65"/>
        <v/>
      </c>
    </row>
    <row r="2115" spans="18:19" x14ac:dyDescent="0.25">
      <c r="R2115" s="8" t="str">
        <f t="shared" si="64"/>
        <v/>
      </c>
      <c r="S2115" s="82" t="str">
        <f t="shared" si="65"/>
        <v/>
      </c>
    </row>
    <row r="2116" spans="18:19" x14ac:dyDescent="0.25">
      <c r="R2116" s="8" t="str">
        <f t="shared" si="64"/>
        <v/>
      </c>
      <c r="S2116" s="82" t="str">
        <f t="shared" si="65"/>
        <v/>
      </c>
    </row>
    <row r="2117" spans="18:19" x14ac:dyDescent="0.25">
      <c r="R2117" s="8" t="str">
        <f t="shared" si="64"/>
        <v/>
      </c>
      <c r="S2117" s="82" t="str">
        <f t="shared" si="65"/>
        <v/>
      </c>
    </row>
    <row r="2118" spans="18:19" x14ac:dyDescent="0.25">
      <c r="R2118" s="8" t="str">
        <f t="shared" si="64"/>
        <v/>
      </c>
      <c r="S2118" s="82" t="str">
        <f t="shared" si="65"/>
        <v/>
      </c>
    </row>
    <row r="2119" spans="18:19" x14ac:dyDescent="0.25">
      <c r="R2119" s="8" t="str">
        <f t="shared" si="64"/>
        <v/>
      </c>
      <c r="S2119" s="82" t="str">
        <f t="shared" si="65"/>
        <v/>
      </c>
    </row>
    <row r="2120" spans="18:19" x14ac:dyDescent="0.25">
      <c r="R2120" s="8" t="str">
        <f t="shared" ref="R2120:R2183" si="66">IF(A2120="",(""),(MONTH(A2120)))</f>
        <v/>
      </c>
      <c r="S2120" s="82" t="str">
        <f t="shared" ref="S2120:S2183" si="67">IF(B2120="",(""),IF(B2120="3 - Nota de Crédito A",-Q2120,IF(B2120="8 - Nota de Crédito B",-Q2120,(Q2120))))</f>
        <v/>
      </c>
    </row>
    <row r="2121" spans="18:19" x14ac:dyDescent="0.25">
      <c r="R2121" s="8" t="str">
        <f t="shared" si="66"/>
        <v/>
      </c>
      <c r="S2121" s="82" t="str">
        <f t="shared" si="67"/>
        <v/>
      </c>
    </row>
    <row r="2122" spans="18:19" x14ac:dyDescent="0.25">
      <c r="R2122" s="8" t="str">
        <f t="shared" si="66"/>
        <v/>
      </c>
      <c r="S2122" s="82" t="str">
        <f t="shared" si="67"/>
        <v/>
      </c>
    </row>
    <row r="2123" spans="18:19" x14ac:dyDescent="0.25">
      <c r="R2123" s="8" t="str">
        <f t="shared" si="66"/>
        <v/>
      </c>
      <c r="S2123" s="82" t="str">
        <f t="shared" si="67"/>
        <v/>
      </c>
    </row>
    <row r="2124" spans="18:19" x14ac:dyDescent="0.25">
      <c r="R2124" s="8" t="str">
        <f t="shared" si="66"/>
        <v/>
      </c>
      <c r="S2124" s="82" t="str">
        <f t="shared" si="67"/>
        <v/>
      </c>
    </row>
    <row r="2125" spans="18:19" x14ac:dyDescent="0.25">
      <c r="R2125" s="8" t="str">
        <f t="shared" si="66"/>
        <v/>
      </c>
      <c r="S2125" s="82" t="str">
        <f t="shared" si="67"/>
        <v/>
      </c>
    </row>
    <row r="2126" spans="18:19" x14ac:dyDescent="0.25">
      <c r="R2126" s="8" t="str">
        <f t="shared" si="66"/>
        <v/>
      </c>
      <c r="S2126" s="82" t="str">
        <f t="shared" si="67"/>
        <v/>
      </c>
    </row>
    <row r="2127" spans="18:19" x14ac:dyDescent="0.25">
      <c r="R2127" s="8" t="str">
        <f t="shared" si="66"/>
        <v/>
      </c>
      <c r="S2127" s="82" t="str">
        <f t="shared" si="67"/>
        <v/>
      </c>
    </row>
    <row r="2128" spans="18:19" x14ac:dyDescent="0.25">
      <c r="R2128" s="8" t="str">
        <f t="shared" si="66"/>
        <v/>
      </c>
      <c r="S2128" s="82" t="str">
        <f t="shared" si="67"/>
        <v/>
      </c>
    </row>
    <row r="2129" spans="18:19" x14ac:dyDescent="0.25">
      <c r="R2129" s="8" t="str">
        <f t="shared" si="66"/>
        <v/>
      </c>
      <c r="S2129" s="82" t="str">
        <f t="shared" si="67"/>
        <v/>
      </c>
    </row>
    <row r="2130" spans="18:19" x14ac:dyDescent="0.25">
      <c r="R2130" s="8" t="str">
        <f t="shared" si="66"/>
        <v/>
      </c>
      <c r="S2130" s="82" t="str">
        <f t="shared" si="67"/>
        <v/>
      </c>
    </row>
    <row r="2131" spans="18:19" x14ac:dyDescent="0.25">
      <c r="R2131" s="8" t="str">
        <f t="shared" si="66"/>
        <v/>
      </c>
      <c r="S2131" s="82" t="str">
        <f t="shared" si="67"/>
        <v/>
      </c>
    </row>
    <row r="2132" spans="18:19" x14ac:dyDescent="0.25">
      <c r="R2132" s="8" t="str">
        <f t="shared" si="66"/>
        <v/>
      </c>
      <c r="S2132" s="82" t="str">
        <f t="shared" si="67"/>
        <v/>
      </c>
    </row>
    <row r="2133" spans="18:19" x14ac:dyDescent="0.25">
      <c r="R2133" s="8" t="str">
        <f t="shared" si="66"/>
        <v/>
      </c>
      <c r="S2133" s="82" t="str">
        <f t="shared" si="67"/>
        <v/>
      </c>
    </row>
    <row r="2134" spans="18:19" x14ac:dyDescent="0.25">
      <c r="R2134" s="8" t="str">
        <f t="shared" si="66"/>
        <v/>
      </c>
      <c r="S2134" s="82" t="str">
        <f t="shared" si="67"/>
        <v/>
      </c>
    </row>
    <row r="2135" spans="18:19" x14ac:dyDescent="0.25">
      <c r="R2135" s="8" t="str">
        <f t="shared" si="66"/>
        <v/>
      </c>
      <c r="S2135" s="82" t="str">
        <f t="shared" si="67"/>
        <v/>
      </c>
    </row>
    <row r="2136" spans="18:19" x14ac:dyDescent="0.25">
      <c r="R2136" s="8" t="str">
        <f t="shared" si="66"/>
        <v/>
      </c>
      <c r="S2136" s="82" t="str">
        <f t="shared" si="67"/>
        <v/>
      </c>
    </row>
    <row r="2137" spans="18:19" x14ac:dyDescent="0.25">
      <c r="R2137" s="8" t="str">
        <f t="shared" si="66"/>
        <v/>
      </c>
      <c r="S2137" s="82" t="str">
        <f t="shared" si="67"/>
        <v/>
      </c>
    </row>
    <row r="2138" spans="18:19" x14ac:dyDescent="0.25">
      <c r="R2138" s="8" t="str">
        <f t="shared" si="66"/>
        <v/>
      </c>
      <c r="S2138" s="82" t="str">
        <f t="shared" si="67"/>
        <v/>
      </c>
    </row>
    <row r="2139" spans="18:19" x14ac:dyDescent="0.25">
      <c r="R2139" s="8" t="str">
        <f t="shared" si="66"/>
        <v/>
      </c>
      <c r="S2139" s="82" t="str">
        <f t="shared" si="67"/>
        <v/>
      </c>
    </row>
    <row r="2140" spans="18:19" x14ac:dyDescent="0.25">
      <c r="R2140" s="8" t="str">
        <f t="shared" si="66"/>
        <v/>
      </c>
      <c r="S2140" s="82" t="str">
        <f t="shared" si="67"/>
        <v/>
      </c>
    </row>
    <row r="2141" spans="18:19" x14ac:dyDescent="0.25">
      <c r="R2141" s="8" t="str">
        <f t="shared" si="66"/>
        <v/>
      </c>
      <c r="S2141" s="82" t="str">
        <f t="shared" si="67"/>
        <v/>
      </c>
    </row>
    <row r="2142" spans="18:19" x14ac:dyDescent="0.25">
      <c r="R2142" s="8" t="str">
        <f t="shared" si="66"/>
        <v/>
      </c>
      <c r="S2142" s="82" t="str">
        <f t="shared" si="67"/>
        <v/>
      </c>
    </row>
    <row r="2143" spans="18:19" x14ac:dyDescent="0.25">
      <c r="R2143" s="8" t="str">
        <f t="shared" si="66"/>
        <v/>
      </c>
      <c r="S2143" s="82" t="str">
        <f t="shared" si="67"/>
        <v/>
      </c>
    </row>
    <row r="2144" spans="18:19" x14ac:dyDescent="0.25">
      <c r="R2144" s="8" t="str">
        <f t="shared" si="66"/>
        <v/>
      </c>
      <c r="S2144" s="82" t="str">
        <f t="shared" si="67"/>
        <v/>
      </c>
    </row>
    <row r="2145" spans="18:19" x14ac:dyDescent="0.25">
      <c r="R2145" s="8" t="str">
        <f t="shared" si="66"/>
        <v/>
      </c>
      <c r="S2145" s="82" t="str">
        <f t="shared" si="67"/>
        <v/>
      </c>
    </row>
    <row r="2146" spans="18:19" x14ac:dyDescent="0.25">
      <c r="R2146" s="8" t="str">
        <f t="shared" si="66"/>
        <v/>
      </c>
      <c r="S2146" s="82" t="str">
        <f t="shared" si="67"/>
        <v/>
      </c>
    </row>
    <row r="2147" spans="18:19" x14ac:dyDescent="0.25">
      <c r="R2147" s="8" t="str">
        <f t="shared" si="66"/>
        <v/>
      </c>
      <c r="S2147" s="82" t="str">
        <f t="shared" si="67"/>
        <v/>
      </c>
    </row>
    <row r="2148" spans="18:19" x14ac:dyDescent="0.25">
      <c r="R2148" s="8" t="str">
        <f t="shared" si="66"/>
        <v/>
      </c>
      <c r="S2148" s="82" t="str">
        <f t="shared" si="67"/>
        <v/>
      </c>
    </row>
    <row r="2149" spans="18:19" x14ac:dyDescent="0.25">
      <c r="R2149" s="8" t="str">
        <f t="shared" si="66"/>
        <v/>
      </c>
      <c r="S2149" s="82" t="str">
        <f t="shared" si="67"/>
        <v/>
      </c>
    </row>
    <row r="2150" spans="18:19" x14ac:dyDescent="0.25">
      <c r="R2150" s="8" t="str">
        <f t="shared" si="66"/>
        <v/>
      </c>
      <c r="S2150" s="82" t="str">
        <f t="shared" si="67"/>
        <v/>
      </c>
    </row>
    <row r="2151" spans="18:19" x14ac:dyDescent="0.25">
      <c r="R2151" s="8" t="str">
        <f t="shared" si="66"/>
        <v/>
      </c>
      <c r="S2151" s="82" t="str">
        <f t="shared" si="67"/>
        <v/>
      </c>
    </row>
    <row r="2152" spans="18:19" x14ac:dyDescent="0.25">
      <c r="R2152" s="8" t="str">
        <f t="shared" si="66"/>
        <v/>
      </c>
      <c r="S2152" s="82" t="str">
        <f t="shared" si="67"/>
        <v/>
      </c>
    </row>
    <row r="2153" spans="18:19" x14ac:dyDescent="0.25">
      <c r="R2153" s="8" t="str">
        <f t="shared" si="66"/>
        <v/>
      </c>
      <c r="S2153" s="82" t="str">
        <f t="shared" si="67"/>
        <v/>
      </c>
    </row>
    <row r="2154" spans="18:19" x14ac:dyDescent="0.25">
      <c r="R2154" s="8" t="str">
        <f t="shared" si="66"/>
        <v/>
      </c>
      <c r="S2154" s="82" t="str">
        <f t="shared" si="67"/>
        <v/>
      </c>
    </row>
    <row r="2155" spans="18:19" x14ac:dyDescent="0.25">
      <c r="R2155" s="8" t="str">
        <f t="shared" si="66"/>
        <v/>
      </c>
      <c r="S2155" s="82" t="str">
        <f t="shared" si="67"/>
        <v/>
      </c>
    </row>
    <row r="2156" spans="18:19" x14ac:dyDescent="0.25">
      <c r="R2156" s="8" t="str">
        <f t="shared" si="66"/>
        <v/>
      </c>
      <c r="S2156" s="82" t="str">
        <f t="shared" si="67"/>
        <v/>
      </c>
    </row>
    <row r="2157" spans="18:19" x14ac:dyDescent="0.25">
      <c r="R2157" s="8" t="str">
        <f t="shared" si="66"/>
        <v/>
      </c>
      <c r="S2157" s="82" t="str">
        <f t="shared" si="67"/>
        <v/>
      </c>
    </row>
    <row r="2158" spans="18:19" x14ac:dyDescent="0.25">
      <c r="R2158" s="8" t="str">
        <f t="shared" si="66"/>
        <v/>
      </c>
      <c r="S2158" s="82" t="str">
        <f t="shared" si="67"/>
        <v/>
      </c>
    </row>
    <row r="2159" spans="18:19" x14ac:dyDescent="0.25">
      <c r="R2159" s="8" t="str">
        <f t="shared" si="66"/>
        <v/>
      </c>
      <c r="S2159" s="82" t="str">
        <f t="shared" si="67"/>
        <v/>
      </c>
    </row>
    <row r="2160" spans="18:19" x14ac:dyDescent="0.25">
      <c r="R2160" s="8" t="str">
        <f t="shared" si="66"/>
        <v/>
      </c>
      <c r="S2160" s="82" t="str">
        <f t="shared" si="67"/>
        <v/>
      </c>
    </row>
    <row r="2161" spans="18:19" x14ac:dyDescent="0.25">
      <c r="R2161" s="8" t="str">
        <f t="shared" si="66"/>
        <v/>
      </c>
      <c r="S2161" s="82" t="str">
        <f t="shared" si="67"/>
        <v/>
      </c>
    </row>
    <row r="2162" spans="18:19" x14ac:dyDescent="0.25">
      <c r="R2162" s="8" t="str">
        <f t="shared" si="66"/>
        <v/>
      </c>
      <c r="S2162" s="82" t="str">
        <f t="shared" si="67"/>
        <v/>
      </c>
    </row>
    <row r="2163" spans="18:19" x14ac:dyDescent="0.25">
      <c r="R2163" s="8" t="str">
        <f t="shared" si="66"/>
        <v/>
      </c>
      <c r="S2163" s="82" t="str">
        <f t="shared" si="67"/>
        <v/>
      </c>
    </row>
    <row r="2164" spans="18:19" x14ac:dyDescent="0.25">
      <c r="R2164" s="8" t="str">
        <f t="shared" si="66"/>
        <v/>
      </c>
      <c r="S2164" s="82" t="str">
        <f t="shared" si="67"/>
        <v/>
      </c>
    </row>
    <row r="2165" spans="18:19" x14ac:dyDescent="0.25">
      <c r="R2165" s="8" t="str">
        <f t="shared" si="66"/>
        <v/>
      </c>
      <c r="S2165" s="82" t="str">
        <f t="shared" si="67"/>
        <v/>
      </c>
    </row>
    <row r="2166" spans="18:19" x14ac:dyDescent="0.25">
      <c r="R2166" s="8" t="str">
        <f t="shared" si="66"/>
        <v/>
      </c>
      <c r="S2166" s="82" t="str">
        <f t="shared" si="67"/>
        <v/>
      </c>
    </row>
    <row r="2167" spans="18:19" x14ac:dyDescent="0.25">
      <c r="R2167" s="8" t="str">
        <f t="shared" si="66"/>
        <v/>
      </c>
      <c r="S2167" s="82" t="str">
        <f t="shared" si="67"/>
        <v/>
      </c>
    </row>
    <row r="2168" spans="18:19" x14ac:dyDescent="0.25">
      <c r="R2168" s="8" t="str">
        <f t="shared" si="66"/>
        <v/>
      </c>
      <c r="S2168" s="82" t="str">
        <f t="shared" si="67"/>
        <v/>
      </c>
    </row>
    <row r="2169" spans="18:19" x14ac:dyDescent="0.25">
      <c r="R2169" s="8" t="str">
        <f t="shared" si="66"/>
        <v/>
      </c>
      <c r="S2169" s="82" t="str">
        <f t="shared" si="67"/>
        <v/>
      </c>
    </row>
    <row r="2170" spans="18:19" x14ac:dyDescent="0.25">
      <c r="R2170" s="8" t="str">
        <f t="shared" si="66"/>
        <v/>
      </c>
      <c r="S2170" s="82" t="str">
        <f t="shared" si="67"/>
        <v/>
      </c>
    </row>
    <row r="2171" spans="18:19" x14ac:dyDescent="0.25">
      <c r="R2171" s="8" t="str">
        <f t="shared" si="66"/>
        <v/>
      </c>
      <c r="S2171" s="82" t="str">
        <f t="shared" si="67"/>
        <v/>
      </c>
    </row>
    <row r="2172" spans="18:19" x14ac:dyDescent="0.25">
      <c r="R2172" s="8" t="str">
        <f t="shared" si="66"/>
        <v/>
      </c>
      <c r="S2172" s="82" t="str">
        <f t="shared" si="67"/>
        <v/>
      </c>
    </row>
    <row r="2173" spans="18:19" x14ac:dyDescent="0.25">
      <c r="R2173" s="8" t="str">
        <f t="shared" si="66"/>
        <v/>
      </c>
      <c r="S2173" s="82" t="str">
        <f t="shared" si="67"/>
        <v/>
      </c>
    </row>
    <row r="2174" spans="18:19" x14ac:dyDescent="0.25">
      <c r="R2174" s="8" t="str">
        <f t="shared" si="66"/>
        <v/>
      </c>
      <c r="S2174" s="82" t="str">
        <f t="shared" si="67"/>
        <v/>
      </c>
    </row>
    <row r="2175" spans="18:19" x14ac:dyDescent="0.25">
      <c r="R2175" s="8" t="str">
        <f t="shared" si="66"/>
        <v/>
      </c>
      <c r="S2175" s="82" t="str">
        <f t="shared" si="67"/>
        <v/>
      </c>
    </row>
    <row r="2176" spans="18:19" x14ac:dyDescent="0.25">
      <c r="R2176" s="8" t="str">
        <f t="shared" si="66"/>
        <v/>
      </c>
      <c r="S2176" s="82" t="str">
        <f t="shared" si="67"/>
        <v/>
      </c>
    </row>
    <row r="2177" spans="18:19" x14ac:dyDescent="0.25">
      <c r="R2177" s="8" t="str">
        <f t="shared" si="66"/>
        <v/>
      </c>
      <c r="S2177" s="82" t="str">
        <f t="shared" si="67"/>
        <v/>
      </c>
    </row>
    <row r="2178" spans="18:19" x14ac:dyDescent="0.25">
      <c r="R2178" s="8" t="str">
        <f t="shared" si="66"/>
        <v/>
      </c>
      <c r="S2178" s="82" t="str">
        <f t="shared" si="67"/>
        <v/>
      </c>
    </row>
    <row r="2179" spans="18:19" x14ac:dyDescent="0.25">
      <c r="R2179" s="8" t="str">
        <f t="shared" si="66"/>
        <v/>
      </c>
      <c r="S2179" s="82" t="str">
        <f t="shared" si="67"/>
        <v/>
      </c>
    </row>
    <row r="2180" spans="18:19" x14ac:dyDescent="0.25">
      <c r="R2180" s="8" t="str">
        <f t="shared" si="66"/>
        <v/>
      </c>
      <c r="S2180" s="82" t="str">
        <f t="shared" si="67"/>
        <v/>
      </c>
    </row>
    <row r="2181" spans="18:19" x14ac:dyDescent="0.25">
      <c r="R2181" s="8" t="str">
        <f t="shared" si="66"/>
        <v/>
      </c>
      <c r="S2181" s="82" t="str">
        <f t="shared" si="67"/>
        <v/>
      </c>
    </row>
    <row r="2182" spans="18:19" x14ac:dyDescent="0.25">
      <c r="R2182" s="8" t="str">
        <f t="shared" si="66"/>
        <v/>
      </c>
      <c r="S2182" s="82" t="str">
        <f t="shared" si="67"/>
        <v/>
      </c>
    </row>
    <row r="2183" spans="18:19" x14ac:dyDescent="0.25">
      <c r="R2183" s="8" t="str">
        <f t="shared" si="66"/>
        <v/>
      </c>
      <c r="S2183" s="82" t="str">
        <f t="shared" si="67"/>
        <v/>
      </c>
    </row>
    <row r="2184" spans="18:19" x14ac:dyDescent="0.25">
      <c r="R2184" s="8" t="str">
        <f t="shared" ref="R2184:R2247" si="68">IF(A2184="",(""),(MONTH(A2184)))</f>
        <v/>
      </c>
      <c r="S2184" s="82" t="str">
        <f t="shared" ref="S2184:S2247" si="69">IF(B2184="",(""),IF(B2184="3 - Nota de Crédito A",-Q2184,IF(B2184="8 - Nota de Crédito B",-Q2184,(Q2184))))</f>
        <v/>
      </c>
    </row>
    <row r="2185" spans="18:19" x14ac:dyDescent="0.25">
      <c r="R2185" s="8" t="str">
        <f t="shared" si="68"/>
        <v/>
      </c>
      <c r="S2185" s="82" t="str">
        <f t="shared" si="69"/>
        <v/>
      </c>
    </row>
    <row r="2186" spans="18:19" x14ac:dyDescent="0.25">
      <c r="R2186" s="8" t="str">
        <f t="shared" si="68"/>
        <v/>
      </c>
      <c r="S2186" s="82" t="str">
        <f t="shared" si="69"/>
        <v/>
      </c>
    </row>
    <row r="2187" spans="18:19" x14ac:dyDescent="0.25">
      <c r="R2187" s="8" t="str">
        <f t="shared" si="68"/>
        <v/>
      </c>
      <c r="S2187" s="82" t="str">
        <f t="shared" si="69"/>
        <v/>
      </c>
    </row>
    <row r="2188" spans="18:19" x14ac:dyDescent="0.25">
      <c r="R2188" s="8" t="str">
        <f t="shared" si="68"/>
        <v/>
      </c>
      <c r="S2188" s="82" t="str">
        <f t="shared" si="69"/>
        <v/>
      </c>
    </row>
    <row r="2189" spans="18:19" x14ac:dyDescent="0.25">
      <c r="R2189" s="8" t="str">
        <f t="shared" si="68"/>
        <v/>
      </c>
      <c r="S2189" s="82" t="str">
        <f t="shared" si="69"/>
        <v/>
      </c>
    </row>
    <row r="2190" spans="18:19" x14ac:dyDescent="0.25">
      <c r="R2190" s="8" t="str">
        <f t="shared" si="68"/>
        <v/>
      </c>
      <c r="S2190" s="82" t="str">
        <f t="shared" si="69"/>
        <v/>
      </c>
    </row>
    <row r="2191" spans="18:19" x14ac:dyDescent="0.25">
      <c r="R2191" s="8" t="str">
        <f t="shared" si="68"/>
        <v/>
      </c>
      <c r="S2191" s="82" t="str">
        <f t="shared" si="69"/>
        <v/>
      </c>
    </row>
    <row r="2192" spans="18:19" x14ac:dyDescent="0.25">
      <c r="R2192" s="8" t="str">
        <f t="shared" si="68"/>
        <v/>
      </c>
      <c r="S2192" s="82" t="str">
        <f t="shared" si="69"/>
        <v/>
      </c>
    </row>
    <row r="2193" spans="18:19" x14ac:dyDescent="0.25">
      <c r="R2193" s="8" t="str">
        <f t="shared" si="68"/>
        <v/>
      </c>
      <c r="S2193" s="82" t="str">
        <f t="shared" si="69"/>
        <v/>
      </c>
    </row>
    <row r="2194" spans="18:19" x14ac:dyDescent="0.25">
      <c r="R2194" s="8" t="str">
        <f t="shared" si="68"/>
        <v/>
      </c>
      <c r="S2194" s="82" t="str">
        <f t="shared" si="69"/>
        <v/>
      </c>
    </row>
    <row r="2195" spans="18:19" x14ac:dyDescent="0.25">
      <c r="R2195" s="8" t="str">
        <f t="shared" si="68"/>
        <v/>
      </c>
      <c r="S2195" s="82" t="str">
        <f t="shared" si="69"/>
        <v/>
      </c>
    </row>
    <row r="2196" spans="18:19" x14ac:dyDescent="0.25">
      <c r="R2196" s="8" t="str">
        <f t="shared" si="68"/>
        <v/>
      </c>
      <c r="S2196" s="82" t="str">
        <f t="shared" si="69"/>
        <v/>
      </c>
    </row>
    <row r="2197" spans="18:19" x14ac:dyDescent="0.25">
      <c r="R2197" s="8" t="str">
        <f t="shared" si="68"/>
        <v/>
      </c>
      <c r="S2197" s="82" t="str">
        <f t="shared" si="69"/>
        <v/>
      </c>
    </row>
    <row r="2198" spans="18:19" x14ac:dyDescent="0.25">
      <c r="R2198" s="8" t="str">
        <f t="shared" si="68"/>
        <v/>
      </c>
      <c r="S2198" s="82" t="str">
        <f t="shared" si="69"/>
        <v/>
      </c>
    </row>
    <row r="2199" spans="18:19" x14ac:dyDescent="0.25">
      <c r="R2199" s="8" t="str">
        <f t="shared" si="68"/>
        <v/>
      </c>
      <c r="S2199" s="82" t="str">
        <f t="shared" si="69"/>
        <v/>
      </c>
    </row>
    <row r="2200" spans="18:19" x14ac:dyDescent="0.25">
      <c r="R2200" s="8" t="str">
        <f t="shared" si="68"/>
        <v/>
      </c>
      <c r="S2200" s="82" t="str">
        <f t="shared" si="69"/>
        <v/>
      </c>
    </row>
    <row r="2201" spans="18:19" x14ac:dyDescent="0.25">
      <c r="R2201" s="8" t="str">
        <f t="shared" si="68"/>
        <v/>
      </c>
      <c r="S2201" s="82" t="str">
        <f t="shared" si="69"/>
        <v/>
      </c>
    </row>
    <row r="2202" spans="18:19" x14ac:dyDescent="0.25">
      <c r="R2202" s="8" t="str">
        <f t="shared" si="68"/>
        <v/>
      </c>
      <c r="S2202" s="82" t="str">
        <f t="shared" si="69"/>
        <v/>
      </c>
    </row>
    <row r="2203" spans="18:19" x14ac:dyDescent="0.25">
      <c r="R2203" s="8" t="str">
        <f t="shared" si="68"/>
        <v/>
      </c>
      <c r="S2203" s="82" t="str">
        <f t="shared" si="69"/>
        <v/>
      </c>
    </row>
    <row r="2204" spans="18:19" x14ac:dyDescent="0.25">
      <c r="R2204" s="8" t="str">
        <f t="shared" si="68"/>
        <v/>
      </c>
      <c r="S2204" s="82" t="str">
        <f t="shared" si="69"/>
        <v/>
      </c>
    </row>
    <row r="2205" spans="18:19" x14ac:dyDescent="0.25">
      <c r="R2205" s="8" t="str">
        <f t="shared" si="68"/>
        <v/>
      </c>
      <c r="S2205" s="82" t="str">
        <f t="shared" si="69"/>
        <v/>
      </c>
    </row>
    <row r="2206" spans="18:19" x14ac:dyDescent="0.25">
      <c r="R2206" s="8" t="str">
        <f t="shared" si="68"/>
        <v/>
      </c>
      <c r="S2206" s="82" t="str">
        <f t="shared" si="69"/>
        <v/>
      </c>
    </row>
    <row r="2207" spans="18:19" x14ac:dyDescent="0.25">
      <c r="R2207" s="8" t="str">
        <f t="shared" si="68"/>
        <v/>
      </c>
      <c r="S2207" s="82" t="str">
        <f t="shared" si="69"/>
        <v/>
      </c>
    </row>
    <row r="2208" spans="18:19" x14ac:dyDescent="0.25">
      <c r="R2208" s="8" t="str">
        <f t="shared" si="68"/>
        <v/>
      </c>
      <c r="S2208" s="82" t="str">
        <f t="shared" si="69"/>
        <v/>
      </c>
    </row>
    <row r="2209" spans="18:19" x14ac:dyDescent="0.25">
      <c r="R2209" s="8" t="str">
        <f t="shared" si="68"/>
        <v/>
      </c>
      <c r="S2209" s="82" t="str">
        <f t="shared" si="69"/>
        <v/>
      </c>
    </row>
    <row r="2210" spans="18:19" x14ac:dyDescent="0.25">
      <c r="R2210" s="8" t="str">
        <f t="shared" si="68"/>
        <v/>
      </c>
      <c r="S2210" s="82" t="str">
        <f t="shared" si="69"/>
        <v/>
      </c>
    </row>
    <row r="2211" spans="18:19" x14ac:dyDescent="0.25">
      <c r="R2211" s="8" t="str">
        <f t="shared" si="68"/>
        <v/>
      </c>
      <c r="S2211" s="82" t="str">
        <f t="shared" si="69"/>
        <v/>
      </c>
    </row>
    <row r="2212" spans="18:19" x14ac:dyDescent="0.25">
      <c r="R2212" s="8" t="str">
        <f t="shared" si="68"/>
        <v/>
      </c>
      <c r="S2212" s="82" t="str">
        <f t="shared" si="69"/>
        <v/>
      </c>
    </row>
    <row r="2213" spans="18:19" x14ac:dyDescent="0.25">
      <c r="R2213" s="8" t="str">
        <f t="shared" si="68"/>
        <v/>
      </c>
      <c r="S2213" s="82" t="str">
        <f t="shared" si="69"/>
        <v/>
      </c>
    </row>
    <row r="2214" spans="18:19" x14ac:dyDescent="0.25">
      <c r="R2214" s="8" t="str">
        <f t="shared" si="68"/>
        <v/>
      </c>
      <c r="S2214" s="82" t="str">
        <f t="shared" si="69"/>
        <v/>
      </c>
    </row>
    <row r="2215" spans="18:19" x14ac:dyDescent="0.25">
      <c r="R2215" s="8" t="str">
        <f t="shared" si="68"/>
        <v/>
      </c>
      <c r="S2215" s="82" t="str">
        <f t="shared" si="69"/>
        <v/>
      </c>
    </row>
    <row r="2216" spans="18:19" x14ac:dyDescent="0.25">
      <c r="R2216" s="8" t="str">
        <f t="shared" si="68"/>
        <v/>
      </c>
      <c r="S2216" s="82" t="str">
        <f t="shared" si="69"/>
        <v/>
      </c>
    </row>
    <row r="2217" spans="18:19" x14ac:dyDescent="0.25">
      <c r="R2217" s="8" t="str">
        <f t="shared" si="68"/>
        <v/>
      </c>
      <c r="S2217" s="82" t="str">
        <f t="shared" si="69"/>
        <v/>
      </c>
    </row>
    <row r="2218" spans="18:19" x14ac:dyDescent="0.25">
      <c r="R2218" s="8" t="str">
        <f t="shared" si="68"/>
        <v/>
      </c>
      <c r="S2218" s="82" t="str">
        <f t="shared" si="69"/>
        <v/>
      </c>
    </row>
    <row r="2219" spans="18:19" x14ac:dyDescent="0.25">
      <c r="R2219" s="8" t="str">
        <f t="shared" si="68"/>
        <v/>
      </c>
      <c r="S2219" s="82" t="str">
        <f t="shared" si="69"/>
        <v/>
      </c>
    </row>
    <row r="2220" spans="18:19" x14ac:dyDescent="0.25">
      <c r="R2220" s="8" t="str">
        <f t="shared" si="68"/>
        <v/>
      </c>
      <c r="S2220" s="82" t="str">
        <f t="shared" si="69"/>
        <v/>
      </c>
    </row>
    <row r="2221" spans="18:19" x14ac:dyDescent="0.25">
      <c r="R2221" s="8" t="str">
        <f t="shared" si="68"/>
        <v/>
      </c>
      <c r="S2221" s="82" t="str">
        <f t="shared" si="69"/>
        <v/>
      </c>
    </row>
    <row r="2222" spans="18:19" x14ac:dyDescent="0.25">
      <c r="R2222" s="8" t="str">
        <f t="shared" si="68"/>
        <v/>
      </c>
      <c r="S2222" s="82" t="str">
        <f t="shared" si="69"/>
        <v/>
      </c>
    </row>
    <row r="2223" spans="18:19" x14ac:dyDescent="0.25">
      <c r="R2223" s="8" t="str">
        <f t="shared" si="68"/>
        <v/>
      </c>
      <c r="S2223" s="82" t="str">
        <f t="shared" si="69"/>
        <v/>
      </c>
    </row>
    <row r="2224" spans="18:19" x14ac:dyDescent="0.25">
      <c r="R2224" s="8" t="str">
        <f t="shared" si="68"/>
        <v/>
      </c>
      <c r="S2224" s="82" t="str">
        <f t="shared" si="69"/>
        <v/>
      </c>
    </row>
    <row r="2225" spans="18:19" x14ac:dyDescent="0.25">
      <c r="R2225" s="8" t="str">
        <f t="shared" si="68"/>
        <v/>
      </c>
      <c r="S2225" s="82" t="str">
        <f t="shared" si="69"/>
        <v/>
      </c>
    </row>
    <row r="2226" spans="18:19" x14ac:dyDescent="0.25">
      <c r="R2226" s="8" t="str">
        <f t="shared" si="68"/>
        <v/>
      </c>
      <c r="S2226" s="82" t="str">
        <f t="shared" si="69"/>
        <v/>
      </c>
    </row>
    <row r="2227" spans="18:19" x14ac:dyDescent="0.25">
      <c r="R2227" s="8" t="str">
        <f t="shared" si="68"/>
        <v/>
      </c>
      <c r="S2227" s="82" t="str">
        <f t="shared" si="69"/>
        <v/>
      </c>
    </row>
    <row r="2228" spans="18:19" x14ac:dyDescent="0.25">
      <c r="R2228" s="8" t="str">
        <f t="shared" si="68"/>
        <v/>
      </c>
      <c r="S2228" s="82" t="str">
        <f t="shared" si="69"/>
        <v/>
      </c>
    </row>
    <row r="2229" spans="18:19" x14ac:dyDescent="0.25">
      <c r="R2229" s="8" t="str">
        <f t="shared" si="68"/>
        <v/>
      </c>
      <c r="S2229" s="82" t="str">
        <f t="shared" si="69"/>
        <v/>
      </c>
    </row>
    <row r="2230" spans="18:19" x14ac:dyDescent="0.25">
      <c r="R2230" s="8" t="str">
        <f t="shared" si="68"/>
        <v/>
      </c>
      <c r="S2230" s="82" t="str">
        <f t="shared" si="69"/>
        <v/>
      </c>
    </row>
    <row r="2231" spans="18:19" x14ac:dyDescent="0.25">
      <c r="R2231" s="8" t="str">
        <f t="shared" si="68"/>
        <v/>
      </c>
      <c r="S2231" s="82" t="str">
        <f t="shared" si="69"/>
        <v/>
      </c>
    </row>
    <row r="2232" spans="18:19" x14ac:dyDescent="0.25">
      <c r="R2232" s="8" t="str">
        <f t="shared" si="68"/>
        <v/>
      </c>
      <c r="S2232" s="82" t="str">
        <f t="shared" si="69"/>
        <v/>
      </c>
    </row>
    <row r="2233" spans="18:19" x14ac:dyDescent="0.25">
      <c r="R2233" s="8" t="str">
        <f t="shared" si="68"/>
        <v/>
      </c>
      <c r="S2233" s="82" t="str">
        <f t="shared" si="69"/>
        <v/>
      </c>
    </row>
    <row r="2234" spans="18:19" x14ac:dyDescent="0.25">
      <c r="R2234" s="8" t="str">
        <f t="shared" si="68"/>
        <v/>
      </c>
      <c r="S2234" s="82" t="str">
        <f t="shared" si="69"/>
        <v/>
      </c>
    </row>
    <row r="2235" spans="18:19" x14ac:dyDescent="0.25">
      <c r="R2235" s="8" t="str">
        <f t="shared" si="68"/>
        <v/>
      </c>
      <c r="S2235" s="82" t="str">
        <f t="shared" si="69"/>
        <v/>
      </c>
    </row>
    <row r="2236" spans="18:19" x14ac:dyDescent="0.25">
      <c r="R2236" s="8" t="str">
        <f t="shared" si="68"/>
        <v/>
      </c>
      <c r="S2236" s="82" t="str">
        <f t="shared" si="69"/>
        <v/>
      </c>
    </row>
    <row r="2237" spans="18:19" x14ac:dyDescent="0.25">
      <c r="R2237" s="8" t="str">
        <f t="shared" si="68"/>
        <v/>
      </c>
      <c r="S2237" s="82" t="str">
        <f t="shared" si="69"/>
        <v/>
      </c>
    </row>
    <row r="2238" spans="18:19" x14ac:dyDescent="0.25">
      <c r="R2238" s="8" t="str">
        <f t="shared" si="68"/>
        <v/>
      </c>
      <c r="S2238" s="82" t="str">
        <f t="shared" si="69"/>
        <v/>
      </c>
    </row>
    <row r="2239" spans="18:19" x14ac:dyDescent="0.25">
      <c r="R2239" s="8" t="str">
        <f t="shared" si="68"/>
        <v/>
      </c>
      <c r="S2239" s="82" t="str">
        <f t="shared" si="69"/>
        <v/>
      </c>
    </row>
    <row r="2240" spans="18:19" x14ac:dyDescent="0.25">
      <c r="R2240" s="8" t="str">
        <f t="shared" si="68"/>
        <v/>
      </c>
      <c r="S2240" s="82" t="str">
        <f t="shared" si="69"/>
        <v/>
      </c>
    </row>
    <row r="2241" spans="18:19" x14ac:dyDescent="0.25">
      <c r="R2241" s="8" t="str">
        <f t="shared" si="68"/>
        <v/>
      </c>
      <c r="S2241" s="82" t="str">
        <f t="shared" si="69"/>
        <v/>
      </c>
    </row>
    <row r="2242" spans="18:19" x14ac:dyDescent="0.25">
      <c r="R2242" s="8" t="str">
        <f t="shared" si="68"/>
        <v/>
      </c>
      <c r="S2242" s="82" t="str">
        <f t="shared" si="69"/>
        <v/>
      </c>
    </row>
    <row r="2243" spans="18:19" x14ac:dyDescent="0.25">
      <c r="R2243" s="8" t="str">
        <f t="shared" si="68"/>
        <v/>
      </c>
      <c r="S2243" s="82" t="str">
        <f t="shared" si="69"/>
        <v/>
      </c>
    </row>
    <row r="2244" spans="18:19" x14ac:dyDescent="0.25">
      <c r="R2244" s="8" t="str">
        <f t="shared" si="68"/>
        <v/>
      </c>
      <c r="S2244" s="82" t="str">
        <f t="shared" si="69"/>
        <v/>
      </c>
    </row>
    <row r="2245" spans="18:19" x14ac:dyDescent="0.25">
      <c r="R2245" s="8" t="str">
        <f t="shared" si="68"/>
        <v/>
      </c>
      <c r="S2245" s="82" t="str">
        <f t="shared" si="69"/>
        <v/>
      </c>
    </row>
    <row r="2246" spans="18:19" x14ac:dyDescent="0.25">
      <c r="R2246" s="8" t="str">
        <f t="shared" si="68"/>
        <v/>
      </c>
      <c r="S2246" s="82" t="str">
        <f t="shared" si="69"/>
        <v/>
      </c>
    </row>
    <row r="2247" spans="18:19" x14ac:dyDescent="0.25">
      <c r="R2247" s="8" t="str">
        <f t="shared" si="68"/>
        <v/>
      </c>
      <c r="S2247" s="82" t="str">
        <f t="shared" si="69"/>
        <v/>
      </c>
    </row>
    <row r="2248" spans="18:19" x14ac:dyDescent="0.25">
      <c r="R2248" s="8" t="str">
        <f t="shared" ref="R2248:R2311" si="70">IF(A2248="",(""),(MONTH(A2248)))</f>
        <v/>
      </c>
      <c r="S2248" s="82" t="str">
        <f t="shared" ref="S2248:S2311" si="71">IF(B2248="",(""),IF(B2248="3 - Nota de Crédito A",-Q2248,IF(B2248="8 - Nota de Crédito B",-Q2248,(Q2248))))</f>
        <v/>
      </c>
    </row>
    <row r="2249" spans="18:19" x14ac:dyDescent="0.25">
      <c r="R2249" s="8" t="str">
        <f t="shared" si="70"/>
        <v/>
      </c>
      <c r="S2249" s="82" t="str">
        <f t="shared" si="71"/>
        <v/>
      </c>
    </row>
    <row r="2250" spans="18:19" x14ac:dyDescent="0.25">
      <c r="R2250" s="8" t="str">
        <f t="shared" si="70"/>
        <v/>
      </c>
      <c r="S2250" s="82" t="str">
        <f t="shared" si="71"/>
        <v/>
      </c>
    </row>
    <row r="2251" spans="18:19" x14ac:dyDescent="0.25">
      <c r="R2251" s="8" t="str">
        <f t="shared" si="70"/>
        <v/>
      </c>
      <c r="S2251" s="82" t="str">
        <f t="shared" si="71"/>
        <v/>
      </c>
    </row>
    <row r="2252" spans="18:19" x14ac:dyDescent="0.25">
      <c r="R2252" s="8" t="str">
        <f t="shared" si="70"/>
        <v/>
      </c>
      <c r="S2252" s="82" t="str">
        <f t="shared" si="71"/>
        <v/>
      </c>
    </row>
    <row r="2253" spans="18:19" x14ac:dyDescent="0.25">
      <c r="R2253" s="8" t="str">
        <f t="shared" si="70"/>
        <v/>
      </c>
      <c r="S2253" s="82" t="str">
        <f t="shared" si="71"/>
        <v/>
      </c>
    </row>
    <row r="2254" spans="18:19" x14ac:dyDescent="0.25">
      <c r="R2254" s="8" t="str">
        <f t="shared" si="70"/>
        <v/>
      </c>
      <c r="S2254" s="82" t="str">
        <f t="shared" si="71"/>
        <v/>
      </c>
    </row>
    <row r="2255" spans="18:19" x14ac:dyDescent="0.25">
      <c r="R2255" s="8" t="str">
        <f t="shared" si="70"/>
        <v/>
      </c>
      <c r="S2255" s="82" t="str">
        <f t="shared" si="71"/>
        <v/>
      </c>
    </row>
    <row r="2256" spans="18:19" x14ac:dyDescent="0.25">
      <c r="R2256" s="8" t="str">
        <f t="shared" si="70"/>
        <v/>
      </c>
      <c r="S2256" s="82" t="str">
        <f t="shared" si="71"/>
        <v/>
      </c>
    </row>
    <row r="2257" spans="18:19" x14ac:dyDescent="0.25">
      <c r="R2257" s="8" t="str">
        <f t="shared" si="70"/>
        <v/>
      </c>
      <c r="S2257" s="82" t="str">
        <f t="shared" si="71"/>
        <v/>
      </c>
    </row>
    <row r="2258" spans="18:19" x14ac:dyDescent="0.25">
      <c r="R2258" s="8" t="str">
        <f t="shared" si="70"/>
        <v/>
      </c>
      <c r="S2258" s="82" t="str">
        <f t="shared" si="71"/>
        <v/>
      </c>
    </row>
    <row r="2259" spans="18:19" x14ac:dyDescent="0.25">
      <c r="R2259" s="8" t="str">
        <f t="shared" si="70"/>
        <v/>
      </c>
      <c r="S2259" s="82" t="str">
        <f t="shared" si="71"/>
        <v/>
      </c>
    </row>
    <row r="2260" spans="18:19" x14ac:dyDescent="0.25">
      <c r="R2260" s="8" t="str">
        <f t="shared" si="70"/>
        <v/>
      </c>
      <c r="S2260" s="82" t="str">
        <f t="shared" si="71"/>
        <v/>
      </c>
    </row>
    <row r="2261" spans="18:19" x14ac:dyDescent="0.25">
      <c r="R2261" s="8" t="str">
        <f t="shared" si="70"/>
        <v/>
      </c>
      <c r="S2261" s="82" t="str">
        <f t="shared" si="71"/>
        <v/>
      </c>
    </row>
    <row r="2262" spans="18:19" x14ac:dyDescent="0.25">
      <c r="R2262" s="8" t="str">
        <f t="shared" si="70"/>
        <v/>
      </c>
      <c r="S2262" s="82" t="str">
        <f t="shared" si="71"/>
        <v/>
      </c>
    </row>
    <row r="2263" spans="18:19" x14ac:dyDescent="0.25">
      <c r="R2263" s="8" t="str">
        <f t="shared" si="70"/>
        <v/>
      </c>
      <c r="S2263" s="82" t="str">
        <f t="shared" si="71"/>
        <v/>
      </c>
    </row>
    <row r="2264" spans="18:19" x14ac:dyDescent="0.25">
      <c r="R2264" s="8" t="str">
        <f t="shared" si="70"/>
        <v/>
      </c>
      <c r="S2264" s="82" t="str">
        <f t="shared" si="71"/>
        <v/>
      </c>
    </row>
    <row r="2265" spans="18:19" x14ac:dyDescent="0.25">
      <c r="R2265" s="8" t="str">
        <f t="shared" si="70"/>
        <v/>
      </c>
      <c r="S2265" s="82" t="str">
        <f t="shared" si="71"/>
        <v/>
      </c>
    </row>
    <row r="2266" spans="18:19" x14ac:dyDescent="0.25">
      <c r="R2266" s="8" t="str">
        <f t="shared" si="70"/>
        <v/>
      </c>
      <c r="S2266" s="82" t="str">
        <f t="shared" si="71"/>
        <v/>
      </c>
    </row>
    <row r="2267" spans="18:19" x14ac:dyDescent="0.25">
      <c r="R2267" s="8" t="str">
        <f t="shared" si="70"/>
        <v/>
      </c>
      <c r="S2267" s="82" t="str">
        <f t="shared" si="71"/>
        <v/>
      </c>
    </row>
    <row r="2268" spans="18:19" x14ac:dyDescent="0.25">
      <c r="R2268" s="8" t="str">
        <f t="shared" si="70"/>
        <v/>
      </c>
      <c r="S2268" s="82" t="str">
        <f t="shared" si="71"/>
        <v/>
      </c>
    </row>
    <row r="2269" spans="18:19" x14ac:dyDescent="0.25">
      <c r="R2269" s="8" t="str">
        <f t="shared" si="70"/>
        <v/>
      </c>
      <c r="S2269" s="82" t="str">
        <f t="shared" si="71"/>
        <v/>
      </c>
    </row>
    <row r="2270" spans="18:19" x14ac:dyDescent="0.25">
      <c r="R2270" s="8" t="str">
        <f t="shared" si="70"/>
        <v/>
      </c>
      <c r="S2270" s="82" t="str">
        <f t="shared" si="71"/>
        <v/>
      </c>
    </row>
    <row r="2271" spans="18:19" x14ac:dyDescent="0.25">
      <c r="R2271" s="8" t="str">
        <f t="shared" si="70"/>
        <v/>
      </c>
      <c r="S2271" s="82" t="str">
        <f t="shared" si="71"/>
        <v/>
      </c>
    </row>
    <row r="2272" spans="18:19" x14ac:dyDescent="0.25">
      <c r="R2272" s="8" t="str">
        <f t="shared" si="70"/>
        <v/>
      </c>
      <c r="S2272" s="82" t="str">
        <f t="shared" si="71"/>
        <v/>
      </c>
    </row>
    <row r="2273" spans="18:19" x14ac:dyDescent="0.25">
      <c r="R2273" s="8" t="str">
        <f t="shared" si="70"/>
        <v/>
      </c>
      <c r="S2273" s="82" t="str">
        <f t="shared" si="71"/>
        <v/>
      </c>
    </row>
    <row r="2274" spans="18:19" x14ac:dyDescent="0.25">
      <c r="R2274" s="8" t="str">
        <f t="shared" si="70"/>
        <v/>
      </c>
      <c r="S2274" s="82" t="str">
        <f t="shared" si="71"/>
        <v/>
      </c>
    </row>
    <row r="2275" spans="18:19" x14ac:dyDescent="0.25">
      <c r="R2275" s="8" t="str">
        <f t="shared" si="70"/>
        <v/>
      </c>
      <c r="S2275" s="82" t="str">
        <f t="shared" si="71"/>
        <v/>
      </c>
    </row>
    <row r="2276" spans="18:19" x14ac:dyDescent="0.25">
      <c r="R2276" s="8" t="str">
        <f t="shared" si="70"/>
        <v/>
      </c>
      <c r="S2276" s="82" t="str">
        <f t="shared" si="71"/>
        <v/>
      </c>
    </row>
    <row r="2277" spans="18:19" x14ac:dyDescent="0.25">
      <c r="R2277" s="8" t="str">
        <f t="shared" si="70"/>
        <v/>
      </c>
      <c r="S2277" s="82" t="str">
        <f t="shared" si="71"/>
        <v/>
      </c>
    </row>
    <row r="2278" spans="18:19" x14ac:dyDescent="0.25">
      <c r="R2278" s="8" t="str">
        <f t="shared" si="70"/>
        <v/>
      </c>
      <c r="S2278" s="82" t="str">
        <f t="shared" si="71"/>
        <v/>
      </c>
    </row>
    <row r="2279" spans="18:19" x14ac:dyDescent="0.25">
      <c r="R2279" s="8" t="str">
        <f t="shared" si="70"/>
        <v/>
      </c>
      <c r="S2279" s="82" t="str">
        <f t="shared" si="71"/>
        <v/>
      </c>
    </row>
    <row r="2280" spans="18:19" x14ac:dyDescent="0.25">
      <c r="R2280" s="8" t="str">
        <f t="shared" si="70"/>
        <v/>
      </c>
      <c r="S2280" s="82" t="str">
        <f t="shared" si="71"/>
        <v/>
      </c>
    </row>
    <row r="2281" spans="18:19" x14ac:dyDescent="0.25">
      <c r="R2281" s="8" t="str">
        <f t="shared" si="70"/>
        <v/>
      </c>
      <c r="S2281" s="82" t="str">
        <f t="shared" si="71"/>
        <v/>
      </c>
    </row>
    <row r="2282" spans="18:19" x14ac:dyDescent="0.25">
      <c r="R2282" s="8" t="str">
        <f t="shared" si="70"/>
        <v/>
      </c>
      <c r="S2282" s="82" t="str">
        <f t="shared" si="71"/>
        <v/>
      </c>
    </row>
    <row r="2283" spans="18:19" x14ac:dyDescent="0.25">
      <c r="R2283" s="8" t="str">
        <f t="shared" si="70"/>
        <v/>
      </c>
      <c r="S2283" s="82" t="str">
        <f t="shared" si="71"/>
        <v/>
      </c>
    </row>
    <row r="2284" spans="18:19" x14ac:dyDescent="0.25">
      <c r="R2284" s="8" t="str">
        <f t="shared" si="70"/>
        <v/>
      </c>
      <c r="S2284" s="82" t="str">
        <f t="shared" si="71"/>
        <v/>
      </c>
    </row>
    <row r="2285" spans="18:19" x14ac:dyDescent="0.25">
      <c r="R2285" s="8" t="str">
        <f t="shared" si="70"/>
        <v/>
      </c>
      <c r="S2285" s="82" t="str">
        <f t="shared" si="71"/>
        <v/>
      </c>
    </row>
    <row r="2286" spans="18:19" x14ac:dyDescent="0.25">
      <c r="R2286" s="8" t="str">
        <f t="shared" si="70"/>
        <v/>
      </c>
      <c r="S2286" s="82" t="str">
        <f t="shared" si="71"/>
        <v/>
      </c>
    </row>
    <row r="2287" spans="18:19" x14ac:dyDescent="0.25">
      <c r="R2287" s="8" t="str">
        <f t="shared" si="70"/>
        <v/>
      </c>
      <c r="S2287" s="82" t="str">
        <f t="shared" si="71"/>
        <v/>
      </c>
    </row>
    <row r="2288" spans="18:19" x14ac:dyDescent="0.25">
      <c r="R2288" s="8" t="str">
        <f t="shared" si="70"/>
        <v/>
      </c>
      <c r="S2288" s="82" t="str">
        <f t="shared" si="71"/>
        <v/>
      </c>
    </row>
    <row r="2289" spans="18:19" x14ac:dyDescent="0.25">
      <c r="R2289" s="8" t="str">
        <f t="shared" si="70"/>
        <v/>
      </c>
      <c r="S2289" s="82" t="str">
        <f t="shared" si="71"/>
        <v/>
      </c>
    </row>
    <row r="2290" spans="18:19" x14ac:dyDescent="0.25">
      <c r="R2290" s="8" t="str">
        <f t="shared" si="70"/>
        <v/>
      </c>
      <c r="S2290" s="82" t="str">
        <f t="shared" si="71"/>
        <v/>
      </c>
    </row>
    <row r="2291" spans="18:19" x14ac:dyDescent="0.25">
      <c r="R2291" s="8" t="str">
        <f t="shared" si="70"/>
        <v/>
      </c>
      <c r="S2291" s="82" t="str">
        <f t="shared" si="71"/>
        <v/>
      </c>
    </row>
    <row r="2292" spans="18:19" x14ac:dyDescent="0.25">
      <c r="R2292" s="8" t="str">
        <f t="shared" si="70"/>
        <v/>
      </c>
      <c r="S2292" s="82" t="str">
        <f t="shared" si="71"/>
        <v/>
      </c>
    </row>
    <row r="2293" spans="18:19" x14ac:dyDescent="0.25">
      <c r="R2293" s="8" t="str">
        <f t="shared" si="70"/>
        <v/>
      </c>
      <c r="S2293" s="82" t="str">
        <f t="shared" si="71"/>
        <v/>
      </c>
    </row>
    <row r="2294" spans="18:19" x14ac:dyDescent="0.25">
      <c r="R2294" s="8" t="str">
        <f t="shared" si="70"/>
        <v/>
      </c>
      <c r="S2294" s="82" t="str">
        <f t="shared" si="71"/>
        <v/>
      </c>
    </row>
    <row r="2295" spans="18:19" x14ac:dyDescent="0.25">
      <c r="R2295" s="8" t="str">
        <f t="shared" si="70"/>
        <v/>
      </c>
      <c r="S2295" s="82" t="str">
        <f t="shared" si="71"/>
        <v/>
      </c>
    </row>
    <row r="2296" spans="18:19" x14ac:dyDescent="0.25">
      <c r="R2296" s="8" t="str">
        <f t="shared" si="70"/>
        <v/>
      </c>
      <c r="S2296" s="82" t="str">
        <f t="shared" si="71"/>
        <v/>
      </c>
    </row>
    <row r="2297" spans="18:19" x14ac:dyDescent="0.25">
      <c r="R2297" s="8" t="str">
        <f t="shared" si="70"/>
        <v/>
      </c>
      <c r="S2297" s="82" t="str">
        <f t="shared" si="71"/>
        <v/>
      </c>
    </row>
    <row r="2298" spans="18:19" x14ac:dyDescent="0.25">
      <c r="R2298" s="8" t="str">
        <f t="shared" si="70"/>
        <v/>
      </c>
      <c r="S2298" s="82" t="str">
        <f t="shared" si="71"/>
        <v/>
      </c>
    </row>
    <row r="2299" spans="18:19" x14ac:dyDescent="0.25">
      <c r="R2299" s="8" t="str">
        <f t="shared" si="70"/>
        <v/>
      </c>
      <c r="S2299" s="82" t="str">
        <f t="shared" si="71"/>
        <v/>
      </c>
    </row>
    <row r="2300" spans="18:19" x14ac:dyDescent="0.25">
      <c r="R2300" s="8" t="str">
        <f t="shared" si="70"/>
        <v/>
      </c>
      <c r="S2300" s="82" t="str">
        <f t="shared" si="71"/>
        <v/>
      </c>
    </row>
    <row r="2301" spans="18:19" x14ac:dyDescent="0.25">
      <c r="R2301" s="8" t="str">
        <f t="shared" si="70"/>
        <v/>
      </c>
      <c r="S2301" s="82" t="str">
        <f t="shared" si="71"/>
        <v/>
      </c>
    </row>
    <row r="2302" spans="18:19" x14ac:dyDescent="0.25">
      <c r="R2302" s="8" t="str">
        <f t="shared" si="70"/>
        <v/>
      </c>
      <c r="S2302" s="82" t="str">
        <f t="shared" si="71"/>
        <v/>
      </c>
    </row>
    <row r="2303" spans="18:19" x14ac:dyDescent="0.25">
      <c r="R2303" s="8" t="str">
        <f t="shared" si="70"/>
        <v/>
      </c>
      <c r="S2303" s="82" t="str">
        <f t="shared" si="71"/>
        <v/>
      </c>
    </row>
    <row r="2304" spans="18:19" x14ac:dyDescent="0.25">
      <c r="R2304" s="8" t="str">
        <f t="shared" si="70"/>
        <v/>
      </c>
      <c r="S2304" s="82" t="str">
        <f t="shared" si="71"/>
        <v/>
      </c>
    </row>
    <row r="2305" spans="18:19" x14ac:dyDescent="0.25">
      <c r="R2305" s="8" t="str">
        <f t="shared" si="70"/>
        <v/>
      </c>
      <c r="S2305" s="82" t="str">
        <f t="shared" si="71"/>
        <v/>
      </c>
    </row>
    <row r="2306" spans="18:19" x14ac:dyDescent="0.25">
      <c r="R2306" s="8" t="str">
        <f t="shared" si="70"/>
        <v/>
      </c>
      <c r="S2306" s="82" t="str">
        <f t="shared" si="71"/>
        <v/>
      </c>
    </row>
    <row r="2307" spans="18:19" x14ac:dyDescent="0.25">
      <c r="R2307" s="8" t="str">
        <f t="shared" si="70"/>
        <v/>
      </c>
      <c r="S2307" s="82" t="str">
        <f t="shared" si="71"/>
        <v/>
      </c>
    </row>
    <row r="2308" spans="18:19" x14ac:dyDescent="0.25">
      <c r="R2308" s="8" t="str">
        <f t="shared" si="70"/>
        <v/>
      </c>
      <c r="S2308" s="82" t="str">
        <f t="shared" si="71"/>
        <v/>
      </c>
    </row>
    <row r="2309" spans="18:19" x14ac:dyDescent="0.25">
      <c r="R2309" s="8" t="str">
        <f t="shared" si="70"/>
        <v/>
      </c>
      <c r="S2309" s="82" t="str">
        <f t="shared" si="71"/>
        <v/>
      </c>
    </row>
    <row r="2310" spans="18:19" x14ac:dyDescent="0.25">
      <c r="R2310" s="8" t="str">
        <f t="shared" si="70"/>
        <v/>
      </c>
      <c r="S2310" s="82" t="str">
        <f t="shared" si="71"/>
        <v/>
      </c>
    </row>
    <row r="2311" spans="18:19" x14ac:dyDescent="0.25">
      <c r="R2311" s="8" t="str">
        <f t="shared" si="70"/>
        <v/>
      </c>
      <c r="S2311" s="82" t="str">
        <f t="shared" si="71"/>
        <v/>
      </c>
    </row>
    <row r="2312" spans="18:19" x14ac:dyDescent="0.25">
      <c r="R2312" s="8" t="str">
        <f t="shared" ref="R2312:R2375" si="72">IF(A2312="",(""),(MONTH(A2312)))</f>
        <v/>
      </c>
      <c r="S2312" s="82" t="str">
        <f t="shared" ref="S2312:S2375" si="73">IF(B2312="",(""),IF(B2312="3 - Nota de Crédito A",-Q2312,IF(B2312="8 - Nota de Crédito B",-Q2312,(Q2312))))</f>
        <v/>
      </c>
    </row>
    <row r="2313" spans="18:19" x14ac:dyDescent="0.25">
      <c r="R2313" s="8" t="str">
        <f t="shared" si="72"/>
        <v/>
      </c>
      <c r="S2313" s="82" t="str">
        <f t="shared" si="73"/>
        <v/>
      </c>
    </row>
    <row r="2314" spans="18:19" x14ac:dyDescent="0.25">
      <c r="R2314" s="8" t="str">
        <f t="shared" si="72"/>
        <v/>
      </c>
      <c r="S2314" s="82" t="str">
        <f t="shared" si="73"/>
        <v/>
      </c>
    </row>
    <row r="2315" spans="18:19" x14ac:dyDescent="0.25">
      <c r="R2315" s="8" t="str">
        <f t="shared" si="72"/>
        <v/>
      </c>
      <c r="S2315" s="82" t="str">
        <f t="shared" si="73"/>
        <v/>
      </c>
    </row>
    <row r="2316" spans="18:19" x14ac:dyDescent="0.25">
      <c r="R2316" s="8" t="str">
        <f t="shared" si="72"/>
        <v/>
      </c>
      <c r="S2316" s="82" t="str">
        <f t="shared" si="73"/>
        <v/>
      </c>
    </row>
    <row r="2317" spans="18:19" x14ac:dyDescent="0.25">
      <c r="R2317" s="8" t="str">
        <f t="shared" si="72"/>
        <v/>
      </c>
      <c r="S2317" s="82" t="str">
        <f t="shared" si="73"/>
        <v/>
      </c>
    </row>
    <row r="2318" spans="18:19" x14ac:dyDescent="0.25">
      <c r="R2318" s="8" t="str">
        <f t="shared" si="72"/>
        <v/>
      </c>
      <c r="S2318" s="82" t="str">
        <f t="shared" si="73"/>
        <v/>
      </c>
    </row>
    <row r="2319" spans="18:19" x14ac:dyDescent="0.25">
      <c r="R2319" s="8" t="str">
        <f t="shared" si="72"/>
        <v/>
      </c>
      <c r="S2319" s="82" t="str">
        <f t="shared" si="73"/>
        <v/>
      </c>
    </row>
    <row r="2320" spans="18:19" x14ac:dyDescent="0.25">
      <c r="R2320" s="8" t="str">
        <f t="shared" si="72"/>
        <v/>
      </c>
      <c r="S2320" s="82" t="str">
        <f t="shared" si="73"/>
        <v/>
      </c>
    </row>
    <row r="2321" spans="18:19" x14ac:dyDescent="0.25">
      <c r="R2321" s="8" t="str">
        <f t="shared" si="72"/>
        <v/>
      </c>
      <c r="S2321" s="82" t="str">
        <f t="shared" si="73"/>
        <v/>
      </c>
    </row>
    <row r="2322" spans="18:19" x14ac:dyDescent="0.25">
      <c r="R2322" s="8" t="str">
        <f t="shared" si="72"/>
        <v/>
      </c>
      <c r="S2322" s="82" t="str">
        <f t="shared" si="73"/>
        <v/>
      </c>
    </row>
    <row r="2323" spans="18:19" x14ac:dyDescent="0.25">
      <c r="R2323" s="8" t="str">
        <f t="shared" si="72"/>
        <v/>
      </c>
      <c r="S2323" s="82" t="str">
        <f t="shared" si="73"/>
        <v/>
      </c>
    </row>
    <row r="2324" spans="18:19" x14ac:dyDescent="0.25">
      <c r="R2324" s="8" t="str">
        <f t="shared" si="72"/>
        <v/>
      </c>
      <c r="S2324" s="82" t="str">
        <f t="shared" si="73"/>
        <v/>
      </c>
    </row>
    <row r="2325" spans="18:19" x14ac:dyDescent="0.25">
      <c r="R2325" s="8" t="str">
        <f t="shared" si="72"/>
        <v/>
      </c>
      <c r="S2325" s="82" t="str">
        <f t="shared" si="73"/>
        <v/>
      </c>
    </row>
    <row r="2326" spans="18:19" x14ac:dyDescent="0.25">
      <c r="R2326" s="8" t="str">
        <f t="shared" si="72"/>
        <v/>
      </c>
      <c r="S2326" s="82" t="str">
        <f t="shared" si="73"/>
        <v/>
      </c>
    </row>
    <row r="2327" spans="18:19" x14ac:dyDescent="0.25">
      <c r="R2327" s="8" t="str">
        <f t="shared" si="72"/>
        <v/>
      </c>
      <c r="S2327" s="82" t="str">
        <f t="shared" si="73"/>
        <v/>
      </c>
    </row>
    <row r="2328" spans="18:19" x14ac:dyDescent="0.25">
      <c r="R2328" s="8" t="str">
        <f t="shared" si="72"/>
        <v/>
      </c>
      <c r="S2328" s="82" t="str">
        <f t="shared" si="73"/>
        <v/>
      </c>
    </row>
    <row r="2329" spans="18:19" x14ac:dyDescent="0.25">
      <c r="R2329" s="8" t="str">
        <f t="shared" si="72"/>
        <v/>
      </c>
      <c r="S2329" s="82" t="str">
        <f t="shared" si="73"/>
        <v/>
      </c>
    </row>
    <row r="2330" spans="18:19" x14ac:dyDescent="0.25">
      <c r="R2330" s="8" t="str">
        <f t="shared" si="72"/>
        <v/>
      </c>
      <c r="S2330" s="82" t="str">
        <f t="shared" si="73"/>
        <v/>
      </c>
    </row>
    <row r="2331" spans="18:19" x14ac:dyDescent="0.25">
      <c r="R2331" s="8" t="str">
        <f t="shared" si="72"/>
        <v/>
      </c>
      <c r="S2331" s="82" t="str">
        <f t="shared" si="73"/>
        <v/>
      </c>
    </row>
    <row r="2332" spans="18:19" x14ac:dyDescent="0.25">
      <c r="R2332" s="8" t="str">
        <f t="shared" si="72"/>
        <v/>
      </c>
      <c r="S2332" s="82" t="str">
        <f t="shared" si="73"/>
        <v/>
      </c>
    </row>
    <row r="2333" spans="18:19" x14ac:dyDescent="0.25">
      <c r="R2333" s="8" t="str">
        <f t="shared" si="72"/>
        <v/>
      </c>
      <c r="S2333" s="82" t="str">
        <f t="shared" si="73"/>
        <v/>
      </c>
    </row>
    <row r="2334" spans="18:19" x14ac:dyDescent="0.25">
      <c r="R2334" s="8" t="str">
        <f t="shared" si="72"/>
        <v/>
      </c>
      <c r="S2334" s="82" t="str">
        <f t="shared" si="73"/>
        <v/>
      </c>
    </row>
    <row r="2335" spans="18:19" x14ac:dyDescent="0.25">
      <c r="R2335" s="8" t="str">
        <f t="shared" si="72"/>
        <v/>
      </c>
      <c r="S2335" s="82" t="str">
        <f t="shared" si="73"/>
        <v/>
      </c>
    </row>
    <row r="2336" spans="18:19" x14ac:dyDescent="0.25">
      <c r="R2336" s="8" t="str">
        <f t="shared" si="72"/>
        <v/>
      </c>
      <c r="S2336" s="82" t="str">
        <f t="shared" si="73"/>
        <v/>
      </c>
    </row>
    <row r="2337" spans="18:19" x14ac:dyDescent="0.25">
      <c r="R2337" s="8" t="str">
        <f t="shared" si="72"/>
        <v/>
      </c>
      <c r="S2337" s="82" t="str">
        <f t="shared" si="73"/>
        <v/>
      </c>
    </row>
    <row r="2338" spans="18:19" x14ac:dyDescent="0.25">
      <c r="R2338" s="8" t="str">
        <f t="shared" si="72"/>
        <v/>
      </c>
      <c r="S2338" s="82" t="str">
        <f t="shared" si="73"/>
        <v/>
      </c>
    </row>
    <row r="2339" spans="18:19" x14ac:dyDescent="0.25">
      <c r="R2339" s="8" t="str">
        <f t="shared" si="72"/>
        <v/>
      </c>
      <c r="S2339" s="82" t="str">
        <f t="shared" si="73"/>
        <v/>
      </c>
    </row>
    <row r="2340" spans="18:19" x14ac:dyDescent="0.25">
      <c r="R2340" s="8" t="str">
        <f t="shared" si="72"/>
        <v/>
      </c>
      <c r="S2340" s="82" t="str">
        <f t="shared" si="73"/>
        <v/>
      </c>
    </row>
    <row r="2341" spans="18:19" x14ac:dyDescent="0.25">
      <c r="R2341" s="8" t="str">
        <f t="shared" si="72"/>
        <v/>
      </c>
      <c r="S2341" s="82" t="str">
        <f t="shared" si="73"/>
        <v/>
      </c>
    </row>
    <row r="2342" spans="18:19" x14ac:dyDescent="0.25">
      <c r="R2342" s="8" t="str">
        <f t="shared" si="72"/>
        <v/>
      </c>
      <c r="S2342" s="82" t="str">
        <f t="shared" si="73"/>
        <v/>
      </c>
    </row>
    <row r="2343" spans="18:19" x14ac:dyDescent="0.25">
      <c r="R2343" s="8" t="str">
        <f t="shared" si="72"/>
        <v/>
      </c>
      <c r="S2343" s="82" t="str">
        <f t="shared" si="73"/>
        <v/>
      </c>
    </row>
    <row r="2344" spans="18:19" x14ac:dyDescent="0.25">
      <c r="R2344" s="8" t="str">
        <f t="shared" si="72"/>
        <v/>
      </c>
      <c r="S2344" s="82" t="str">
        <f t="shared" si="73"/>
        <v/>
      </c>
    </row>
    <row r="2345" spans="18:19" x14ac:dyDescent="0.25">
      <c r="R2345" s="8" t="str">
        <f t="shared" si="72"/>
        <v/>
      </c>
      <c r="S2345" s="82" t="str">
        <f t="shared" si="73"/>
        <v/>
      </c>
    </row>
    <row r="2346" spans="18:19" x14ac:dyDescent="0.25">
      <c r="R2346" s="8" t="str">
        <f t="shared" si="72"/>
        <v/>
      </c>
      <c r="S2346" s="82" t="str">
        <f t="shared" si="73"/>
        <v/>
      </c>
    </row>
    <row r="2347" spans="18:19" x14ac:dyDescent="0.25">
      <c r="R2347" s="8" t="str">
        <f t="shared" si="72"/>
        <v/>
      </c>
      <c r="S2347" s="82" t="str">
        <f t="shared" si="73"/>
        <v/>
      </c>
    </row>
    <row r="2348" spans="18:19" x14ac:dyDescent="0.25">
      <c r="R2348" s="8" t="str">
        <f t="shared" si="72"/>
        <v/>
      </c>
      <c r="S2348" s="82" t="str">
        <f t="shared" si="73"/>
        <v/>
      </c>
    </row>
    <row r="2349" spans="18:19" x14ac:dyDescent="0.25">
      <c r="R2349" s="8" t="str">
        <f t="shared" si="72"/>
        <v/>
      </c>
      <c r="S2349" s="82" t="str">
        <f t="shared" si="73"/>
        <v/>
      </c>
    </row>
    <row r="2350" spans="18:19" x14ac:dyDescent="0.25">
      <c r="R2350" s="8" t="str">
        <f t="shared" si="72"/>
        <v/>
      </c>
      <c r="S2350" s="82" t="str">
        <f t="shared" si="73"/>
        <v/>
      </c>
    </row>
    <row r="2351" spans="18:19" x14ac:dyDescent="0.25">
      <c r="R2351" s="8" t="str">
        <f t="shared" si="72"/>
        <v/>
      </c>
      <c r="S2351" s="82" t="str">
        <f t="shared" si="73"/>
        <v/>
      </c>
    </row>
    <row r="2352" spans="18:19" x14ac:dyDescent="0.25">
      <c r="R2352" s="8" t="str">
        <f t="shared" si="72"/>
        <v/>
      </c>
      <c r="S2352" s="82" t="str">
        <f t="shared" si="73"/>
        <v/>
      </c>
    </row>
    <row r="2353" spans="18:19" x14ac:dyDescent="0.25">
      <c r="R2353" s="8" t="str">
        <f t="shared" si="72"/>
        <v/>
      </c>
      <c r="S2353" s="82" t="str">
        <f t="shared" si="73"/>
        <v/>
      </c>
    </row>
    <row r="2354" spans="18:19" x14ac:dyDescent="0.25">
      <c r="R2354" s="8" t="str">
        <f t="shared" si="72"/>
        <v/>
      </c>
      <c r="S2354" s="82" t="str">
        <f t="shared" si="73"/>
        <v/>
      </c>
    </row>
    <row r="2355" spans="18:19" x14ac:dyDescent="0.25">
      <c r="R2355" s="8" t="str">
        <f t="shared" si="72"/>
        <v/>
      </c>
      <c r="S2355" s="82" t="str">
        <f t="shared" si="73"/>
        <v/>
      </c>
    </row>
    <row r="2356" spans="18:19" x14ac:dyDescent="0.25">
      <c r="R2356" s="8" t="str">
        <f t="shared" si="72"/>
        <v/>
      </c>
      <c r="S2356" s="82" t="str">
        <f t="shared" si="73"/>
        <v/>
      </c>
    </row>
    <row r="2357" spans="18:19" x14ac:dyDescent="0.25">
      <c r="R2357" s="8" t="str">
        <f t="shared" si="72"/>
        <v/>
      </c>
      <c r="S2357" s="82" t="str">
        <f t="shared" si="73"/>
        <v/>
      </c>
    </row>
    <row r="2358" spans="18:19" x14ac:dyDescent="0.25">
      <c r="R2358" s="8" t="str">
        <f t="shared" si="72"/>
        <v/>
      </c>
      <c r="S2358" s="82" t="str">
        <f t="shared" si="73"/>
        <v/>
      </c>
    </row>
    <row r="2359" spans="18:19" x14ac:dyDescent="0.25">
      <c r="R2359" s="8" t="str">
        <f t="shared" si="72"/>
        <v/>
      </c>
      <c r="S2359" s="82" t="str">
        <f t="shared" si="73"/>
        <v/>
      </c>
    </row>
    <row r="2360" spans="18:19" x14ac:dyDescent="0.25">
      <c r="R2360" s="8" t="str">
        <f t="shared" si="72"/>
        <v/>
      </c>
      <c r="S2360" s="82" t="str">
        <f t="shared" si="73"/>
        <v/>
      </c>
    </row>
    <row r="2361" spans="18:19" x14ac:dyDescent="0.25">
      <c r="R2361" s="8" t="str">
        <f t="shared" si="72"/>
        <v/>
      </c>
      <c r="S2361" s="82" t="str">
        <f t="shared" si="73"/>
        <v/>
      </c>
    </row>
    <row r="2362" spans="18:19" x14ac:dyDescent="0.25">
      <c r="R2362" s="8" t="str">
        <f t="shared" si="72"/>
        <v/>
      </c>
      <c r="S2362" s="82" t="str">
        <f t="shared" si="73"/>
        <v/>
      </c>
    </row>
    <row r="2363" spans="18:19" x14ac:dyDescent="0.25">
      <c r="R2363" s="8" t="str">
        <f t="shared" si="72"/>
        <v/>
      </c>
      <c r="S2363" s="82" t="str">
        <f t="shared" si="73"/>
        <v/>
      </c>
    </row>
    <row r="2364" spans="18:19" x14ac:dyDescent="0.25">
      <c r="R2364" s="8" t="str">
        <f t="shared" si="72"/>
        <v/>
      </c>
      <c r="S2364" s="82" t="str">
        <f t="shared" si="73"/>
        <v/>
      </c>
    </row>
    <row r="2365" spans="18:19" x14ac:dyDescent="0.25">
      <c r="R2365" s="8" t="str">
        <f t="shared" si="72"/>
        <v/>
      </c>
      <c r="S2365" s="82" t="str">
        <f t="shared" si="73"/>
        <v/>
      </c>
    </row>
    <row r="2366" spans="18:19" x14ac:dyDescent="0.25">
      <c r="R2366" s="8" t="str">
        <f t="shared" si="72"/>
        <v/>
      </c>
      <c r="S2366" s="82" t="str">
        <f t="shared" si="73"/>
        <v/>
      </c>
    </row>
    <row r="2367" spans="18:19" x14ac:dyDescent="0.25">
      <c r="R2367" s="8" t="str">
        <f t="shared" si="72"/>
        <v/>
      </c>
      <c r="S2367" s="82" t="str">
        <f t="shared" si="73"/>
        <v/>
      </c>
    </row>
    <row r="2368" spans="18:19" x14ac:dyDescent="0.25">
      <c r="R2368" s="8" t="str">
        <f t="shared" si="72"/>
        <v/>
      </c>
      <c r="S2368" s="82" t="str">
        <f t="shared" si="73"/>
        <v/>
      </c>
    </row>
    <row r="2369" spans="18:19" x14ac:dyDescent="0.25">
      <c r="R2369" s="8" t="str">
        <f t="shared" si="72"/>
        <v/>
      </c>
      <c r="S2369" s="82" t="str">
        <f t="shared" si="73"/>
        <v/>
      </c>
    </row>
    <row r="2370" spans="18:19" x14ac:dyDescent="0.25">
      <c r="R2370" s="8" t="str">
        <f t="shared" si="72"/>
        <v/>
      </c>
      <c r="S2370" s="82" t="str">
        <f t="shared" si="73"/>
        <v/>
      </c>
    </row>
    <row r="2371" spans="18:19" x14ac:dyDescent="0.25">
      <c r="R2371" s="8" t="str">
        <f t="shared" si="72"/>
        <v/>
      </c>
      <c r="S2371" s="82" t="str">
        <f t="shared" si="73"/>
        <v/>
      </c>
    </row>
    <row r="2372" spans="18:19" x14ac:dyDescent="0.25">
      <c r="R2372" s="8" t="str">
        <f t="shared" si="72"/>
        <v/>
      </c>
      <c r="S2372" s="82" t="str">
        <f t="shared" si="73"/>
        <v/>
      </c>
    </row>
    <row r="2373" spans="18:19" x14ac:dyDescent="0.25">
      <c r="R2373" s="8" t="str">
        <f t="shared" si="72"/>
        <v/>
      </c>
      <c r="S2373" s="82" t="str">
        <f t="shared" si="73"/>
        <v/>
      </c>
    </row>
    <row r="2374" spans="18:19" x14ac:dyDescent="0.25">
      <c r="R2374" s="8" t="str">
        <f t="shared" si="72"/>
        <v/>
      </c>
      <c r="S2374" s="82" t="str">
        <f t="shared" si="73"/>
        <v/>
      </c>
    </row>
    <row r="2375" spans="18:19" x14ac:dyDescent="0.25">
      <c r="R2375" s="8" t="str">
        <f t="shared" si="72"/>
        <v/>
      </c>
      <c r="S2375" s="82" t="str">
        <f t="shared" si="73"/>
        <v/>
      </c>
    </row>
    <row r="2376" spans="18:19" x14ac:dyDescent="0.25">
      <c r="R2376" s="8" t="str">
        <f t="shared" ref="R2376:R2439" si="74">IF(A2376="",(""),(MONTH(A2376)))</f>
        <v/>
      </c>
      <c r="S2376" s="82" t="str">
        <f t="shared" ref="S2376:S2439" si="75">IF(B2376="",(""),IF(B2376="3 - Nota de Crédito A",-Q2376,IF(B2376="8 - Nota de Crédito B",-Q2376,(Q2376))))</f>
        <v/>
      </c>
    </row>
    <row r="2377" spans="18:19" x14ac:dyDescent="0.25">
      <c r="R2377" s="8" t="str">
        <f t="shared" si="74"/>
        <v/>
      </c>
      <c r="S2377" s="82" t="str">
        <f t="shared" si="75"/>
        <v/>
      </c>
    </row>
    <row r="2378" spans="18:19" x14ac:dyDescent="0.25">
      <c r="R2378" s="8" t="str">
        <f t="shared" si="74"/>
        <v/>
      </c>
      <c r="S2378" s="82" t="str">
        <f t="shared" si="75"/>
        <v/>
      </c>
    </row>
    <row r="2379" spans="18:19" x14ac:dyDescent="0.25">
      <c r="R2379" s="8" t="str">
        <f t="shared" si="74"/>
        <v/>
      </c>
      <c r="S2379" s="82" t="str">
        <f t="shared" si="75"/>
        <v/>
      </c>
    </row>
    <row r="2380" spans="18:19" x14ac:dyDescent="0.25">
      <c r="R2380" s="8" t="str">
        <f t="shared" si="74"/>
        <v/>
      </c>
      <c r="S2380" s="82" t="str">
        <f t="shared" si="75"/>
        <v/>
      </c>
    </row>
    <row r="2381" spans="18:19" x14ac:dyDescent="0.25">
      <c r="R2381" s="8" t="str">
        <f t="shared" si="74"/>
        <v/>
      </c>
      <c r="S2381" s="82" t="str">
        <f t="shared" si="75"/>
        <v/>
      </c>
    </row>
    <row r="2382" spans="18:19" x14ac:dyDescent="0.25">
      <c r="R2382" s="8" t="str">
        <f t="shared" si="74"/>
        <v/>
      </c>
      <c r="S2382" s="82" t="str">
        <f t="shared" si="75"/>
        <v/>
      </c>
    </row>
    <row r="2383" spans="18:19" x14ac:dyDescent="0.25">
      <c r="R2383" s="8" t="str">
        <f t="shared" si="74"/>
        <v/>
      </c>
      <c r="S2383" s="82" t="str">
        <f t="shared" si="75"/>
        <v/>
      </c>
    </row>
    <row r="2384" spans="18:19" x14ac:dyDescent="0.25">
      <c r="R2384" s="8" t="str">
        <f t="shared" si="74"/>
        <v/>
      </c>
      <c r="S2384" s="82" t="str">
        <f t="shared" si="75"/>
        <v/>
      </c>
    </row>
    <row r="2385" spans="18:19" x14ac:dyDescent="0.25">
      <c r="R2385" s="8" t="str">
        <f t="shared" si="74"/>
        <v/>
      </c>
      <c r="S2385" s="82" t="str">
        <f t="shared" si="75"/>
        <v/>
      </c>
    </row>
    <row r="2386" spans="18:19" x14ac:dyDescent="0.25">
      <c r="R2386" s="8" t="str">
        <f t="shared" si="74"/>
        <v/>
      </c>
      <c r="S2386" s="82" t="str">
        <f t="shared" si="75"/>
        <v/>
      </c>
    </row>
    <row r="2387" spans="18:19" x14ac:dyDescent="0.25">
      <c r="R2387" s="8" t="str">
        <f t="shared" si="74"/>
        <v/>
      </c>
      <c r="S2387" s="82" t="str">
        <f t="shared" si="75"/>
        <v/>
      </c>
    </row>
    <row r="2388" spans="18:19" x14ac:dyDescent="0.25">
      <c r="R2388" s="8" t="str">
        <f t="shared" si="74"/>
        <v/>
      </c>
      <c r="S2388" s="82" t="str">
        <f t="shared" si="75"/>
        <v/>
      </c>
    </row>
    <row r="2389" spans="18:19" x14ac:dyDescent="0.25">
      <c r="R2389" s="8" t="str">
        <f t="shared" si="74"/>
        <v/>
      </c>
      <c r="S2389" s="82" t="str">
        <f t="shared" si="75"/>
        <v/>
      </c>
    </row>
    <row r="2390" spans="18:19" x14ac:dyDescent="0.25">
      <c r="R2390" s="8" t="str">
        <f t="shared" si="74"/>
        <v/>
      </c>
      <c r="S2390" s="82" t="str">
        <f t="shared" si="75"/>
        <v/>
      </c>
    </row>
    <row r="2391" spans="18:19" x14ac:dyDescent="0.25">
      <c r="R2391" s="8" t="str">
        <f t="shared" si="74"/>
        <v/>
      </c>
      <c r="S2391" s="82" t="str">
        <f t="shared" si="75"/>
        <v/>
      </c>
    </row>
    <row r="2392" spans="18:19" x14ac:dyDescent="0.25">
      <c r="R2392" s="8" t="str">
        <f t="shared" si="74"/>
        <v/>
      </c>
      <c r="S2392" s="82" t="str">
        <f t="shared" si="75"/>
        <v/>
      </c>
    </row>
    <row r="2393" spans="18:19" x14ac:dyDescent="0.25">
      <c r="R2393" s="8" t="str">
        <f t="shared" si="74"/>
        <v/>
      </c>
      <c r="S2393" s="82" t="str">
        <f t="shared" si="75"/>
        <v/>
      </c>
    </row>
    <row r="2394" spans="18:19" x14ac:dyDescent="0.25">
      <c r="R2394" s="8" t="str">
        <f t="shared" si="74"/>
        <v/>
      </c>
      <c r="S2394" s="82" t="str">
        <f t="shared" si="75"/>
        <v/>
      </c>
    </row>
    <row r="2395" spans="18:19" x14ac:dyDescent="0.25">
      <c r="R2395" s="8" t="str">
        <f t="shared" si="74"/>
        <v/>
      </c>
      <c r="S2395" s="82" t="str">
        <f t="shared" si="75"/>
        <v/>
      </c>
    </row>
    <row r="2396" spans="18:19" x14ac:dyDescent="0.25">
      <c r="R2396" s="8" t="str">
        <f t="shared" si="74"/>
        <v/>
      </c>
      <c r="S2396" s="82" t="str">
        <f t="shared" si="75"/>
        <v/>
      </c>
    </row>
    <row r="2397" spans="18:19" x14ac:dyDescent="0.25">
      <c r="R2397" s="8" t="str">
        <f t="shared" si="74"/>
        <v/>
      </c>
      <c r="S2397" s="82" t="str">
        <f t="shared" si="75"/>
        <v/>
      </c>
    </row>
    <row r="2398" spans="18:19" x14ac:dyDescent="0.25">
      <c r="R2398" s="8" t="str">
        <f t="shared" si="74"/>
        <v/>
      </c>
      <c r="S2398" s="82" t="str">
        <f t="shared" si="75"/>
        <v/>
      </c>
    </row>
    <row r="2399" spans="18:19" x14ac:dyDescent="0.25">
      <c r="R2399" s="8" t="str">
        <f t="shared" si="74"/>
        <v/>
      </c>
      <c r="S2399" s="82" t="str">
        <f t="shared" si="75"/>
        <v/>
      </c>
    </row>
    <row r="2400" spans="18:19" x14ac:dyDescent="0.25">
      <c r="R2400" s="8" t="str">
        <f t="shared" si="74"/>
        <v/>
      </c>
      <c r="S2400" s="82" t="str">
        <f t="shared" si="75"/>
        <v/>
      </c>
    </row>
    <row r="2401" spans="18:19" x14ac:dyDescent="0.25">
      <c r="R2401" s="8" t="str">
        <f t="shared" si="74"/>
        <v/>
      </c>
      <c r="S2401" s="82" t="str">
        <f t="shared" si="75"/>
        <v/>
      </c>
    </row>
    <row r="2402" spans="18:19" x14ac:dyDescent="0.25">
      <c r="R2402" s="8" t="str">
        <f t="shared" si="74"/>
        <v/>
      </c>
      <c r="S2402" s="82" t="str">
        <f t="shared" si="75"/>
        <v/>
      </c>
    </row>
    <row r="2403" spans="18:19" x14ac:dyDescent="0.25">
      <c r="R2403" s="8" t="str">
        <f t="shared" si="74"/>
        <v/>
      </c>
      <c r="S2403" s="82" t="str">
        <f t="shared" si="75"/>
        <v/>
      </c>
    </row>
    <row r="2404" spans="18:19" x14ac:dyDescent="0.25">
      <c r="R2404" s="8" t="str">
        <f t="shared" si="74"/>
        <v/>
      </c>
      <c r="S2404" s="82" t="str">
        <f t="shared" si="75"/>
        <v/>
      </c>
    </row>
    <row r="2405" spans="18:19" x14ac:dyDescent="0.25">
      <c r="R2405" s="8" t="str">
        <f t="shared" si="74"/>
        <v/>
      </c>
      <c r="S2405" s="82" t="str">
        <f t="shared" si="75"/>
        <v/>
      </c>
    </row>
    <row r="2406" spans="18:19" x14ac:dyDescent="0.25">
      <c r="R2406" s="8" t="str">
        <f t="shared" si="74"/>
        <v/>
      </c>
      <c r="S2406" s="82" t="str">
        <f t="shared" si="75"/>
        <v/>
      </c>
    </row>
    <row r="2407" spans="18:19" x14ac:dyDescent="0.25">
      <c r="R2407" s="8" t="str">
        <f t="shared" si="74"/>
        <v/>
      </c>
      <c r="S2407" s="82" t="str">
        <f t="shared" si="75"/>
        <v/>
      </c>
    </row>
    <row r="2408" spans="18:19" x14ac:dyDescent="0.25">
      <c r="R2408" s="8" t="str">
        <f t="shared" si="74"/>
        <v/>
      </c>
      <c r="S2408" s="82" t="str">
        <f t="shared" si="75"/>
        <v/>
      </c>
    </row>
    <row r="2409" spans="18:19" x14ac:dyDescent="0.25">
      <c r="R2409" s="8" t="str">
        <f t="shared" si="74"/>
        <v/>
      </c>
      <c r="S2409" s="82" t="str">
        <f t="shared" si="75"/>
        <v/>
      </c>
    </row>
    <row r="2410" spans="18:19" x14ac:dyDescent="0.25">
      <c r="R2410" s="8" t="str">
        <f t="shared" si="74"/>
        <v/>
      </c>
      <c r="S2410" s="82" t="str">
        <f t="shared" si="75"/>
        <v/>
      </c>
    </row>
    <row r="2411" spans="18:19" x14ac:dyDescent="0.25">
      <c r="R2411" s="8" t="str">
        <f t="shared" si="74"/>
        <v/>
      </c>
      <c r="S2411" s="82" t="str">
        <f t="shared" si="75"/>
        <v/>
      </c>
    </row>
    <row r="2412" spans="18:19" x14ac:dyDescent="0.25">
      <c r="R2412" s="8" t="str">
        <f t="shared" si="74"/>
        <v/>
      </c>
      <c r="S2412" s="82" t="str">
        <f t="shared" si="75"/>
        <v/>
      </c>
    </row>
    <row r="2413" spans="18:19" x14ac:dyDescent="0.25">
      <c r="R2413" s="8" t="str">
        <f t="shared" si="74"/>
        <v/>
      </c>
      <c r="S2413" s="82" t="str">
        <f t="shared" si="75"/>
        <v/>
      </c>
    </row>
    <row r="2414" spans="18:19" x14ac:dyDescent="0.25">
      <c r="R2414" s="8" t="str">
        <f t="shared" si="74"/>
        <v/>
      </c>
      <c r="S2414" s="82" t="str">
        <f t="shared" si="75"/>
        <v/>
      </c>
    </row>
    <row r="2415" spans="18:19" x14ac:dyDescent="0.25">
      <c r="R2415" s="8" t="str">
        <f t="shared" si="74"/>
        <v/>
      </c>
      <c r="S2415" s="82" t="str">
        <f t="shared" si="75"/>
        <v/>
      </c>
    </row>
    <row r="2416" spans="18:19" x14ac:dyDescent="0.25">
      <c r="R2416" s="8" t="str">
        <f t="shared" si="74"/>
        <v/>
      </c>
      <c r="S2416" s="82" t="str">
        <f t="shared" si="75"/>
        <v/>
      </c>
    </row>
    <row r="2417" spans="18:19" x14ac:dyDescent="0.25">
      <c r="R2417" s="8" t="str">
        <f t="shared" si="74"/>
        <v/>
      </c>
      <c r="S2417" s="82" t="str">
        <f t="shared" si="75"/>
        <v/>
      </c>
    </row>
    <row r="2418" spans="18:19" x14ac:dyDescent="0.25">
      <c r="R2418" s="8" t="str">
        <f t="shared" si="74"/>
        <v/>
      </c>
      <c r="S2418" s="82" t="str">
        <f t="shared" si="75"/>
        <v/>
      </c>
    </row>
    <row r="2419" spans="18:19" x14ac:dyDescent="0.25">
      <c r="R2419" s="8" t="str">
        <f t="shared" si="74"/>
        <v/>
      </c>
      <c r="S2419" s="82" t="str">
        <f t="shared" si="75"/>
        <v/>
      </c>
    </row>
    <row r="2420" spans="18:19" x14ac:dyDescent="0.25">
      <c r="R2420" s="8" t="str">
        <f t="shared" si="74"/>
        <v/>
      </c>
      <c r="S2420" s="82" t="str">
        <f t="shared" si="75"/>
        <v/>
      </c>
    </row>
    <row r="2421" spans="18:19" x14ac:dyDescent="0.25">
      <c r="R2421" s="8" t="str">
        <f t="shared" si="74"/>
        <v/>
      </c>
      <c r="S2421" s="82" t="str">
        <f t="shared" si="75"/>
        <v/>
      </c>
    </row>
    <row r="2422" spans="18:19" x14ac:dyDescent="0.25">
      <c r="R2422" s="8" t="str">
        <f t="shared" si="74"/>
        <v/>
      </c>
      <c r="S2422" s="82" t="str">
        <f t="shared" si="75"/>
        <v/>
      </c>
    </row>
    <row r="2423" spans="18:19" x14ac:dyDescent="0.25">
      <c r="R2423" s="8" t="str">
        <f t="shared" si="74"/>
        <v/>
      </c>
      <c r="S2423" s="82" t="str">
        <f t="shared" si="75"/>
        <v/>
      </c>
    </row>
    <row r="2424" spans="18:19" x14ac:dyDescent="0.25">
      <c r="R2424" s="8" t="str">
        <f t="shared" si="74"/>
        <v/>
      </c>
      <c r="S2424" s="82" t="str">
        <f t="shared" si="75"/>
        <v/>
      </c>
    </row>
    <row r="2425" spans="18:19" x14ac:dyDescent="0.25">
      <c r="R2425" s="8" t="str">
        <f t="shared" si="74"/>
        <v/>
      </c>
      <c r="S2425" s="82" t="str">
        <f t="shared" si="75"/>
        <v/>
      </c>
    </row>
    <row r="2426" spans="18:19" x14ac:dyDescent="0.25">
      <c r="R2426" s="8" t="str">
        <f t="shared" si="74"/>
        <v/>
      </c>
      <c r="S2426" s="82" t="str">
        <f t="shared" si="75"/>
        <v/>
      </c>
    </row>
    <row r="2427" spans="18:19" x14ac:dyDescent="0.25">
      <c r="R2427" s="8" t="str">
        <f t="shared" si="74"/>
        <v/>
      </c>
      <c r="S2427" s="82" t="str">
        <f t="shared" si="75"/>
        <v/>
      </c>
    </row>
    <row r="2428" spans="18:19" x14ac:dyDescent="0.25">
      <c r="R2428" s="8" t="str">
        <f t="shared" si="74"/>
        <v/>
      </c>
      <c r="S2428" s="82" t="str">
        <f t="shared" si="75"/>
        <v/>
      </c>
    </row>
    <row r="2429" spans="18:19" x14ac:dyDescent="0.25">
      <c r="R2429" s="8" t="str">
        <f t="shared" si="74"/>
        <v/>
      </c>
      <c r="S2429" s="82" t="str">
        <f t="shared" si="75"/>
        <v/>
      </c>
    </row>
    <row r="2430" spans="18:19" x14ac:dyDescent="0.25">
      <c r="R2430" s="8" t="str">
        <f t="shared" si="74"/>
        <v/>
      </c>
      <c r="S2430" s="82" t="str">
        <f t="shared" si="75"/>
        <v/>
      </c>
    </row>
    <row r="2431" spans="18:19" x14ac:dyDescent="0.25">
      <c r="R2431" s="8" t="str">
        <f t="shared" si="74"/>
        <v/>
      </c>
      <c r="S2431" s="82" t="str">
        <f t="shared" si="75"/>
        <v/>
      </c>
    </row>
    <row r="2432" spans="18:19" x14ac:dyDescent="0.25">
      <c r="R2432" s="8" t="str">
        <f t="shared" si="74"/>
        <v/>
      </c>
      <c r="S2432" s="82" t="str">
        <f t="shared" si="75"/>
        <v/>
      </c>
    </row>
    <row r="2433" spans="18:19" x14ac:dyDescent="0.25">
      <c r="R2433" s="8" t="str">
        <f t="shared" si="74"/>
        <v/>
      </c>
      <c r="S2433" s="82" t="str">
        <f t="shared" si="75"/>
        <v/>
      </c>
    </row>
    <row r="2434" spans="18:19" x14ac:dyDescent="0.25">
      <c r="R2434" s="8" t="str">
        <f t="shared" si="74"/>
        <v/>
      </c>
      <c r="S2434" s="82" t="str">
        <f t="shared" si="75"/>
        <v/>
      </c>
    </row>
    <row r="2435" spans="18:19" x14ac:dyDescent="0.25">
      <c r="R2435" s="8" t="str">
        <f t="shared" si="74"/>
        <v/>
      </c>
      <c r="S2435" s="82" t="str">
        <f t="shared" si="75"/>
        <v/>
      </c>
    </row>
    <row r="2436" spans="18:19" x14ac:dyDescent="0.25">
      <c r="R2436" s="8" t="str">
        <f t="shared" si="74"/>
        <v/>
      </c>
      <c r="S2436" s="82" t="str">
        <f t="shared" si="75"/>
        <v/>
      </c>
    </row>
    <row r="2437" spans="18:19" x14ac:dyDescent="0.25">
      <c r="R2437" s="8" t="str">
        <f t="shared" si="74"/>
        <v/>
      </c>
      <c r="S2437" s="82" t="str">
        <f t="shared" si="75"/>
        <v/>
      </c>
    </row>
    <row r="2438" spans="18:19" x14ac:dyDescent="0.25">
      <c r="R2438" s="8" t="str">
        <f t="shared" si="74"/>
        <v/>
      </c>
      <c r="S2438" s="82" t="str">
        <f t="shared" si="75"/>
        <v/>
      </c>
    </row>
    <row r="2439" spans="18:19" x14ac:dyDescent="0.25">
      <c r="R2439" s="8" t="str">
        <f t="shared" si="74"/>
        <v/>
      </c>
      <c r="S2439" s="82" t="str">
        <f t="shared" si="75"/>
        <v/>
      </c>
    </row>
    <row r="2440" spans="18:19" x14ac:dyDescent="0.25">
      <c r="R2440" s="8" t="str">
        <f t="shared" ref="R2440:R2503" si="76">IF(A2440="",(""),(MONTH(A2440)))</f>
        <v/>
      </c>
      <c r="S2440" s="82" t="str">
        <f t="shared" ref="S2440:S2503" si="77">IF(B2440="",(""),IF(B2440="3 - Nota de Crédito A",-Q2440,IF(B2440="8 - Nota de Crédito B",-Q2440,(Q2440))))</f>
        <v/>
      </c>
    </row>
    <row r="2441" spans="18:19" x14ac:dyDescent="0.25">
      <c r="R2441" s="8" t="str">
        <f t="shared" si="76"/>
        <v/>
      </c>
      <c r="S2441" s="82" t="str">
        <f t="shared" si="77"/>
        <v/>
      </c>
    </row>
    <row r="2442" spans="18:19" x14ac:dyDescent="0.25">
      <c r="R2442" s="8" t="str">
        <f t="shared" si="76"/>
        <v/>
      </c>
      <c r="S2442" s="82" t="str">
        <f t="shared" si="77"/>
        <v/>
      </c>
    </row>
    <row r="2443" spans="18:19" x14ac:dyDescent="0.25">
      <c r="R2443" s="8" t="str">
        <f t="shared" si="76"/>
        <v/>
      </c>
      <c r="S2443" s="82" t="str">
        <f t="shared" si="77"/>
        <v/>
      </c>
    </row>
    <row r="2444" spans="18:19" x14ac:dyDescent="0.25">
      <c r="R2444" s="8" t="str">
        <f t="shared" si="76"/>
        <v/>
      </c>
      <c r="S2444" s="82" t="str">
        <f t="shared" si="77"/>
        <v/>
      </c>
    </row>
    <row r="2445" spans="18:19" x14ac:dyDescent="0.25">
      <c r="R2445" s="8" t="str">
        <f t="shared" si="76"/>
        <v/>
      </c>
      <c r="S2445" s="82" t="str">
        <f t="shared" si="77"/>
        <v/>
      </c>
    </row>
    <row r="2446" spans="18:19" x14ac:dyDescent="0.25">
      <c r="R2446" s="8" t="str">
        <f t="shared" si="76"/>
        <v/>
      </c>
      <c r="S2446" s="82" t="str">
        <f t="shared" si="77"/>
        <v/>
      </c>
    </row>
    <row r="2447" spans="18:19" x14ac:dyDescent="0.25">
      <c r="R2447" s="8" t="str">
        <f t="shared" si="76"/>
        <v/>
      </c>
      <c r="S2447" s="82" t="str">
        <f t="shared" si="77"/>
        <v/>
      </c>
    </row>
    <row r="2448" spans="18:19" x14ac:dyDescent="0.25">
      <c r="R2448" s="8" t="str">
        <f t="shared" si="76"/>
        <v/>
      </c>
      <c r="S2448" s="82" t="str">
        <f t="shared" si="77"/>
        <v/>
      </c>
    </row>
    <row r="2449" spans="18:19" x14ac:dyDescent="0.25">
      <c r="R2449" s="8" t="str">
        <f t="shared" si="76"/>
        <v/>
      </c>
      <c r="S2449" s="82" t="str">
        <f t="shared" si="77"/>
        <v/>
      </c>
    </row>
    <row r="2450" spans="18:19" x14ac:dyDescent="0.25">
      <c r="R2450" s="8" t="str">
        <f t="shared" si="76"/>
        <v/>
      </c>
      <c r="S2450" s="82" t="str">
        <f t="shared" si="77"/>
        <v/>
      </c>
    </row>
    <row r="2451" spans="18:19" x14ac:dyDescent="0.25">
      <c r="R2451" s="8" t="str">
        <f t="shared" si="76"/>
        <v/>
      </c>
      <c r="S2451" s="82" t="str">
        <f t="shared" si="77"/>
        <v/>
      </c>
    </row>
    <row r="2452" spans="18:19" x14ac:dyDescent="0.25">
      <c r="R2452" s="8" t="str">
        <f t="shared" si="76"/>
        <v/>
      </c>
      <c r="S2452" s="82" t="str">
        <f t="shared" si="77"/>
        <v/>
      </c>
    </row>
    <row r="2453" spans="18:19" x14ac:dyDescent="0.25">
      <c r="R2453" s="8" t="str">
        <f t="shared" si="76"/>
        <v/>
      </c>
      <c r="S2453" s="82" t="str">
        <f t="shared" si="77"/>
        <v/>
      </c>
    </row>
    <row r="2454" spans="18:19" x14ac:dyDescent="0.25">
      <c r="R2454" s="8" t="str">
        <f t="shared" si="76"/>
        <v/>
      </c>
      <c r="S2454" s="82" t="str">
        <f t="shared" si="77"/>
        <v/>
      </c>
    </row>
    <row r="2455" spans="18:19" x14ac:dyDescent="0.25">
      <c r="R2455" s="8" t="str">
        <f t="shared" si="76"/>
        <v/>
      </c>
      <c r="S2455" s="82" t="str">
        <f t="shared" si="77"/>
        <v/>
      </c>
    </row>
    <row r="2456" spans="18:19" x14ac:dyDescent="0.25">
      <c r="R2456" s="8" t="str">
        <f t="shared" si="76"/>
        <v/>
      </c>
      <c r="S2456" s="82" t="str">
        <f t="shared" si="77"/>
        <v/>
      </c>
    </row>
    <row r="2457" spans="18:19" x14ac:dyDescent="0.25">
      <c r="R2457" s="8" t="str">
        <f t="shared" si="76"/>
        <v/>
      </c>
      <c r="S2457" s="82" t="str">
        <f t="shared" si="77"/>
        <v/>
      </c>
    </row>
    <row r="2458" spans="18:19" x14ac:dyDescent="0.25">
      <c r="R2458" s="8" t="str">
        <f t="shared" si="76"/>
        <v/>
      </c>
      <c r="S2458" s="82" t="str">
        <f t="shared" si="77"/>
        <v/>
      </c>
    </row>
    <row r="2459" spans="18:19" x14ac:dyDescent="0.25">
      <c r="R2459" s="8" t="str">
        <f t="shared" si="76"/>
        <v/>
      </c>
      <c r="S2459" s="82" t="str">
        <f t="shared" si="77"/>
        <v/>
      </c>
    </row>
    <row r="2460" spans="18:19" x14ac:dyDescent="0.25">
      <c r="R2460" s="8" t="str">
        <f t="shared" si="76"/>
        <v/>
      </c>
      <c r="S2460" s="82" t="str">
        <f t="shared" si="77"/>
        <v/>
      </c>
    </row>
    <row r="2461" spans="18:19" x14ac:dyDescent="0.25">
      <c r="R2461" s="8" t="str">
        <f t="shared" si="76"/>
        <v/>
      </c>
      <c r="S2461" s="82" t="str">
        <f t="shared" si="77"/>
        <v/>
      </c>
    </row>
    <row r="2462" spans="18:19" x14ac:dyDescent="0.25">
      <c r="R2462" s="8" t="str">
        <f t="shared" si="76"/>
        <v/>
      </c>
      <c r="S2462" s="82" t="str">
        <f t="shared" si="77"/>
        <v/>
      </c>
    </row>
    <row r="2463" spans="18:19" x14ac:dyDescent="0.25">
      <c r="R2463" s="8" t="str">
        <f t="shared" si="76"/>
        <v/>
      </c>
      <c r="S2463" s="82" t="str">
        <f t="shared" si="77"/>
        <v/>
      </c>
    </row>
    <row r="2464" spans="18:19" x14ac:dyDescent="0.25">
      <c r="R2464" s="8" t="str">
        <f t="shared" si="76"/>
        <v/>
      </c>
      <c r="S2464" s="82" t="str">
        <f t="shared" si="77"/>
        <v/>
      </c>
    </row>
    <row r="2465" spans="18:19" x14ac:dyDescent="0.25">
      <c r="R2465" s="8" t="str">
        <f t="shared" si="76"/>
        <v/>
      </c>
      <c r="S2465" s="82" t="str">
        <f t="shared" si="77"/>
        <v/>
      </c>
    </row>
    <row r="2466" spans="18:19" x14ac:dyDescent="0.25">
      <c r="R2466" s="8" t="str">
        <f t="shared" si="76"/>
        <v/>
      </c>
      <c r="S2466" s="82" t="str">
        <f t="shared" si="77"/>
        <v/>
      </c>
    </row>
    <row r="2467" spans="18:19" x14ac:dyDescent="0.25">
      <c r="R2467" s="8" t="str">
        <f t="shared" si="76"/>
        <v/>
      </c>
      <c r="S2467" s="82" t="str">
        <f t="shared" si="77"/>
        <v/>
      </c>
    </row>
    <row r="2468" spans="18:19" x14ac:dyDescent="0.25">
      <c r="R2468" s="8" t="str">
        <f t="shared" si="76"/>
        <v/>
      </c>
      <c r="S2468" s="82" t="str">
        <f t="shared" si="77"/>
        <v/>
      </c>
    </row>
    <row r="2469" spans="18:19" x14ac:dyDescent="0.25">
      <c r="R2469" s="8" t="str">
        <f t="shared" si="76"/>
        <v/>
      </c>
      <c r="S2469" s="82" t="str">
        <f t="shared" si="77"/>
        <v/>
      </c>
    </row>
    <row r="2470" spans="18:19" x14ac:dyDescent="0.25">
      <c r="R2470" s="8" t="str">
        <f t="shared" si="76"/>
        <v/>
      </c>
      <c r="S2470" s="82" t="str">
        <f t="shared" si="77"/>
        <v/>
      </c>
    </row>
    <row r="2471" spans="18:19" x14ac:dyDescent="0.25">
      <c r="R2471" s="8" t="str">
        <f t="shared" si="76"/>
        <v/>
      </c>
      <c r="S2471" s="82" t="str">
        <f t="shared" si="77"/>
        <v/>
      </c>
    </row>
    <row r="2472" spans="18:19" x14ac:dyDescent="0.25">
      <c r="R2472" s="8" t="str">
        <f t="shared" si="76"/>
        <v/>
      </c>
      <c r="S2472" s="82" t="str">
        <f t="shared" si="77"/>
        <v/>
      </c>
    </row>
    <row r="2473" spans="18:19" x14ac:dyDescent="0.25">
      <c r="R2473" s="8" t="str">
        <f t="shared" si="76"/>
        <v/>
      </c>
      <c r="S2473" s="82" t="str">
        <f t="shared" si="77"/>
        <v/>
      </c>
    </row>
    <row r="2474" spans="18:19" x14ac:dyDescent="0.25">
      <c r="R2474" s="8" t="str">
        <f t="shared" si="76"/>
        <v/>
      </c>
      <c r="S2474" s="82" t="str">
        <f t="shared" si="77"/>
        <v/>
      </c>
    </row>
    <row r="2475" spans="18:19" x14ac:dyDescent="0.25">
      <c r="R2475" s="8" t="str">
        <f t="shared" si="76"/>
        <v/>
      </c>
      <c r="S2475" s="82" t="str">
        <f t="shared" si="77"/>
        <v/>
      </c>
    </row>
    <row r="2476" spans="18:19" x14ac:dyDescent="0.25">
      <c r="R2476" s="8" t="str">
        <f t="shared" si="76"/>
        <v/>
      </c>
      <c r="S2476" s="82" t="str">
        <f t="shared" si="77"/>
        <v/>
      </c>
    </row>
    <row r="2477" spans="18:19" x14ac:dyDescent="0.25">
      <c r="R2477" s="8" t="str">
        <f t="shared" si="76"/>
        <v/>
      </c>
      <c r="S2477" s="82" t="str">
        <f t="shared" si="77"/>
        <v/>
      </c>
    </row>
    <row r="2478" spans="18:19" x14ac:dyDescent="0.25">
      <c r="R2478" s="8" t="str">
        <f t="shared" si="76"/>
        <v/>
      </c>
      <c r="S2478" s="82" t="str">
        <f t="shared" si="77"/>
        <v/>
      </c>
    </row>
    <row r="2479" spans="18:19" x14ac:dyDescent="0.25">
      <c r="R2479" s="8" t="str">
        <f t="shared" si="76"/>
        <v/>
      </c>
      <c r="S2479" s="82" t="str">
        <f t="shared" si="77"/>
        <v/>
      </c>
    </row>
    <row r="2480" spans="18:19" x14ac:dyDescent="0.25">
      <c r="R2480" s="8" t="str">
        <f t="shared" si="76"/>
        <v/>
      </c>
      <c r="S2480" s="82" t="str">
        <f t="shared" si="77"/>
        <v/>
      </c>
    </row>
    <row r="2481" spans="18:19" x14ac:dyDescent="0.25">
      <c r="R2481" s="8" t="str">
        <f t="shared" si="76"/>
        <v/>
      </c>
      <c r="S2481" s="82" t="str">
        <f t="shared" si="77"/>
        <v/>
      </c>
    </row>
    <row r="2482" spans="18:19" x14ac:dyDescent="0.25">
      <c r="R2482" s="8" t="str">
        <f t="shared" si="76"/>
        <v/>
      </c>
      <c r="S2482" s="82" t="str">
        <f t="shared" si="77"/>
        <v/>
      </c>
    </row>
    <row r="2483" spans="18:19" x14ac:dyDescent="0.25">
      <c r="R2483" s="8" t="str">
        <f t="shared" si="76"/>
        <v/>
      </c>
      <c r="S2483" s="82" t="str">
        <f t="shared" si="77"/>
        <v/>
      </c>
    </row>
    <row r="2484" spans="18:19" x14ac:dyDescent="0.25">
      <c r="R2484" s="8" t="str">
        <f t="shared" si="76"/>
        <v/>
      </c>
      <c r="S2484" s="82" t="str">
        <f t="shared" si="77"/>
        <v/>
      </c>
    </row>
    <row r="2485" spans="18:19" x14ac:dyDescent="0.25">
      <c r="R2485" s="8" t="str">
        <f t="shared" si="76"/>
        <v/>
      </c>
      <c r="S2485" s="82" t="str">
        <f t="shared" si="77"/>
        <v/>
      </c>
    </row>
    <row r="2486" spans="18:19" x14ac:dyDescent="0.25">
      <c r="R2486" s="8" t="str">
        <f t="shared" si="76"/>
        <v/>
      </c>
      <c r="S2486" s="82" t="str">
        <f t="shared" si="77"/>
        <v/>
      </c>
    </row>
    <row r="2487" spans="18:19" x14ac:dyDescent="0.25">
      <c r="R2487" s="8" t="str">
        <f t="shared" si="76"/>
        <v/>
      </c>
      <c r="S2487" s="82" t="str">
        <f t="shared" si="77"/>
        <v/>
      </c>
    </row>
    <row r="2488" spans="18:19" x14ac:dyDescent="0.25">
      <c r="R2488" s="8" t="str">
        <f t="shared" si="76"/>
        <v/>
      </c>
      <c r="S2488" s="82" t="str">
        <f t="shared" si="77"/>
        <v/>
      </c>
    </row>
    <row r="2489" spans="18:19" x14ac:dyDescent="0.25">
      <c r="R2489" s="8" t="str">
        <f t="shared" si="76"/>
        <v/>
      </c>
      <c r="S2489" s="82" t="str">
        <f t="shared" si="77"/>
        <v/>
      </c>
    </row>
    <row r="2490" spans="18:19" x14ac:dyDescent="0.25">
      <c r="R2490" s="8" t="str">
        <f t="shared" si="76"/>
        <v/>
      </c>
      <c r="S2490" s="82" t="str">
        <f t="shared" si="77"/>
        <v/>
      </c>
    </row>
    <row r="2491" spans="18:19" x14ac:dyDescent="0.25">
      <c r="R2491" s="8" t="str">
        <f t="shared" si="76"/>
        <v/>
      </c>
      <c r="S2491" s="82" t="str">
        <f t="shared" si="77"/>
        <v/>
      </c>
    </row>
    <row r="2492" spans="18:19" x14ac:dyDescent="0.25">
      <c r="R2492" s="8" t="str">
        <f t="shared" si="76"/>
        <v/>
      </c>
      <c r="S2492" s="82" t="str">
        <f t="shared" si="77"/>
        <v/>
      </c>
    </row>
    <row r="2493" spans="18:19" x14ac:dyDescent="0.25">
      <c r="R2493" s="8" t="str">
        <f t="shared" si="76"/>
        <v/>
      </c>
      <c r="S2493" s="82" t="str">
        <f t="shared" si="77"/>
        <v/>
      </c>
    </row>
    <row r="2494" spans="18:19" x14ac:dyDescent="0.25">
      <c r="R2494" s="8" t="str">
        <f t="shared" si="76"/>
        <v/>
      </c>
      <c r="S2494" s="82" t="str">
        <f t="shared" si="77"/>
        <v/>
      </c>
    </row>
    <row r="2495" spans="18:19" x14ac:dyDescent="0.25">
      <c r="R2495" s="8" t="str">
        <f t="shared" si="76"/>
        <v/>
      </c>
      <c r="S2495" s="82" t="str">
        <f t="shared" si="77"/>
        <v/>
      </c>
    </row>
    <row r="2496" spans="18:19" x14ac:dyDescent="0.25">
      <c r="R2496" s="8" t="str">
        <f t="shared" si="76"/>
        <v/>
      </c>
      <c r="S2496" s="82" t="str">
        <f t="shared" si="77"/>
        <v/>
      </c>
    </row>
    <row r="2497" spans="18:19" x14ac:dyDescent="0.25">
      <c r="R2497" s="8" t="str">
        <f t="shared" si="76"/>
        <v/>
      </c>
      <c r="S2497" s="82" t="str">
        <f t="shared" si="77"/>
        <v/>
      </c>
    </row>
    <row r="2498" spans="18:19" x14ac:dyDescent="0.25">
      <c r="R2498" s="8" t="str">
        <f t="shared" si="76"/>
        <v/>
      </c>
      <c r="S2498" s="82" t="str">
        <f t="shared" si="77"/>
        <v/>
      </c>
    </row>
    <row r="2499" spans="18:19" x14ac:dyDescent="0.25">
      <c r="R2499" s="8" t="str">
        <f t="shared" si="76"/>
        <v/>
      </c>
      <c r="S2499" s="82" t="str">
        <f t="shared" si="77"/>
        <v/>
      </c>
    </row>
    <row r="2500" spans="18:19" x14ac:dyDescent="0.25">
      <c r="R2500" s="8" t="str">
        <f t="shared" si="76"/>
        <v/>
      </c>
      <c r="S2500" s="82" t="str">
        <f t="shared" si="77"/>
        <v/>
      </c>
    </row>
    <row r="2501" spans="18:19" x14ac:dyDescent="0.25">
      <c r="R2501" s="8" t="str">
        <f t="shared" si="76"/>
        <v/>
      </c>
      <c r="S2501" s="82" t="str">
        <f t="shared" si="77"/>
        <v/>
      </c>
    </row>
    <row r="2502" spans="18:19" x14ac:dyDescent="0.25">
      <c r="R2502" s="8" t="str">
        <f t="shared" si="76"/>
        <v/>
      </c>
      <c r="S2502" s="82" t="str">
        <f t="shared" si="77"/>
        <v/>
      </c>
    </row>
    <row r="2503" spans="18:19" x14ac:dyDescent="0.25">
      <c r="R2503" s="8" t="str">
        <f t="shared" si="76"/>
        <v/>
      </c>
      <c r="S2503" s="82" t="str">
        <f t="shared" si="77"/>
        <v/>
      </c>
    </row>
    <row r="2504" spans="18:19" x14ac:dyDescent="0.25">
      <c r="R2504" s="8" t="str">
        <f t="shared" ref="R2504:R2567" si="78">IF(A2504="",(""),(MONTH(A2504)))</f>
        <v/>
      </c>
      <c r="S2504" s="82" t="str">
        <f t="shared" ref="S2504:S2567" si="79">IF(B2504="",(""),IF(B2504="3 - Nota de Crédito A",-Q2504,IF(B2504="8 - Nota de Crédito B",-Q2504,(Q2504))))</f>
        <v/>
      </c>
    </row>
    <row r="2505" spans="18:19" x14ac:dyDescent="0.25">
      <c r="R2505" s="8" t="str">
        <f t="shared" si="78"/>
        <v/>
      </c>
      <c r="S2505" s="82" t="str">
        <f t="shared" si="79"/>
        <v/>
      </c>
    </row>
    <row r="2506" spans="18:19" x14ac:dyDescent="0.25">
      <c r="R2506" s="8" t="str">
        <f t="shared" si="78"/>
        <v/>
      </c>
      <c r="S2506" s="82" t="str">
        <f t="shared" si="79"/>
        <v/>
      </c>
    </row>
    <row r="2507" spans="18:19" x14ac:dyDescent="0.25">
      <c r="R2507" s="8" t="str">
        <f t="shared" si="78"/>
        <v/>
      </c>
      <c r="S2507" s="82" t="str">
        <f t="shared" si="79"/>
        <v/>
      </c>
    </row>
    <row r="2508" spans="18:19" x14ac:dyDescent="0.25">
      <c r="R2508" s="8" t="str">
        <f t="shared" si="78"/>
        <v/>
      </c>
      <c r="S2508" s="82" t="str">
        <f t="shared" si="79"/>
        <v/>
      </c>
    </row>
    <row r="2509" spans="18:19" x14ac:dyDescent="0.25">
      <c r="R2509" s="8" t="str">
        <f t="shared" si="78"/>
        <v/>
      </c>
      <c r="S2509" s="82" t="str">
        <f t="shared" si="79"/>
        <v/>
      </c>
    </row>
    <row r="2510" spans="18:19" x14ac:dyDescent="0.25">
      <c r="R2510" s="8" t="str">
        <f t="shared" si="78"/>
        <v/>
      </c>
      <c r="S2510" s="82" t="str">
        <f t="shared" si="79"/>
        <v/>
      </c>
    </row>
    <row r="2511" spans="18:19" x14ac:dyDescent="0.25">
      <c r="R2511" s="8" t="str">
        <f t="shared" si="78"/>
        <v/>
      </c>
      <c r="S2511" s="82" t="str">
        <f t="shared" si="79"/>
        <v/>
      </c>
    </row>
    <row r="2512" spans="18:19" x14ac:dyDescent="0.25">
      <c r="R2512" s="8" t="str">
        <f t="shared" si="78"/>
        <v/>
      </c>
      <c r="S2512" s="82" t="str">
        <f t="shared" si="79"/>
        <v/>
      </c>
    </row>
    <row r="2513" spans="18:19" x14ac:dyDescent="0.25">
      <c r="R2513" s="8" t="str">
        <f t="shared" si="78"/>
        <v/>
      </c>
      <c r="S2513" s="82" t="str">
        <f t="shared" si="79"/>
        <v/>
      </c>
    </row>
    <row r="2514" spans="18:19" x14ac:dyDescent="0.25">
      <c r="R2514" s="8" t="str">
        <f t="shared" si="78"/>
        <v/>
      </c>
      <c r="S2514" s="82" t="str">
        <f t="shared" si="79"/>
        <v/>
      </c>
    </row>
    <row r="2515" spans="18:19" x14ac:dyDescent="0.25">
      <c r="R2515" s="8" t="str">
        <f t="shared" si="78"/>
        <v/>
      </c>
      <c r="S2515" s="82" t="str">
        <f t="shared" si="79"/>
        <v/>
      </c>
    </row>
    <row r="2516" spans="18:19" x14ac:dyDescent="0.25">
      <c r="R2516" s="8" t="str">
        <f t="shared" si="78"/>
        <v/>
      </c>
      <c r="S2516" s="82" t="str">
        <f t="shared" si="79"/>
        <v/>
      </c>
    </row>
    <row r="2517" spans="18:19" x14ac:dyDescent="0.25">
      <c r="R2517" s="8" t="str">
        <f t="shared" si="78"/>
        <v/>
      </c>
      <c r="S2517" s="82" t="str">
        <f t="shared" si="79"/>
        <v/>
      </c>
    </row>
    <row r="2518" spans="18:19" x14ac:dyDescent="0.25">
      <c r="R2518" s="8" t="str">
        <f t="shared" si="78"/>
        <v/>
      </c>
      <c r="S2518" s="82" t="str">
        <f t="shared" si="79"/>
        <v/>
      </c>
    </row>
    <row r="2519" spans="18:19" x14ac:dyDescent="0.25">
      <c r="R2519" s="8" t="str">
        <f t="shared" si="78"/>
        <v/>
      </c>
      <c r="S2519" s="82" t="str">
        <f t="shared" si="79"/>
        <v/>
      </c>
    </row>
    <row r="2520" spans="18:19" x14ac:dyDescent="0.25">
      <c r="R2520" s="8" t="str">
        <f t="shared" si="78"/>
        <v/>
      </c>
      <c r="S2520" s="82" t="str">
        <f t="shared" si="79"/>
        <v/>
      </c>
    </row>
    <row r="2521" spans="18:19" x14ac:dyDescent="0.25">
      <c r="R2521" s="8" t="str">
        <f t="shared" si="78"/>
        <v/>
      </c>
      <c r="S2521" s="82" t="str">
        <f t="shared" si="79"/>
        <v/>
      </c>
    </row>
    <row r="2522" spans="18:19" x14ac:dyDescent="0.25">
      <c r="R2522" s="8" t="str">
        <f t="shared" si="78"/>
        <v/>
      </c>
      <c r="S2522" s="82" t="str">
        <f t="shared" si="79"/>
        <v/>
      </c>
    </row>
    <row r="2523" spans="18:19" x14ac:dyDescent="0.25">
      <c r="R2523" s="8" t="str">
        <f t="shared" si="78"/>
        <v/>
      </c>
      <c r="S2523" s="82" t="str">
        <f t="shared" si="79"/>
        <v/>
      </c>
    </row>
    <row r="2524" spans="18:19" x14ac:dyDescent="0.25">
      <c r="R2524" s="8" t="str">
        <f t="shared" si="78"/>
        <v/>
      </c>
      <c r="S2524" s="82" t="str">
        <f t="shared" si="79"/>
        <v/>
      </c>
    </row>
    <row r="2525" spans="18:19" x14ac:dyDescent="0.25">
      <c r="R2525" s="8" t="str">
        <f t="shared" si="78"/>
        <v/>
      </c>
      <c r="S2525" s="82" t="str">
        <f t="shared" si="79"/>
        <v/>
      </c>
    </row>
    <row r="2526" spans="18:19" x14ac:dyDescent="0.25">
      <c r="R2526" s="8" t="str">
        <f t="shared" si="78"/>
        <v/>
      </c>
      <c r="S2526" s="82" t="str">
        <f t="shared" si="79"/>
        <v/>
      </c>
    </row>
    <row r="2527" spans="18:19" x14ac:dyDescent="0.25">
      <c r="R2527" s="8" t="str">
        <f t="shared" si="78"/>
        <v/>
      </c>
      <c r="S2527" s="82" t="str">
        <f t="shared" si="79"/>
        <v/>
      </c>
    </row>
    <row r="2528" spans="18:19" x14ac:dyDescent="0.25">
      <c r="R2528" s="8" t="str">
        <f t="shared" si="78"/>
        <v/>
      </c>
      <c r="S2528" s="82" t="str">
        <f t="shared" si="79"/>
        <v/>
      </c>
    </row>
    <row r="2529" spans="18:19" x14ac:dyDescent="0.25">
      <c r="R2529" s="8" t="str">
        <f t="shared" si="78"/>
        <v/>
      </c>
      <c r="S2529" s="82" t="str">
        <f t="shared" si="79"/>
        <v/>
      </c>
    </row>
    <row r="2530" spans="18:19" x14ac:dyDescent="0.25">
      <c r="R2530" s="8" t="str">
        <f t="shared" si="78"/>
        <v/>
      </c>
      <c r="S2530" s="82" t="str">
        <f t="shared" si="79"/>
        <v/>
      </c>
    </row>
    <row r="2531" spans="18:19" x14ac:dyDescent="0.25">
      <c r="R2531" s="8" t="str">
        <f t="shared" si="78"/>
        <v/>
      </c>
      <c r="S2531" s="82" t="str">
        <f t="shared" si="79"/>
        <v/>
      </c>
    </row>
    <row r="2532" spans="18:19" x14ac:dyDescent="0.25">
      <c r="R2532" s="8" t="str">
        <f t="shared" si="78"/>
        <v/>
      </c>
      <c r="S2532" s="82" t="str">
        <f t="shared" si="79"/>
        <v/>
      </c>
    </row>
    <row r="2533" spans="18:19" x14ac:dyDescent="0.25">
      <c r="R2533" s="8" t="str">
        <f t="shared" si="78"/>
        <v/>
      </c>
      <c r="S2533" s="82" t="str">
        <f t="shared" si="79"/>
        <v/>
      </c>
    </row>
    <row r="2534" spans="18:19" x14ac:dyDescent="0.25">
      <c r="R2534" s="8" t="str">
        <f t="shared" si="78"/>
        <v/>
      </c>
      <c r="S2534" s="82" t="str">
        <f t="shared" si="79"/>
        <v/>
      </c>
    </row>
    <row r="2535" spans="18:19" x14ac:dyDescent="0.25">
      <c r="R2535" s="8" t="str">
        <f t="shared" si="78"/>
        <v/>
      </c>
      <c r="S2535" s="82" t="str">
        <f t="shared" si="79"/>
        <v/>
      </c>
    </row>
    <row r="2536" spans="18:19" x14ac:dyDescent="0.25">
      <c r="R2536" s="8" t="str">
        <f t="shared" si="78"/>
        <v/>
      </c>
      <c r="S2536" s="82" t="str">
        <f t="shared" si="79"/>
        <v/>
      </c>
    </row>
    <row r="2537" spans="18:19" x14ac:dyDescent="0.25">
      <c r="R2537" s="8" t="str">
        <f t="shared" si="78"/>
        <v/>
      </c>
      <c r="S2537" s="82" t="str">
        <f t="shared" si="79"/>
        <v/>
      </c>
    </row>
    <row r="2538" spans="18:19" x14ac:dyDescent="0.25">
      <c r="R2538" s="8" t="str">
        <f t="shared" si="78"/>
        <v/>
      </c>
      <c r="S2538" s="82" t="str">
        <f t="shared" si="79"/>
        <v/>
      </c>
    </row>
    <row r="2539" spans="18:19" x14ac:dyDescent="0.25">
      <c r="R2539" s="8" t="str">
        <f t="shared" si="78"/>
        <v/>
      </c>
      <c r="S2539" s="82" t="str">
        <f t="shared" si="79"/>
        <v/>
      </c>
    </row>
    <row r="2540" spans="18:19" x14ac:dyDescent="0.25">
      <c r="R2540" s="8" t="str">
        <f t="shared" si="78"/>
        <v/>
      </c>
      <c r="S2540" s="82" t="str">
        <f t="shared" si="79"/>
        <v/>
      </c>
    </row>
    <row r="2541" spans="18:19" x14ac:dyDescent="0.25">
      <c r="R2541" s="8" t="str">
        <f t="shared" si="78"/>
        <v/>
      </c>
      <c r="S2541" s="82" t="str">
        <f t="shared" si="79"/>
        <v/>
      </c>
    </row>
    <row r="2542" spans="18:19" x14ac:dyDescent="0.25">
      <c r="R2542" s="8" t="str">
        <f t="shared" si="78"/>
        <v/>
      </c>
      <c r="S2542" s="82" t="str">
        <f t="shared" si="79"/>
        <v/>
      </c>
    </row>
    <row r="2543" spans="18:19" x14ac:dyDescent="0.25">
      <c r="R2543" s="8" t="str">
        <f t="shared" si="78"/>
        <v/>
      </c>
      <c r="S2543" s="82" t="str">
        <f t="shared" si="79"/>
        <v/>
      </c>
    </row>
    <row r="2544" spans="18:19" x14ac:dyDescent="0.25">
      <c r="R2544" s="8" t="str">
        <f t="shared" si="78"/>
        <v/>
      </c>
      <c r="S2544" s="82" t="str">
        <f t="shared" si="79"/>
        <v/>
      </c>
    </row>
    <row r="2545" spans="18:19" x14ac:dyDescent="0.25">
      <c r="R2545" s="8" t="str">
        <f t="shared" si="78"/>
        <v/>
      </c>
      <c r="S2545" s="82" t="str">
        <f t="shared" si="79"/>
        <v/>
      </c>
    </row>
    <row r="2546" spans="18:19" x14ac:dyDescent="0.25">
      <c r="R2546" s="8" t="str">
        <f t="shared" si="78"/>
        <v/>
      </c>
      <c r="S2546" s="82" t="str">
        <f t="shared" si="79"/>
        <v/>
      </c>
    </row>
    <row r="2547" spans="18:19" x14ac:dyDescent="0.25">
      <c r="R2547" s="8" t="str">
        <f t="shared" si="78"/>
        <v/>
      </c>
      <c r="S2547" s="82" t="str">
        <f t="shared" si="79"/>
        <v/>
      </c>
    </row>
    <row r="2548" spans="18:19" x14ac:dyDescent="0.25">
      <c r="R2548" s="8" t="str">
        <f t="shared" si="78"/>
        <v/>
      </c>
      <c r="S2548" s="82" t="str">
        <f t="shared" si="79"/>
        <v/>
      </c>
    </row>
    <row r="2549" spans="18:19" x14ac:dyDescent="0.25">
      <c r="R2549" s="8" t="str">
        <f t="shared" si="78"/>
        <v/>
      </c>
      <c r="S2549" s="82" t="str">
        <f t="shared" si="79"/>
        <v/>
      </c>
    </row>
    <row r="2550" spans="18:19" x14ac:dyDescent="0.25">
      <c r="R2550" s="8" t="str">
        <f t="shared" si="78"/>
        <v/>
      </c>
      <c r="S2550" s="82" t="str">
        <f t="shared" si="79"/>
        <v/>
      </c>
    </row>
    <row r="2551" spans="18:19" x14ac:dyDescent="0.25">
      <c r="R2551" s="8" t="str">
        <f t="shared" si="78"/>
        <v/>
      </c>
      <c r="S2551" s="82" t="str">
        <f t="shared" si="79"/>
        <v/>
      </c>
    </row>
    <row r="2552" spans="18:19" x14ac:dyDescent="0.25">
      <c r="R2552" s="8" t="str">
        <f t="shared" si="78"/>
        <v/>
      </c>
      <c r="S2552" s="82" t="str">
        <f t="shared" si="79"/>
        <v/>
      </c>
    </row>
    <row r="2553" spans="18:19" x14ac:dyDescent="0.25">
      <c r="R2553" s="8" t="str">
        <f t="shared" si="78"/>
        <v/>
      </c>
      <c r="S2553" s="82" t="str">
        <f t="shared" si="79"/>
        <v/>
      </c>
    </row>
    <row r="2554" spans="18:19" x14ac:dyDescent="0.25">
      <c r="R2554" s="8" t="str">
        <f t="shared" si="78"/>
        <v/>
      </c>
      <c r="S2554" s="82" t="str">
        <f t="shared" si="79"/>
        <v/>
      </c>
    </row>
    <row r="2555" spans="18:19" x14ac:dyDescent="0.25">
      <c r="R2555" s="8" t="str">
        <f t="shared" si="78"/>
        <v/>
      </c>
      <c r="S2555" s="82" t="str">
        <f t="shared" si="79"/>
        <v/>
      </c>
    </row>
    <row r="2556" spans="18:19" x14ac:dyDescent="0.25">
      <c r="R2556" s="8" t="str">
        <f t="shared" si="78"/>
        <v/>
      </c>
      <c r="S2556" s="82" t="str">
        <f t="shared" si="79"/>
        <v/>
      </c>
    </row>
    <row r="2557" spans="18:19" x14ac:dyDescent="0.25">
      <c r="R2557" s="8" t="str">
        <f t="shared" si="78"/>
        <v/>
      </c>
      <c r="S2557" s="82" t="str">
        <f t="shared" si="79"/>
        <v/>
      </c>
    </row>
    <row r="2558" spans="18:19" x14ac:dyDescent="0.25">
      <c r="R2558" s="8" t="str">
        <f t="shared" si="78"/>
        <v/>
      </c>
      <c r="S2558" s="82" t="str">
        <f t="shared" si="79"/>
        <v/>
      </c>
    </row>
    <row r="2559" spans="18:19" x14ac:dyDescent="0.25">
      <c r="R2559" s="8" t="str">
        <f t="shared" si="78"/>
        <v/>
      </c>
      <c r="S2559" s="82" t="str">
        <f t="shared" si="79"/>
        <v/>
      </c>
    </row>
    <row r="2560" spans="18:19" x14ac:dyDescent="0.25">
      <c r="R2560" s="8" t="str">
        <f t="shared" si="78"/>
        <v/>
      </c>
      <c r="S2560" s="82" t="str">
        <f t="shared" si="79"/>
        <v/>
      </c>
    </row>
    <row r="2561" spans="18:19" x14ac:dyDescent="0.25">
      <c r="R2561" s="8" t="str">
        <f t="shared" si="78"/>
        <v/>
      </c>
      <c r="S2561" s="82" t="str">
        <f t="shared" si="79"/>
        <v/>
      </c>
    </row>
    <row r="2562" spans="18:19" x14ac:dyDescent="0.25">
      <c r="R2562" s="8" t="str">
        <f t="shared" si="78"/>
        <v/>
      </c>
      <c r="S2562" s="82" t="str">
        <f t="shared" si="79"/>
        <v/>
      </c>
    </row>
    <row r="2563" spans="18:19" x14ac:dyDescent="0.25">
      <c r="R2563" s="8" t="str">
        <f t="shared" si="78"/>
        <v/>
      </c>
      <c r="S2563" s="82" t="str">
        <f t="shared" si="79"/>
        <v/>
      </c>
    </row>
    <row r="2564" spans="18:19" x14ac:dyDescent="0.25">
      <c r="R2564" s="8" t="str">
        <f t="shared" si="78"/>
        <v/>
      </c>
      <c r="S2564" s="82" t="str">
        <f t="shared" si="79"/>
        <v/>
      </c>
    </row>
    <row r="2565" spans="18:19" x14ac:dyDescent="0.25">
      <c r="R2565" s="8" t="str">
        <f t="shared" si="78"/>
        <v/>
      </c>
      <c r="S2565" s="82" t="str">
        <f t="shared" si="79"/>
        <v/>
      </c>
    </row>
    <row r="2566" spans="18:19" x14ac:dyDescent="0.25">
      <c r="R2566" s="8" t="str">
        <f t="shared" si="78"/>
        <v/>
      </c>
      <c r="S2566" s="82" t="str">
        <f t="shared" si="79"/>
        <v/>
      </c>
    </row>
    <row r="2567" spans="18:19" x14ac:dyDescent="0.25">
      <c r="R2567" s="8" t="str">
        <f t="shared" si="78"/>
        <v/>
      </c>
      <c r="S2567" s="82" t="str">
        <f t="shared" si="79"/>
        <v/>
      </c>
    </row>
    <row r="2568" spans="18:19" x14ac:dyDescent="0.25">
      <c r="R2568" s="8" t="str">
        <f t="shared" ref="R2568:R2631" si="80">IF(A2568="",(""),(MONTH(A2568)))</f>
        <v/>
      </c>
      <c r="S2568" s="82" t="str">
        <f t="shared" ref="S2568:S2631" si="81">IF(B2568="",(""),IF(B2568="3 - Nota de Crédito A",-Q2568,IF(B2568="8 - Nota de Crédito B",-Q2568,(Q2568))))</f>
        <v/>
      </c>
    </row>
    <row r="2569" spans="18:19" x14ac:dyDescent="0.25">
      <c r="R2569" s="8" t="str">
        <f t="shared" si="80"/>
        <v/>
      </c>
      <c r="S2569" s="82" t="str">
        <f t="shared" si="81"/>
        <v/>
      </c>
    </row>
    <row r="2570" spans="18:19" x14ac:dyDescent="0.25">
      <c r="R2570" s="8" t="str">
        <f t="shared" si="80"/>
        <v/>
      </c>
      <c r="S2570" s="82" t="str">
        <f t="shared" si="81"/>
        <v/>
      </c>
    </row>
    <row r="2571" spans="18:19" x14ac:dyDescent="0.25">
      <c r="R2571" s="8" t="str">
        <f t="shared" si="80"/>
        <v/>
      </c>
      <c r="S2571" s="82" t="str">
        <f t="shared" si="81"/>
        <v/>
      </c>
    </row>
    <row r="2572" spans="18:19" x14ac:dyDescent="0.25">
      <c r="R2572" s="8" t="str">
        <f t="shared" si="80"/>
        <v/>
      </c>
      <c r="S2572" s="82" t="str">
        <f t="shared" si="81"/>
        <v/>
      </c>
    </row>
    <row r="2573" spans="18:19" x14ac:dyDescent="0.25">
      <c r="R2573" s="8" t="str">
        <f t="shared" si="80"/>
        <v/>
      </c>
      <c r="S2573" s="82" t="str">
        <f t="shared" si="81"/>
        <v/>
      </c>
    </row>
    <row r="2574" spans="18:19" x14ac:dyDescent="0.25">
      <c r="R2574" s="8" t="str">
        <f t="shared" si="80"/>
        <v/>
      </c>
      <c r="S2574" s="82" t="str">
        <f t="shared" si="81"/>
        <v/>
      </c>
    </row>
    <row r="2575" spans="18:19" x14ac:dyDescent="0.25">
      <c r="R2575" s="8" t="str">
        <f t="shared" si="80"/>
        <v/>
      </c>
      <c r="S2575" s="82" t="str">
        <f t="shared" si="81"/>
        <v/>
      </c>
    </row>
    <row r="2576" spans="18:19" x14ac:dyDescent="0.25">
      <c r="R2576" s="8" t="str">
        <f t="shared" si="80"/>
        <v/>
      </c>
      <c r="S2576" s="82" t="str">
        <f t="shared" si="81"/>
        <v/>
      </c>
    </row>
    <row r="2577" spans="18:19" x14ac:dyDescent="0.25">
      <c r="R2577" s="8" t="str">
        <f t="shared" si="80"/>
        <v/>
      </c>
      <c r="S2577" s="82" t="str">
        <f t="shared" si="81"/>
        <v/>
      </c>
    </row>
    <row r="2578" spans="18:19" x14ac:dyDescent="0.25">
      <c r="R2578" s="8" t="str">
        <f t="shared" si="80"/>
        <v/>
      </c>
      <c r="S2578" s="82" t="str">
        <f t="shared" si="81"/>
        <v/>
      </c>
    </row>
    <row r="2579" spans="18:19" x14ac:dyDescent="0.25">
      <c r="R2579" s="8" t="str">
        <f t="shared" si="80"/>
        <v/>
      </c>
      <c r="S2579" s="82" t="str">
        <f t="shared" si="81"/>
        <v/>
      </c>
    </row>
    <row r="2580" spans="18:19" x14ac:dyDescent="0.25">
      <c r="R2580" s="8" t="str">
        <f t="shared" si="80"/>
        <v/>
      </c>
      <c r="S2580" s="82" t="str">
        <f t="shared" si="81"/>
        <v/>
      </c>
    </row>
    <row r="2581" spans="18:19" x14ac:dyDescent="0.25">
      <c r="R2581" s="8" t="str">
        <f t="shared" si="80"/>
        <v/>
      </c>
      <c r="S2581" s="82" t="str">
        <f t="shared" si="81"/>
        <v/>
      </c>
    </row>
    <row r="2582" spans="18:19" x14ac:dyDescent="0.25">
      <c r="R2582" s="8" t="str">
        <f t="shared" si="80"/>
        <v/>
      </c>
      <c r="S2582" s="82" t="str">
        <f t="shared" si="81"/>
        <v/>
      </c>
    </row>
    <row r="2583" spans="18:19" x14ac:dyDescent="0.25">
      <c r="R2583" s="8" t="str">
        <f t="shared" si="80"/>
        <v/>
      </c>
      <c r="S2583" s="82" t="str">
        <f t="shared" si="81"/>
        <v/>
      </c>
    </row>
    <row r="2584" spans="18:19" x14ac:dyDescent="0.25">
      <c r="R2584" s="8" t="str">
        <f t="shared" si="80"/>
        <v/>
      </c>
      <c r="S2584" s="82" t="str">
        <f t="shared" si="81"/>
        <v/>
      </c>
    </row>
    <row r="2585" spans="18:19" x14ac:dyDescent="0.25">
      <c r="R2585" s="8" t="str">
        <f t="shared" si="80"/>
        <v/>
      </c>
      <c r="S2585" s="82" t="str">
        <f t="shared" si="81"/>
        <v/>
      </c>
    </row>
    <row r="2586" spans="18:19" x14ac:dyDescent="0.25">
      <c r="R2586" s="8" t="str">
        <f t="shared" si="80"/>
        <v/>
      </c>
      <c r="S2586" s="82" t="str">
        <f t="shared" si="81"/>
        <v/>
      </c>
    </row>
    <row r="2587" spans="18:19" x14ac:dyDescent="0.25">
      <c r="R2587" s="8" t="str">
        <f t="shared" si="80"/>
        <v/>
      </c>
      <c r="S2587" s="82" t="str">
        <f t="shared" si="81"/>
        <v/>
      </c>
    </row>
    <row r="2588" spans="18:19" x14ac:dyDescent="0.25">
      <c r="R2588" s="8" t="str">
        <f t="shared" si="80"/>
        <v/>
      </c>
      <c r="S2588" s="82" t="str">
        <f t="shared" si="81"/>
        <v/>
      </c>
    </row>
    <row r="2589" spans="18:19" x14ac:dyDescent="0.25">
      <c r="R2589" s="8" t="str">
        <f t="shared" si="80"/>
        <v/>
      </c>
      <c r="S2589" s="82" t="str">
        <f t="shared" si="81"/>
        <v/>
      </c>
    </row>
    <row r="2590" spans="18:19" x14ac:dyDescent="0.25">
      <c r="R2590" s="8" t="str">
        <f t="shared" si="80"/>
        <v/>
      </c>
      <c r="S2590" s="82" t="str">
        <f t="shared" si="81"/>
        <v/>
      </c>
    </row>
    <row r="2591" spans="18:19" x14ac:dyDescent="0.25">
      <c r="R2591" s="8" t="str">
        <f t="shared" si="80"/>
        <v/>
      </c>
      <c r="S2591" s="82" t="str">
        <f t="shared" si="81"/>
        <v/>
      </c>
    </row>
    <row r="2592" spans="18:19" x14ac:dyDescent="0.25">
      <c r="R2592" s="8" t="str">
        <f t="shared" si="80"/>
        <v/>
      </c>
      <c r="S2592" s="82" t="str">
        <f t="shared" si="81"/>
        <v/>
      </c>
    </row>
    <row r="2593" spans="18:19" x14ac:dyDescent="0.25">
      <c r="R2593" s="8" t="str">
        <f t="shared" si="80"/>
        <v/>
      </c>
      <c r="S2593" s="82" t="str">
        <f t="shared" si="81"/>
        <v/>
      </c>
    </row>
    <row r="2594" spans="18:19" x14ac:dyDescent="0.25">
      <c r="R2594" s="8" t="str">
        <f t="shared" si="80"/>
        <v/>
      </c>
      <c r="S2594" s="82" t="str">
        <f t="shared" si="81"/>
        <v/>
      </c>
    </row>
    <row r="2595" spans="18:19" x14ac:dyDescent="0.25">
      <c r="R2595" s="8" t="str">
        <f t="shared" si="80"/>
        <v/>
      </c>
      <c r="S2595" s="82" t="str">
        <f t="shared" si="81"/>
        <v/>
      </c>
    </row>
    <row r="2596" spans="18:19" x14ac:dyDescent="0.25">
      <c r="R2596" s="8" t="str">
        <f t="shared" si="80"/>
        <v/>
      </c>
      <c r="S2596" s="82" t="str">
        <f t="shared" si="81"/>
        <v/>
      </c>
    </row>
    <row r="2597" spans="18:19" x14ac:dyDescent="0.25">
      <c r="R2597" s="8" t="str">
        <f t="shared" si="80"/>
        <v/>
      </c>
      <c r="S2597" s="82" t="str">
        <f t="shared" si="81"/>
        <v/>
      </c>
    </row>
    <row r="2598" spans="18:19" x14ac:dyDescent="0.25">
      <c r="R2598" s="8" t="str">
        <f t="shared" si="80"/>
        <v/>
      </c>
      <c r="S2598" s="82" t="str">
        <f t="shared" si="81"/>
        <v/>
      </c>
    </row>
    <row r="2599" spans="18:19" x14ac:dyDescent="0.25">
      <c r="R2599" s="8" t="str">
        <f t="shared" si="80"/>
        <v/>
      </c>
      <c r="S2599" s="82" t="str">
        <f t="shared" si="81"/>
        <v/>
      </c>
    </row>
    <row r="2600" spans="18:19" x14ac:dyDescent="0.25">
      <c r="R2600" s="8" t="str">
        <f t="shared" si="80"/>
        <v/>
      </c>
      <c r="S2600" s="82" t="str">
        <f t="shared" si="81"/>
        <v/>
      </c>
    </row>
    <row r="2601" spans="18:19" x14ac:dyDescent="0.25">
      <c r="R2601" s="8" t="str">
        <f t="shared" si="80"/>
        <v/>
      </c>
      <c r="S2601" s="82" t="str">
        <f t="shared" si="81"/>
        <v/>
      </c>
    </row>
    <row r="2602" spans="18:19" x14ac:dyDescent="0.25">
      <c r="R2602" s="8" t="str">
        <f t="shared" si="80"/>
        <v/>
      </c>
      <c r="S2602" s="82" t="str">
        <f t="shared" si="81"/>
        <v/>
      </c>
    </row>
    <row r="2603" spans="18:19" x14ac:dyDescent="0.25">
      <c r="R2603" s="8" t="str">
        <f t="shared" si="80"/>
        <v/>
      </c>
      <c r="S2603" s="82" t="str">
        <f t="shared" si="81"/>
        <v/>
      </c>
    </row>
    <row r="2604" spans="18:19" x14ac:dyDescent="0.25">
      <c r="R2604" s="8" t="str">
        <f t="shared" si="80"/>
        <v/>
      </c>
      <c r="S2604" s="82" t="str">
        <f t="shared" si="81"/>
        <v/>
      </c>
    </row>
    <row r="2605" spans="18:19" x14ac:dyDescent="0.25">
      <c r="R2605" s="8" t="str">
        <f t="shared" si="80"/>
        <v/>
      </c>
      <c r="S2605" s="82" t="str">
        <f t="shared" si="81"/>
        <v/>
      </c>
    </row>
    <row r="2606" spans="18:19" x14ac:dyDescent="0.25">
      <c r="R2606" s="8" t="str">
        <f t="shared" si="80"/>
        <v/>
      </c>
      <c r="S2606" s="82" t="str">
        <f t="shared" si="81"/>
        <v/>
      </c>
    </row>
    <row r="2607" spans="18:19" x14ac:dyDescent="0.25">
      <c r="R2607" s="8" t="str">
        <f t="shared" si="80"/>
        <v/>
      </c>
      <c r="S2607" s="82" t="str">
        <f t="shared" si="81"/>
        <v/>
      </c>
    </row>
    <row r="2608" spans="18:19" x14ac:dyDescent="0.25">
      <c r="R2608" s="8" t="str">
        <f t="shared" si="80"/>
        <v/>
      </c>
      <c r="S2608" s="82" t="str">
        <f t="shared" si="81"/>
        <v/>
      </c>
    </row>
    <row r="2609" spans="18:19" x14ac:dyDescent="0.25">
      <c r="R2609" s="8" t="str">
        <f t="shared" si="80"/>
        <v/>
      </c>
      <c r="S2609" s="82" t="str">
        <f t="shared" si="81"/>
        <v/>
      </c>
    </row>
    <row r="2610" spans="18:19" x14ac:dyDescent="0.25">
      <c r="R2610" s="8" t="str">
        <f t="shared" si="80"/>
        <v/>
      </c>
      <c r="S2610" s="82" t="str">
        <f t="shared" si="81"/>
        <v/>
      </c>
    </row>
    <row r="2611" spans="18:19" x14ac:dyDescent="0.25">
      <c r="R2611" s="8" t="str">
        <f t="shared" si="80"/>
        <v/>
      </c>
      <c r="S2611" s="82" t="str">
        <f t="shared" si="81"/>
        <v/>
      </c>
    </row>
    <row r="2612" spans="18:19" x14ac:dyDescent="0.25">
      <c r="R2612" s="8" t="str">
        <f t="shared" si="80"/>
        <v/>
      </c>
      <c r="S2612" s="82" t="str">
        <f t="shared" si="81"/>
        <v/>
      </c>
    </row>
    <row r="2613" spans="18:19" x14ac:dyDescent="0.25">
      <c r="R2613" s="8" t="str">
        <f t="shared" si="80"/>
        <v/>
      </c>
      <c r="S2613" s="82" t="str">
        <f t="shared" si="81"/>
        <v/>
      </c>
    </row>
    <row r="2614" spans="18:19" x14ac:dyDescent="0.25">
      <c r="R2614" s="8" t="str">
        <f t="shared" si="80"/>
        <v/>
      </c>
      <c r="S2614" s="82" t="str">
        <f t="shared" si="81"/>
        <v/>
      </c>
    </row>
    <row r="2615" spans="18:19" x14ac:dyDescent="0.25">
      <c r="R2615" s="8" t="str">
        <f t="shared" si="80"/>
        <v/>
      </c>
      <c r="S2615" s="82" t="str">
        <f t="shared" si="81"/>
        <v/>
      </c>
    </row>
    <row r="2616" spans="18:19" x14ac:dyDescent="0.25">
      <c r="R2616" s="8" t="str">
        <f t="shared" si="80"/>
        <v/>
      </c>
      <c r="S2616" s="82" t="str">
        <f t="shared" si="81"/>
        <v/>
      </c>
    </row>
    <row r="2617" spans="18:19" x14ac:dyDescent="0.25">
      <c r="R2617" s="8" t="str">
        <f t="shared" si="80"/>
        <v/>
      </c>
      <c r="S2617" s="82" t="str">
        <f t="shared" si="81"/>
        <v/>
      </c>
    </row>
    <row r="2618" spans="18:19" x14ac:dyDescent="0.25">
      <c r="R2618" s="8" t="str">
        <f t="shared" si="80"/>
        <v/>
      </c>
      <c r="S2618" s="82" t="str">
        <f t="shared" si="81"/>
        <v/>
      </c>
    </row>
    <row r="2619" spans="18:19" x14ac:dyDescent="0.25">
      <c r="R2619" s="8" t="str">
        <f t="shared" si="80"/>
        <v/>
      </c>
      <c r="S2619" s="82" t="str">
        <f t="shared" si="81"/>
        <v/>
      </c>
    </row>
    <row r="2620" spans="18:19" x14ac:dyDescent="0.25">
      <c r="R2620" s="8" t="str">
        <f t="shared" si="80"/>
        <v/>
      </c>
      <c r="S2620" s="82" t="str">
        <f t="shared" si="81"/>
        <v/>
      </c>
    </row>
    <row r="2621" spans="18:19" x14ac:dyDescent="0.25">
      <c r="R2621" s="8" t="str">
        <f t="shared" si="80"/>
        <v/>
      </c>
      <c r="S2621" s="82" t="str">
        <f t="shared" si="81"/>
        <v/>
      </c>
    </row>
    <row r="2622" spans="18:19" x14ac:dyDescent="0.25">
      <c r="R2622" s="8" t="str">
        <f t="shared" si="80"/>
        <v/>
      </c>
      <c r="S2622" s="82" t="str">
        <f t="shared" si="81"/>
        <v/>
      </c>
    </row>
    <row r="2623" spans="18:19" x14ac:dyDescent="0.25">
      <c r="R2623" s="8" t="str">
        <f t="shared" si="80"/>
        <v/>
      </c>
      <c r="S2623" s="82" t="str">
        <f t="shared" si="81"/>
        <v/>
      </c>
    </row>
    <row r="2624" spans="18:19" x14ac:dyDescent="0.25">
      <c r="R2624" s="8" t="str">
        <f t="shared" si="80"/>
        <v/>
      </c>
      <c r="S2624" s="82" t="str">
        <f t="shared" si="81"/>
        <v/>
      </c>
    </row>
    <row r="2625" spans="18:19" x14ac:dyDescent="0.25">
      <c r="R2625" s="8" t="str">
        <f t="shared" si="80"/>
        <v/>
      </c>
      <c r="S2625" s="82" t="str">
        <f t="shared" si="81"/>
        <v/>
      </c>
    </row>
    <row r="2626" spans="18:19" x14ac:dyDescent="0.25">
      <c r="R2626" s="8" t="str">
        <f t="shared" si="80"/>
        <v/>
      </c>
      <c r="S2626" s="82" t="str">
        <f t="shared" si="81"/>
        <v/>
      </c>
    </row>
    <row r="2627" spans="18:19" x14ac:dyDescent="0.25">
      <c r="R2627" s="8" t="str">
        <f t="shared" si="80"/>
        <v/>
      </c>
      <c r="S2627" s="82" t="str">
        <f t="shared" si="81"/>
        <v/>
      </c>
    </row>
    <row r="2628" spans="18:19" x14ac:dyDescent="0.25">
      <c r="R2628" s="8" t="str">
        <f t="shared" si="80"/>
        <v/>
      </c>
      <c r="S2628" s="82" t="str">
        <f t="shared" si="81"/>
        <v/>
      </c>
    </row>
    <row r="2629" spans="18:19" x14ac:dyDescent="0.25">
      <c r="R2629" s="8" t="str">
        <f t="shared" si="80"/>
        <v/>
      </c>
      <c r="S2629" s="82" t="str">
        <f t="shared" si="81"/>
        <v/>
      </c>
    </row>
    <row r="2630" spans="18:19" x14ac:dyDescent="0.25">
      <c r="R2630" s="8" t="str">
        <f t="shared" si="80"/>
        <v/>
      </c>
      <c r="S2630" s="82" t="str">
        <f t="shared" si="81"/>
        <v/>
      </c>
    </row>
    <row r="2631" spans="18:19" x14ac:dyDescent="0.25">
      <c r="R2631" s="8" t="str">
        <f t="shared" si="80"/>
        <v/>
      </c>
      <c r="S2631" s="82" t="str">
        <f t="shared" si="81"/>
        <v/>
      </c>
    </row>
    <row r="2632" spans="18:19" x14ac:dyDescent="0.25">
      <c r="R2632" s="8" t="str">
        <f t="shared" ref="R2632:R2695" si="82">IF(A2632="",(""),(MONTH(A2632)))</f>
        <v/>
      </c>
      <c r="S2632" s="82" t="str">
        <f t="shared" ref="S2632:S2695" si="83">IF(B2632="",(""),IF(B2632="3 - Nota de Crédito A",-Q2632,IF(B2632="8 - Nota de Crédito B",-Q2632,(Q2632))))</f>
        <v/>
      </c>
    </row>
    <row r="2633" spans="18:19" x14ac:dyDescent="0.25">
      <c r="R2633" s="8" t="str">
        <f t="shared" si="82"/>
        <v/>
      </c>
      <c r="S2633" s="82" t="str">
        <f t="shared" si="83"/>
        <v/>
      </c>
    </row>
    <row r="2634" spans="18:19" x14ac:dyDescent="0.25">
      <c r="R2634" s="8" t="str">
        <f t="shared" si="82"/>
        <v/>
      </c>
      <c r="S2634" s="82" t="str">
        <f t="shared" si="83"/>
        <v/>
      </c>
    </row>
    <row r="2635" spans="18:19" x14ac:dyDescent="0.25">
      <c r="R2635" s="8" t="str">
        <f t="shared" si="82"/>
        <v/>
      </c>
      <c r="S2635" s="82" t="str">
        <f t="shared" si="83"/>
        <v/>
      </c>
    </row>
    <row r="2636" spans="18:19" x14ac:dyDescent="0.25">
      <c r="R2636" s="8" t="str">
        <f t="shared" si="82"/>
        <v/>
      </c>
      <c r="S2636" s="82" t="str">
        <f t="shared" si="83"/>
        <v/>
      </c>
    </row>
    <row r="2637" spans="18:19" x14ac:dyDescent="0.25">
      <c r="R2637" s="8" t="str">
        <f t="shared" si="82"/>
        <v/>
      </c>
      <c r="S2637" s="82" t="str">
        <f t="shared" si="83"/>
        <v/>
      </c>
    </row>
    <row r="2638" spans="18:19" x14ac:dyDescent="0.25">
      <c r="R2638" s="8" t="str">
        <f t="shared" si="82"/>
        <v/>
      </c>
      <c r="S2638" s="82" t="str">
        <f t="shared" si="83"/>
        <v/>
      </c>
    </row>
    <row r="2639" spans="18:19" x14ac:dyDescent="0.25">
      <c r="R2639" s="8" t="str">
        <f t="shared" si="82"/>
        <v/>
      </c>
      <c r="S2639" s="82" t="str">
        <f t="shared" si="83"/>
        <v/>
      </c>
    </row>
    <row r="2640" spans="18:19" x14ac:dyDescent="0.25">
      <c r="R2640" s="8" t="str">
        <f t="shared" si="82"/>
        <v/>
      </c>
      <c r="S2640" s="82" t="str">
        <f t="shared" si="83"/>
        <v/>
      </c>
    </row>
    <row r="2641" spans="18:19" x14ac:dyDescent="0.25">
      <c r="R2641" s="8" t="str">
        <f t="shared" si="82"/>
        <v/>
      </c>
      <c r="S2641" s="82" t="str">
        <f t="shared" si="83"/>
        <v/>
      </c>
    </row>
    <row r="2642" spans="18:19" x14ac:dyDescent="0.25">
      <c r="R2642" s="8" t="str">
        <f t="shared" si="82"/>
        <v/>
      </c>
      <c r="S2642" s="82" t="str">
        <f t="shared" si="83"/>
        <v/>
      </c>
    </row>
    <row r="2643" spans="18:19" x14ac:dyDescent="0.25">
      <c r="R2643" s="8" t="str">
        <f t="shared" si="82"/>
        <v/>
      </c>
      <c r="S2643" s="82" t="str">
        <f t="shared" si="83"/>
        <v/>
      </c>
    </row>
    <row r="2644" spans="18:19" x14ac:dyDescent="0.25">
      <c r="R2644" s="8" t="str">
        <f t="shared" si="82"/>
        <v/>
      </c>
      <c r="S2644" s="82" t="str">
        <f t="shared" si="83"/>
        <v/>
      </c>
    </row>
    <row r="2645" spans="18:19" x14ac:dyDescent="0.25">
      <c r="R2645" s="8" t="str">
        <f t="shared" si="82"/>
        <v/>
      </c>
      <c r="S2645" s="82" t="str">
        <f t="shared" si="83"/>
        <v/>
      </c>
    </row>
    <row r="2646" spans="18:19" x14ac:dyDescent="0.25">
      <c r="R2646" s="8" t="str">
        <f t="shared" si="82"/>
        <v/>
      </c>
      <c r="S2646" s="82" t="str">
        <f t="shared" si="83"/>
        <v/>
      </c>
    </row>
    <row r="2647" spans="18:19" x14ac:dyDescent="0.25">
      <c r="R2647" s="8" t="str">
        <f t="shared" si="82"/>
        <v/>
      </c>
      <c r="S2647" s="82" t="str">
        <f t="shared" si="83"/>
        <v/>
      </c>
    </row>
    <row r="2648" spans="18:19" x14ac:dyDescent="0.25">
      <c r="R2648" s="8" t="str">
        <f t="shared" si="82"/>
        <v/>
      </c>
      <c r="S2648" s="82" t="str">
        <f t="shared" si="83"/>
        <v/>
      </c>
    </row>
    <row r="2649" spans="18:19" x14ac:dyDescent="0.25">
      <c r="R2649" s="8" t="str">
        <f t="shared" si="82"/>
        <v/>
      </c>
      <c r="S2649" s="82" t="str">
        <f t="shared" si="83"/>
        <v/>
      </c>
    </row>
    <row r="2650" spans="18:19" x14ac:dyDescent="0.25">
      <c r="R2650" s="8" t="str">
        <f t="shared" si="82"/>
        <v/>
      </c>
      <c r="S2650" s="82" t="str">
        <f t="shared" si="83"/>
        <v/>
      </c>
    </row>
    <row r="2651" spans="18:19" x14ac:dyDescent="0.25">
      <c r="R2651" s="8" t="str">
        <f t="shared" si="82"/>
        <v/>
      </c>
      <c r="S2651" s="82" t="str">
        <f t="shared" si="83"/>
        <v/>
      </c>
    </row>
    <row r="2652" spans="18:19" x14ac:dyDescent="0.25">
      <c r="R2652" s="8" t="str">
        <f t="shared" si="82"/>
        <v/>
      </c>
      <c r="S2652" s="82" t="str">
        <f t="shared" si="83"/>
        <v/>
      </c>
    </row>
    <row r="2653" spans="18:19" x14ac:dyDescent="0.25">
      <c r="R2653" s="8" t="str">
        <f t="shared" si="82"/>
        <v/>
      </c>
      <c r="S2653" s="82" t="str">
        <f t="shared" si="83"/>
        <v/>
      </c>
    </row>
    <row r="2654" spans="18:19" x14ac:dyDescent="0.25">
      <c r="R2654" s="8" t="str">
        <f t="shared" si="82"/>
        <v/>
      </c>
      <c r="S2654" s="82" t="str">
        <f t="shared" si="83"/>
        <v/>
      </c>
    </row>
    <row r="2655" spans="18:19" x14ac:dyDescent="0.25">
      <c r="R2655" s="8" t="str">
        <f t="shared" si="82"/>
        <v/>
      </c>
      <c r="S2655" s="82" t="str">
        <f t="shared" si="83"/>
        <v/>
      </c>
    </row>
    <row r="2656" spans="18:19" x14ac:dyDescent="0.25">
      <c r="R2656" s="8" t="str">
        <f t="shared" si="82"/>
        <v/>
      </c>
      <c r="S2656" s="82" t="str">
        <f t="shared" si="83"/>
        <v/>
      </c>
    </row>
    <row r="2657" spans="18:19" x14ac:dyDescent="0.25">
      <c r="R2657" s="8" t="str">
        <f t="shared" si="82"/>
        <v/>
      </c>
      <c r="S2657" s="82" t="str">
        <f t="shared" si="83"/>
        <v/>
      </c>
    </row>
    <row r="2658" spans="18:19" x14ac:dyDescent="0.25">
      <c r="R2658" s="8" t="str">
        <f t="shared" si="82"/>
        <v/>
      </c>
      <c r="S2658" s="82" t="str">
        <f t="shared" si="83"/>
        <v/>
      </c>
    </row>
    <row r="2659" spans="18:19" x14ac:dyDescent="0.25">
      <c r="R2659" s="8" t="str">
        <f t="shared" si="82"/>
        <v/>
      </c>
      <c r="S2659" s="82" t="str">
        <f t="shared" si="83"/>
        <v/>
      </c>
    </row>
    <row r="2660" spans="18:19" x14ac:dyDescent="0.25">
      <c r="R2660" s="8" t="str">
        <f t="shared" si="82"/>
        <v/>
      </c>
      <c r="S2660" s="82" t="str">
        <f t="shared" si="83"/>
        <v/>
      </c>
    </row>
    <row r="2661" spans="18:19" x14ac:dyDescent="0.25">
      <c r="R2661" s="8" t="str">
        <f t="shared" si="82"/>
        <v/>
      </c>
      <c r="S2661" s="82" t="str">
        <f t="shared" si="83"/>
        <v/>
      </c>
    </row>
    <row r="2662" spans="18:19" x14ac:dyDescent="0.25">
      <c r="R2662" s="8" t="str">
        <f t="shared" si="82"/>
        <v/>
      </c>
      <c r="S2662" s="82" t="str">
        <f t="shared" si="83"/>
        <v/>
      </c>
    </row>
    <row r="2663" spans="18:19" x14ac:dyDescent="0.25">
      <c r="R2663" s="8" t="str">
        <f t="shared" si="82"/>
        <v/>
      </c>
      <c r="S2663" s="82" t="str">
        <f t="shared" si="83"/>
        <v/>
      </c>
    </row>
    <row r="2664" spans="18:19" x14ac:dyDescent="0.25">
      <c r="R2664" s="8" t="str">
        <f t="shared" si="82"/>
        <v/>
      </c>
      <c r="S2664" s="82" t="str">
        <f t="shared" si="83"/>
        <v/>
      </c>
    </row>
    <row r="2665" spans="18:19" x14ac:dyDescent="0.25">
      <c r="R2665" s="8" t="str">
        <f t="shared" si="82"/>
        <v/>
      </c>
      <c r="S2665" s="82" t="str">
        <f t="shared" si="83"/>
        <v/>
      </c>
    </row>
    <row r="2666" spans="18:19" x14ac:dyDescent="0.25">
      <c r="R2666" s="8" t="str">
        <f t="shared" si="82"/>
        <v/>
      </c>
      <c r="S2666" s="82" t="str">
        <f t="shared" si="83"/>
        <v/>
      </c>
    </row>
    <row r="2667" spans="18:19" x14ac:dyDescent="0.25">
      <c r="R2667" s="8" t="str">
        <f t="shared" si="82"/>
        <v/>
      </c>
      <c r="S2667" s="82" t="str">
        <f t="shared" si="83"/>
        <v/>
      </c>
    </row>
    <row r="2668" spans="18:19" x14ac:dyDescent="0.25">
      <c r="R2668" s="8" t="str">
        <f t="shared" si="82"/>
        <v/>
      </c>
      <c r="S2668" s="82" t="str">
        <f t="shared" si="83"/>
        <v/>
      </c>
    </row>
    <row r="2669" spans="18:19" x14ac:dyDescent="0.25">
      <c r="R2669" s="8" t="str">
        <f t="shared" si="82"/>
        <v/>
      </c>
      <c r="S2669" s="82" t="str">
        <f t="shared" si="83"/>
        <v/>
      </c>
    </row>
    <row r="2670" spans="18:19" x14ac:dyDescent="0.25">
      <c r="R2670" s="8" t="str">
        <f t="shared" si="82"/>
        <v/>
      </c>
      <c r="S2670" s="82" t="str">
        <f t="shared" si="83"/>
        <v/>
      </c>
    </row>
    <row r="2671" spans="18:19" x14ac:dyDescent="0.25">
      <c r="R2671" s="8" t="str">
        <f t="shared" si="82"/>
        <v/>
      </c>
      <c r="S2671" s="82" t="str">
        <f t="shared" si="83"/>
        <v/>
      </c>
    </row>
    <row r="2672" spans="18:19" x14ac:dyDescent="0.25">
      <c r="R2672" s="8" t="str">
        <f t="shared" si="82"/>
        <v/>
      </c>
      <c r="S2672" s="82" t="str">
        <f t="shared" si="83"/>
        <v/>
      </c>
    </row>
    <row r="2673" spans="18:19" x14ac:dyDescent="0.25">
      <c r="R2673" s="8" t="str">
        <f t="shared" si="82"/>
        <v/>
      </c>
      <c r="S2673" s="82" t="str">
        <f t="shared" si="83"/>
        <v/>
      </c>
    </row>
    <row r="2674" spans="18:19" x14ac:dyDescent="0.25">
      <c r="R2674" s="8" t="str">
        <f t="shared" si="82"/>
        <v/>
      </c>
      <c r="S2674" s="82" t="str">
        <f t="shared" si="83"/>
        <v/>
      </c>
    </row>
    <row r="2675" spans="18:19" x14ac:dyDescent="0.25">
      <c r="R2675" s="8" t="str">
        <f t="shared" si="82"/>
        <v/>
      </c>
      <c r="S2675" s="82" t="str">
        <f t="shared" si="83"/>
        <v/>
      </c>
    </row>
    <row r="2676" spans="18:19" x14ac:dyDescent="0.25">
      <c r="R2676" s="8" t="str">
        <f t="shared" si="82"/>
        <v/>
      </c>
      <c r="S2676" s="82" t="str">
        <f t="shared" si="83"/>
        <v/>
      </c>
    </row>
    <row r="2677" spans="18:19" x14ac:dyDescent="0.25">
      <c r="R2677" s="8" t="str">
        <f t="shared" si="82"/>
        <v/>
      </c>
      <c r="S2677" s="82" t="str">
        <f t="shared" si="83"/>
        <v/>
      </c>
    </row>
    <row r="2678" spans="18:19" x14ac:dyDescent="0.25">
      <c r="R2678" s="8" t="str">
        <f t="shared" si="82"/>
        <v/>
      </c>
      <c r="S2678" s="82" t="str">
        <f t="shared" si="83"/>
        <v/>
      </c>
    </row>
    <row r="2679" spans="18:19" x14ac:dyDescent="0.25">
      <c r="R2679" s="8" t="str">
        <f t="shared" si="82"/>
        <v/>
      </c>
      <c r="S2679" s="82" t="str">
        <f t="shared" si="83"/>
        <v/>
      </c>
    </row>
    <row r="2680" spans="18:19" x14ac:dyDescent="0.25">
      <c r="R2680" s="8" t="str">
        <f t="shared" si="82"/>
        <v/>
      </c>
      <c r="S2680" s="82" t="str">
        <f t="shared" si="83"/>
        <v/>
      </c>
    </row>
    <row r="2681" spans="18:19" x14ac:dyDescent="0.25">
      <c r="R2681" s="8" t="str">
        <f t="shared" si="82"/>
        <v/>
      </c>
      <c r="S2681" s="82" t="str">
        <f t="shared" si="83"/>
        <v/>
      </c>
    </row>
    <row r="2682" spans="18:19" x14ac:dyDescent="0.25">
      <c r="R2682" s="8" t="str">
        <f t="shared" si="82"/>
        <v/>
      </c>
      <c r="S2682" s="82" t="str">
        <f t="shared" si="83"/>
        <v/>
      </c>
    </row>
    <row r="2683" spans="18:19" x14ac:dyDescent="0.25">
      <c r="R2683" s="8" t="str">
        <f t="shared" si="82"/>
        <v/>
      </c>
      <c r="S2683" s="82" t="str">
        <f t="shared" si="83"/>
        <v/>
      </c>
    </row>
    <row r="2684" spans="18:19" x14ac:dyDescent="0.25">
      <c r="R2684" s="8" t="str">
        <f t="shared" si="82"/>
        <v/>
      </c>
      <c r="S2684" s="82" t="str">
        <f t="shared" si="83"/>
        <v/>
      </c>
    </row>
    <row r="2685" spans="18:19" x14ac:dyDescent="0.25">
      <c r="R2685" s="8" t="str">
        <f t="shared" si="82"/>
        <v/>
      </c>
      <c r="S2685" s="82" t="str">
        <f t="shared" si="83"/>
        <v/>
      </c>
    </row>
    <row r="2686" spans="18:19" x14ac:dyDescent="0.25">
      <c r="R2686" s="8" t="str">
        <f t="shared" si="82"/>
        <v/>
      </c>
      <c r="S2686" s="82" t="str">
        <f t="shared" si="83"/>
        <v/>
      </c>
    </row>
    <row r="2687" spans="18:19" x14ac:dyDescent="0.25">
      <c r="R2687" s="8" t="str">
        <f t="shared" si="82"/>
        <v/>
      </c>
      <c r="S2687" s="82" t="str">
        <f t="shared" si="83"/>
        <v/>
      </c>
    </row>
    <row r="2688" spans="18:19" x14ac:dyDescent="0.25">
      <c r="R2688" s="8" t="str">
        <f t="shared" si="82"/>
        <v/>
      </c>
      <c r="S2688" s="82" t="str">
        <f t="shared" si="83"/>
        <v/>
      </c>
    </row>
    <row r="2689" spans="18:19" x14ac:dyDescent="0.25">
      <c r="R2689" s="8" t="str">
        <f t="shared" si="82"/>
        <v/>
      </c>
      <c r="S2689" s="82" t="str">
        <f t="shared" si="83"/>
        <v/>
      </c>
    </row>
    <row r="2690" spans="18:19" x14ac:dyDescent="0.25">
      <c r="R2690" s="8" t="str">
        <f t="shared" si="82"/>
        <v/>
      </c>
      <c r="S2690" s="82" t="str">
        <f t="shared" si="83"/>
        <v/>
      </c>
    </row>
    <row r="2691" spans="18:19" x14ac:dyDescent="0.25">
      <c r="R2691" s="8" t="str">
        <f t="shared" si="82"/>
        <v/>
      </c>
      <c r="S2691" s="82" t="str">
        <f t="shared" si="83"/>
        <v/>
      </c>
    </row>
    <row r="2692" spans="18:19" x14ac:dyDescent="0.25">
      <c r="R2692" s="8" t="str">
        <f t="shared" si="82"/>
        <v/>
      </c>
      <c r="S2692" s="82" t="str">
        <f t="shared" si="83"/>
        <v/>
      </c>
    </row>
    <row r="2693" spans="18:19" x14ac:dyDescent="0.25">
      <c r="R2693" s="8" t="str">
        <f t="shared" si="82"/>
        <v/>
      </c>
      <c r="S2693" s="82" t="str">
        <f t="shared" si="83"/>
        <v/>
      </c>
    </row>
    <row r="2694" spans="18:19" x14ac:dyDescent="0.25">
      <c r="R2694" s="8" t="str">
        <f t="shared" si="82"/>
        <v/>
      </c>
      <c r="S2694" s="82" t="str">
        <f t="shared" si="83"/>
        <v/>
      </c>
    </row>
    <row r="2695" spans="18:19" x14ac:dyDescent="0.25">
      <c r="R2695" s="8" t="str">
        <f t="shared" si="82"/>
        <v/>
      </c>
      <c r="S2695" s="82" t="str">
        <f t="shared" si="83"/>
        <v/>
      </c>
    </row>
    <row r="2696" spans="18:19" x14ac:dyDescent="0.25">
      <c r="R2696" s="8" t="str">
        <f t="shared" ref="R2696:R2759" si="84">IF(A2696="",(""),(MONTH(A2696)))</f>
        <v/>
      </c>
      <c r="S2696" s="82" t="str">
        <f t="shared" ref="S2696:S2759" si="85">IF(B2696="",(""),IF(B2696="3 - Nota de Crédito A",-Q2696,IF(B2696="8 - Nota de Crédito B",-Q2696,(Q2696))))</f>
        <v/>
      </c>
    </row>
    <row r="2697" spans="18:19" x14ac:dyDescent="0.25">
      <c r="R2697" s="8" t="str">
        <f t="shared" si="84"/>
        <v/>
      </c>
      <c r="S2697" s="82" t="str">
        <f t="shared" si="85"/>
        <v/>
      </c>
    </row>
    <row r="2698" spans="18:19" x14ac:dyDescent="0.25">
      <c r="R2698" s="8" t="str">
        <f t="shared" si="84"/>
        <v/>
      </c>
      <c r="S2698" s="82" t="str">
        <f t="shared" si="85"/>
        <v/>
      </c>
    </row>
    <row r="2699" spans="18:19" x14ac:dyDescent="0.25">
      <c r="R2699" s="8" t="str">
        <f t="shared" si="84"/>
        <v/>
      </c>
      <c r="S2699" s="82" t="str">
        <f t="shared" si="85"/>
        <v/>
      </c>
    </row>
    <row r="2700" spans="18:19" x14ac:dyDescent="0.25">
      <c r="R2700" s="8" t="str">
        <f t="shared" si="84"/>
        <v/>
      </c>
      <c r="S2700" s="82" t="str">
        <f t="shared" si="85"/>
        <v/>
      </c>
    </row>
    <row r="2701" spans="18:19" x14ac:dyDescent="0.25">
      <c r="R2701" s="8" t="str">
        <f t="shared" si="84"/>
        <v/>
      </c>
      <c r="S2701" s="82" t="str">
        <f t="shared" si="85"/>
        <v/>
      </c>
    </row>
    <row r="2702" spans="18:19" x14ac:dyDescent="0.25">
      <c r="R2702" s="8" t="str">
        <f t="shared" si="84"/>
        <v/>
      </c>
      <c r="S2702" s="82" t="str">
        <f t="shared" si="85"/>
        <v/>
      </c>
    </row>
    <row r="2703" spans="18:19" x14ac:dyDescent="0.25">
      <c r="R2703" s="8" t="str">
        <f t="shared" si="84"/>
        <v/>
      </c>
      <c r="S2703" s="82" t="str">
        <f t="shared" si="85"/>
        <v/>
      </c>
    </row>
    <row r="2704" spans="18:19" x14ac:dyDescent="0.25">
      <c r="R2704" s="8" t="str">
        <f t="shared" si="84"/>
        <v/>
      </c>
      <c r="S2704" s="82" t="str">
        <f t="shared" si="85"/>
        <v/>
      </c>
    </row>
    <row r="2705" spans="18:19" x14ac:dyDescent="0.25">
      <c r="R2705" s="8" t="str">
        <f t="shared" si="84"/>
        <v/>
      </c>
      <c r="S2705" s="82" t="str">
        <f t="shared" si="85"/>
        <v/>
      </c>
    </row>
    <row r="2706" spans="18:19" x14ac:dyDescent="0.25">
      <c r="R2706" s="8" t="str">
        <f t="shared" si="84"/>
        <v/>
      </c>
      <c r="S2706" s="82" t="str">
        <f t="shared" si="85"/>
        <v/>
      </c>
    </row>
    <row r="2707" spans="18:19" x14ac:dyDescent="0.25">
      <c r="R2707" s="8" t="str">
        <f t="shared" si="84"/>
        <v/>
      </c>
      <c r="S2707" s="82" t="str">
        <f t="shared" si="85"/>
        <v/>
      </c>
    </row>
    <row r="2708" spans="18:19" x14ac:dyDescent="0.25">
      <c r="R2708" s="8" t="str">
        <f t="shared" si="84"/>
        <v/>
      </c>
      <c r="S2708" s="82" t="str">
        <f t="shared" si="85"/>
        <v/>
      </c>
    </row>
    <row r="2709" spans="18:19" x14ac:dyDescent="0.25">
      <c r="R2709" s="8" t="str">
        <f t="shared" si="84"/>
        <v/>
      </c>
      <c r="S2709" s="82" t="str">
        <f t="shared" si="85"/>
        <v/>
      </c>
    </row>
    <row r="2710" spans="18:19" x14ac:dyDescent="0.25">
      <c r="R2710" s="8" t="str">
        <f t="shared" si="84"/>
        <v/>
      </c>
      <c r="S2710" s="82" t="str">
        <f t="shared" si="85"/>
        <v/>
      </c>
    </row>
    <row r="2711" spans="18:19" x14ac:dyDescent="0.25">
      <c r="R2711" s="8" t="str">
        <f t="shared" si="84"/>
        <v/>
      </c>
      <c r="S2711" s="82" t="str">
        <f t="shared" si="85"/>
        <v/>
      </c>
    </row>
    <row r="2712" spans="18:19" x14ac:dyDescent="0.25">
      <c r="R2712" s="8" t="str">
        <f t="shared" si="84"/>
        <v/>
      </c>
      <c r="S2712" s="82" t="str">
        <f t="shared" si="85"/>
        <v/>
      </c>
    </row>
    <row r="2713" spans="18:19" x14ac:dyDescent="0.25">
      <c r="R2713" s="8" t="str">
        <f t="shared" si="84"/>
        <v/>
      </c>
      <c r="S2713" s="82" t="str">
        <f t="shared" si="85"/>
        <v/>
      </c>
    </row>
    <row r="2714" spans="18:19" x14ac:dyDescent="0.25">
      <c r="R2714" s="8" t="str">
        <f t="shared" si="84"/>
        <v/>
      </c>
      <c r="S2714" s="82" t="str">
        <f t="shared" si="85"/>
        <v/>
      </c>
    </row>
    <row r="2715" spans="18:19" x14ac:dyDescent="0.25">
      <c r="R2715" s="8" t="str">
        <f t="shared" si="84"/>
        <v/>
      </c>
      <c r="S2715" s="82" t="str">
        <f t="shared" si="85"/>
        <v/>
      </c>
    </row>
    <row r="2716" spans="18:19" x14ac:dyDescent="0.25">
      <c r="R2716" s="8" t="str">
        <f t="shared" si="84"/>
        <v/>
      </c>
      <c r="S2716" s="82" t="str">
        <f t="shared" si="85"/>
        <v/>
      </c>
    </row>
    <row r="2717" spans="18:19" x14ac:dyDescent="0.25">
      <c r="R2717" s="8" t="str">
        <f t="shared" si="84"/>
        <v/>
      </c>
      <c r="S2717" s="82" t="str">
        <f t="shared" si="85"/>
        <v/>
      </c>
    </row>
    <row r="2718" spans="18:19" x14ac:dyDescent="0.25">
      <c r="R2718" s="8" t="str">
        <f t="shared" si="84"/>
        <v/>
      </c>
      <c r="S2718" s="82" t="str">
        <f t="shared" si="85"/>
        <v/>
      </c>
    </row>
    <row r="2719" spans="18:19" x14ac:dyDescent="0.25">
      <c r="R2719" s="8" t="str">
        <f t="shared" si="84"/>
        <v/>
      </c>
      <c r="S2719" s="82" t="str">
        <f t="shared" si="85"/>
        <v/>
      </c>
    </row>
    <row r="2720" spans="18:19" x14ac:dyDescent="0.25">
      <c r="R2720" s="8" t="str">
        <f t="shared" si="84"/>
        <v/>
      </c>
      <c r="S2720" s="82" t="str">
        <f t="shared" si="85"/>
        <v/>
      </c>
    </row>
    <row r="2721" spans="18:19" x14ac:dyDescent="0.25">
      <c r="R2721" s="8" t="str">
        <f t="shared" si="84"/>
        <v/>
      </c>
      <c r="S2721" s="82" t="str">
        <f t="shared" si="85"/>
        <v/>
      </c>
    </row>
    <row r="2722" spans="18:19" x14ac:dyDescent="0.25">
      <c r="R2722" s="8" t="str">
        <f t="shared" si="84"/>
        <v/>
      </c>
      <c r="S2722" s="82" t="str">
        <f t="shared" si="85"/>
        <v/>
      </c>
    </row>
    <row r="2723" spans="18:19" x14ac:dyDescent="0.25">
      <c r="R2723" s="8" t="str">
        <f t="shared" si="84"/>
        <v/>
      </c>
      <c r="S2723" s="82" t="str">
        <f t="shared" si="85"/>
        <v/>
      </c>
    </row>
    <row r="2724" spans="18:19" x14ac:dyDescent="0.25">
      <c r="R2724" s="8" t="str">
        <f t="shared" si="84"/>
        <v/>
      </c>
      <c r="S2724" s="82" t="str">
        <f t="shared" si="85"/>
        <v/>
      </c>
    </row>
    <row r="2725" spans="18:19" x14ac:dyDescent="0.25">
      <c r="R2725" s="8" t="str">
        <f t="shared" si="84"/>
        <v/>
      </c>
      <c r="S2725" s="82" t="str">
        <f t="shared" si="85"/>
        <v/>
      </c>
    </row>
    <row r="2726" spans="18:19" x14ac:dyDescent="0.25">
      <c r="R2726" s="8" t="str">
        <f t="shared" si="84"/>
        <v/>
      </c>
      <c r="S2726" s="82" t="str">
        <f t="shared" si="85"/>
        <v/>
      </c>
    </row>
    <row r="2727" spans="18:19" x14ac:dyDescent="0.25">
      <c r="R2727" s="8" t="str">
        <f t="shared" si="84"/>
        <v/>
      </c>
      <c r="S2727" s="82" t="str">
        <f t="shared" si="85"/>
        <v/>
      </c>
    </row>
    <row r="2728" spans="18:19" x14ac:dyDescent="0.25">
      <c r="R2728" s="8" t="str">
        <f t="shared" si="84"/>
        <v/>
      </c>
      <c r="S2728" s="82" t="str">
        <f t="shared" si="85"/>
        <v/>
      </c>
    </row>
    <row r="2729" spans="18:19" x14ac:dyDescent="0.25">
      <c r="R2729" s="8" t="str">
        <f t="shared" si="84"/>
        <v/>
      </c>
      <c r="S2729" s="82" t="str">
        <f t="shared" si="85"/>
        <v/>
      </c>
    </row>
    <row r="2730" spans="18:19" x14ac:dyDescent="0.25">
      <c r="R2730" s="8" t="str">
        <f t="shared" si="84"/>
        <v/>
      </c>
      <c r="S2730" s="82" t="str">
        <f t="shared" si="85"/>
        <v/>
      </c>
    </row>
    <row r="2731" spans="18:19" x14ac:dyDescent="0.25">
      <c r="R2731" s="8" t="str">
        <f t="shared" si="84"/>
        <v/>
      </c>
      <c r="S2731" s="82" t="str">
        <f t="shared" si="85"/>
        <v/>
      </c>
    </row>
    <row r="2732" spans="18:19" x14ac:dyDescent="0.25">
      <c r="R2732" s="8" t="str">
        <f t="shared" si="84"/>
        <v/>
      </c>
      <c r="S2732" s="82" t="str">
        <f t="shared" si="85"/>
        <v/>
      </c>
    </row>
    <row r="2733" spans="18:19" x14ac:dyDescent="0.25">
      <c r="R2733" s="8" t="str">
        <f t="shared" si="84"/>
        <v/>
      </c>
      <c r="S2733" s="82" t="str">
        <f t="shared" si="85"/>
        <v/>
      </c>
    </row>
    <row r="2734" spans="18:19" x14ac:dyDescent="0.25">
      <c r="R2734" s="8" t="str">
        <f t="shared" si="84"/>
        <v/>
      </c>
      <c r="S2734" s="82" t="str">
        <f t="shared" si="85"/>
        <v/>
      </c>
    </row>
    <row r="2735" spans="18:19" x14ac:dyDescent="0.25">
      <c r="R2735" s="8" t="str">
        <f t="shared" si="84"/>
        <v/>
      </c>
      <c r="S2735" s="82" t="str">
        <f t="shared" si="85"/>
        <v/>
      </c>
    </row>
    <row r="2736" spans="18:19" x14ac:dyDescent="0.25">
      <c r="R2736" s="8" t="str">
        <f t="shared" si="84"/>
        <v/>
      </c>
      <c r="S2736" s="82" t="str">
        <f t="shared" si="85"/>
        <v/>
      </c>
    </row>
    <row r="2737" spans="18:19" x14ac:dyDescent="0.25">
      <c r="R2737" s="8" t="str">
        <f t="shared" si="84"/>
        <v/>
      </c>
      <c r="S2737" s="82" t="str">
        <f t="shared" si="85"/>
        <v/>
      </c>
    </row>
    <row r="2738" spans="18:19" x14ac:dyDescent="0.25">
      <c r="R2738" s="8" t="str">
        <f t="shared" si="84"/>
        <v/>
      </c>
      <c r="S2738" s="82" t="str">
        <f t="shared" si="85"/>
        <v/>
      </c>
    </row>
    <row r="2739" spans="18:19" x14ac:dyDescent="0.25">
      <c r="R2739" s="8" t="str">
        <f t="shared" si="84"/>
        <v/>
      </c>
      <c r="S2739" s="82" t="str">
        <f t="shared" si="85"/>
        <v/>
      </c>
    </row>
    <row r="2740" spans="18:19" x14ac:dyDescent="0.25">
      <c r="R2740" s="8" t="str">
        <f t="shared" si="84"/>
        <v/>
      </c>
      <c r="S2740" s="82" t="str">
        <f t="shared" si="85"/>
        <v/>
      </c>
    </row>
    <row r="2741" spans="18:19" x14ac:dyDescent="0.25">
      <c r="R2741" s="8" t="str">
        <f t="shared" si="84"/>
        <v/>
      </c>
      <c r="S2741" s="82" t="str">
        <f t="shared" si="85"/>
        <v/>
      </c>
    </row>
    <row r="2742" spans="18:19" x14ac:dyDescent="0.25">
      <c r="R2742" s="8" t="str">
        <f t="shared" si="84"/>
        <v/>
      </c>
      <c r="S2742" s="82" t="str">
        <f t="shared" si="85"/>
        <v/>
      </c>
    </row>
    <row r="2743" spans="18:19" x14ac:dyDescent="0.25">
      <c r="R2743" s="8" t="str">
        <f t="shared" si="84"/>
        <v/>
      </c>
      <c r="S2743" s="82" t="str">
        <f t="shared" si="85"/>
        <v/>
      </c>
    </row>
    <row r="2744" spans="18:19" x14ac:dyDescent="0.25">
      <c r="R2744" s="8" t="str">
        <f t="shared" si="84"/>
        <v/>
      </c>
      <c r="S2744" s="82" t="str">
        <f t="shared" si="85"/>
        <v/>
      </c>
    </row>
    <row r="2745" spans="18:19" x14ac:dyDescent="0.25">
      <c r="R2745" s="8" t="str">
        <f t="shared" si="84"/>
        <v/>
      </c>
      <c r="S2745" s="82" t="str">
        <f t="shared" si="85"/>
        <v/>
      </c>
    </row>
    <row r="2746" spans="18:19" x14ac:dyDescent="0.25">
      <c r="R2746" s="8" t="str">
        <f t="shared" si="84"/>
        <v/>
      </c>
      <c r="S2746" s="82" t="str">
        <f t="shared" si="85"/>
        <v/>
      </c>
    </row>
    <row r="2747" spans="18:19" x14ac:dyDescent="0.25">
      <c r="R2747" s="8" t="str">
        <f t="shared" si="84"/>
        <v/>
      </c>
      <c r="S2747" s="82" t="str">
        <f t="shared" si="85"/>
        <v/>
      </c>
    </row>
    <row r="2748" spans="18:19" x14ac:dyDescent="0.25">
      <c r="R2748" s="8" t="str">
        <f t="shared" si="84"/>
        <v/>
      </c>
      <c r="S2748" s="82" t="str">
        <f t="shared" si="85"/>
        <v/>
      </c>
    </row>
    <row r="2749" spans="18:19" x14ac:dyDescent="0.25">
      <c r="R2749" s="8" t="str">
        <f t="shared" si="84"/>
        <v/>
      </c>
      <c r="S2749" s="82" t="str">
        <f t="shared" si="85"/>
        <v/>
      </c>
    </row>
    <row r="2750" spans="18:19" x14ac:dyDescent="0.25">
      <c r="R2750" s="8" t="str">
        <f t="shared" si="84"/>
        <v/>
      </c>
      <c r="S2750" s="82" t="str">
        <f t="shared" si="85"/>
        <v/>
      </c>
    </row>
    <row r="2751" spans="18:19" x14ac:dyDescent="0.25">
      <c r="R2751" s="8" t="str">
        <f t="shared" si="84"/>
        <v/>
      </c>
      <c r="S2751" s="82" t="str">
        <f t="shared" si="85"/>
        <v/>
      </c>
    </row>
    <row r="2752" spans="18:19" x14ac:dyDescent="0.25">
      <c r="R2752" s="8" t="str">
        <f t="shared" si="84"/>
        <v/>
      </c>
      <c r="S2752" s="82" t="str">
        <f t="shared" si="85"/>
        <v/>
      </c>
    </row>
    <row r="2753" spans="18:19" x14ac:dyDescent="0.25">
      <c r="R2753" s="8" t="str">
        <f t="shared" si="84"/>
        <v/>
      </c>
      <c r="S2753" s="82" t="str">
        <f t="shared" si="85"/>
        <v/>
      </c>
    </row>
    <row r="2754" spans="18:19" x14ac:dyDescent="0.25">
      <c r="R2754" s="8" t="str">
        <f t="shared" si="84"/>
        <v/>
      </c>
      <c r="S2754" s="82" t="str">
        <f t="shared" si="85"/>
        <v/>
      </c>
    </row>
    <row r="2755" spans="18:19" x14ac:dyDescent="0.25">
      <c r="R2755" s="8" t="str">
        <f t="shared" si="84"/>
        <v/>
      </c>
      <c r="S2755" s="82" t="str">
        <f t="shared" si="85"/>
        <v/>
      </c>
    </row>
    <row r="2756" spans="18:19" x14ac:dyDescent="0.25">
      <c r="R2756" s="8" t="str">
        <f t="shared" si="84"/>
        <v/>
      </c>
      <c r="S2756" s="82" t="str">
        <f t="shared" si="85"/>
        <v/>
      </c>
    </row>
    <row r="2757" spans="18:19" x14ac:dyDescent="0.25">
      <c r="R2757" s="8" t="str">
        <f t="shared" si="84"/>
        <v/>
      </c>
      <c r="S2757" s="82" t="str">
        <f t="shared" si="85"/>
        <v/>
      </c>
    </row>
    <row r="2758" spans="18:19" x14ac:dyDescent="0.25">
      <c r="R2758" s="8" t="str">
        <f t="shared" si="84"/>
        <v/>
      </c>
      <c r="S2758" s="82" t="str">
        <f t="shared" si="85"/>
        <v/>
      </c>
    </row>
    <row r="2759" spans="18:19" x14ac:dyDescent="0.25">
      <c r="R2759" s="8" t="str">
        <f t="shared" si="84"/>
        <v/>
      </c>
      <c r="S2759" s="82" t="str">
        <f t="shared" si="85"/>
        <v/>
      </c>
    </row>
    <row r="2760" spans="18:19" x14ac:dyDescent="0.25">
      <c r="R2760" s="8" t="str">
        <f t="shared" ref="R2760:R2823" si="86">IF(A2760="",(""),(MONTH(A2760)))</f>
        <v/>
      </c>
      <c r="S2760" s="82" t="str">
        <f t="shared" ref="S2760:S2823" si="87">IF(B2760="",(""),IF(B2760="3 - Nota de Crédito A",-Q2760,IF(B2760="8 - Nota de Crédito B",-Q2760,(Q2760))))</f>
        <v/>
      </c>
    </row>
    <row r="2761" spans="18:19" x14ac:dyDescent="0.25">
      <c r="R2761" s="8" t="str">
        <f t="shared" si="86"/>
        <v/>
      </c>
      <c r="S2761" s="82" t="str">
        <f t="shared" si="87"/>
        <v/>
      </c>
    </row>
    <row r="2762" spans="18:19" x14ac:dyDescent="0.25">
      <c r="R2762" s="8" t="str">
        <f t="shared" si="86"/>
        <v/>
      </c>
      <c r="S2762" s="82" t="str">
        <f t="shared" si="87"/>
        <v/>
      </c>
    </row>
    <row r="2763" spans="18:19" x14ac:dyDescent="0.25">
      <c r="R2763" s="8" t="str">
        <f t="shared" si="86"/>
        <v/>
      </c>
      <c r="S2763" s="82" t="str">
        <f t="shared" si="87"/>
        <v/>
      </c>
    </row>
    <row r="2764" spans="18:19" x14ac:dyDescent="0.25">
      <c r="R2764" s="8" t="str">
        <f t="shared" si="86"/>
        <v/>
      </c>
      <c r="S2764" s="82" t="str">
        <f t="shared" si="87"/>
        <v/>
      </c>
    </row>
    <row r="2765" spans="18:19" x14ac:dyDescent="0.25">
      <c r="R2765" s="8" t="str">
        <f t="shared" si="86"/>
        <v/>
      </c>
      <c r="S2765" s="82" t="str">
        <f t="shared" si="87"/>
        <v/>
      </c>
    </row>
    <row r="2766" spans="18:19" x14ac:dyDescent="0.25">
      <c r="R2766" s="8" t="str">
        <f t="shared" si="86"/>
        <v/>
      </c>
      <c r="S2766" s="82" t="str">
        <f t="shared" si="87"/>
        <v/>
      </c>
    </row>
    <row r="2767" spans="18:19" x14ac:dyDescent="0.25">
      <c r="R2767" s="8" t="str">
        <f t="shared" si="86"/>
        <v/>
      </c>
      <c r="S2767" s="82" t="str">
        <f t="shared" si="87"/>
        <v/>
      </c>
    </row>
    <row r="2768" spans="18:19" x14ac:dyDescent="0.25">
      <c r="R2768" s="8" t="str">
        <f t="shared" si="86"/>
        <v/>
      </c>
      <c r="S2768" s="82" t="str">
        <f t="shared" si="87"/>
        <v/>
      </c>
    </row>
    <row r="2769" spans="18:19" x14ac:dyDescent="0.25">
      <c r="R2769" s="8" t="str">
        <f t="shared" si="86"/>
        <v/>
      </c>
      <c r="S2769" s="82" t="str">
        <f t="shared" si="87"/>
        <v/>
      </c>
    </row>
    <row r="2770" spans="18:19" x14ac:dyDescent="0.25">
      <c r="R2770" s="8" t="str">
        <f t="shared" si="86"/>
        <v/>
      </c>
      <c r="S2770" s="82" t="str">
        <f t="shared" si="87"/>
        <v/>
      </c>
    </row>
    <row r="2771" spans="18:19" x14ac:dyDescent="0.25">
      <c r="R2771" s="8" t="str">
        <f t="shared" si="86"/>
        <v/>
      </c>
      <c r="S2771" s="82" t="str">
        <f t="shared" si="87"/>
        <v/>
      </c>
    </row>
    <row r="2772" spans="18:19" x14ac:dyDescent="0.25">
      <c r="R2772" s="8" t="str">
        <f t="shared" si="86"/>
        <v/>
      </c>
      <c r="S2772" s="82" t="str">
        <f t="shared" si="87"/>
        <v/>
      </c>
    </row>
    <row r="2773" spans="18:19" x14ac:dyDescent="0.25">
      <c r="R2773" s="8" t="str">
        <f t="shared" si="86"/>
        <v/>
      </c>
      <c r="S2773" s="82" t="str">
        <f t="shared" si="87"/>
        <v/>
      </c>
    </row>
    <row r="2774" spans="18:19" x14ac:dyDescent="0.25">
      <c r="R2774" s="8" t="str">
        <f t="shared" si="86"/>
        <v/>
      </c>
      <c r="S2774" s="82" t="str">
        <f t="shared" si="87"/>
        <v/>
      </c>
    </row>
    <row r="2775" spans="18:19" x14ac:dyDescent="0.25">
      <c r="R2775" s="8" t="str">
        <f t="shared" si="86"/>
        <v/>
      </c>
      <c r="S2775" s="82" t="str">
        <f t="shared" si="87"/>
        <v/>
      </c>
    </row>
    <row r="2776" spans="18:19" x14ac:dyDescent="0.25">
      <c r="R2776" s="8" t="str">
        <f t="shared" si="86"/>
        <v/>
      </c>
      <c r="S2776" s="82" t="str">
        <f t="shared" si="87"/>
        <v/>
      </c>
    </row>
    <row r="2777" spans="18:19" x14ac:dyDescent="0.25">
      <c r="R2777" s="8" t="str">
        <f t="shared" si="86"/>
        <v/>
      </c>
      <c r="S2777" s="82" t="str">
        <f t="shared" si="87"/>
        <v/>
      </c>
    </row>
    <row r="2778" spans="18:19" x14ac:dyDescent="0.25">
      <c r="R2778" s="8" t="str">
        <f t="shared" si="86"/>
        <v/>
      </c>
      <c r="S2778" s="82" t="str">
        <f t="shared" si="87"/>
        <v/>
      </c>
    </row>
    <row r="2779" spans="18:19" x14ac:dyDescent="0.25">
      <c r="R2779" s="8" t="str">
        <f t="shared" si="86"/>
        <v/>
      </c>
      <c r="S2779" s="82" t="str">
        <f t="shared" si="87"/>
        <v/>
      </c>
    </row>
    <row r="2780" spans="18:19" x14ac:dyDescent="0.25">
      <c r="R2780" s="8" t="str">
        <f t="shared" si="86"/>
        <v/>
      </c>
      <c r="S2780" s="82" t="str">
        <f t="shared" si="87"/>
        <v/>
      </c>
    </row>
    <row r="2781" spans="18:19" x14ac:dyDescent="0.25">
      <c r="R2781" s="8" t="str">
        <f t="shared" si="86"/>
        <v/>
      </c>
      <c r="S2781" s="82" t="str">
        <f t="shared" si="87"/>
        <v/>
      </c>
    </row>
    <row r="2782" spans="18:19" x14ac:dyDescent="0.25">
      <c r="R2782" s="8" t="str">
        <f t="shared" si="86"/>
        <v/>
      </c>
      <c r="S2782" s="82" t="str">
        <f t="shared" si="87"/>
        <v/>
      </c>
    </row>
    <row r="2783" spans="18:19" x14ac:dyDescent="0.25">
      <c r="R2783" s="8" t="str">
        <f t="shared" si="86"/>
        <v/>
      </c>
      <c r="S2783" s="82" t="str">
        <f t="shared" si="87"/>
        <v/>
      </c>
    </row>
    <row r="2784" spans="18:19" x14ac:dyDescent="0.25">
      <c r="R2784" s="8" t="str">
        <f t="shared" si="86"/>
        <v/>
      </c>
      <c r="S2784" s="82" t="str">
        <f t="shared" si="87"/>
        <v/>
      </c>
    </row>
    <row r="2785" spans="18:19" x14ac:dyDescent="0.25">
      <c r="R2785" s="8" t="str">
        <f t="shared" si="86"/>
        <v/>
      </c>
      <c r="S2785" s="82" t="str">
        <f t="shared" si="87"/>
        <v/>
      </c>
    </row>
    <row r="2786" spans="18:19" x14ac:dyDescent="0.25">
      <c r="R2786" s="8" t="str">
        <f t="shared" si="86"/>
        <v/>
      </c>
      <c r="S2786" s="82" t="str">
        <f t="shared" si="87"/>
        <v/>
      </c>
    </row>
    <row r="2787" spans="18:19" x14ac:dyDescent="0.25">
      <c r="R2787" s="8" t="str">
        <f t="shared" si="86"/>
        <v/>
      </c>
      <c r="S2787" s="82" t="str">
        <f t="shared" si="87"/>
        <v/>
      </c>
    </row>
    <row r="2788" spans="18:19" x14ac:dyDescent="0.25">
      <c r="R2788" s="8" t="str">
        <f t="shared" si="86"/>
        <v/>
      </c>
      <c r="S2788" s="82" t="str">
        <f t="shared" si="87"/>
        <v/>
      </c>
    </row>
    <row r="2789" spans="18:19" x14ac:dyDescent="0.25">
      <c r="R2789" s="8" t="str">
        <f t="shared" si="86"/>
        <v/>
      </c>
      <c r="S2789" s="82" t="str">
        <f t="shared" si="87"/>
        <v/>
      </c>
    </row>
    <row r="2790" spans="18:19" x14ac:dyDescent="0.25">
      <c r="R2790" s="8" t="str">
        <f t="shared" si="86"/>
        <v/>
      </c>
      <c r="S2790" s="82" t="str">
        <f t="shared" si="87"/>
        <v/>
      </c>
    </row>
    <row r="2791" spans="18:19" x14ac:dyDescent="0.25">
      <c r="R2791" s="8" t="str">
        <f t="shared" si="86"/>
        <v/>
      </c>
      <c r="S2791" s="82" t="str">
        <f t="shared" si="87"/>
        <v/>
      </c>
    </row>
    <row r="2792" spans="18:19" x14ac:dyDescent="0.25">
      <c r="R2792" s="8" t="str">
        <f t="shared" si="86"/>
        <v/>
      </c>
      <c r="S2792" s="82" t="str">
        <f t="shared" si="87"/>
        <v/>
      </c>
    </row>
    <row r="2793" spans="18:19" x14ac:dyDescent="0.25">
      <c r="R2793" s="8" t="str">
        <f t="shared" si="86"/>
        <v/>
      </c>
      <c r="S2793" s="82" t="str">
        <f t="shared" si="87"/>
        <v/>
      </c>
    </row>
    <row r="2794" spans="18:19" x14ac:dyDescent="0.25">
      <c r="R2794" s="8" t="str">
        <f t="shared" si="86"/>
        <v/>
      </c>
      <c r="S2794" s="82" t="str">
        <f t="shared" si="87"/>
        <v/>
      </c>
    </row>
    <row r="2795" spans="18:19" x14ac:dyDescent="0.25">
      <c r="R2795" s="8" t="str">
        <f t="shared" si="86"/>
        <v/>
      </c>
      <c r="S2795" s="82" t="str">
        <f t="shared" si="87"/>
        <v/>
      </c>
    </row>
    <row r="2796" spans="18:19" x14ac:dyDescent="0.25">
      <c r="R2796" s="8" t="str">
        <f t="shared" si="86"/>
        <v/>
      </c>
      <c r="S2796" s="82" t="str">
        <f t="shared" si="87"/>
        <v/>
      </c>
    </row>
    <row r="2797" spans="18:19" x14ac:dyDescent="0.25">
      <c r="R2797" s="8" t="str">
        <f t="shared" si="86"/>
        <v/>
      </c>
      <c r="S2797" s="82" t="str">
        <f t="shared" si="87"/>
        <v/>
      </c>
    </row>
    <row r="2798" spans="18:19" x14ac:dyDescent="0.25">
      <c r="R2798" s="8" t="str">
        <f t="shared" si="86"/>
        <v/>
      </c>
      <c r="S2798" s="82" t="str">
        <f t="shared" si="87"/>
        <v/>
      </c>
    </row>
    <row r="2799" spans="18:19" x14ac:dyDescent="0.25">
      <c r="R2799" s="8" t="str">
        <f t="shared" si="86"/>
        <v/>
      </c>
      <c r="S2799" s="82" t="str">
        <f t="shared" si="87"/>
        <v/>
      </c>
    </row>
    <row r="2800" spans="18:19" x14ac:dyDescent="0.25">
      <c r="R2800" s="8" t="str">
        <f t="shared" si="86"/>
        <v/>
      </c>
      <c r="S2800" s="82" t="str">
        <f t="shared" si="87"/>
        <v/>
      </c>
    </row>
    <row r="2801" spans="18:19" x14ac:dyDescent="0.25">
      <c r="R2801" s="8" t="str">
        <f t="shared" si="86"/>
        <v/>
      </c>
      <c r="S2801" s="82" t="str">
        <f t="shared" si="87"/>
        <v/>
      </c>
    </row>
    <row r="2802" spans="18:19" x14ac:dyDescent="0.25">
      <c r="R2802" s="8" t="str">
        <f t="shared" si="86"/>
        <v/>
      </c>
      <c r="S2802" s="82" t="str">
        <f t="shared" si="87"/>
        <v/>
      </c>
    </row>
    <row r="2803" spans="18:19" x14ac:dyDescent="0.25">
      <c r="R2803" s="8" t="str">
        <f t="shared" si="86"/>
        <v/>
      </c>
      <c r="S2803" s="82" t="str">
        <f t="shared" si="87"/>
        <v/>
      </c>
    </row>
    <row r="2804" spans="18:19" x14ac:dyDescent="0.25">
      <c r="R2804" s="8" t="str">
        <f t="shared" si="86"/>
        <v/>
      </c>
      <c r="S2804" s="82" t="str">
        <f t="shared" si="87"/>
        <v/>
      </c>
    </row>
    <row r="2805" spans="18:19" x14ac:dyDescent="0.25">
      <c r="R2805" s="8" t="str">
        <f t="shared" si="86"/>
        <v/>
      </c>
      <c r="S2805" s="82" t="str">
        <f t="shared" si="87"/>
        <v/>
      </c>
    </row>
    <row r="2806" spans="18:19" x14ac:dyDescent="0.25">
      <c r="R2806" s="8" t="str">
        <f t="shared" si="86"/>
        <v/>
      </c>
      <c r="S2806" s="82" t="str">
        <f t="shared" si="87"/>
        <v/>
      </c>
    </row>
    <row r="2807" spans="18:19" x14ac:dyDescent="0.25">
      <c r="R2807" s="8" t="str">
        <f t="shared" si="86"/>
        <v/>
      </c>
      <c r="S2807" s="82" t="str">
        <f t="shared" si="87"/>
        <v/>
      </c>
    </row>
    <row r="2808" spans="18:19" x14ac:dyDescent="0.25">
      <c r="R2808" s="8" t="str">
        <f t="shared" si="86"/>
        <v/>
      </c>
      <c r="S2808" s="82" t="str">
        <f t="shared" si="87"/>
        <v/>
      </c>
    </row>
    <row r="2809" spans="18:19" x14ac:dyDescent="0.25">
      <c r="R2809" s="8" t="str">
        <f t="shared" si="86"/>
        <v/>
      </c>
      <c r="S2809" s="82" t="str">
        <f t="shared" si="87"/>
        <v/>
      </c>
    </row>
    <row r="2810" spans="18:19" x14ac:dyDescent="0.25">
      <c r="R2810" s="8" t="str">
        <f t="shared" si="86"/>
        <v/>
      </c>
      <c r="S2810" s="82" t="str">
        <f t="shared" si="87"/>
        <v/>
      </c>
    </row>
    <row r="2811" spans="18:19" x14ac:dyDescent="0.25">
      <c r="R2811" s="8" t="str">
        <f t="shared" si="86"/>
        <v/>
      </c>
      <c r="S2811" s="82" t="str">
        <f t="shared" si="87"/>
        <v/>
      </c>
    </row>
    <row r="2812" spans="18:19" x14ac:dyDescent="0.25">
      <c r="R2812" s="8" t="str">
        <f t="shared" si="86"/>
        <v/>
      </c>
      <c r="S2812" s="82" t="str">
        <f t="shared" si="87"/>
        <v/>
      </c>
    </row>
    <row r="2813" spans="18:19" x14ac:dyDescent="0.25">
      <c r="R2813" s="8" t="str">
        <f t="shared" si="86"/>
        <v/>
      </c>
      <c r="S2813" s="82" t="str">
        <f t="shared" si="87"/>
        <v/>
      </c>
    </row>
    <row r="2814" spans="18:19" x14ac:dyDescent="0.25">
      <c r="R2814" s="8" t="str">
        <f t="shared" si="86"/>
        <v/>
      </c>
      <c r="S2814" s="82" t="str">
        <f t="shared" si="87"/>
        <v/>
      </c>
    </row>
    <row r="2815" spans="18:19" x14ac:dyDescent="0.25">
      <c r="R2815" s="8" t="str">
        <f t="shared" si="86"/>
        <v/>
      </c>
      <c r="S2815" s="82" t="str">
        <f t="shared" si="87"/>
        <v/>
      </c>
    </row>
    <row r="2816" spans="18:19" x14ac:dyDescent="0.25">
      <c r="R2816" s="8" t="str">
        <f t="shared" si="86"/>
        <v/>
      </c>
      <c r="S2816" s="82" t="str">
        <f t="shared" si="87"/>
        <v/>
      </c>
    </row>
    <row r="2817" spans="18:19" x14ac:dyDescent="0.25">
      <c r="R2817" s="8" t="str">
        <f t="shared" si="86"/>
        <v/>
      </c>
      <c r="S2817" s="82" t="str">
        <f t="shared" si="87"/>
        <v/>
      </c>
    </row>
    <row r="2818" spans="18:19" x14ac:dyDescent="0.25">
      <c r="R2818" s="8" t="str">
        <f t="shared" si="86"/>
        <v/>
      </c>
      <c r="S2818" s="82" t="str">
        <f t="shared" si="87"/>
        <v/>
      </c>
    </row>
    <row r="2819" spans="18:19" x14ac:dyDescent="0.25">
      <c r="R2819" s="8" t="str">
        <f t="shared" si="86"/>
        <v/>
      </c>
      <c r="S2819" s="82" t="str">
        <f t="shared" si="87"/>
        <v/>
      </c>
    </row>
    <row r="2820" spans="18:19" x14ac:dyDescent="0.25">
      <c r="R2820" s="8" t="str">
        <f t="shared" si="86"/>
        <v/>
      </c>
      <c r="S2820" s="82" t="str">
        <f t="shared" si="87"/>
        <v/>
      </c>
    </row>
    <row r="2821" spans="18:19" x14ac:dyDescent="0.25">
      <c r="R2821" s="8" t="str">
        <f t="shared" si="86"/>
        <v/>
      </c>
      <c r="S2821" s="82" t="str">
        <f t="shared" si="87"/>
        <v/>
      </c>
    </row>
    <row r="2822" spans="18:19" x14ac:dyDescent="0.25">
      <c r="R2822" s="8" t="str">
        <f t="shared" si="86"/>
        <v/>
      </c>
      <c r="S2822" s="82" t="str">
        <f t="shared" si="87"/>
        <v/>
      </c>
    </row>
    <row r="2823" spans="18:19" x14ac:dyDescent="0.25">
      <c r="R2823" s="8" t="str">
        <f t="shared" si="86"/>
        <v/>
      </c>
      <c r="S2823" s="82" t="str">
        <f t="shared" si="87"/>
        <v/>
      </c>
    </row>
    <row r="2824" spans="18:19" x14ac:dyDescent="0.25">
      <c r="R2824" s="8" t="str">
        <f t="shared" ref="R2824:R2887" si="88">IF(A2824="",(""),(MONTH(A2824)))</f>
        <v/>
      </c>
      <c r="S2824" s="82" t="str">
        <f t="shared" ref="S2824:S2887" si="89">IF(B2824="",(""),IF(B2824="3 - Nota de Crédito A",-Q2824,IF(B2824="8 - Nota de Crédito B",-Q2824,(Q2824))))</f>
        <v/>
      </c>
    </row>
    <row r="2825" spans="18:19" x14ac:dyDescent="0.25">
      <c r="R2825" s="8" t="str">
        <f t="shared" si="88"/>
        <v/>
      </c>
      <c r="S2825" s="82" t="str">
        <f t="shared" si="89"/>
        <v/>
      </c>
    </row>
    <row r="2826" spans="18:19" x14ac:dyDescent="0.25">
      <c r="R2826" s="8" t="str">
        <f t="shared" si="88"/>
        <v/>
      </c>
      <c r="S2826" s="82" t="str">
        <f t="shared" si="89"/>
        <v/>
      </c>
    </row>
    <row r="2827" spans="18:19" x14ac:dyDescent="0.25">
      <c r="R2827" s="8" t="str">
        <f t="shared" si="88"/>
        <v/>
      </c>
      <c r="S2827" s="82" t="str">
        <f t="shared" si="89"/>
        <v/>
      </c>
    </row>
    <row r="2828" spans="18:19" x14ac:dyDescent="0.25">
      <c r="R2828" s="8" t="str">
        <f t="shared" si="88"/>
        <v/>
      </c>
      <c r="S2828" s="82" t="str">
        <f t="shared" si="89"/>
        <v/>
      </c>
    </row>
    <row r="2829" spans="18:19" x14ac:dyDescent="0.25">
      <c r="R2829" s="8" t="str">
        <f t="shared" si="88"/>
        <v/>
      </c>
      <c r="S2829" s="82" t="str">
        <f t="shared" si="89"/>
        <v/>
      </c>
    </row>
    <row r="2830" spans="18:19" x14ac:dyDescent="0.25">
      <c r="R2830" s="8" t="str">
        <f t="shared" si="88"/>
        <v/>
      </c>
      <c r="S2830" s="82" t="str">
        <f t="shared" si="89"/>
        <v/>
      </c>
    </row>
    <row r="2831" spans="18:19" x14ac:dyDescent="0.25">
      <c r="R2831" s="8" t="str">
        <f t="shared" si="88"/>
        <v/>
      </c>
      <c r="S2831" s="82" t="str">
        <f t="shared" si="89"/>
        <v/>
      </c>
    </row>
    <row r="2832" spans="18:19" x14ac:dyDescent="0.25">
      <c r="R2832" s="8" t="str">
        <f t="shared" si="88"/>
        <v/>
      </c>
      <c r="S2832" s="82" t="str">
        <f t="shared" si="89"/>
        <v/>
      </c>
    </row>
    <row r="2833" spans="18:19" x14ac:dyDescent="0.25">
      <c r="R2833" s="8" t="str">
        <f t="shared" si="88"/>
        <v/>
      </c>
      <c r="S2833" s="82" t="str">
        <f t="shared" si="89"/>
        <v/>
      </c>
    </row>
    <row r="2834" spans="18:19" x14ac:dyDescent="0.25">
      <c r="R2834" s="8" t="str">
        <f t="shared" si="88"/>
        <v/>
      </c>
      <c r="S2834" s="82" t="str">
        <f t="shared" si="89"/>
        <v/>
      </c>
    </row>
    <row r="2835" spans="18:19" x14ac:dyDescent="0.25">
      <c r="R2835" s="8" t="str">
        <f t="shared" si="88"/>
        <v/>
      </c>
      <c r="S2835" s="82" t="str">
        <f t="shared" si="89"/>
        <v/>
      </c>
    </row>
    <row r="2836" spans="18:19" x14ac:dyDescent="0.25">
      <c r="R2836" s="8" t="str">
        <f t="shared" si="88"/>
        <v/>
      </c>
      <c r="S2836" s="82" t="str">
        <f t="shared" si="89"/>
        <v/>
      </c>
    </row>
    <row r="2837" spans="18:19" x14ac:dyDescent="0.25">
      <c r="R2837" s="8" t="str">
        <f t="shared" si="88"/>
        <v/>
      </c>
      <c r="S2837" s="82" t="str">
        <f t="shared" si="89"/>
        <v/>
      </c>
    </row>
    <row r="2838" spans="18:19" x14ac:dyDescent="0.25">
      <c r="R2838" s="8" t="str">
        <f t="shared" si="88"/>
        <v/>
      </c>
      <c r="S2838" s="82" t="str">
        <f t="shared" si="89"/>
        <v/>
      </c>
    </row>
    <row r="2839" spans="18:19" x14ac:dyDescent="0.25">
      <c r="R2839" s="8" t="str">
        <f t="shared" si="88"/>
        <v/>
      </c>
      <c r="S2839" s="82" t="str">
        <f t="shared" si="89"/>
        <v/>
      </c>
    </row>
    <row r="2840" spans="18:19" x14ac:dyDescent="0.25">
      <c r="R2840" s="8" t="str">
        <f t="shared" si="88"/>
        <v/>
      </c>
      <c r="S2840" s="82" t="str">
        <f t="shared" si="89"/>
        <v/>
      </c>
    </row>
    <row r="2841" spans="18:19" x14ac:dyDescent="0.25">
      <c r="R2841" s="8" t="str">
        <f t="shared" si="88"/>
        <v/>
      </c>
      <c r="S2841" s="82" t="str">
        <f t="shared" si="89"/>
        <v/>
      </c>
    </row>
    <row r="2842" spans="18:19" x14ac:dyDescent="0.25">
      <c r="R2842" s="8" t="str">
        <f t="shared" si="88"/>
        <v/>
      </c>
      <c r="S2842" s="82" t="str">
        <f t="shared" si="89"/>
        <v/>
      </c>
    </row>
    <row r="2843" spans="18:19" x14ac:dyDescent="0.25">
      <c r="R2843" s="8" t="str">
        <f t="shared" si="88"/>
        <v/>
      </c>
      <c r="S2843" s="82" t="str">
        <f t="shared" si="89"/>
        <v/>
      </c>
    </row>
    <row r="2844" spans="18:19" x14ac:dyDescent="0.25">
      <c r="R2844" s="8" t="str">
        <f t="shared" si="88"/>
        <v/>
      </c>
      <c r="S2844" s="82" t="str">
        <f t="shared" si="89"/>
        <v/>
      </c>
    </row>
    <row r="2845" spans="18:19" x14ac:dyDescent="0.25">
      <c r="R2845" s="8" t="str">
        <f t="shared" si="88"/>
        <v/>
      </c>
      <c r="S2845" s="82" t="str">
        <f t="shared" si="89"/>
        <v/>
      </c>
    </row>
    <row r="2846" spans="18:19" x14ac:dyDescent="0.25">
      <c r="R2846" s="8" t="str">
        <f t="shared" si="88"/>
        <v/>
      </c>
      <c r="S2846" s="82" t="str">
        <f t="shared" si="89"/>
        <v/>
      </c>
    </row>
    <row r="2847" spans="18:19" x14ac:dyDescent="0.25">
      <c r="R2847" s="8" t="str">
        <f t="shared" si="88"/>
        <v/>
      </c>
      <c r="S2847" s="82" t="str">
        <f t="shared" si="89"/>
        <v/>
      </c>
    </row>
    <row r="2848" spans="18:19" x14ac:dyDescent="0.25">
      <c r="R2848" s="8" t="str">
        <f t="shared" si="88"/>
        <v/>
      </c>
      <c r="S2848" s="82" t="str">
        <f t="shared" si="89"/>
        <v/>
      </c>
    </row>
    <row r="2849" spans="18:19" x14ac:dyDescent="0.25">
      <c r="R2849" s="8" t="str">
        <f t="shared" si="88"/>
        <v/>
      </c>
      <c r="S2849" s="82" t="str">
        <f t="shared" si="89"/>
        <v/>
      </c>
    </row>
    <row r="2850" spans="18:19" x14ac:dyDescent="0.25">
      <c r="R2850" s="8" t="str">
        <f t="shared" si="88"/>
        <v/>
      </c>
      <c r="S2850" s="82" t="str">
        <f t="shared" si="89"/>
        <v/>
      </c>
    </row>
    <row r="2851" spans="18:19" x14ac:dyDescent="0.25">
      <c r="R2851" s="8" t="str">
        <f t="shared" si="88"/>
        <v/>
      </c>
      <c r="S2851" s="82" t="str">
        <f t="shared" si="89"/>
        <v/>
      </c>
    </row>
    <row r="2852" spans="18:19" x14ac:dyDescent="0.25">
      <c r="R2852" s="8" t="str">
        <f t="shared" si="88"/>
        <v/>
      </c>
      <c r="S2852" s="82" t="str">
        <f t="shared" si="89"/>
        <v/>
      </c>
    </row>
    <row r="2853" spans="18:19" x14ac:dyDescent="0.25">
      <c r="R2853" s="8" t="str">
        <f t="shared" si="88"/>
        <v/>
      </c>
      <c r="S2853" s="82" t="str">
        <f t="shared" si="89"/>
        <v/>
      </c>
    </row>
    <row r="2854" spans="18:19" x14ac:dyDescent="0.25">
      <c r="R2854" s="8" t="str">
        <f t="shared" si="88"/>
        <v/>
      </c>
      <c r="S2854" s="82" t="str">
        <f t="shared" si="89"/>
        <v/>
      </c>
    </row>
    <row r="2855" spans="18:19" x14ac:dyDescent="0.25">
      <c r="R2855" s="8" t="str">
        <f t="shared" si="88"/>
        <v/>
      </c>
      <c r="S2855" s="82" t="str">
        <f t="shared" si="89"/>
        <v/>
      </c>
    </row>
    <row r="2856" spans="18:19" x14ac:dyDescent="0.25">
      <c r="R2856" s="8" t="str">
        <f t="shared" si="88"/>
        <v/>
      </c>
      <c r="S2856" s="82" t="str">
        <f t="shared" si="89"/>
        <v/>
      </c>
    </row>
    <row r="2857" spans="18:19" x14ac:dyDescent="0.25">
      <c r="R2857" s="8" t="str">
        <f t="shared" si="88"/>
        <v/>
      </c>
      <c r="S2857" s="82" t="str">
        <f t="shared" si="89"/>
        <v/>
      </c>
    </row>
    <row r="2858" spans="18:19" x14ac:dyDescent="0.25">
      <c r="R2858" s="8" t="str">
        <f t="shared" si="88"/>
        <v/>
      </c>
      <c r="S2858" s="82" t="str">
        <f t="shared" si="89"/>
        <v/>
      </c>
    </row>
    <row r="2859" spans="18:19" x14ac:dyDescent="0.25">
      <c r="R2859" s="8" t="str">
        <f t="shared" si="88"/>
        <v/>
      </c>
      <c r="S2859" s="82" t="str">
        <f t="shared" si="89"/>
        <v/>
      </c>
    </row>
    <row r="2860" spans="18:19" x14ac:dyDescent="0.25">
      <c r="R2860" s="8" t="str">
        <f t="shared" si="88"/>
        <v/>
      </c>
      <c r="S2860" s="82" t="str">
        <f t="shared" si="89"/>
        <v/>
      </c>
    </row>
    <row r="2861" spans="18:19" x14ac:dyDescent="0.25">
      <c r="R2861" s="8" t="str">
        <f t="shared" si="88"/>
        <v/>
      </c>
      <c r="S2861" s="82" t="str">
        <f t="shared" si="89"/>
        <v/>
      </c>
    </row>
    <row r="2862" spans="18:19" x14ac:dyDescent="0.25">
      <c r="R2862" s="8" t="str">
        <f t="shared" si="88"/>
        <v/>
      </c>
      <c r="S2862" s="82" t="str">
        <f t="shared" si="89"/>
        <v/>
      </c>
    </row>
    <row r="2863" spans="18:19" x14ac:dyDescent="0.25">
      <c r="R2863" s="8" t="str">
        <f t="shared" si="88"/>
        <v/>
      </c>
      <c r="S2863" s="82" t="str">
        <f t="shared" si="89"/>
        <v/>
      </c>
    </row>
    <row r="2864" spans="18:19" x14ac:dyDescent="0.25">
      <c r="R2864" s="8" t="str">
        <f t="shared" si="88"/>
        <v/>
      </c>
      <c r="S2864" s="82" t="str">
        <f t="shared" si="89"/>
        <v/>
      </c>
    </row>
    <row r="2865" spans="18:19" x14ac:dyDescent="0.25">
      <c r="R2865" s="8" t="str">
        <f t="shared" si="88"/>
        <v/>
      </c>
      <c r="S2865" s="82" t="str">
        <f t="shared" si="89"/>
        <v/>
      </c>
    </row>
    <row r="2866" spans="18:19" x14ac:dyDescent="0.25">
      <c r="R2866" s="8" t="str">
        <f t="shared" si="88"/>
        <v/>
      </c>
      <c r="S2866" s="82" t="str">
        <f t="shared" si="89"/>
        <v/>
      </c>
    </row>
    <row r="2867" spans="18:19" x14ac:dyDescent="0.25">
      <c r="R2867" s="8" t="str">
        <f t="shared" si="88"/>
        <v/>
      </c>
      <c r="S2867" s="82" t="str">
        <f t="shared" si="89"/>
        <v/>
      </c>
    </row>
    <row r="2868" spans="18:19" x14ac:dyDescent="0.25">
      <c r="R2868" s="8" t="str">
        <f t="shared" si="88"/>
        <v/>
      </c>
      <c r="S2868" s="82" t="str">
        <f t="shared" si="89"/>
        <v/>
      </c>
    </row>
    <row r="2869" spans="18:19" x14ac:dyDescent="0.25">
      <c r="R2869" s="8" t="str">
        <f t="shared" si="88"/>
        <v/>
      </c>
      <c r="S2869" s="82" t="str">
        <f t="shared" si="89"/>
        <v/>
      </c>
    </row>
    <row r="2870" spans="18:19" x14ac:dyDescent="0.25">
      <c r="R2870" s="8" t="str">
        <f t="shared" si="88"/>
        <v/>
      </c>
      <c r="S2870" s="82" t="str">
        <f t="shared" si="89"/>
        <v/>
      </c>
    </row>
    <row r="2871" spans="18:19" x14ac:dyDescent="0.25">
      <c r="R2871" s="8" t="str">
        <f t="shared" si="88"/>
        <v/>
      </c>
      <c r="S2871" s="82" t="str">
        <f t="shared" si="89"/>
        <v/>
      </c>
    </row>
    <row r="2872" spans="18:19" x14ac:dyDescent="0.25">
      <c r="R2872" s="8" t="str">
        <f t="shared" si="88"/>
        <v/>
      </c>
      <c r="S2872" s="82" t="str">
        <f t="shared" si="89"/>
        <v/>
      </c>
    </row>
    <row r="2873" spans="18:19" x14ac:dyDescent="0.25">
      <c r="R2873" s="8" t="str">
        <f t="shared" si="88"/>
        <v/>
      </c>
      <c r="S2873" s="82" t="str">
        <f t="shared" si="89"/>
        <v/>
      </c>
    </row>
    <row r="2874" spans="18:19" x14ac:dyDescent="0.25">
      <c r="R2874" s="8" t="str">
        <f t="shared" si="88"/>
        <v/>
      </c>
      <c r="S2874" s="82" t="str">
        <f t="shared" si="89"/>
        <v/>
      </c>
    </row>
    <row r="2875" spans="18:19" x14ac:dyDescent="0.25">
      <c r="R2875" s="8" t="str">
        <f t="shared" si="88"/>
        <v/>
      </c>
      <c r="S2875" s="82" t="str">
        <f t="shared" si="89"/>
        <v/>
      </c>
    </row>
    <row r="2876" spans="18:19" x14ac:dyDescent="0.25">
      <c r="R2876" s="8" t="str">
        <f t="shared" si="88"/>
        <v/>
      </c>
      <c r="S2876" s="82" t="str">
        <f t="shared" si="89"/>
        <v/>
      </c>
    </row>
    <row r="2877" spans="18:19" x14ac:dyDescent="0.25">
      <c r="R2877" s="8" t="str">
        <f t="shared" si="88"/>
        <v/>
      </c>
      <c r="S2877" s="82" t="str">
        <f t="shared" si="89"/>
        <v/>
      </c>
    </row>
    <row r="2878" spans="18:19" x14ac:dyDescent="0.25">
      <c r="R2878" s="8" t="str">
        <f t="shared" si="88"/>
        <v/>
      </c>
      <c r="S2878" s="82" t="str">
        <f t="shared" si="89"/>
        <v/>
      </c>
    </row>
    <row r="2879" spans="18:19" x14ac:dyDescent="0.25">
      <c r="R2879" s="8" t="str">
        <f t="shared" si="88"/>
        <v/>
      </c>
      <c r="S2879" s="82" t="str">
        <f t="shared" si="89"/>
        <v/>
      </c>
    </row>
    <row r="2880" spans="18:19" x14ac:dyDescent="0.25">
      <c r="R2880" s="8" t="str">
        <f t="shared" si="88"/>
        <v/>
      </c>
      <c r="S2880" s="82" t="str">
        <f t="shared" si="89"/>
        <v/>
      </c>
    </row>
    <row r="2881" spans="18:19" x14ac:dyDescent="0.25">
      <c r="R2881" s="8" t="str">
        <f t="shared" si="88"/>
        <v/>
      </c>
      <c r="S2881" s="82" t="str">
        <f t="shared" si="89"/>
        <v/>
      </c>
    </row>
    <row r="2882" spans="18:19" x14ac:dyDescent="0.25">
      <c r="R2882" s="8" t="str">
        <f t="shared" si="88"/>
        <v/>
      </c>
      <c r="S2882" s="82" t="str">
        <f t="shared" si="89"/>
        <v/>
      </c>
    </row>
    <row r="2883" spans="18:19" x14ac:dyDescent="0.25">
      <c r="R2883" s="8" t="str">
        <f t="shared" si="88"/>
        <v/>
      </c>
      <c r="S2883" s="82" t="str">
        <f t="shared" si="89"/>
        <v/>
      </c>
    </row>
    <row r="2884" spans="18:19" x14ac:dyDescent="0.25">
      <c r="R2884" s="8" t="str">
        <f t="shared" si="88"/>
        <v/>
      </c>
      <c r="S2884" s="82" t="str">
        <f t="shared" si="89"/>
        <v/>
      </c>
    </row>
    <row r="2885" spans="18:19" x14ac:dyDescent="0.25">
      <c r="R2885" s="8" t="str">
        <f t="shared" si="88"/>
        <v/>
      </c>
      <c r="S2885" s="82" t="str">
        <f t="shared" si="89"/>
        <v/>
      </c>
    </row>
    <row r="2886" spans="18:19" x14ac:dyDescent="0.25">
      <c r="R2886" s="8" t="str">
        <f t="shared" si="88"/>
        <v/>
      </c>
      <c r="S2886" s="82" t="str">
        <f t="shared" si="89"/>
        <v/>
      </c>
    </row>
    <row r="2887" spans="18:19" x14ac:dyDescent="0.25">
      <c r="R2887" s="8" t="str">
        <f t="shared" si="88"/>
        <v/>
      </c>
      <c r="S2887" s="82" t="str">
        <f t="shared" si="89"/>
        <v/>
      </c>
    </row>
    <row r="2888" spans="18:19" x14ac:dyDescent="0.25">
      <c r="R2888" s="8" t="str">
        <f t="shared" ref="R2888:R2951" si="90">IF(A2888="",(""),(MONTH(A2888)))</f>
        <v/>
      </c>
      <c r="S2888" s="82" t="str">
        <f t="shared" ref="S2888:S2951" si="91">IF(B2888="",(""),IF(B2888="3 - Nota de Crédito A",-Q2888,IF(B2888="8 - Nota de Crédito B",-Q2888,(Q2888))))</f>
        <v/>
      </c>
    </row>
    <row r="2889" spans="18:19" x14ac:dyDescent="0.25">
      <c r="R2889" s="8" t="str">
        <f t="shared" si="90"/>
        <v/>
      </c>
      <c r="S2889" s="82" t="str">
        <f t="shared" si="91"/>
        <v/>
      </c>
    </row>
    <row r="2890" spans="18:19" x14ac:dyDescent="0.25">
      <c r="R2890" s="8" t="str">
        <f t="shared" si="90"/>
        <v/>
      </c>
      <c r="S2890" s="82" t="str">
        <f t="shared" si="91"/>
        <v/>
      </c>
    </row>
    <row r="2891" spans="18:19" x14ac:dyDescent="0.25">
      <c r="R2891" s="8" t="str">
        <f t="shared" si="90"/>
        <v/>
      </c>
      <c r="S2891" s="82" t="str">
        <f t="shared" si="91"/>
        <v/>
      </c>
    </row>
    <row r="2892" spans="18:19" x14ac:dyDescent="0.25">
      <c r="R2892" s="8" t="str">
        <f t="shared" si="90"/>
        <v/>
      </c>
      <c r="S2892" s="82" t="str">
        <f t="shared" si="91"/>
        <v/>
      </c>
    </row>
    <row r="2893" spans="18:19" x14ac:dyDescent="0.25">
      <c r="R2893" s="8" t="str">
        <f t="shared" si="90"/>
        <v/>
      </c>
      <c r="S2893" s="82" t="str">
        <f t="shared" si="91"/>
        <v/>
      </c>
    </row>
    <row r="2894" spans="18:19" x14ac:dyDescent="0.25">
      <c r="R2894" s="8" t="str">
        <f t="shared" si="90"/>
        <v/>
      </c>
      <c r="S2894" s="82" t="str">
        <f t="shared" si="91"/>
        <v/>
      </c>
    </row>
    <row r="2895" spans="18:19" x14ac:dyDescent="0.25">
      <c r="R2895" s="8" t="str">
        <f t="shared" si="90"/>
        <v/>
      </c>
      <c r="S2895" s="82" t="str">
        <f t="shared" si="91"/>
        <v/>
      </c>
    </row>
    <row r="2896" spans="18:19" x14ac:dyDescent="0.25">
      <c r="R2896" s="8" t="str">
        <f t="shared" si="90"/>
        <v/>
      </c>
      <c r="S2896" s="82" t="str">
        <f t="shared" si="91"/>
        <v/>
      </c>
    </row>
    <row r="2897" spans="18:19" x14ac:dyDescent="0.25">
      <c r="R2897" s="8" t="str">
        <f t="shared" si="90"/>
        <v/>
      </c>
      <c r="S2897" s="82" t="str">
        <f t="shared" si="91"/>
        <v/>
      </c>
    </row>
    <row r="2898" spans="18:19" x14ac:dyDescent="0.25">
      <c r="R2898" s="8" t="str">
        <f t="shared" si="90"/>
        <v/>
      </c>
      <c r="S2898" s="82" t="str">
        <f t="shared" si="91"/>
        <v/>
      </c>
    </row>
    <row r="2899" spans="18:19" x14ac:dyDescent="0.25">
      <c r="R2899" s="8" t="str">
        <f t="shared" si="90"/>
        <v/>
      </c>
      <c r="S2899" s="82" t="str">
        <f t="shared" si="91"/>
        <v/>
      </c>
    </row>
    <row r="2900" spans="18:19" x14ac:dyDescent="0.25">
      <c r="R2900" s="8" t="str">
        <f t="shared" si="90"/>
        <v/>
      </c>
      <c r="S2900" s="82" t="str">
        <f t="shared" si="91"/>
        <v/>
      </c>
    </row>
    <row r="2901" spans="18:19" x14ac:dyDescent="0.25">
      <c r="R2901" s="8" t="str">
        <f t="shared" si="90"/>
        <v/>
      </c>
      <c r="S2901" s="82" t="str">
        <f t="shared" si="91"/>
        <v/>
      </c>
    </row>
    <row r="2902" spans="18:19" x14ac:dyDescent="0.25">
      <c r="R2902" s="8" t="str">
        <f t="shared" si="90"/>
        <v/>
      </c>
      <c r="S2902" s="82" t="str">
        <f t="shared" si="91"/>
        <v/>
      </c>
    </row>
    <row r="2903" spans="18:19" x14ac:dyDescent="0.25">
      <c r="R2903" s="8" t="str">
        <f t="shared" si="90"/>
        <v/>
      </c>
      <c r="S2903" s="82" t="str">
        <f t="shared" si="91"/>
        <v/>
      </c>
    </row>
    <row r="2904" spans="18:19" x14ac:dyDescent="0.25">
      <c r="R2904" s="8" t="str">
        <f t="shared" si="90"/>
        <v/>
      </c>
      <c r="S2904" s="82" t="str">
        <f t="shared" si="91"/>
        <v/>
      </c>
    </row>
    <row r="2905" spans="18:19" x14ac:dyDescent="0.25">
      <c r="R2905" s="8" t="str">
        <f t="shared" si="90"/>
        <v/>
      </c>
      <c r="S2905" s="82" t="str">
        <f t="shared" si="91"/>
        <v/>
      </c>
    </row>
    <row r="2906" spans="18:19" x14ac:dyDescent="0.25">
      <c r="R2906" s="8" t="str">
        <f t="shared" si="90"/>
        <v/>
      </c>
      <c r="S2906" s="82" t="str">
        <f t="shared" si="91"/>
        <v/>
      </c>
    </row>
    <row r="2907" spans="18:19" x14ac:dyDescent="0.25">
      <c r="R2907" s="8" t="str">
        <f t="shared" si="90"/>
        <v/>
      </c>
      <c r="S2907" s="82" t="str">
        <f t="shared" si="91"/>
        <v/>
      </c>
    </row>
    <row r="2908" spans="18:19" x14ac:dyDescent="0.25">
      <c r="R2908" s="8" t="str">
        <f t="shared" si="90"/>
        <v/>
      </c>
      <c r="S2908" s="82" t="str">
        <f t="shared" si="91"/>
        <v/>
      </c>
    </row>
    <row r="2909" spans="18:19" x14ac:dyDescent="0.25">
      <c r="R2909" s="8" t="str">
        <f t="shared" si="90"/>
        <v/>
      </c>
      <c r="S2909" s="82" t="str">
        <f t="shared" si="91"/>
        <v/>
      </c>
    </row>
    <row r="2910" spans="18:19" x14ac:dyDescent="0.25">
      <c r="R2910" s="8" t="str">
        <f t="shared" si="90"/>
        <v/>
      </c>
      <c r="S2910" s="82" t="str">
        <f t="shared" si="91"/>
        <v/>
      </c>
    </row>
    <row r="2911" spans="18:19" x14ac:dyDescent="0.25">
      <c r="R2911" s="8" t="str">
        <f t="shared" si="90"/>
        <v/>
      </c>
      <c r="S2911" s="82" t="str">
        <f t="shared" si="91"/>
        <v/>
      </c>
    </row>
    <row r="2912" spans="18:19" x14ac:dyDescent="0.25">
      <c r="R2912" s="8" t="str">
        <f t="shared" si="90"/>
        <v/>
      </c>
      <c r="S2912" s="82" t="str">
        <f t="shared" si="91"/>
        <v/>
      </c>
    </row>
    <row r="2913" spans="18:19" x14ac:dyDescent="0.25">
      <c r="R2913" s="8" t="str">
        <f t="shared" si="90"/>
        <v/>
      </c>
      <c r="S2913" s="82" t="str">
        <f t="shared" si="91"/>
        <v/>
      </c>
    </row>
    <row r="2914" spans="18:19" x14ac:dyDescent="0.25">
      <c r="R2914" s="8" t="str">
        <f t="shared" si="90"/>
        <v/>
      </c>
      <c r="S2914" s="82" t="str">
        <f t="shared" si="91"/>
        <v/>
      </c>
    </row>
    <row r="2915" spans="18:19" x14ac:dyDescent="0.25">
      <c r="R2915" s="8" t="str">
        <f t="shared" si="90"/>
        <v/>
      </c>
      <c r="S2915" s="82" t="str">
        <f t="shared" si="91"/>
        <v/>
      </c>
    </row>
    <row r="2916" spans="18:19" x14ac:dyDescent="0.25">
      <c r="R2916" s="8" t="str">
        <f t="shared" si="90"/>
        <v/>
      </c>
      <c r="S2916" s="82" t="str">
        <f t="shared" si="91"/>
        <v/>
      </c>
    </row>
    <row r="2917" spans="18:19" x14ac:dyDescent="0.25">
      <c r="R2917" s="8" t="str">
        <f t="shared" si="90"/>
        <v/>
      </c>
      <c r="S2917" s="82" t="str">
        <f t="shared" si="91"/>
        <v/>
      </c>
    </row>
    <row r="2918" spans="18:19" x14ac:dyDescent="0.25">
      <c r="R2918" s="8" t="str">
        <f t="shared" si="90"/>
        <v/>
      </c>
      <c r="S2918" s="82" t="str">
        <f t="shared" si="91"/>
        <v/>
      </c>
    </row>
    <row r="2919" spans="18:19" x14ac:dyDescent="0.25">
      <c r="R2919" s="8" t="str">
        <f t="shared" si="90"/>
        <v/>
      </c>
      <c r="S2919" s="82" t="str">
        <f t="shared" si="91"/>
        <v/>
      </c>
    </row>
    <row r="2920" spans="18:19" x14ac:dyDescent="0.25">
      <c r="R2920" s="8" t="str">
        <f t="shared" si="90"/>
        <v/>
      </c>
      <c r="S2920" s="82" t="str">
        <f t="shared" si="91"/>
        <v/>
      </c>
    </row>
    <row r="2921" spans="18:19" x14ac:dyDescent="0.25">
      <c r="R2921" s="8" t="str">
        <f t="shared" si="90"/>
        <v/>
      </c>
      <c r="S2921" s="82" t="str">
        <f t="shared" si="91"/>
        <v/>
      </c>
    </row>
    <row r="2922" spans="18:19" x14ac:dyDescent="0.25">
      <c r="R2922" s="8" t="str">
        <f t="shared" si="90"/>
        <v/>
      </c>
      <c r="S2922" s="82" t="str">
        <f t="shared" si="91"/>
        <v/>
      </c>
    </row>
    <row r="2923" spans="18:19" x14ac:dyDescent="0.25">
      <c r="R2923" s="8" t="str">
        <f t="shared" si="90"/>
        <v/>
      </c>
      <c r="S2923" s="82" t="str">
        <f t="shared" si="91"/>
        <v/>
      </c>
    </row>
    <row r="2924" spans="18:19" x14ac:dyDescent="0.25">
      <c r="R2924" s="8" t="str">
        <f t="shared" si="90"/>
        <v/>
      </c>
      <c r="S2924" s="82" t="str">
        <f t="shared" si="91"/>
        <v/>
      </c>
    </row>
    <row r="2925" spans="18:19" x14ac:dyDescent="0.25">
      <c r="R2925" s="8" t="str">
        <f t="shared" si="90"/>
        <v/>
      </c>
      <c r="S2925" s="82" t="str">
        <f t="shared" si="91"/>
        <v/>
      </c>
    </row>
    <row r="2926" spans="18:19" x14ac:dyDescent="0.25">
      <c r="R2926" s="8" t="str">
        <f t="shared" si="90"/>
        <v/>
      </c>
      <c r="S2926" s="82" t="str">
        <f t="shared" si="91"/>
        <v/>
      </c>
    </row>
    <row r="2927" spans="18:19" x14ac:dyDescent="0.25">
      <c r="R2927" s="8" t="str">
        <f t="shared" si="90"/>
        <v/>
      </c>
      <c r="S2927" s="82" t="str">
        <f t="shared" si="91"/>
        <v/>
      </c>
    </row>
    <row r="2928" spans="18:19" x14ac:dyDescent="0.25">
      <c r="R2928" s="8" t="str">
        <f t="shared" si="90"/>
        <v/>
      </c>
      <c r="S2928" s="82" t="str">
        <f t="shared" si="91"/>
        <v/>
      </c>
    </row>
    <row r="2929" spans="18:19" x14ac:dyDescent="0.25">
      <c r="R2929" s="8" t="str">
        <f t="shared" si="90"/>
        <v/>
      </c>
      <c r="S2929" s="82" t="str">
        <f t="shared" si="91"/>
        <v/>
      </c>
    </row>
    <row r="2930" spans="18:19" x14ac:dyDescent="0.25">
      <c r="R2930" s="8" t="str">
        <f t="shared" si="90"/>
        <v/>
      </c>
      <c r="S2930" s="82" t="str">
        <f t="shared" si="91"/>
        <v/>
      </c>
    </row>
    <row r="2931" spans="18:19" x14ac:dyDescent="0.25">
      <c r="R2931" s="8" t="str">
        <f t="shared" si="90"/>
        <v/>
      </c>
      <c r="S2931" s="82" t="str">
        <f t="shared" si="91"/>
        <v/>
      </c>
    </row>
    <row r="2932" spans="18:19" x14ac:dyDescent="0.25">
      <c r="R2932" s="8" t="str">
        <f t="shared" si="90"/>
        <v/>
      </c>
      <c r="S2932" s="82" t="str">
        <f t="shared" si="91"/>
        <v/>
      </c>
    </row>
    <row r="2933" spans="18:19" x14ac:dyDescent="0.25">
      <c r="R2933" s="8" t="str">
        <f t="shared" si="90"/>
        <v/>
      </c>
      <c r="S2933" s="82" t="str">
        <f t="shared" si="91"/>
        <v/>
      </c>
    </row>
    <row r="2934" spans="18:19" x14ac:dyDescent="0.25">
      <c r="R2934" s="8" t="str">
        <f t="shared" si="90"/>
        <v/>
      </c>
      <c r="S2934" s="82" t="str">
        <f t="shared" si="91"/>
        <v/>
      </c>
    </row>
    <row r="2935" spans="18:19" x14ac:dyDescent="0.25">
      <c r="R2935" s="8" t="str">
        <f t="shared" si="90"/>
        <v/>
      </c>
      <c r="S2935" s="82" t="str">
        <f t="shared" si="91"/>
        <v/>
      </c>
    </row>
    <row r="2936" spans="18:19" x14ac:dyDescent="0.25">
      <c r="R2936" s="8" t="str">
        <f t="shared" si="90"/>
        <v/>
      </c>
      <c r="S2936" s="82" t="str">
        <f t="shared" si="91"/>
        <v/>
      </c>
    </row>
    <row r="2937" spans="18:19" x14ac:dyDescent="0.25">
      <c r="R2937" s="8" t="str">
        <f t="shared" si="90"/>
        <v/>
      </c>
      <c r="S2937" s="82" t="str">
        <f t="shared" si="91"/>
        <v/>
      </c>
    </row>
    <row r="2938" spans="18:19" x14ac:dyDescent="0.25">
      <c r="R2938" s="8" t="str">
        <f t="shared" si="90"/>
        <v/>
      </c>
      <c r="S2938" s="82" t="str">
        <f t="shared" si="91"/>
        <v/>
      </c>
    </row>
    <row r="2939" spans="18:19" x14ac:dyDescent="0.25">
      <c r="R2939" s="8" t="str">
        <f t="shared" si="90"/>
        <v/>
      </c>
      <c r="S2939" s="82" t="str">
        <f t="shared" si="91"/>
        <v/>
      </c>
    </row>
    <row r="2940" spans="18:19" x14ac:dyDescent="0.25">
      <c r="R2940" s="8" t="str">
        <f t="shared" si="90"/>
        <v/>
      </c>
      <c r="S2940" s="82" t="str">
        <f t="shared" si="91"/>
        <v/>
      </c>
    </row>
    <row r="2941" spans="18:19" x14ac:dyDescent="0.25">
      <c r="R2941" s="8" t="str">
        <f t="shared" si="90"/>
        <v/>
      </c>
      <c r="S2941" s="82" t="str">
        <f t="shared" si="91"/>
        <v/>
      </c>
    </row>
    <row r="2942" spans="18:19" x14ac:dyDescent="0.25">
      <c r="R2942" s="8" t="str">
        <f t="shared" si="90"/>
        <v/>
      </c>
      <c r="S2942" s="82" t="str">
        <f t="shared" si="91"/>
        <v/>
      </c>
    </row>
    <row r="2943" spans="18:19" x14ac:dyDescent="0.25">
      <c r="R2943" s="8" t="str">
        <f t="shared" si="90"/>
        <v/>
      </c>
      <c r="S2943" s="82" t="str">
        <f t="shared" si="91"/>
        <v/>
      </c>
    </row>
    <row r="2944" spans="18:19" x14ac:dyDescent="0.25">
      <c r="R2944" s="8" t="str">
        <f t="shared" si="90"/>
        <v/>
      </c>
      <c r="S2944" s="82" t="str">
        <f t="shared" si="91"/>
        <v/>
      </c>
    </row>
    <row r="2945" spans="18:19" x14ac:dyDescent="0.25">
      <c r="R2945" s="8" t="str">
        <f t="shared" si="90"/>
        <v/>
      </c>
      <c r="S2945" s="82" t="str">
        <f t="shared" si="91"/>
        <v/>
      </c>
    </row>
    <row r="2946" spans="18:19" x14ac:dyDescent="0.25">
      <c r="R2946" s="8" t="str">
        <f t="shared" si="90"/>
        <v/>
      </c>
      <c r="S2946" s="82" t="str">
        <f t="shared" si="91"/>
        <v/>
      </c>
    </row>
    <row r="2947" spans="18:19" x14ac:dyDescent="0.25">
      <c r="R2947" s="8" t="str">
        <f t="shared" si="90"/>
        <v/>
      </c>
      <c r="S2947" s="82" t="str">
        <f t="shared" si="91"/>
        <v/>
      </c>
    </row>
    <row r="2948" spans="18:19" x14ac:dyDescent="0.25">
      <c r="R2948" s="8" t="str">
        <f t="shared" si="90"/>
        <v/>
      </c>
      <c r="S2948" s="82" t="str">
        <f t="shared" si="91"/>
        <v/>
      </c>
    </row>
    <row r="2949" spans="18:19" x14ac:dyDescent="0.25">
      <c r="R2949" s="8" t="str">
        <f t="shared" si="90"/>
        <v/>
      </c>
      <c r="S2949" s="82" t="str">
        <f t="shared" si="91"/>
        <v/>
      </c>
    </row>
    <row r="2950" spans="18:19" x14ac:dyDescent="0.25">
      <c r="R2950" s="8" t="str">
        <f t="shared" si="90"/>
        <v/>
      </c>
      <c r="S2950" s="82" t="str">
        <f t="shared" si="91"/>
        <v/>
      </c>
    </row>
    <row r="2951" spans="18:19" x14ac:dyDescent="0.25">
      <c r="R2951" s="8" t="str">
        <f t="shared" si="90"/>
        <v/>
      </c>
      <c r="S2951" s="82" t="str">
        <f t="shared" si="91"/>
        <v/>
      </c>
    </row>
    <row r="2952" spans="18:19" x14ac:dyDescent="0.25">
      <c r="R2952" s="8" t="str">
        <f t="shared" ref="R2952:R3015" si="92">IF(A2952="",(""),(MONTH(A2952)))</f>
        <v/>
      </c>
      <c r="S2952" s="82" t="str">
        <f t="shared" ref="S2952:S3015" si="93">IF(B2952="",(""),IF(B2952="3 - Nota de Crédito A",-Q2952,IF(B2952="8 - Nota de Crédito B",-Q2952,(Q2952))))</f>
        <v/>
      </c>
    </row>
    <row r="2953" spans="18:19" x14ac:dyDescent="0.25">
      <c r="R2953" s="8" t="str">
        <f t="shared" si="92"/>
        <v/>
      </c>
      <c r="S2953" s="82" t="str">
        <f t="shared" si="93"/>
        <v/>
      </c>
    </row>
    <row r="2954" spans="18:19" x14ac:dyDescent="0.25">
      <c r="R2954" s="8" t="str">
        <f t="shared" si="92"/>
        <v/>
      </c>
      <c r="S2954" s="82" t="str">
        <f t="shared" si="93"/>
        <v/>
      </c>
    </row>
    <row r="2955" spans="18:19" x14ac:dyDescent="0.25">
      <c r="R2955" s="8" t="str">
        <f t="shared" si="92"/>
        <v/>
      </c>
      <c r="S2955" s="82" t="str">
        <f t="shared" si="93"/>
        <v/>
      </c>
    </row>
    <row r="2956" spans="18:19" x14ac:dyDescent="0.25">
      <c r="R2956" s="8" t="str">
        <f t="shared" si="92"/>
        <v/>
      </c>
      <c r="S2956" s="82" t="str">
        <f t="shared" si="93"/>
        <v/>
      </c>
    </row>
    <row r="2957" spans="18:19" x14ac:dyDescent="0.25">
      <c r="R2957" s="8" t="str">
        <f t="shared" si="92"/>
        <v/>
      </c>
      <c r="S2957" s="82" t="str">
        <f t="shared" si="93"/>
        <v/>
      </c>
    </row>
    <row r="2958" spans="18:19" x14ac:dyDescent="0.25">
      <c r="R2958" s="8" t="str">
        <f t="shared" si="92"/>
        <v/>
      </c>
      <c r="S2958" s="82" t="str">
        <f t="shared" si="93"/>
        <v/>
      </c>
    </row>
    <row r="2959" spans="18:19" x14ac:dyDescent="0.25">
      <c r="R2959" s="8" t="str">
        <f t="shared" si="92"/>
        <v/>
      </c>
      <c r="S2959" s="82" t="str">
        <f t="shared" si="93"/>
        <v/>
      </c>
    </row>
    <row r="2960" spans="18:19" x14ac:dyDescent="0.25">
      <c r="R2960" s="8" t="str">
        <f t="shared" si="92"/>
        <v/>
      </c>
      <c r="S2960" s="82" t="str">
        <f t="shared" si="93"/>
        <v/>
      </c>
    </row>
    <row r="2961" spans="18:19" x14ac:dyDescent="0.25">
      <c r="R2961" s="8" t="str">
        <f t="shared" si="92"/>
        <v/>
      </c>
      <c r="S2961" s="82" t="str">
        <f t="shared" si="93"/>
        <v/>
      </c>
    </row>
    <row r="2962" spans="18:19" x14ac:dyDescent="0.25">
      <c r="R2962" s="8" t="str">
        <f t="shared" si="92"/>
        <v/>
      </c>
      <c r="S2962" s="82" t="str">
        <f t="shared" si="93"/>
        <v/>
      </c>
    </row>
    <row r="2963" spans="18:19" x14ac:dyDescent="0.25">
      <c r="R2963" s="8" t="str">
        <f t="shared" si="92"/>
        <v/>
      </c>
      <c r="S2963" s="82" t="str">
        <f t="shared" si="93"/>
        <v/>
      </c>
    </row>
    <row r="2964" spans="18:19" x14ac:dyDescent="0.25">
      <c r="R2964" s="8" t="str">
        <f t="shared" si="92"/>
        <v/>
      </c>
      <c r="S2964" s="82" t="str">
        <f t="shared" si="93"/>
        <v/>
      </c>
    </row>
    <row r="2965" spans="18:19" x14ac:dyDescent="0.25">
      <c r="R2965" s="8" t="str">
        <f t="shared" si="92"/>
        <v/>
      </c>
      <c r="S2965" s="82" t="str">
        <f t="shared" si="93"/>
        <v/>
      </c>
    </row>
    <row r="2966" spans="18:19" x14ac:dyDescent="0.25">
      <c r="R2966" s="8" t="str">
        <f t="shared" si="92"/>
        <v/>
      </c>
      <c r="S2966" s="82" t="str">
        <f t="shared" si="93"/>
        <v/>
      </c>
    </row>
    <row r="2967" spans="18:19" x14ac:dyDescent="0.25">
      <c r="R2967" s="8" t="str">
        <f t="shared" si="92"/>
        <v/>
      </c>
      <c r="S2967" s="82" t="str">
        <f t="shared" si="93"/>
        <v/>
      </c>
    </row>
    <row r="2968" spans="18:19" x14ac:dyDescent="0.25">
      <c r="R2968" s="8" t="str">
        <f t="shared" si="92"/>
        <v/>
      </c>
      <c r="S2968" s="82" t="str">
        <f t="shared" si="93"/>
        <v/>
      </c>
    </row>
    <row r="2969" spans="18:19" x14ac:dyDescent="0.25">
      <c r="R2969" s="8" t="str">
        <f t="shared" si="92"/>
        <v/>
      </c>
      <c r="S2969" s="82" t="str">
        <f t="shared" si="93"/>
        <v/>
      </c>
    </row>
    <row r="2970" spans="18:19" x14ac:dyDescent="0.25">
      <c r="R2970" s="8" t="str">
        <f t="shared" si="92"/>
        <v/>
      </c>
      <c r="S2970" s="82" t="str">
        <f t="shared" si="93"/>
        <v/>
      </c>
    </row>
    <row r="2971" spans="18:19" x14ac:dyDescent="0.25">
      <c r="R2971" s="8" t="str">
        <f t="shared" si="92"/>
        <v/>
      </c>
      <c r="S2971" s="82" t="str">
        <f t="shared" si="93"/>
        <v/>
      </c>
    </row>
    <row r="2972" spans="18:19" x14ac:dyDescent="0.25">
      <c r="R2972" s="8" t="str">
        <f t="shared" si="92"/>
        <v/>
      </c>
      <c r="S2972" s="82" t="str">
        <f t="shared" si="93"/>
        <v/>
      </c>
    </row>
    <row r="2973" spans="18:19" x14ac:dyDescent="0.25">
      <c r="R2973" s="8" t="str">
        <f t="shared" si="92"/>
        <v/>
      </c>
      <c r="S2973" s="82" t="str">
        <f t="shared" si="93"/>
        <v/>
      </c>
    </row>
    <row r="2974" spans="18:19" x14ac:dyDescent="0.25">
      <c r="R2974" s="8" t="str">
        <f t="shared" si="92"/>
        <v/>
      </c>
      <c r="S2974" s="82" t="str">
        <f t="shared" si="93"/>
        <v/>
      </c>
    </row>
    <row r="2975" spans="18:19" x14ac:dyDescent="0.25">
      <c r="R2975" s="8" t="str">
        <f t="shared" si="92"/>
        <v/>
      </c>
      <c r="S2975" s="82" t="str">
        <f t="shared" si="93"/>
        <v/>
      </c>
    </row>
    <row r="2976" spans="18:19" x14ac:dyDescent="0.25">
      <c r="R2976" s="8" t="str">
        <f t="shared" si="92"/>
        <v/>
      </c>
      <c r="S2976" s="82" t="str">
        <f t="shared" si="93"/>
        <v/>
      </c>
    </row>
    <row r="2977" spans="18:19" x14ac:dyDescent="0.25">
      <c r="R2977" s="8" t="str">
        <f t="shared" si="92"/>
        <v/>
      </c>
      <c r="S2977" s="82" t="str">
        <f t="shared" si="93"/>
        <v/>
      </c>
    </row>
    <row r="2978" spans="18:19" x14ac:dyDescent="0.25">
      <c r="R2978" s="8" t="str">
        <f t="shared" si="92"/>
        <v/>
      </c>
      <c r="S2978" s="82" t="str">
        <f t="shared" si="93"/>
        <v/>
      </c>
    </row>
    <row r="2979" spans="18:19" x14ac:dyDescent="0.25">
      <c r="R2979" s="8" t="str">
        <f t="shared" si="92"/>
        <v/>
      </c>
      <c r="S2979" s="82" t="str">
        <f t="shared" si="93"/>
        <v/>
      </c>
    </row>
    <row r="2980" spans="18:19" x14ac:dyDescent="0.25">
      <c r="R2980" s="8" t="str">
        <f t="shared" si="92"/>
        <v/>
      </c>
      <c r="S2980" s="82" t="str">
        <f t="shared" si="93"/>
        <v/>
      </c>
    </row>
    <row r="2981" spans="18:19" x14ac:dyDescent="0.25">
      <c r="R2981" s="8" t="str">
        <f t="shared" si="92"/>
        <v/>
      </c>
      <c r="S2981" s="82" t="str">
        <f t="shared" si="93"/>
        <v/>
      </c>
    </row>
    <row r="2982" spans="18:19" x14ac:dyDescent="0.25">
      <c r="R2982" s="8" t="str">
        <f t="shared" si="92"/>
        <v/>
      </c>
      <c r="S2982" s="82" t="str">
        <f t="shared" si="93"/>
        <v/>
      </c>
    </row>
    <row r="2983" spans="18:19" x14ac:dyDescent="0.25">
      <c r="R2983" s="8" t="str">
        <f t="shared" si="92"/>
        <v/>
      </c>
      <c r="S2983" s="82" t="str">
        <f t="shared" si="93"/>
        <v/>
      </c>
    </row>
    <row r="2984" spans="18:19" x14ac:dyDescent="0.25">
      <c r="R2984" s="8" t="str">
        <f t="shared" si="92"/>
        <v/>
      </c>
      <c r="S2984" s="82" t="str">
        <f t="shared" si="93"/>
        <v/>
      </c>
    </row>
    <row r="2985" spans="18:19" x14ac:dyDescent="0.25">
      <c r="R2985" s="8" t="str">
        <f t="shared" si="92"/>
        <v/>
      </c>
      <c r="S2985" s="82" t="str">
        <f t="shared" si="93"/>
        <v/>
      </c>
    </row>
    <row r="2986" spans="18:19" x14ac:dyDescent="0.25">
      <c r="R2986" s="8" t="str">
        <f t="shared" si="92"/>
        <v/>
      </c>
      <c r="S2986" s="82" t="str">
        <f t="shared" si="93"/>
        <v/>
      </c>
    </row>
    <row r="2987" spans="18:19" x14ac:dyDescent="0.25">
      <c r="R2987" s="8" t="str">
        <f t="shared" si="92"/>
        <v/>
      </c>
      <c r="S2987" s="82" t="str">
        <f t="shared" si="93"/>
        <v/>
      </c>
    </row>
    <row r="2988" spans="18:19" x14ac:dyDescent="0.25">
      <c r="R2988" s="8" t="str">
        <f t="shared" si="92"/>
        <v/>
      </c>
      <c r="S2988" s="82" t="str">
        <f t="shared" si="93"/>
        <v/>
      </c>
    </row>
    <row r="2989" spans="18:19" x14ac:dyDescent="0.25">
      <c r="R2989" s="8" t="str">
        <f t="shared" si="92"/>
        <v/>
      </c>
      <c r="S2989" s="82" t="str">
        <f t="shared" si="93"/>
        <v/>
      </c>
    </row>
    <row r="2990" spans="18:19" x14ac:dyDescent="0.25">
      <c r="R2990" s="8" t="str">
        <f t="shared" si="92"/>
        <v/>
      </c>
      <c r="S2990" s="82" t="str">
        <f t="shared" si="93"/>
        <v/>
      </c>
    </row>
    <row r="2991" spans="18:19" x14ac:dyDescent="0.25">
      <c r="R2991" s="8" t="str">
        <f t="shared" si="92"/>
        <v/>
      </c>
      <c r="S2991" s="82" t="str">
        <f t="shared" si="93"/>
        <v/>
      </c>
    </row>
    <row r="2992" spans="18:19" x14ac:dyDescent="0.25">
      <c r="R2992" s="8" t="str">
        <f t="shared" si="92"/>
        <v/>
      </c>
      <c r="S2992" s="82" t="str">
        <f t="shared" si="93"/>
        <v/>
      </c>
    </row>
    <row r="2993" spans="18:19" x14ac:dyDescent="0.25">
      <c r="R2993" s="8" t="str">
        <f t="shared" si="92"/>
        <v/>
      </c>
      <c r="S2993" s="82" t="str">
        <f t="shared" si="93"/>
        <v/>
      </c>
    </row>
    <row r="2994" spans="18:19" x14ac:dyDescent="0.25">
      <c r="R2994" s="8" t="str">
        <f t="shared" si="92"/>
        <v/>
      </c>
      <c r="S2994" s="82" t="str">
        <f t="shared" si="93"/>
        <v/>
      </c>
    </row>
    <row r="2995" spans="18:19" x14ac:dyDescent="0.25">
      <c r="R2995" s="8" t="str">
        <f t="shared" si="92"/>
        <v/>
      </c>
      <c r="S2995" s="82" t="str">
        <f t="shared" si="93"/>
        <v/>
      </c>
    </row>
    <row r="2996" spans="18:19" x14ac:dyDescent="0.25">
      <c r="R2996" s="8" t="str">
        <f t="shared" si="92"/>
        <v/>
      </c>
      <c r="S2996" s="82" t="str">
        <f t="shared" si="93"/>
        <v/>
      </c>
    </row>
    <row r="2997" spans="18:19" x14ac:dyDescent="0.25">
      <c r="R2997" s="8" t="str">
        <f t="shared" si="92"/>
        <v/>
      </c>
      <c r="S2997" s="82" t="str">
        <f t="shared" si="93"/>
        <v/>
      </c>
    </row>
    <row r="2998" spans="18:19" x14ac:dyDescent="0.25">
      <c r="R2998" s="8" t="str">
        <f t="shared" si="92"/>
        <v/>
      </c>
      <c r="S2998" s="82" t="str">
        <f t="shared" si="93"/>
        <v/>
      </c>
    </row>
    <row r="2999" spans="18:19" x14ac:dyDescent="0.25">
      <c r="R2999" s="8" t="str">
        <f t="shared" si="92"/>
        <v/>
      </c>
      <c r="S2999" s="82" t="str">
        <f t="shared" si="93"/>
        <v/>
      </c>
    </row>
    <row r="3000" spans="18:19" x14ac:dyDescent="0.25">
      <c r="R3000" s="8" t="str">
        <f t="shared" si="92"/>
        <v/>
      </c>
      <c r="S3000" s="82" t="str">
        <f t="shared" si="93"/>
        <v/>
      </c>
    </row>
    <row r="3001" spans="18:19" x14ac:dyDescent="0.25">
      <c r="R3001" s="8" t="str">
        <f t="shared" si="92"/>
        <v/>
      </c>
      <c r="S3001" s="82" t="str">
        <f t="shared" si="93"/>
        <v/>
      </c>
    </row>
    <row r="3002" spans="18:19" x14ac:dyDescent="0.25">
      <c r="R3002" s="8" t="str">
        <f t="shared" si="92"/>
        <v/>
      </c>
      <c r="S3002" s="82" t="str">
        <f t="shared" si="93"/>
        <v/>
      </c>
    </row>
    <row r="3003" spans="18:19" x14ac:dyDescent="0.25">
      <c r="R3003" s="8" t="str">
        <f t="shared" si="92"/>
        <v/>
      </c>
      <c r="S3003" s="82" t="str">
        <f t="shared" si="93"/>
        <v/>
      </c>
    </row>
    <row r="3004" spans="18:19" x14ac:dyDescent="0.25">
      <c r="R3004" s="8" t="str">
        <f t="shared" si="92"/>
        <v/>
      </c>
      <c r="S3004" s="82" t="str">
        <f t="shared" si="93"/>
        <v/>
      </c>
    </row>
    <row r="3005" spans="18:19" x14ac:dyDescent="0.25">
      <c r="R3005" s="8" t="str">
        <f t="shared" si="92"/>
        <v/>
      </c>
      <c r="S3005" s="82" t="str">
        <f t="shared" si="93"/>
        <v/>
      </c>
    </row>
    <row r="3006" spans="18:19" x14ac:dyDescent="0.25">
      <c r="R3006" s="8" t="str">
        <f t="shared" si="92"/>
        <v/>
      </c>
      <c r="S3006" s="82" t="str">
        <f t="shared" si="93"/>
        <v/>
      </c>
    </row>
    <row r="3007" spans="18:19" x14ac:dyDescent="0.25">
      <c r="R3007" s="8" t="str">
        <f t="shared" si="92"/>
        <v/>
      </c>
      <c r="S3007" s="82" t="str">
        <f t="shared" si="93"/>
        <v/>
      </c>
    </row>
    <row r="3008" spans="18:19" x14ac:dyDescent="0.25">
      <c r="R3008" s="8" t="str">
        <f t="shared" si="92"/>
        <v/>
      </c>
      <c r="S3008" s="82" t="str">
        <f t="shared" si="93"/>
        <v/>
      </c>
    </row>
    <row r="3009" spans="18:19" x14ac:dyDescent="0.25">
      <c r="R3009" s="8" t="str">
        <f t="shared" si="92"/>
        <v/>
      </c>
      <c r="S3009" s="82" t="str">
        <f t="shared" si="93"/>
        <v/>
      </c>
    </row>
    <row r="3010" spans="18:19" x14ac:dyDescent="0.25">
      <c r="R3010" s="8" t="str">
        <f t="shared" si="92"/>
        <v/>
      </c>
      <c r="S3010" s="82" t="str">
        <f t="shared" si="93"/>
        <v/>
      </c>
    </row>
    <row r="3011" spans="18:19" x14ac:dyDescent="0.25">
      <c r="R3011" s="8" t="str">
        <f t="shared" si="92"/>
        <v/>
      </c>
      <c r="S3011" s="82" t="str">
        <f t="shared" si="93"/>
        <v/>
      </c>
    </row>
    <row r="3012" spans="18:19" x14ac:dyDescent="0.25">
      <c r="R3012" s="8" t="str">
        <f t="shared" si="92"/>
        <v/>
      </c>
      <c r="S3012" s="82" t="str">
        <f t="shared" si="93"/>
        <v/>
      </c>
    </row>
    <row r="3013" spans="18:19" x14ac:dyDescent="0.25">
      <c r="R3013" s="8" t="str">
        <f t="shared" si="92"/>
        <v/>
      </c>
      <c r="S3013" s="82" t="str">
        <f t="shared" si="93"/>
        <v/>
      </c>
    </row>
    <row r="3014" spans="18:19" x14ac:dyDescent="0.25">
      <c r="R3014" s="8" t="str">
        <f t="shared" si="92"/>
        <v/>
      </c>
      <c r="S3014" s="82" t="str">
        <f t="shared" si="93"/>
        <v/>
      </c>
    </row>
    <row r="3015" spans="18:19" x14ac:dyDescent="0.25">
      <c r="R3015" s="8" t="str">
        <f t="shared" si="92"/>
        <v/>
      </c>
      <c r="S3015" s="82" t="str">
        <f t="shared" si="93"/>
        <v/>
      </c>
    </row>
    <row r="3016" spans="18:19" x14ac:dyDescent="0.25">
      <c r="R3016" s="8" t="str">
        <f t="shared" ref="R3016:R3079" si="94">IF(A3016="",(""),(MONTH(A3016)))</f>
        <v/>
      </c>
      <c r="S3016" s="82" t="str">
        <f t="shared" ref="S3016:S3079" si="95">IF(B3016="",(""),IF(B3016="3 - Nota de Crédito A",-Q3016,IF(B3016="8 - Nota de Crédito B",-Q3016,(Q3016))))</f>
        <v/>
      </c>
    </row>
    <row r="3017" spans="18:19" x14ac:dyDescent="0.25">
      <c r="R3017" s="8" t="str">
        <f t="shared" si="94"/>
        <v/>
      </c>
      <c r="S3017" s="82" t="str">
        <f t="shared" si="95"/>
        <v/>
      </c>
    </row>
    <row r="3018" spans="18:19" x14ac:dyDescent="0.25">
      <c r="R3018" s="8" t="str">
        <f t="shared" si="94"/>
        <v/>
      </c>
      <c r="S3018" s="82" t="str">
        <f t="shared" si="95"/>
        <v/>
      </c>
    </row>
    <row r="3019" spans="18:19" x14ac:dyDescent="0.25">
      <c r="R3019" s="8" t="str">
        <f t="shared" si="94"/>
        <v/>
      </c>
      <c r="S3019" s="82" t="str">
        <f t="shared" si="95"/>
        <v/>
      </c>
    </row>
    <row r="3020" spans="18:19" x14ac:dyDescent="0.25">
      <c r="R3020" s="8" t="str">
        <f t="shared" si="94"/>
        <v/>
      </c>
      <c r="S3020" s="82" t="str">
        <f t="shared" si="95"/>
        <v/>
      </c>
    </row>
    <row r="3021" spans="18:19" x14ac:dyDescent="0.25">
      <c r="R3021" s="8" t="str">
        <f t="shared" si="94"/>
        <v/>
      </c>
      <c r="S3021" s="82" t="str">
        <f t="shared" si="95"/>
        <v/>
      </c>
    </row>
    <row r="3022" spans="18:19" x14ac:dyDescent="0.25">
      <c r="R3022" s="8" t="str">
        <f t="shared" si="94"/>
        <v/>
      </c>
      <c r="S3022" s="82" t="str">
        <f t="shared" si="95"/>
        <v/>
      </c>
    </row>
    <row r="3023" spans="18:19" x14ac:dyDescent="0.25">
      <c r="R3023" s="8" t="str">
        <f t="shared" si="94"/>
        <v/>
      </c>
      <c r="S3023" s="82" t="str">
        <f t="shared" si="95"/>
        <v/>
      </c>
    </row>
    <row r="3024" spans="18:19" x14ac:dyDescent="0.25">
      <c r="R3024" s="8" t="str">
        <f t="shared" si="94"/>
        <v/>
      </c>
      <c r="S3024" s="82" t="str">
        <f t="shared" si="95"/>
        <v/>
      </c>
    </row>
    <row r="3025" spans="18:19" x14ac:dyDescent="0.25">
      <c r="R3025" s="8" t="str">
        <f t="shared" si="94"/>
        <v/>
      </c>
      <c r="S3025" s="82" t="str">
        <f t="shared" si="95"/>
        <v/>
      </c>
    </row>
    <row r="3026" spans="18:19" x14ac:dyDescent="0.25">
      <c r="R3026" s="8" t="str">
        <f t="shared" si="94"/>
        <v/>
      </c>
      <c r="S3026" s="82" t="str">
        <f t="shared" si="95"/>
        <v/>
      </c>
    </row>
    <row r="3027" spans="18:19" x14ac:dyDescent="0.25">
      <c r="R3027" s="8" t="str">
        <f t="shared" si="94"/>
        <v/>
      </c>
      <c r="S3027" s="82" t="str">
        <f t="shared" si="95"/>
        <v/>
      </c>
    </row>
    <row r="3028" spans="18:19" x14ac:dyDescent="0.25">
      <c r="R3028" s="8" t="str">
        <f t="shared" si="94"/>
        <v/>
      </c>
      <c r="S3028" s="82" t="str">
        <f t="shared" si="95"/>
        <v/>
      </c>
    </row>
    <row r="3029" spans="18:19" x14ac:dyDescent="0.25">
      <c r="R3029" s="8" t="str">
        <f t="shared" si="94"/>
        <v/>
      </c>
      <c r="S3029" s="82" t="str">
        <f t="shared" si="95"/>
        <v/>
      </c>
    </row>
    <row r="3030" spans="18:19" x14ac:dyDescent="0.25">
      <c r="R3030" s="8" t="str">
        <f t="shared" si="94"/>
        <v/>
      </c>
      <c r="S3030" s="82" t="str">
        <f t="shared" si="95"/>
        <v/>
      </c>
    </row>
    <row r="3031" spans="18:19" x14ac:dyDescent="0.25">
      <c r="R3031" s="8" t="str">
        <f t="shared" si="94"/>
        <v/>
      </c>
      <c r="S3031" s="82" t="str">
        <f t="shared" si="95"/>
        <v/>
      </c>
    </row>
    <row r="3032" spans="18:19" x14ac:dyDescent="0.25">
      <c r="R3032" s="8" t="str">
        <f t="shared" si="94"/>
        <v/>
      </c>
      <c r="S3032" s="82" t="str">
        <f t="shared" si="95"/>
        <v/>
      </c>
    </row>
    <row r="3033" spans="18:19" x14ac:dyDescent="0.25">
      <c r="R3033" s="8" t="str">
        <f t="shared" si="94"/>
        <v/>
      </c>
      <c r="S3033" s="82" t="str">
        <f t="shared" si="95"/>
        <v/>
      </c>
    </row>
    <row r="3034" spans="18:19" x14ac:dyDescent="0.25">
      <c r="R3034" s="8" t="str">
        <f t="shared" si="94"/>
        <v/>
      </c>
      <c r="S3034" s="82" t="str">
        <f t="shared" si="95"/>
        <v/>
      </c>
    </row>
    <row r="3035" spans="18:19" x14ac:dyDescent="0.25">
      <c r="R3035" s="8" t="str">
        <f t="shared" si="94"/>
        <v/>
      </c>
      <c r="S3035" s="82" t="str">
        <f t="shared" si="95"/>
        <v/>
      </c>
    </row>
    <row r="3036" spans="18:19" x14ac:dyDescent="0.25">
      <c r="R3036" s="8" t="str">
        <f t="shared" si="94"/>
        <v/>
      </c>
      <c r="S3036" s="82" t="str">
        <f t="shared" si="95"/>
        <v/>
      </c>
    </row>
    <row r="3037" spans="18:19" x14ac:dyDescent="0.25">
      <c r="R3037" s="8" t="str">
        <f t="shared" si="94"/>
        <v/>
      </c>
      <c r="S3037" s="82" t="str">
        <f t="shared" si="95"/>
        <v/>
      </c>
    </row>
    <row r="3038" spans="18:19" x14ac:dyDescent="0.25">
      <c r="R3038" s="8" t="str">
        <f t="shared" si="94"/>
        <v/>
      </c>
      <c r="S3038" s="82" t="str">
        <f t="shared" si="95"/>
        <v/>
      </c>
    </row>
    <row r="3039" spans="18:19" x14ac:dyDescent="0.25">
      <c r="R3039" s="8" t="str">
        <f t="shared" si="94"/>
        <v/>
      </c>
      <c r="S3039" s="82" t="str">
        <f t="shared" si="95"/>
        <v/>
      </c>
    </row>
    <row r="3040" spans="18:19" x14ac:dyDescent="0.25">
      <c r="R3040" s="8" t="str">
        <f t="shared" si="94"/>
        <v/>
      </c>
      <c r="S3040" s="82" t="str">
        <f t="shared" si="95"/>
        <v/>
      </c>
    </row>
    <row r="3041" spans="18:19" x14ac:dyDescent="0.25">
      <c r="R3041" s="8" t="str">
        <f t="shared" si="94"/>
        <v/>
      </c>
      <c r="S3041" s="82" t="str">
        <f t="shared" si="95"/>
        <v/>
      </c>
    </row>
    <row r="3042" spans="18:19" x14ac:dyDescent="0.25">
      <c r="R3042" s="8" t="str">
        <f t="shared" si="94"/>
        <v/>
      </c>
      <c r="S3042" s="82" t="str">
        <f t="shared" si="95"/>
        <v/>
      </c>
    </row>
    <row r="3043" spans="18:19" x14ac:dyDescent="0.25">
      <c r="R3043" s="8" t="str">
        <f t="shared" si="94"/>
        <v/>
      </c>
      <c r="S3043" s="82" t="str">
        <f t="shared" si="95"/>
        <v/>
      </c>
    </row>
    <row r="3044" spans="18:19" x14ac:dyDescent="0.25">
      <c r="R3044" s="8" t="str">
        <f t="shared" si="94"/>
        <v/>
      </c>
      <c r="S3044" s="82" t="str">
        <f t="shared" si="95"/>
        <v/>
      </c>
    </row>
    <row r="3045" spans="18:19" x14ac:dyDescent="0.25">
      <c r="R3045" s="8" t="str">
        <f t="shared" si="94"/>
        <v/>
      </c>
      <c r="S3045" s="82" t="str">
        <f t="shared" si="95"/>
        <v/>
      </c>
    </row>
    <row r="3046" spans="18:19" x14ac:dyDescent="0.25">
      <c r="R3046" s="8" t="str">
        <f t="shared" si="94"/>
        <v/>
      </c>
      <c r="S3046" s="82" t="str">
        <f t="shared" si="95"/>
        <v/>
      </c>
    </row>
    <row r="3047" spans="18:19" x14ac:dyDescent="0.25">
      <c r="R3047" s="8" t="str">
        <f t="shared" si="94"/>
        <v/>
      </c>
      <c r="S3047" s="82" t="str">
        <f t="shared" si="95"/>
        <v/>
      </c>
    </row>
    <row r="3048" spans="18:19" x14ac:dyDescent="0.25">
      <c r="R3048" s="8" t="str">
        <f t="shared" si="94"/>
        <v/>
      </c>
      <c r="S3048" s="82" t="str">
        <f t="shared" si="95"/>
        <v/>
      </c>
    </row>
    <row r="3049" spans="18:19" x14ac:dyDescent="0.25">
      <c r="R3049" s="8" t="str">
        <f t="shared" si="94"/>
        <v/>
      </c>
      <c r="S3049" s="82" t="str">
        <f t="shared" si="95"/>
        <v/>
      </c>
    </row>
    <row r="3050" spans="18:19" x14ac:dyDescent="0.25">
      <c r="R3050" s="8" t="str">
        <f t="shared" si="94"/>
        <v/>
      </c>
      <c r="S3050" s="82" t="str">
        <f t="shared" si="95"/>
        <v/>
      </c>
    </row>
    <row r="3051" spans="18:19" x14ac:dyDescent="0.25">
      <c r="R3051" s="8" t="str">
        <f t="shared" si="94"/>
        <v/>
      </c>
      <c r="S3051" s="82" t="str">
        <f t="shared" si="95"/>
        <v/>
      </c>
    </row>
    <row r="3052" spans="18:19" x14ac:dyDescent="0.25">
      <c r="R3052" s="8" t="str">
        <f t="shared" si="94"/>
        <v/>
      </c>
      <c r="S3052" s="82" t="str">
        <f t="shared" si="95"/>
        <v/>
      </c>
    </row>
    <row r="3053" spans="18:19" x14ac:dyDescent="0.25">
      <c r="R3053" s="8" t="str">
        <f t="shared" si="94"/>
        <v/>
      </c>
      <c r="S3053" s="82" t="str">
        <f t="shared" si="95"/>
        <v/>
      </c>
    </row>
    <row r="3054" spans="18:19" x14ac:dyDescent="0.25">
      <c r="R3054" s="8" t="str">
        <f t="shared" si="94"/>
        <v/>
      </c>
      <c r="S3054" s="82" t="str">
        <f t="shared" si="95"/>
        <v/>
      </c>
    </row>
    <row r="3055" spans="18:19" x14ac:dyDescent="0.25">
      <c r="R3055" s="8" t="str">
        <f t="shared" si="94"/>
        <v/>
      </c>
      <c r="S3055" s="82" t="str">
        <f t="shared" si="95"/>
        <v/>
      </c>
    </row>
    <row r="3056" spans="18:19" x14ac:dyDescent="0.25">
      <c r="R3056" s="8" t="str">
        <f t="shared" si="94"/>
        <v/>
      </c>
      <c r="S3056" s="82" t="str">
        <f t="shared" si="95"/>
        <v/>
      </c>
    </row>
    <row r="3057" spans="18:19" x14ac:dyDescent="0.25">
      <c r="R3057" s="8" t="str">
        <f t="shared" si="94"/>
        <v/>
      </c>
      <c r="S3057" s="82" t="str">
        <f t="shared" si="95"/>
        <v/>
      </c>
    </row>
    <row r="3058" spans="18:19" x14ac:dyDescent="0.25">
      <c r="R3058" s="8" t="str">
        <f t="shared" si="94"/>
        <v/>
      </c>
      <c r="S3058" s="82" t="str">
        <f t="shared" si="95"/>
        <v/>
      </c>
    </row>
    <row r="3059" spans="18:19" x14ac:dyDescent="0.25">
      <c r="R3059" s="8" t="str">
        <f t="shared" si="94"/>
        <v/>
      </c>
      <c r="S3059" s="82" t="str">
        <f t="shared" si="95"/>
        <v/>
      </c>
    </row>
    <row r="3060" spans="18:19" x14ac:dyDescent="0.25">
      <c r="R3060" s="8" t="str">
        <f t="shared" si="94"/>
        <v/>
      </c>
      <c r="S3060" s="82" t="str">
        <f t="shared" si="95"/>
        <v/>
      </c>
    </row>
    <row r="3061" spans="18:19" x14ac:dyDescent="0.25">
      <c r="R3061" s="8" t="str">
        <f t="shared" si="94"/>
        <v/>
      </c>
      <c r="S3061" s="82" t="str">
        <f t="shared" si="95"/>
        <v/>
      </c>
    </row>
    <row r="3062" spans="18:19" x14ac:dyDescent="0.25">
      <c r="R3062" s="8" t="str">
        <f t="shared" si="94"/>
        <v/>
      </c>
      <c r="S3062" s="82" t="str">
        <f t="shared" si="95"/>
        <v/>
      </c>
    </row>
    <row r="3063" spans="18:19" x14ac:dyDescent="0.25">
      <c r="R3063" s="8" t="str">
        <f t="shared" si="94"/>
        <v/>
      </c>
      <c r="S3063" s="82" t="str">
        <f t="shared" si="95"/>
        <v/>
      </c>
    </row>
    <row r="3064" spans="18:19" x14ac:dyDescent="0.25">
      <c r="R3064" s="8" t="str">
        <f t="shared" si="94"/>
        <v/>
      </c>
      <c r="S3064" s="82" t="str">
        <f t="shared" si="95"/>
        <v/>
      </c>
    </row>
    <row r="3065" spans="18:19" x14ac:dyDescent="0.25">
      <c r="R3065" s="8" t="str">
        <f t="shared" si="94"/>
        <v/>
      </c>
      <c r="S3065" s="82" t="str">
        <f t="shared" si="95"/>
        <v/>
      </c>
    </row>
    <row r="3066" spans="18:19" x14ac:dyDescent="0.25">
      <c r="R3066" s="8" t="str">
        <f t="shared" si="94"/>
        <v/>
      </c>
      <c r="S3066" s="82" t="str">
        <f t="shared" si="95"/>
        <v/>
      </c>
    </row>
    <row r="3067" spans="18:19" x14ac:dyDescent="0.25">
      <c r="R3067" s="8" t="str">
        <f t="shared" si="94"/>
        <v/>
      </c>
      <c r="S3067" s="82" t="str">
        <f t="shared" si="95"/>
        <v/>
      </c>
    </row>
    <row r="3068" spans="18:19" x14ac:dyDescent="0.25">
      <c r="R3068" s="8" t="str">
        <f t="shared" si="94"/>
        <v/>
      </c>
      <c r="S3068" s="82" t="str">
        <f t="shared" si="95"/>
        <v/>
      </c>
    </row>
    <row r="3069" spans="18:19" x14ac:dyDescent="0.25">
      <c r="R3069" s="8" t="str">
        <f t="shared" si="94"/>
        <v/>
      </c>
      <c r="S3069" s="82" t="str">
        <f t="shared" si="95"/>
        <v/>
      </c>
    </row>
    <row r="3070" spans="18:19" x14ac:dyDescent="0.25">
      <c r="R3070" s="8" t="str">
        <f t="shared" si="94"/>
        <v/>
      </c>
      <c r="S3070" s="82" t="str">
        <f t="shared" si="95"/>
        <v/>
      </c>
    </row>
    <row r="3071" spans="18:19" x14ac:dyDescent="0.25">
      <c r="R3071" s="8" t="str">
        <f t="shared" si="94"/>
        <v/>
      </c>
      <c r="S3071" s="82" t="str">
        <f t="shared" si="95"/>
        <v/>
      </c>
    </row>
    <row r="3072" spans="18:19" x14ac:dyDescent="0.25">
      <c r="R3072" s="8" t="str">
        <f t="shared" si="94"/>
        <v/>
      </c>
      <c r="S3072" s="82" t="str">
        <f t="shared" si="95"/>
        <v/>
      </c>
    </row>
    <row r="3073" spans="18:19" x14ac:dyDescent="0.25">
      <c r="R3073" s="8" t="str">
        <f t="shared" si="94"/>
        <v/>
      </c>
      <c r="S3073" s="82" t="str">
        <f t="shared" si="95"/>
        <v/>
      </c>
    </row>
    <row r="3074" spans="18:19" x14ac:dyDescent="0.25">
      <c r="R3074" s="8" t="str">
        <f t="shared" si="94"/>
        <v/>
      </c>
      <c r="S3074" s="82" t="str">
        <f t="shared" si="95"/>
        <v/>
      </c>
    </row>
    <row r="3075" spans="18:19" x14ac:dyDescent="0.25">
      <c r="R3075" s="8" t="str">
        <f t="shared" si="94"/>
        <v/>
      </c>
      <c r="S3075" s="82" t="str">
        <f t="shared" si="95"/>
        <v/>
      </c>
    </row>
    <row r="3076" spans="18:19" x14ac:dyDescent="0.25">
      <c r="R3076" s="8" t="str">
        <f t="shared" si="94"/>
        <v/>
      </c>
      <c r="S3076" s="82" t="str">
        <f t="shared" si="95"/>
        <v/>
      </c>
    </row>
    <row r="3077" spans="18:19" x14ac:dyDescent="0.25">
      <c r="R3077" s="8" t="str">
        <f t="shared" si="94"/>
        <v/>
      </c>
      <c r="S3077" s="82" t="str">
        <f t="shared" si="95"/>
        <v/>
      </c>
    </row>
    <row r="3078" spans="18:19" x14ac:dyDescent="0.25">
      <c r="R3078" s="8" t="str">
        <f t="shared" si="94"/>
        <v/>
      </c>
      <c r="S3078" s="82" t="str">
        <f t="shared" si="95"/>
        <v/>
      </c>
    </row>
    <row r="3079" spans="18:19" x14ac:dyDescent="0.25">
      <c r="R3079" s="8" t="str">
        <f t="shared" si="94"/>
        <v/>
      </c>
      <c r="S3079" s="82" t="str">
        <f t="shared" si="95"/>
        <v/>
      </c>
    </row>
    <row r="3080" spans="18:19" x14ac:dyDescent="0.25">
      <c r="R3080" s="8" t="str">
        <f t="shared" ref="R3080:R3143" si="96">IF(A3080="",(""),(MONTH(A3080)))</f>
        <v/>
      </c>
      <c r="S3080" s="82" t="str">
        <f t="shared" ref="S3080:S3143" si="97">IF(B3080="",(""),IF(B3080="3 - Nota de Crédito A",-Q3080,IF(B3080="8 - Nota de Crédito B",-Q3080,(Q3080))))</f>
        <v/>
      </c>
    </row>
    <row r="3081" spans="18:19" x14ac:dyDescent="0.25">
      <c r="R3081" s="8" t="str">
        <f t="shared" si="96"/>
        <v/>
      </c>
      <c r="S3081" s="82" t="str">
        <f t="shared" si="97"/>
        <v/>
      </c>
    </row>
    <row r="3082" spans="18:19" x14ac:dyDescent="0.25">
      <c r="R3082" s="8" t="str">
        <f t="shared" si="96"/>
        <v/>
      </c>
      <c r="S3082" s="82" t="str">
        <f t="shared" si="97"/>
        <v/>
      </c>
    </row>
    <row r="3083" spans="18:19" x14ac:dyDescent="0.25">
      <c r="R3083" s="8" t="str">
        <f t="shared" si="96"/>
        <v/>
      </c>
      <c r="S3083" s="82" t="str">
        <f t="shared" si="97"/>
        <v/>
      </c>
    </row>
    <row r="3084" spans="18:19" x14ac:dyDescent="0.25">
      <c r="R3084" s="8" t="str">
        <f t="shared" si="96"/>
        <v/>
      </c>
      <c r="S3084" s="82" t="str">
        <f t="shared" si="97"/>
        <v/>
      </c>
    </row>
    <row r="3085" spans="18:19" x14ac:dyDescent="0.25">
      <c r="R3085" s="8" t="str">
        <f t="shared" si="96"/>
        <v/>
      </c>
      <c r="S3085" s="82" t="str">
        <f t="shared" si="97"/>
        <v/>
      </c>
    </row>
    <row r="3086" spans="18:19" x14ac:dyDescent="0.25">
      <c r="R3086" s="8" t="str">
        <f t="shared" si="96"/>
        <v/>
      </c>
      <c r="S3086" s="82" t="str">
        <f t="shared" si="97"/>
        <v/>
      </c>
    </row>
    <row r="3087" spans="18:19" x14ac:dyDescent="0.25">
      <c r="R3087" s="8" t="str">
        <f t="shared" si="96"/>
        <v/>
      </c>
      <c r="S3087" s="82" t="str">
        <f t="shared" si="97"/>
        <v/>
      </c>
    </row>
    <row r="3088" spans="18:19" x14ac:dyDescent="0.25">
      <c r="R3088" s="8" t="str">
        <f t="shared" si="96"/>
        <v/>
      </c>
      <c r="S3088" s="82" t="str">
        <f t="shared" si="97"/>
        <v/>
      </c>
    </row>
    <row r="3089" spans="18:19" x14ac:dyDescent="0.25">
      <c r="R3089" s="8" t="str">
        <f t="shared" si="96"/>
        <v/>
      </c>
      <c r="S3089" s="82" t="str">
        <f t="shared" si="97"/>
        <v/>
      </c>
    </row>
    <row r="3090" spans="18:19" x14ac:dyDescent="0.25">
      <c r="R3090" s="8" t="str">
        <f t="shared" si="96"/>
        <v/>
      </c>
      <c r="S3090" s="82" t="str">
        <f t="shared" si="97"/>
        <v/>
      </c>
    </row>
    <row r="3091" spans="18:19" x14ac:dyDescent="0.25">
      <c r="R3091" s="8" t="str">
        <f t="shared" si="96"/>
        <v/>
      </c>
      <c r="S3091" s="82" t="str">
        <f t="shared" si="97"/>
        <v/>
      </c>
    </row>
    <row r="3092" spans="18:19" x14ac:dyDescent="0.25">
      <c r="R3092" s="8" t="str">
        <f t="shared" si="96"/>
        <v/>
      </c>
      <c r="S3092" s="82" t="str">
        <f t="shared" si="97"/>
        <v/>
      </c>
    </row>
    <row r="3093" spans="18:19" x14ac:dyDescent="0.25">
      <c r="R3093" s="8" t="str">
        <f t="shared" si="96"/>
        <v/>
      </c>
      <c r="S3093" s="82" t="str">
        <f t="shared" si="97"/>
        <v/>
      </c>
    </row>
    <row r="3094" spans="18:19" x14ac:dyDescent="0.25">
      <c r="R3094" s="8" t="str">
        <f t="shared" si="96"/>
        <v/>
      </c>
      <c r="S3094" s="82" t="str">
        <f t="shared" si="97"/>
        <v/>
      </c>
    </row>
    <row r="3095" spans="18:19" x14ac:dyDescent="0.25">
      <c r="R3095" s="8" t="str">
        <f t="shared" si="96"/>
        <v/>
      </c>
      <c r="S3095" s="82" t="str">
        <f t="shared" si="97"/>
        <v/>
      </c>
    </row>
    <row r="3096" spans="18:19" x14ac:dyDescent="0.25">
      <c r="R3096" s="8" t="str">
        <f t="shared" si="96"/>
        <v/>
      </c>
      <c r="S3096" s="82" t="str">
        <f t="shared" si="97"/>
        <v/>
      </c>
    </row>
    <row r="3097" spans="18:19" x14ac:dyDescent="0.25">
      <c r="R3097" s="8" t="str">
        <f t="shared" si="96"/>
        <v/>
      </c>
      <c r="S3097" s="82" t="str">
        <f t="shared" si="97"/>
        <v/>
      </c>
    </row>
    <row r="3098" spans="18:19" x14ac:dyDescent="0.25">
      <c r="R3098" s="8" t="str">
        <f t="shared" si="96"/>
        <v/>
      </c>
      <c r="S3098" s="82" t="str">
        <f t="shared" si="97"/>
        <v/>
      </c>
    </row>
    <row r="3099" spans="18:19" x14ac:dyDescent="0.25">
      <c r="R3099" s="8" t="str">
        <f t="shared" si="96"/>
        <v/>
      </c>
      <c r="S3099" s="82" t="str">
        <f t="shared" si="97"/>
        <v/>
      </c>
    </row>
    <row r="3100" spans="18:19" x14ac:dyDescent="0.25">
      <c r="R3100" s="8" t="str">
        <f t="shared" si="96"/>
        <v/>
      </c>
      <c r="S3100" s="82" t="str">
        <f t="shared" si="97"/>
        <v/>
      </c>
    </row>
    <row r="3101" spans="18:19" x14ac:dyDescent="0.25">
      <c r="R3101" s="8" t="str">
        <f t="shared" si="96"/>
        <v/>
      </c>
      <c r="S3101" s="82" t="str">
        <f t="shared" si="97"/>
        <v/>
      </c>
    </row>
    <row r="3102" spans="18:19" x14ac:dyDescent="0.25">
      <c r="R3102" s="8" t="str">
        <f t="shared" si="96"/>
        <v/>
      </c>
      <c r="S3102" s="82" t="str">
        <f t="shared" si="97"/>
        <v/>
      </c>
    </row>
    <row r="3103" spans="18:19" x14ac:dyDescent="0.25">
      <c r="R3103" s="8" t="str">
        <f t="shared" si="96"/>
        <v/>
      </c>
      <c r="S3103" s="82" t="str">
        <f t="shared" si="97"/>
        <v/>
      </c>
    </row>
    <row r="3104" spans="18:19" x14ac:dyDescent="0.25">
      <c r="R3104" s="8" t="str">
        <f t="shared" si="96"/>
        <v/>
      </c>
      <c r="S3104" s="82" t="str">
        <f t="shared" si="97"/>
        <v/>
      </c>
    </row>
    <row r="3105" spans="18:19" x14ac:dyDescent="0.25">
      <c r="R3105" s="8" t="str">
        <f t="shared" si="96"/>
        <v/>
      </c>
      <c r="S3105" s="82" t="str">
        <f t="shared" si="97"/>
        <v/>
      </c>
    </row>
    <row r="3106" spans="18:19" x14ac:dyDescent="0.25">
      <c r="R3106" s="8" t="str">
        <f t="shared" si="96"/>
        <v/>
      </c>
      <c r="S3106" s="82" t="str">
        <f t="shared" si="97"/>
        <v/>
      </c>
    </row>
    <row r="3107" spans="18:19" x14ac:dyDescent="0.25">
      <c r="R3107" s="8" t="str">
        <f t="shared" si="96"/>
        <v/>
      </c>
      <c r="S3107" s="82" t="str">
        <f t="shared" si="97"/>
        <v/>
      </c>
    </row>
    <row r="3108" spans="18:19" x14ac:dyDescent="0.25">
      <c r="R3108" s="8" t="str">
        <f t="shared" si="96"/>
        <v/>
      </c>
      <c r="S3108" s="82" t="str">
        <f t="shared" si="97"/>
        <v/>
      </c>
    </row>
    <row r="3109" spans="18:19" x14ac:dyDescent="0.25">
      <c r="R3109" s="8" t="str">
        <f t="shared" si="96"/>
        <v/>
      </c>
      <c r="S3109" s="82" t="str">
        <f t="shared" si="97"/>
        <v/>
      </c>
    </row>
    <row r="3110" spans="18:19" x14ac:dyDescent="0.25">
      <c r="R3110" s="8" t="str">
        <f t="shared" si="96"/>
        <v/>
      </c>
      <c r="S3110" s="82" t="str">
        <f t="shared" si="97"/>
        <v/>
      </c>
    </row>
    <row r="3111" spans="18:19" x14ac:dyDescent="0.25">
      <c r="R3111" s="8" t="str">
        <f t="shared" si="96"/>
        <v/>
      </c>
      <c r="S3111" s="82" t="str">
        <f t="shared" si="97"/>
        <v/>
      </c>
    </row>
    <row r="3112" spans="18:19" x14ac:dyDescent="0.25">
      <c r="R3112" s="8" t="str">
        <f t="shared" si="96"/>
        <v/>
      </c>
      <c r="S3112" s="82" t="str">
        <f t="shared" si="97"/>
        <v/>
      </c>
    </row>
    <row r="3113" spans="18:19" x14ac:dyDescent="0.25">
      <c r="R3113" s="8" t="str">
        <f t="shared" si="96"/>
        <v/>
      </c>
      <c r="S3113" s="82" t="str">
        <f t="shared" si="97"/>
        <v/>
      </c>
    </row>
    <row r="3114" spans="18:19" x14ac:dyDescent="0.25">
      <c r="R3114" s="8" t="str">
        <f t="shared" si="96"/>
        <v/>
      </c>
      <c r="S3114" s="82" t="str">
        <f t="shared" si="97"/>
        <v/>
      </c>
    </row>
    <row r="3115" spans="18:19" x14ac:dyDescent="0.25">
      <c r="R3115" s="8" t="str">
        <f t="shared" si="96"/>
        <v/>
      </c>
      <c r="S3115" s="82" t="str">
        <f t="shared" si="97"/>
        <v/>
      </c>
    </row>
    <row r="3116" spans="18:19" x14ac:dyDescent="0.25">
      <c r="R3116" s="8" t="str">
        <f t="shared" si="96"/>
        <v/>
      </c>
      <c r="S3116" s="82" t="str">
        <f t="shared" si="97"/>
        <v/>
      </c>
    </row>
    <row r="3117" spans="18:19" x14ac:dyDescent="0.25">
      <c r="R3117" s="8" t="str">
        <f t="shared" si="96"/>
        <v/>
      </c>
      <c r="S3117" s="82" t="str">
        <f t="shared" si="97"/>
        <v/>
      </c>
    </row>
    <row r="3118" spans="18:19" x14ac:dyDescent="0.25">
      <c r="R3118" s="8" t="str">
        <f t="shared" si="96"/>
        <v/>
      </c>
      <c r="S3118" s="82" t="str">
        <f t="shared" si="97"/>
        <v/>
      </c>
    </row>
    <row r="3119" spans="18:19" x14ac:dyDescent="0.25">
      <c r="R3119" s="8" t="str">
        <f t="shared" si="96"/>
        <v/>
      </c>
      <c r="S3119" s="82" t="str">
        <f t="shared" si="97"/>
        <v/>
      </c>
    </row>
    <row r="3120" spans="18:19" x14ac:dyDescent="0.25">
      <c r="R3120" s="8" t="str">
        <f t="shared" si="96"/>
        <v/>
      </c>
      <c r="S3120" s="82" t="str">
        <f t="shared" si="97"/>
        <v/>
      </c>
    </row>
    <row r="3121" spans="18:19" x14ac:dyDescent="0.25">
      <c r="R3121" s="8" t="str">
        <f t="shared" si="96"/>
        <v/>
      </c>
      <c r="S3121" s="82" t="str">
        <f t="shared" si="97"/>
        <v/>
      </c>
    </row>
    <row r="3122" spans="18:19" x14ac:dyDescent="0.25">
      <c r="R3122" s="8" t="str">
        <f t="shared" si="96"/>
        <v/>
      </c>
      <c r="S3122" s="82" t="str">
        <f t="shared" si="97"/>
        <v/>
      </c>
    </row>
    <row r="3123" spans="18:19" x14ac:dyDescent="0.25">
      <c r="R3123" s="8" t="str">
        <f t="shared" si="96"/>
        <v/>
      </c>
      <c r="S3123" s="82" t="str">
        <f t="shared" si="97"/>
        <v/>
      </c>
    </row>
    <row r="3124" spans="18:19" x14ac:dyDescent="0.25">
      <c r="R3124" s="8" t="str">
        <f t="shared" si="96"/>
        <v/>
      </c>
      <c r="S3124" s="82" t="str">
        <f t="shared" si="97"/>
        <v/>
      </c>
    </row>
    <row r="3125" spans="18:19" x14ac:dyDescent="0.25">
      <c r="R3125" s="8" t="str">
        <f t="shared" si="96"/>
        <v/>
      </c>
      <c r="S3125" s="82" t="str">
        <f t="shared" si="97"/>
        <v/>
      </c>
    </row>
    <row r="3126" spans="18:19" x14ac:dyDescent="0.25">
      <c r="R3126" s="8" t="str">
        <f t="shared" si="96"/>
        <v/>
      </c>
      <c r="S3126" s="82" t="str">
        <f t="shared" si="97"/>
        <v/>
      </c>
    </row>
    <row r="3127" spans="18:19" x14ac:dyDescent="0.25">
      <c r="R3127" s="8" t="str">
        <f t="shared" si="96"/>
        <v/>
      </c>
      <c r="S3127" s="82" t="str">
        <f t="shared" si="97"/>
        <v/>
      </c>
    </row>
    <row r="3128" spans="18:19" x14ac:dyDescent="0.25">
      <c r="R3128" s="8" t="str">
        <f t="shared" si="96"/>
        <v/>
      </c>
      <c r="S3128" s="82" t="str">
        <f t="shared" si="97"/>
        <v/>
      </c>
    </row>
    <row r="3129" spans="18:19" x14ac:dyDescent="0.25">
      <c r="R3129" s="8" t="str">
        <f t="shared" si="96"/>
        <v/>
      </c>
      <c r="S3129" s="82" t="str">
        <f t="shared" si="97"/>
        <v/>
      </c>
    </row>
    <row r="3130" spans="18:19" x14ac:dyDescent="0.25">
      <c r="R3130" s="8" t="str">
        <f t="shared" si="96"/>
        <v/>
      </c>
      <c r="S3130" s="82" t="str">
        <f t="shared" si="97"/>
        <v/>
      </c>
    </row>
    <row r="3131" spans="18:19" x14ac:dyDescent="0.25">
      <c r="R3131" s="8" t="str">
        <f t="shared" si="96"/>
        <v/>
      </c>
      <c r="S3131" s="82" t="str">
        <f t="shared" si="97"/>
        <v/>
      </c>
    </row>
    <row r="3132" spans="18:19" x14ac:dyDescent="0.25">
      <c r="R3132" s="8" t="str">
        <f t="shared" si="96"/>
        <v/>
      </c>
      <c r="S3132" s="82" t="str">
        <f t="shared" si="97"/>
        <v/>
      </c>
    </row>
    <row r="3133" spans="18:19" x14ac:dyDescent="0.25">
      <c r="R3133" s="8" t="str">
        <f t="shared" si="96"/>
        <v/>
      </c>
      <c r="S3133" s="82" t="str">
        <f t="shared" si="97"/>
        <v/>
      </c>
    </row>
    <row r="3134" spans="18:19" x14ac:dyDescent="0.25">
      <c r="R3134" s="8" t="str">
        <f t="shared" si="96"/>
        <v/>
      </c>
      <c r="S3134" s="82" t="str">
        <f t="shared" si="97"/>
        <v/>
      </c>
    </row>
    <row r="3135" spans="18:19" x14ac:dyDescent="0.25">
      <c r="R3135" s="8" t="str">
        <f t="shared" si="96"/>
        <v/>
      </c>
      <c r="S3135" s="82" t="str">
        <f t="shared" si="97"/>
        <v/>
      </c>
    </row>
    <row r="3136" spans="18:19" x14ac:dyDescent="0.25">
      <c r="R3136" s="8" t="str">
        <f t="shared" si="96"/>
        <v/>
      </c>
      <c r="S3136" s="82" t="str">
        <f t="shared" si="97"/>
        <v/>
      </c>
    </row>
    <row r="3137" spans="18:19" x14ac:dyDescent="0.25">
      <c r="R3137" s="8" t="str">
        <f t="shared" si="96"/>
        <v/>
      </c>
      <c r="S3137" s="82" t="str">
        <f t="shared" si="97"/>
        <v/>
      </c>
    </row>
    <row r="3138" spans="18:19" x14ac:dyDescent="0.25">
      <c r="R3138" s="8" t="str">
        <f t="shared" si="96"/>
        <v/>
      </c>
      <c r="S3138" s="82" t="str">
        <f t="shared" si="97"/>
        <v/>
      </c>
    </row>
    <row r="3139" spans="18:19" x14ac:dyDescent="0.25">
      <c r="R3139" s="8" t="str">
        <f t="shared" si="96"/>
        <v/>
      </c>
      <c r="S3139" s="82" t="str">
        <f t="shared" si="97"/>
        <v/>
      </c>
    </row>
    <row r="3140" spans="18:19" x14ac:dyDescent="0.25">
      <c r="R3140" s="8" t="str">
        <f t="shared" si="96"/>
        <v/>
      </c>
      <c r="S3140" s="82" t="str">
        <f t="shared" si="97"/>
        <v/>
      </c>
    </row>
    <row r="3141" spans="18:19" x14ac:dyDescent="0.25">
      <c r="R3141" s="8" t="str">
        <f t="shared" si="96"/>
        <v/>
      </c>
      <c r="S3141" s="82" t="str">
        <f t="shared" si="97"/>
        <v/>
      </c>
    </row>
    <row r="3142" spans="18:19" x14ac:dyDescent="0.25">
      <c r="R3142" s="8" t="str">
        <f t="shared" si="96"/>
        <v/>
      </c>
      <c r="S3142" s="82" t="str">
        <f t="shared" si="97"/>
        <v/>
      </c>
    </row>
    <row r="3143" spans="18:19" x14ac:dyDescent="0.25">
      <c r="R3143" s="8" t="str">
        <f t="shared" si="96"/>
        <v/>
      </c>
      <c r="S3143" s="82" t="str">
        <f t="shared" si="97"/>
        <v/>
      </c>
    </row>
    <row r="3144" spans="18:19" x14ac:dyDescent="0.25">
      <c r="R3144" s="8" t="str">
        <f t="shared" ref="R3144:R3207" si="98">IF(A3144="",(""),(MONTH(A3144)))</f>
        <v/>
      </c>
      <c r="S3144" s="82" t="str">
        <f t="shared" ref="S3144:S3207" si="99">IF(B3144="",(""),IF(B3144="3 - Nota de Crédito A",-Q3144,IF(B3144="8 - Nota de Crédito B",-Q3144,(Q3144))))</f>
        <v/>
      </c>
    </row>
    <row r="3145" spans="18:19" x14ac:dyDescent="0.25">
      <c r="R3145" s="8" t="str">
        <f t="shared" si="98"/>
        <v/>
      </c>
      <c r="S3145" s="82" t="str">
        <f t="shared" si="99"/>
        <v/>
      </c>
    </row>
    <row r="3146" spans="18:19" x14ac:dyDescent="0.25">
      <c r="R3146" s="8" t="str">
        <f t="shared" si="98"/>
        <v/>
      </c>
      <c r="S3146" s="82" t="str">
        <f t="shared" si="99"/>
        <v/>
      </c>
    </row>
    <row r="3147" spans="18:19" x14ac:dyDescent="0.25">
      <c r="R3147" s="8" t="str">
        <f t="shared" si="98"/>
        <v/>
      </c>
      <c r="S3147" s="82" t="str">
        <f t="shared" si="99"/>
        <v/>
      </c>
    </row>
    <row r="3148" spans="18:19" x14ac:dyDescent="0.25">
      <c r="R3148" s="8" t="str">
        <f t="shared" si="98"/>
        <v/>
      </c>
      <c r="S3148" s="82" t="str">
        <f t="shared" si="99"/>
        <v/>
      </c>
    </row>
    <row r="3149" spans="18:19" x14ac:dyDescent="0.25">
      <c r="R3149" s="8" t="str">
        <f t="shared" si="98"/>
        <v/>
      </c>
      <c r="S3149" s="82" t="str">
        <f t="shared" si="99"/>
        <v/>
      </c>
    </row>
    <row r="3150" spans="18:19" x14ac:dyDescent="0.25">
      <c r="R3150" s="8" t="str">
        <f t="shared" si="98"/>
        <v/>
      </c>
      <c r="S3150" s="82" t="str">
        <f t="shared" si="99"/>
        <v/>
      </c>
    </row>
    <row r="3151" spans="18:19" x14ac:dyDescent="0.25">
      <c r="R3151" s="8" t="str">
        <f t="shared" si="98"/>
        <v/>
      </c>
      <c r="S3151" s="82" t="str">
        <f t="shared" si="99"/>
        <v/>
      </c>
    </row>
    <row r="3152" spans="18:19" x14ac:dyDescent="0.25">
      <c r="R3152" s="8" t="str">
        <f t="shared" si="98"/>
        <v/>
      </c>
      <c r="S3152" s="82" t="str">
        <f t="shared" si="99"/>
        <v/>
      </c>
    </row>
    <row r="3153" spans="18:19" x14ac:dyDescent="0.25">
      <c r="R3153" s="8" t="str">
        <f t="shared" si="98"/>
        <v/>
      </c>
      <c r="S3153" s="82" t="str">
        <f t="shared" si="99"/>
        <v/>
      </c>
    </row>
    <row r="3154" spans="18:19" x14ac:dyDescent="0.25">
      <c r="R3154" s="8" t="str">
        <f t="shared" si="98"/>
        <v/>
      </c>
      <c r="S3154" s="82" t="str">
        <f t="shared" si="99"/>
        <v/>
      </c>
    </row>
    <row r="3155" spans="18:19" x14ac:dyDescent="0.25">
      <c r="R3155" s="8" t="str">
        <f t="shared" si="98"/>
        <v/>
      </c>
      <c r="S3155" s="82" t="str">
        <f t="shared" si="99"/>
        <v/>
      </c>
    </row>
    <row r="3156" spans="18:19" x14ac:dyDescent="0.25">
      <c r="R3156" s="8" t="str">
        <f t="shared" si="98"/>
        <v/>
      </c>
      <c r="S3156" s="82" t="str">
        <f t="shared" si="99"/>
        <v/>
      </c>
    </row>
    <row r="3157" spans="18:19" x14ac:dyDescent="0.25">
      <c r="R3157" s="8" t="str">
        <f t="shared" si="98"/>
        <v/>
      </c>
      <c r="S3157" s="82" t="str">
        <f t="shared" si="99"/>
        <v/>
      </c>
    </row>
    <row r="3158" spans="18:19" x14ac:dyDescent="0.25">
      <c r="R3158" s="8" t="str">
        <f t="shared" si="98"/>
        <v/>
      </c>
      <c r="S3158" s="82" t="str">
        <f t="shared" si="99"/>
        <v/>
      </c>
    </row>
    <row r="3159" spans="18:19" x14ac:dyDescent="0.25">
      <c r="R3159" s="8" t="str">
        <f t="shared" si="98"/>
        <v/>
      </c>
      <c r="S3159" s="82" t="str">
        <f t="shared" si="99"/>
        <v/>
      </c>
    </row>
    <row r="3160" spans="18:19" x14ac:dyDescent="0.25">
      <c r="R3160" s="8" t="str">
        <f t="shared" si="98"/>
        <v/>
      </c>
      <c r="S3160" s="82" t="str">
        <f t="shared" si="99"/>
        <v/>
      </c>
    </row>
    <row r="3161" spans="18:19" x14ac:dyDescent="0.25">
      <c r="R3161" s="8" t="str">
        <f t="shared" si="98"/>
        <v/>
      </c>
      <c r="S3161" s="82" t="str">
        <f t="shared" si="99"/>
        <v/>
      </c>
    </row>
    <row r="3162" spans="18:19" x14ac:dyDescent="0.25">
      <c r="R3162" s="8" t="str">
        <f t="shared" si="98"/>
        <v/>
      </c>
      <c r="S3162" s="82" t="str">
        <f t="shared" si="99"/>
        <v/>
      </c>
    </row>
    <row r="3163" spans="18:19" x14ac:dyDescent="0.25">
      <c r="R3163" s="8" t="str">
        <f t="shared" si="98"/>
        <v/>
      </c>
      <c r="S3163" s="82" t="str">
        <f t="shared" si="99"/>
        <v/>
      </c>
    </row>
    <row r="3164" spans="18:19" x14ac:dyDescent="0.25">
      <c r="R3164" s="8" t="str">
        <f t="shared" si="98"/>
        <v/>
      </c>
      <c r="S3164" s="82" t="str">
        <f t="shared" si="99"/>
        <v/>
      </c>
    </row>
    <row r="3165" spans="18:19" x14ac:dyDescent="0.25">
      <c r="R3165" s="8" t="str">
        <f t="shared" si="98"/>
        <v/>
      </c>
      <c r="S3165" s="82" t="str">
        <f t="shared" si="99"/>
        <v/>
      </c>
    </row>
    <row r="3166" spans="18:19" x14ac:dyDescent="0.25">
      <c r="R3166" s="8" t="str">
        <f t="shared" si="98"/>
        <v/>
      </c>
      <c r="S3166" s="82" t="str">
        <f t="shared" si="99"/>
        <v/>
      </c>
    </row>
    <row r="3167" spans="18:19" x14ac:dyDescent="0.25">
      <c r="R3167" s="8" t="str">
        <f t="shared" si="98"/>
        <v/>
      </c>
      <c r="S3167" s="82" t="str">
        <f t="shared" si="99"/>
        <v/>
      </c>
    </row>
    <row r="3168" spans="18:19" x14ac:dyDescent="0.25">
      <c r="R3168" s="8" t="str">
        <f t="shared" si="98"/>
        <v/>
      </c>
      <c r="S3168" s="82" t="str">
        <f t="shared" si="99"/>
        <v/>
      </c>
    </row>
    <row r="3169" spans="18:19" x14ac:dyDescent="0.25">
      <c r="R3169" s="8" t="str">
        <f t="shared" si="98"/>
        <v/>
      </c>
      <c r="S3169" s="82" t="str">
        <f t="shared" si="99"/>
        <v/>
      </c>
    </row>
    <row r="3170" spans="18:19" x14ac:dyDescent="0.25">
      <c r="R3170" s="8" t="str">
        <f t="shared" si="98"/>
        <v/>
      </c>
      <c r="S3170" s="82" t="str">
        <f t="shared" si="99"/>
        <v/>
      </c>
    </row>
    <row r="3171" spans="18:19" x14ac:dyDescent="0.25">
      <c r="R3171" s="8" t="str">
        <f t="shared" si="98"/>
        <v/>
      </c>
      <c r="S3171" s="82" t="str">
        <f t="shared" si="99"/>
        <v/>
      </c>
    </row>
    <row r="3172" spans="18:19" x14ac:dyDescent="0.25">
      <c r="R3172" s="8" t="str">
        <f t="shared" si="98"/>
        <v/>
      </c>
      <c r="S3172" s="82" t="str">
        <f t="shared" si="99"/>
        <v/>
      </c>
    </row>
    <row r="3173" spans="18:19" x14ac:dyDescent="0.25">
      <c r="R3173" s="8" t="str">
        <f t="shared" si="98"/>
        <v/>
      </c>
      <c r="S3173" s="82" t="str">
        <f t="shared" si="99"/>
        <v/>
      </c>
    </row>
    <row r="3174" spans="18:19" x14ac:dyDescent="0.25">
      <c r="R3174" s="8" t="str">
        <f t="shared" si="98"/>
        <v/>
      </c>
      <c r="S3174" s="82" t="str">
        <f t="shared" si="99"/>
        <v/>
      </c>
    </row>
    <row r="3175" spans="18:19" x14ac:dyDescent="0.25">
      <c r="R3175" s="8" t="str">
        <f t="shared" si="98"/>
        <v/>
      </c>
      <c r="S3175" s="82" t="str">
        <f t="shared" si="99"/>
        <v/>
      </c>
    </row>
    <row r="3176" spans="18:19" x14ac:dyDescent="0.25">
      <c r="R3176" s="8" t="str">
        <f t="shared" si="98"/>
        <v/>
      </c>
      <c r="S3176" s="82" t="str">
        <f t="shared" si="99"/>
        <v/>
      </c>
    </row>
    <row r="3177" spans="18:19" x14ac:dyDescent="0.25">
      <c r="R3177" s="8" t="str">
        <f t="shared" si="98"/>
        <v/>
      </c>
      <c r="S3177" s="82" t="str">
        <f t="shared" si="99"/>
        <v/>
      </c>
    </row>
    <row r="3178" spans="18:19" x14ac:dyDescent="0.25">
      <c r="R3178" s="8" t="str">
        <f t="shared" si="98"/>
        <v/>
      </c>
      <c r="S3178" s="82" t="str">
        <f t="shared" si="99"/>
        <v/>
      </c>
    </row>
    <row r="3179" spans="18:19" x14ac:dyDescent="0.25">
      <c r="R3179" s="8" t="str">
        <f t="shared" si="98"/>
        <v/>
      </c>
      <c r="S3179" s="82" t="str">
        <f t="shared" si="99"/>
        <v/>
      </c>
    </row>
    <row r="3180" spans="18:19" x14ac:dyDescent="0.25">
      <c r="R3180" s="8" t="str">
        <f t="shared" si="98"/>
        <v/>
      </c>
      <c r="S3180" s="82" t="str">
        <f t="shared" si="99"/>
        <v/>
      </c>
    </row>
    <row r="3181" spans="18:19" x14ac:dyDescent="0.25">
      <c r="R3181" s="8" t="str">
        <f t="shared" si="98"/>
        <v/>
      </c>
      <c r="S3181" s="82" t="str">
        <f t="shared" si="99"/>
        <v/>
      </c>
    </row>
    <row r="3182" spans="18:19" x14ac:dyDescent="0.25">
      <c r="R3182" s="8" t="str">
        <f t="shared" si="98"/>
        <v/>
      </c>
      <c r="S3182" s="82" t="str">
        <f t="shared" si="99"/>
        <v/>
      </c>
    </row>
    <row r="3183" spans="18:19" x14ac:dyDescent="0.25">
      <c r="R3183" s="8" t="str">
        <f t="shared" si="98"/>
        <v/>
      </c>
      <c r="S3183" s="82" t="str">
        <f t="shared" si="99"/>
        <v/>
      </c>
    </row>
    <row r="3184" spans="18:19" x14ac:dyDescent="0.25">
      <c r="R3184" s="8" t="str">
        <f t="shared" si="98"/>
        <v/>
      </c>
      <c r="S3184" s="82" t="str">
        <f t="shared" si="99"/>
        <v/>
      </c>
    </row>
    <row r="3185" spans="18:19" x14ac:dyDescent="0.25">
      <c r="R3185" s="8" t="str">
        <f t="shared" si="98"/>
        <v/>
      </c>
      <c r="S3185" s="82" t="str">
        <f t="shared" si="99"/>
        <v/>
      </c>
    </row>
    <row r="3186" spans="18:19" x14ac:dyDescent="0.25">
      <c r="R3186" s="8" t="str">
        <f t="shared" si="98"/>
        <v/>
      </c>
      <c r="S3186" s="82" t="str">
        <f t="shared" si="99"/>
        <v/>
      </c>
    </row>
    <row r="3187" spans="18:19" x14ac:dyDescent="0.25">
      <c r="R3187" s="8" t="str">
        <f t="shared" si="98"/>
        <v/>
      </c>
      <c r="S3187" s="82" t="str">
        <f t="shared" si="99"/>
        <v/>
      </c>
    </row>
    <row r="3188" spans="18:19" x14ac:dyDescent="0.25">
      <c r="R3188" s="8" t="str">
        <f t="shared" si="98"/>
        <v/>
      </c>
      <c r="S3188" s="82" t="str">
        <f t="shared" si="99"/>
        <v/>
      </c>
    </row>
    <row r="3189" spans="18:19" x14ac:dyDescent="0.25">
      <c r="R3189" s="8" t="str">
        <f t="shared" si="98"/>
        <v/>
      </c>
      <c r="S3189" s="82" t="str">
        <f t="shared" si="99"/>
        <v/>
      </c>
    </row>
    <row r="3190" spans="18:19" x14ac:dyDescent="0.25">
      <c r="R3190" s="8" t="str">
        <f t="shared" si="98"/>
        <v/>
      </c>
      <c r="S3190" s="82" t="str">
        <f t="shared" si="99"/>
        <v/>
      </c>
    </row>
    <row r="3191" spans="18:19" x14ac:dyDescent="0.25">
      <c r="R3191" s="8" t="str">
        <f t="shared" si="98"/>
        <v/>
      </c>
      <c r="S3191" s="82" t="str">
        <f t="shared" si="99"/>
        <v/>
      </c>
    </row>
    <row r="3192" spans="18:19" x14ac:dyDescent="0.25">
      <c r="R3192" s="8" t="str">
        <f t="shared" si="98"/>
        <v/>
      </c>
      <c r="S3192" s="82" t="str">
        <f t="shared" si="99"/>
        <v/>
      </c>
    </row>
    <row r="3193" spans="18:19" x14ac:dyDescent="0.25">
      <c r="R3193" s="8" t="str">
        <f t="shared" si="98"/>
        <v/>
      </c>
      <c r="S3193" s="82" t="str">
        <f t="shared" si="99"/>
        <v/>
      </c>
    </row>
    <row r="3194" spans="18:19" x14ac:dyDescent="0.25">
      <c r="R3194" s="8" t="str">
        <f t="shared" si="98"/>
        <v/>
      </c>
      <c r="S3194" s="82" t="str">
        <f t="shared" si="99"/>
        <v/>
      </c>
    </row>
    <row r="3195" spans="18:19" x14ac:dyDescent="0.25">
      <c r="R3195" s="8" t="str">
        <f t="shared" si="98"/>
        <v/>
      </c>
      <c r="S3195" s="82" t="str">
        <f t="shared" si="99"/>
        <v/>
      </c>
    </row>
    <row r="3196" spans="18:19" x14ac:dyDescent="0.25">
      <c r="R3196" s="8" t="str">
        <f t="shared" si="98"/>
        <v/>
      </c>
      <c r="S3196" s="82" t="str">
        <f t="shared" si="99"/>
        <v/>
      </c>
    </row>
    <row r="3197" spans="18:19" x14ac:dyDescent="0.25">
      <c r="R3197" s="8" t="str">
        <f t="shared" si="98"/>
        <v/>
      </c>
      <c r="S3197" s="82" t="str">
        <f t="shared" si="99"/>
        <v/>
      </c>
    </row>
    <row r="3198" spans="18:19" x14ac:dyDescent="0.25">
      <c r="R3198" s="8" t="str">
        <f t="shared" si="98"/>
        <v/>
      </c>
      <c r="S3198" s="82" t="str">
        <f t="shared" si="99"/>
        <v/>
      </c>
    </row>
    <row r="3199" spans="18:19" x14ac:dyDescent="0.25">
      <c r="R3199" s="8" t="str">
        <f t="shared" si="98"/>
        <v/>
      </c>
      <c r="S3199" s="82" t="str">
        <f t="shared" si="99"/>
        <v/>
      </c>
    </row>
    <row r="3200" spans="18:19" x14ac:dyDescent="0.25">
      <c r="R3200" s="8" t="str">
        <f t="shared" si="98"/>
        <v/>
      </c>
      <c r="S3200" s="82" t="str">
        <f t="shared" si="99"/>
        <v/>
      </c>
    </row>
    <row r="3201" spans="18:19" x14ac:dyDescent="0.25">
      <c r="R3201" s="8" t="str">
        <f t="shared" si="98"/>
        <v/>
      </c>
      <c r="S3201" s="82" t="str">
        <f t="shared" si="99"/>
        <v/>
      </c>
    </row>
    <row r="3202" spans="18:19" x14ac:dyDescent="0.25">
      <c r="R3202" s="8" t="str">
        <f t="shared" si="98"/>
        <v/>
      </c>
      <c r="S3202" s="82" t="str">
        <f t="shared" si="99"/>
        <v/>
      </c>
    </row>
    <row r="3203" spans="18:19" x14ac:dyDescent="0.25">
      <c r="R3203" s="8" t="str">
        <f t="shared" si="98"/>
        <v/>
      </c>
      <c r="S3203" s="82" t="str">
        <f t="shared" si="99"/>
        <v/>
      </c>
    </row>
    <row r="3204" spans="18:19" x14ac:dyDescent="0.25">
      <c r="R3204" s="8" t="str">
        <f t="shared" si="98"/>
        <v/>
      </c>
      <c r="S3204" s="82" t="str">
        <f t="shared" si="99"/>
        <v/>
      </c>
    </row>
    <row r="3205" spans="18:19" x14ac:dyDescent="0.25">
      <c r="R3205" s="8" t="str">
        <f t="shared" si="98"/>
        <v/>
      </c>
      <c r="S3205" s="82" t="str">
        <f t="shared" si="99"/>
        <v/>
      </c>
    </row>
    <row r="3206" spans="18:19" x14ac:dyDescent="0.25">
      <c r="R3206" s="8" t="str">
        <f t="shared" si="98"/>
        <v/>
      </c>
      <c r="S3206" s="82" t="str">
        <f t="shared" si="99"/>
        <v/>
      </c>
    </row>
    <row r="3207" spans="18:19" x14ac:dyDescent="0.25">
      <c r="R3207" s="8" t="str">
        <f t="shared" si="98"/>
        <v/>
      </c>
      <c r="S3207" s="82" t="str">
        <f t="shared" si="99"/>
        <v/>
      </c>
    </row>
    <row r="3208" spans="18:19" x14ac:dyDescent="0.25">
      <c r="R3208" s="8" t="str">
        <f t="shared" ref="R3208:R3271" si="100">IF(A3208="",(""),(MONTH(A3208)))</f>
        <v/>
      </c>
      <c r="S3208" s="82" t="str">
        <f t="shared" ref="S3208:S3271" si="101">IF(B3208="",(""),IF(B3208="3 - Nota de Crédito A",-Q3208,IF(B3208="8 - Nota de Crédito B",-Q3208,(Q3208))))</f>
        <v/>
      </c>
    </row>
    <row r="3209" spans="18:19" x14ac:dyDescent="0.25">
      <c r="R3209" s="8" t="str">
        <f t="shared" si="100"/>
        <v/>
      </c>
      <c r="S3209" s="82" t="str">
        <f t="shared" si="101"/>
        <v/>
      </c>
    </row>
    <row r="3210" spans="18:19" x14ac:dyDescent="0.25">
      <c r="R3210" s="8" t="str">
        <f t="shared" si="100"/>
        <v/>
      </c>
      <c r="S3210" s="82" t="str">
        <f t="shared" si="101"/>
        <v/>
      </c>
    </row>
    <row r="3211" spans="18:19" x14ac:dyDescent="0.25">
      <c r="R3211" s="8" t="str">
        <f t="shared" si="100"/>
        <v/>
      </c>
      <c r="S3211" s="82" t="str">
        <f t="shared" si="101"/>
        <v/>
      </c>
    </row>
    <row r="3212" spans="18:19" x14ac:dyDescent="0.25">
      <c r="R3212" s="8" t="str">
        <f t="shared" si="100"/>
        <v/>
      </c>
      <c r="S3212" s="82" t="str">
        <f t="shared" si="101"/>
        <v/>
      </c>
    </row>
    <row r="3213" spans="18:19" x14ac:dyDescent="0.25">
      <c r="R3213" s="8" t="str">
        <f t="shared" si="100"/>
        <v/>
      </c>
      <c r="S3213" s="82" t="str">
        <f t="shared" si="101"/>
        <v/>
      </c>
    </row>
    <row r="3214" spans="18:19" x14ac:dyDescent="0.25">
      <c r="R3214" s="8" t="str">
        <f t="shared" si="100"/>
        <v/>
      </c>
      <c r="S3214" s="82" t="str">
        <f t="shared" si="101"/>
        <v/>
      </c>
    </row>
    <row r="3215" spans="18:19" x14ac:dyDescent="0.25">
      <c r="R3215" s="8" t="str">
        <f t="shared" si="100"/>
        <v/>
      </c>
      <c r="S3215" s="82" t="str">
        <f t="shared" si="101"/>
        <v/>
      </c>
    </row>
    <row r="3216" spans="18:19" x14ac:dyDescent="0.25">
      <c r="R3216" s="8" t="str">
        <f t="shared" si="100"/>
        <v/>
      </c>
      <c r="S3216" s="82" t="str">
        <f t="shared" si="101"/>
        <v/>
      </c>
    </row>
    <row r="3217" spans="18:19" x14ac:dyDescent="0.25">
      <c r="R3217" s="8" t="str">
        <f t="shared" si="100"/>
        <v/>
      </c>
      <c r="S3217" s="82" t="str">
        <f t="shared" si="101"/>
        <v/>
      </c>
    </row>
    <row r="3218" spans="18:19" x14ac:dyDescent="0.25">
      <c r="R3218" s="8" t="str">
        <f t="shared" si="100"/>
        <v/>
      </c>
      <c r="S3218" s="82" t="str">
        <f t="shared" si="101"/>
        <v/>
      </c>
    </row>
    <row r="3219" spans="18:19" x14ac:dyDescent="0.25">
      <c r="R3219" s="8" t="str">
        <f t="shared" si="100"/>
        <v/>
      </c>
      <c r="S3219" s="82" t="str">
        <f t="shared" si="101"/>
        <v/>
      </c>
    </row>
    <row r="3220" spans="18:19" x14ac:dyDescent="0.25">
      <c r="R3220" s="8" t="str">
        <f t="shared" si="100"/>
        <v/>
      </c>
      <c r="S3220" s="82" t="str">
        <f t="shared" si="101"/>
        <v/>
      </c>
    </row>
    <row r="3221" spans="18:19" x14ac:dyDescent="0.25">
      <c r="R3221" s="8" t="str">
        <f t="shared" si="100"/>
        <v/>
      </c>
      <c r="S3221" s="82" t="str">
        <f t="shared" si="101"/>
        <v/>
      </c>
    </row>
    <row r="3222" spans="18:19" x14ac:dyDescent="0.25">
      <c r="R3222" s="8" t="str">
        <f t="shared" si="100"/>
        <v/>
      </c>
      <c r="S3222" s="82" t="str">
        <f t="shared" si="101"/>
        <v/>
      </c>
    </row>
    <row r="3223" spans="18:19" x14ac:dyDescent="0.25">
      <c r="R3223" s="8" t="str">
        <f t="shared" si="100"/>
        <v/>
      </c>
      <c r="S3223" s="82" t="str">
        <f t="shared" si="101"/>
        <v/>
      </c>
    </row>
    <row r="3224" spans="18:19" x14ac:dyDescent="0.25">
      <c r="R3224" s="8" t="str">
        <f t="shared" si="100"/>
        <v/>
      </c>
      <c r="S3224" s="82" t="str">
        <f t="shared" si="101"/>
        <v/>
      </c>
    </row>
    <row r="3225" spans="18:19" x14ac:dyDescent="0.25">
      <c r="R3225" s="8" t="str">
        <f t="shared" si="100"/>
        <v/>
      </c>
      <c r="S3225" s="82" t="str">
        <f t="shared" si="101"/>
        <v/>
      </c>
    </row>
    <row r="3226" spans="18:19" x14ac:dyDescent="0.25">
      <c r="R3226" s="8" t="str">
        <f t="shared" si="100"/>
        <v/>
      </c>
      <c r="S3226" s="82" t="str">
        <f t="shared" si="101"/>
        <v/>
      </c>
    </row>
    <row r="3227" spans="18:19" x14ac:dyDescent="0.25">
      <c r="R3227" s="8" t="str">
        <f t="shared" si="100"/>
        <v/>
      </c>
      <c r="S3227" s="82" t="str">
        <f t="shared" si="101"/>
        <v/>
      </c>
    </row>
    <row r="3228" spans="18:19" x14ac:dyDescent="0.25">
      <c r="R3228" s="8" t="str">
        <f t="shared" si="100"/>
        <v/>
      </c>
      <c r="S3228" s="82" t="str">
        <f t="shared" si="101"/>
        <v/>
      </c>
    </row>
    <row r="3229" spans="18:19" x14ac:dyDescent="0.25">
      <c r="R3229" s="8" t="str">
        <f t="shared" si="100"/>
        <v/>
      </c>
      <c r="S3229" s="82" t="str">
        <f t="shared" si="101"/>
        <v/>
      </c>
    </row>
    <row r="3230" spans="18:19" x14ac:dyDescent="0.25">
      <c r="R3230" s="8" t="str">
        <f t="shared" si="100"/>
        <v/>
      </c>
      <c r="S3230" s="82" t="str">
        <f t="shared" si="101"/>
        <v/>
      </c>
    </row>
    <row r="3231" spans="18:19" x14ac:dyDescent="0.25">
      <c r="R3231" s="8" t="str">
        <f t="shared" si="100"/>
        <v/>
      </c>
      <c r="S3231" s="82" t="str">
        <f t="shared" si="101"/>
        <v/>
      </c>
    </row>
    <row r="3232" spans="18:19" x14ac:dyDescent="0.25">
      <c r="R3232" s="8" t="str">
        <f t="shared" si="100"/>
        <v/>
      </c>
      <c r="S3232" s="82" t="str">
        <f t="shared" si="101"/>
        <v/>
      </c>
    </row>
    <row r="3233" spans="18:19" x14ac:dyDescent="0.25">
      <c r="R3233" s="8" t="str">
        <f t="shared" si="100"/>
        <v/>
      </c>
      <c r="S3233" s="82" t="str">
        <f t="shared" si="101"/>
        <v/>
      </c>
    </row>
    <row r="3234" spans="18:19" x14ac:dyDescent="0.25">
      <c r="R3234" s="8" t="str">
        <f t="shared" si="100"/>
        <v/>
      </c>
      <c r="S3234" s="82" t="str">
        <f t="shared" si="101"/>
        <v/>
      </c>
    </row>
    <row r="3235" spans="18:19" x14ac:dyDescent="0.25">
      <c r="R3235" s="8" t="str">
        <f t="shared" si="100"/>
        <v/>
      </c>
      <c r="S3235" s="82" t="str">
        <f t="shared" si="101"/>
        <v/>
      </c>
    </row>
    <row r="3236" spans="18:19" x14ac:dyDescent="0.25">
      <c r="R3236" s="8" t="str">
        <f t="shared" si="100"/>
        <v/>
      </c>
      <c r="S3236" s="82" t="str">
        <f t="shared" si="101"/>
        <v/>
      </c>
    </row>
    <row r="3237" spans="18:19" x14ac:dyDescent="0.25">
      <c r="R3237" s="8" t="str">
        <f t="shared" si="100"/>
        <v/>
      </c>
      <c r="S3237" s="82" t="str">
        <f t="shared" si="101"/>
        <v/>
      </c>
    </row>
    <row r="3238" spans="18:19" x14ac:dyDescent="0.25">
      <c r="R3238" s="8" t="str">
        <f t="shared" si="100"/>
        <v/>
      </c>
      <c r="S3238" s="82" t="str">
        <f t="shared" si="101"/>
        <v/>
      </c>
    </row>
    <row r="3239" spans="18:19" x14ac:dyDescent="0.25">
      <c r="R3239" s="8" t="str">
        <f t="shared" si="100"/>
        <v/>
      </c>
      <c r="S3239" s="82" t="str">
        <f t="shared" si="101"/>
        <v/>
      </c>
    </row>
    <row r="3240" spans="18:19" x14ac:dyDescent="0.25">
      <c r="R3240" s="8" t="str">
        <f t="shared" si="100"/>
        <v/>
      </c>
      <c r="S3240" s="82" t="str">
        <f t="shared" si="101"/>
        <v/>
      </c>
    </row>
    <row r="3241" spans="18:19" x14ac:dyDescent="0.25">
      <c r="R3241" s="8" t="str">
        <f t="shared" si="100"/>
        <v/>
      </c>
      <c r="S3241" s="82" t="str">
        <f t="shared" si="101"/>
        <v/>
      </c>
    </row>
    <row r="3242" spans="18:19" x14ac:dyDescent="0.25">
      <c r="R3242" s="8" t="str">
        <f t="shared" si="100"/>
        <v/>
      </c>
      <c r="S3242" s="82" t="str">
        <f t="shared" si="101"/>
        <v/>
      </c>
    </row>
    <row r="3243" spans="18:19" x14ac:dyDescent="0.25">
      <c r="R3243" s="8" t="str">
        <f t="shared" si="100"/>
        <v/>
      </c>
      <c r="S3243" s="82" t="str">
        <f t="shared" si="101"/>
        <v/>
      </c>
    </row>
    <row r="3244" spans="18:19" x14ac:dyDescent="0.25">
      <c r="R3244" s="8" t="str">
        <f t="shared" si="100"/>
        <v/>
      </c>
      <c r="S3244" s="82" t="str">
        <f t="shared" si="101"/>
        <v/>
      </c>
    </row>
    <row r="3245" spans="18:19" x14ac:dyDescent="0.25">
      <c r="R3245" s="8" t="str">
        <f t="shared" si="100"/>
        <v/>
      </c>
      <c r="S3245" s="82" t="str">
        <f t="shared" si="101"/>
        <v/>
      </c>
    </row>
    <row r="3246" spans="18:19" x14ac:dyDescent="0.25">
      <c r="R3246" s="8" t="str">
        <f t="shared" si="100"/>
        <v/>
      </c>
      <c r="S3246" s="82" t="str">
        <f t="shared" si="101"/>
        <v/>
      </c>
    </row>
    <row r="3247" spans="18:19" x14ac:dyDescent="0.25">
      <c r="R3247" s="8" t="str">
        <f t="shared" si="100"/>
        <v/>
      </c>
      <c r="S3247" s="82" t="str">
        <f t="shared" si="101"/>
        <v/>
      </c>
    </row>
    <row r="3248" spans="18:19" x14ac:dyDescent="0.25">
      <c r="R3248" s="8" t="str">
        <f t="shared" si="100"/>
        <v/>
      </c>
      <c r="S3248" s="82" t="str">
        <f t="shared" si="101"/>
        <v/>
      </c>
    </row>
    <row r="3249" spans="18:19" x14ac:dyDescent="0.25">
      <c r="R3249" s="8" t="str">
        <f t="shared" si="100"/>
        <v/>
      </c>
      <c r="S3249" s="82" t="str">
        <f t="shared" si="101"/>
        <v/>
      </c>
    </row>
    <row r="3250" spans="18:19" x14ac:dyDescent="0.25">
      <c r="R3250" s="8" t="str">
        <f t="shared" si="100"/>
        <v/>
      </c>
      <c r="S3250" s="82" t="str">
        <f t="shared" si="101"/>
        <v/>
      </c>
    </row>
    <row r="3251" spans="18:19" x14ac:dyDescent="0.25">
      <c r="R3251" s="8" t="str">
        <f t="shared" si="100"/>
        <v/>
      </c>
      <c r="S3251" s="82" t="str">
        <f t="shared" si="101"/>
        <v/>
      </c>
    </row>
    <row r="3252" spans="18:19" x14ac:dyDescent="0.25">
      <c r="R3252" s="8" t="str">
        <f t="shared" si="100"/>
        <v/>
      </c>
      <c r="S3252" s="82" t="str">
        <f t="shared" si="101"/>
        <v/>
      </c>
    </row>
    <row r="3253" spans="18:19" x14ac:dyDescent="0.25">
      <c r="R3253" s="8" t="str">
        <f t="shared" si="100"/>
        <v/>
      </c>
      <c r="S3253" s="82" t="str">
        <f t="shared" si="101"/>
        <v/>
      </c>
    </row>
    <row r="3254" spans="18:19" x14ac:dyDescent="0.25">
      <c r="R3254" s="8" t="str">
        <f t="shared" si="100"/>
        <v/>
      </c>
      <c r="S3254" s="82" t="str">
        <f t="shared" si="101"/>
        <v/>
      </c>
    </row>
    <row r="3255" spans="18:19" x14ac:dyDescent="0.25">
      <c r="R3255" s="8" t="str">
        <f t="shared" si="100"/>
        <v/>
      </c>
      <c r="S3255" s="82" t="str">
        <f t="shared" si="101"/>
        <v/>
      </c>
    </row>
    <row r="3256" spans="18:19" x14ac:dyDescent="0.25">
      <c r="R3256" s="8" t="str">
        <f t="shared" si="100"/>
        <v/>
      </c>
      <c r="S3256" s="82" t="str">
        <f t="shared" si="101"/>
        <v/>
      </c>
    </row>
    <row r="3257" spans="18:19" x14ac:dyDescent="0.25">
      <c r="R3257" s="8" t="str">
        <f t="shared" si="100"/>
        <v/>
      </c>
      <c r="S3257" s="82" t="str">
        <f t="shared" si="101"/>
        <v/>
      </c>
    </row>
    <row r="3258" spans="18:19" x14ac:dyDescent="0.25">
      <c r="R3258" s="8" t="str">
        <f t="shared" si="100"/>
        <v/>
      </c>
      <c r="S3258" s="82" t="str">
        <f t="shared" si="101"/>
        <v/>
      </c>
    </row>
    <row r="3259" spans="18:19" x14ac:dyDescent="0.25">
      <c r="R3259" s="8" t="str">
        <f t="shared" si="100"/>
        <v/>
      </c>
      <c r="S3259" s="82" t="str">
        <f t="shared" si="101"/>
        <v/>
      </c>
    </row>
    <row r="3260" spans="18:19" x14ac:dyDescent="0.25">
      <c r="R3260" s="8" t="str">
        <f t="shared" si="100"/>
        <v/>
      </c>
      <c r="S3260" s="82" t="str">
        <f t="shared" si="101"/>
        <v/>
      </c>
    </row>
    <row r="3261" spans="18:19" x14ac:dyDescent="0.25">
      <c r="R3261" s="8" t="str">
        <f t="shared" si="100"/>
        <v/>
      </c>
      <c r="S3261" s="82" t="str">
        <f t="shared" si="101"/>
        <v/>
      </c>
    </row>
    <row r="3262" spans="18:19" x14ac:dyDescent="0.25">
      <c r="R3262" s="8" t="str">
        <f t="shared" si="100"/>
        <v/>
      </c>
      <c r="S3262" s="82" t="str">
        <f t="shared" si="101"/>
        <v/>
      </c>
    </row>
    <row r="3263" spans="18:19" x14ac:dyDescent="0.25">
      <c r="R3263" s="8" t="str">
        <f t="shared" si="100"/>
        <v/>
      </c>
      <c r="S3263" s="82" t="str">
        <f t="shared" si="101"/>
        <v/>
      </c>
    </row>
    <row r="3264" spans="18:19" x14ac:dyDescent="0.25">
      <c r="R3264" s="8" t="str">
        <f t="shared" si="100"/>
        <v/>
      </c>
      <c r="S3264" s="82" t="str">
        <f t="shared" si="101"/>
        <v/>
      </c>
    </row>
    <row r="3265" spans="18:19" x14ac:dyDescent="0.25">
      <c r="R3265" s="8" t="str">
        <f t="shared" si="100"/>
        <v/>
      </c>
      <c r="S3265" s="82" t="str">
        <f t="shared" si="101"/>
        <v/>
      </c>
    </row>
    <row r="3266" spans="18:19" x14ac:dyDescent="0.25">
      <c r="R3266" s="8" t="str">
        <f t="shared" si="100"/>
        <v/>
      </c>
      <c r="S3266" s="82" t="str">
        <f t="shared" si="101"/>
        <v/>
      </c>
    </row>
    <row r="3267" spans="18:19" x14ac:dyDescent="0.25">
      <c r="R3267" s="8" t="str">
        <f t="shared" si="100"/>
        <v/>
      </c>
      <c r="S3267" s="82" t="str">
        <f t="shared" si="101"/>
        <v/>
      </c>
    </row>
    <row r="3268" spans="18:19" x14ac:dyDescent="0.25">
      <c r="R3268" s="8" t="str">
        <f t="shared" si="100"/>
        <v/>
      </c>
      <c r="S3268" s="82" t="str">
        <f t="shared" si="101"/>
        <v/>
      </c>
    </row>
    <row r="3269" spans="18:19" x14ac:dyDescent="0.25">
      <c r="R3269" s="8" t="str">
        <f t="shared" si="100"/>
        <v/>
      </c>
      <c r="S3269" s="82" t="str">
        <f t="shared" si="101"/>
        <v/>
      </c>
    </row>
    <row r="3270" spans="18:19" x14ac:dyDescent="0.25">
      <c r="R3270" s="8" t="str">
        <f t="shared" si="100"/>
        <v/>
      </c>
      <c r="S3270" s="82" t="str">
        <f t="shared" si="101"/>
        <v/>
      </c>
    </row>
    <row r="3271" spans="18:19" x14ac:dyDescent="0.25">
      <c r="R3271" s="8" t="str">
        <f t="shared" si="100"/>
        <v/>
      </c>
      <c r="S3271" s="82" t="str">
        <f t="shared" si="101"/>
        <v/>
      </c>
    </row>
    <row r="3272" spans="18:19" x14ac:dyDescent="0.25">
      <c r="R3272" s="8" t="str">
        <f t="shared" ref="R3272:R3335" si="102">IF(A3272="",(""),(MONTH(A3272)))</f>
        <v/>
      </c>
      <c r="S3272" s="82" t="str">
        <f t="shared" ref="S3272:S3335" si="103">IF(B3272="",(""),IF(B3272="3 - Nota de Crédito A",-Q3272,IF(B3272="8 - Nota de Crédito B",-Q3272,(Q3272))))</f>
        <v/>
      </c>
    </row>
    <row r="3273" spans="18:19" x14ac:dyDescent="0.25">
      <c r="R3273" s="8" t="str">
        <f t="shared" si="102"/>
        <v/>
      </c>
      <c r="S3273" s="82" t="str">
        <f t="shared" si="103"/>
        <v/>
      </c>
    </row>
    <row r="3274" spans="18:19" x14ac:dyDescent="0.25">
      <c r="R3274" s="8" t="str">
        <f t="shared" si="102"/>
        <v/>
      </c>
      <c r="S3274" s="82" t="str">
        <f t="shared" si="103"/>
        <v/>
      </c>
    </row>
    <row r="3275" spans="18:19" x14ac:dyDescent="0.25">
      <c r="R3275" s="8" t="str">
        <f t="shared" si="102"/>
        <v/>
      </c>
      <c r="S3275" s="82" t="str">
        <f t="shared" si="103"/>
        <v/>
      </c>
    </row>
    <row r="3276" spans="18:19" x14ac:dyDescent="0.25">
      <c r="R3276" s="8" t="str">
        <f t="shared" si="102"/>
        <v/>
      </c>
      <c r="S3276" s="82" t="str">
        <f t="shared" si="103"/>
        <v/>
      </c>
    </row>
    <row r="3277" spans="18:19" x14ac:dyDescent="0.25">
      <c r="R3277" s="8" t="str">
        <f t="shared" si="102"/>
        <v/>
      </c>
      <c r="S3277" s="82" t="str">
        <f t="shared" si="103"/>
        <v/>
      </c>
    </row>
    <row r="3278" spans="18:19" x14ac:dyDescent="0.25">
      <c r="R3278" s="8" t="str">
        <f t="shared" si="102"/>
        <v/>
      </c>
      <c r="S3278" s="82" t="str">
        <f t="shared" si="103"/>
        <v/>
      </c>
    </row>
    <row r="3279" spans="18:19" x14ac:dyDescent="0.25">
      <c r="R3279" s="8" t="str">
        <f t="shared" si="102"/>
        <v/>
      </c>
      <c r="S3279" s="82" t="str">
        <f t="shared" si="103"/>
        <v/>
      </c>
    </row>
    <row r="3280" spans="18:19" x14ac:dyDescent="0.25">
      <c r="R3280" s="8" t="str">
        <f t="shared" si="102"/>
        <v/>
      </c>
      <c r="S3280" s="82" t="str">
        <f t="shared" si="103"/>
        <v/>
      </c>
    </row>
    <row r="3281" spans="18:19" x14ac:dyDescent="0.25">
      <c r="R3281" s="8" t="str">
        <f t="shared" si="102"/>
        <v/>
      </c>
      <c r="S3281" s="82" t="str">
        <f t="shared" si="103"/>
        <v/>
      </c>
    </row>
    <row r="3282" spans="18:19" x14ac:dyDescent="0.25">
      <c r="R3282" s="8" t="str">
        <f t="shared" si="102"/>
        <v/>
      </c>
      <c r="S3282" s="82" t="str">
        <f t="shared" si="103"/>
        <v/>
      </c>
    </row>
    <row r="3283" spans="18:19" x14ac:dyDescent="0.25">
      <c r="R3283" s="8" t="str">
        <f t="shared" si="102"/>
        <v/>
      </c>
      <c r="S3283" s="82" t="str">
        <f t="shared" si="103"/>
        <v/>
      </c>
    </row>
    <row r="3284" spans="18:19" x14ac:dyDescent="0.25">
      <c r="R3284" s="8" t="str">
        <f t="shared" si="102"/>
        <v/>
      </c>
      <c r="S3284" s="82" t="str">
        <f t="shared" si="103"/>
        <v/>
      </c>
    </row>
    <row r="3285" spans="18:19" x14ac:dyDescent="0.25">
      <c r="R3285" s="8" t="str">
        <f t="shared" si="102"/>
        <v/>
      </c>
      <c r="S3285" s="82" t="str">
        <f t="shared" si="103"/>
        <v/>
      </c>
    </row>
    <row r="3286" spans="18:19" x14ac:dyDescent="0.25">
      <c r="R3286" s="8" t="str">
        <f t="shared" si="102"/>
        <v/>
      </c>
      <c r="S3286" s="82" t="str">
        <f t="shared" si="103"/>
        <v/>
      </c>
    </row>
    <row r="3287" spans="18:19" x14ac:dyDescent="0.25">
      <c r="R3287" s="8" t="str">
        <f t="shared" si="102"/>
        <v/>
      </c>
      <c r="S3287" s="82" t="str">
        <f t="shared" si="103"/>
        <v/>
      </c>
    </row>
    <row r="3288" spans="18:19" x14ac:dyDescent="0.25">
      <c r="R3288" s="8" t="str">
        <f t="shared" si="102"/>
        <v/>
      </c>
      <c r="S3288" s="82" t="str">
        <f t="shared" si="103"/>
        <v/>
      </c>
    </row>
    <row r="3289" spans="18:19" x14ac:dyDescent="0.25">
      <c r="R3289" s="8" t="str">
        <f t="shared" si="102"/>
        <v/>
      </c>
      <c r="S3289" s="82" t="str">
        <f t="shared" si="103"/>
        <v/>
      </c>
    </row>
    <row r="3290" spans="18:19" x14ac:dyDescent="0.25">
      <c r="R3290" s="8" t="str">
        <f t="shared" si="102"/>
        <v/>
      </c>
      <c r="S3290" s="82" t="str">
        <f t="shared" si="103"/>
        <v/>
      </c>
    </row>
    <row r="3291" spans="18:19" x14ac:dyDescent="0.25">
      <c r="R3291" s="8" t="str">
        <f t="shared" si="102"/>
        <v/>
      </c>
      <c r="S3291" s="82" t="str">
        <f t="shared" si="103"/>
        <v/>
      </c>
    </row>
    <row r="3292" spans="18:19" x14ac:dyDescent="0.25">
      <c r="R3292" s="8" t="str">
        <f t="shared" si="102"/>
        <v/>
      </c>
      <c r="S3292" s="82" t="str">
        <f t="shared" si="103"/>
        <v/>
      </c>
    </row>
    <row r="3293" spans="18:19" x14ac:dyDescent="0.25">
      <c r="R3293" s="8" t="str">
        <f t="shared" si="102"/>
        <v/>
      </c>
      <c r="S3293" s="82" t="str">
        <f t="shared" si="103"/>
        <v/>
      </c>
    </row>
    <row r="3294" spans="18:19" x14ac:dyDescent="0.25">
      <c r="R3294" s="8" t="str">
        <f t="shared" si="102"/>
        <v/>
      </c>
      <c r="S3294" s="82" t="str">
        <f t="shared" si="103"/>
        <v/>
      </c>
    </row>
    <row r="3295" spans="18:19" x14ac:dyDescent="0.25">
      <c r="R3295" s="8" t="str">
        <f t="shared" si="102"/>
        <v/>
      </c>
      <c r="S3295" s="82" t="str">
        <f t="shared" si="103"/>
        <v/>
      </c>
    </row>
    <row r="3296" spans="18:19" x14ac:dyDescent="0.25">
      <c r="R3296" s="8" t="str">
        <f t="shared" si="102"/>
        <v/>
      </c>
      <c r="S3296" s="82" t="str">
        <f t="shared" si="103"/>
        <v/>
      </c>
    </row>
    <row r="3297" spans="18:19" x14ac:dyDescent="0.25">
      <c r="R3297" s="8" t="str">
        <f t="shared" si="102"/>
        <v/>
      </c>
      <c r="S3297" s="82" t="str">
        <f t="shared" si="103"/>
        <v/>
      </c>
    </row>
    <row r="3298" spans="18:19" x14ac:dyDescent="0.25">
      <c r="R3298" s="8" t="str">
        <f t="shared" si="102"/>
        <v/>
      </c>
      <c r="S3298" s="82" t="str">
        <f t="shared" si="103"/>
        <v/>
      </c>
    </row>
    <row r="3299" spans="18:19" x14ac:dyDescent="0.25">
      <c r="R3299" s="8" t="str">
        <f t="shared" si="102"/>
        <v/>
      </c>
      <c r="S3299" s="82" t="str">
        <f t="shared" si="103"/>
        <v/>
      </c>
    </row>
    <row r="3300" spans="18:19" x14ac:dyDescent="0.25">
      <c r="R3300" s="8" t="str">
        <f t="shared" si="102"/>
        <v/>
      </c>
      <c r="S3300" s="82" t="str">
        <f t="shared" si="103"/>
        <v/>
      </c>
    </row>
    <row r="3301" spans="18:19" x14ac:dyDescent="0.25">
      <c r="R3301" s="8" t="str">
        <f t="shared" si="102"/>
        <v/>
      </c>
      <c r="S3301" s="82" t="str">
        <f t="shared" si="103"/>
        <v/>
      </c>
    </row>
    <row r="3302" spans="18:19" x14ac:dyDescent="0.25">
      <c r="R3302" s="8" t="str">
        <f t="shared" si="102"/>
        <v/>
      </c>
      <c r="S3302" s="82" t="str">
        <f t="shared" si="103"/>
        <v/>
      </c>
    </row>
    <row r="3303" spans="18:19" x14ac:dyDescent="0.25">
      <c r="R3303" s="8" t="str">
        <f t="shared" si="102"/>
        <v/>
      </c>
      <c r="S3303" s="82" t="str">
        <f t="shared" si="103"/>
        <v/>
      </c>
    </row>
    <row r="3304" spans="18:19" x14ac:dyDescent="0.25">
      <c r="R3304" s="8" t="str">
        <f t="shared" si="102"/>
        <v/>
      </c>
      <c r="S3304" s="82" t="str">
        <f t="shared" si="103"/>
        <v/>
      </c>
    </row>
    <row r="3305" spans="18:19" x14ac:dyDescent="0.25">
      <c r="R3305" s="8" t="str">
        <f t="shared" si="102"/>
        <v/>
      </c>
      <c r="S3305" s="82" t="str">
        <f t="shared" si="103"/>
        <v/>
      </c>
    </row>
    <row r="3306" spans="18:19" x14ac:dyDescent="0.25">
      <c r="R3306" s="8" t="str">
        <f t="shared" si="102"/>
        <v/>
      </c>
      <c r="S3306" s="82" t="str">
        <f t="shared" si="103"/>
        <v/>
      </c>
    </row>
    <row r="3307" spans="18:19" x14ac:dyDescent="0.25">
      <c r="R3307" s="8" t="str">
        <f t="shared" si="102"/>
        <v/>
      </c>
      <c r="S3307" s="82" t="str">
        <f t="shared" si="103"/>
        <v/>
      </c>
    </row>
    <row r="3308" spans="18:19" x14ac:dyDescent="0.25">
      <c r="R3308" s="8" t="str">
        <f t="shared" si="102"/>
        <v/>
      </c>
      <c r="S3308" s="82" t="str">
        <f t="shared" si="103"/>
        <v/>
      </c>
    </row>
    <row r="3309" spans="18:19" x14ac:dyDescent="0.25">
      <c r="R3309" s="8" t="str">
        <f t="shared" si="102"/>
        <v/>
      </c>
      <c r="S3309" s="82" t="str">
        <f t="shared" si="103"/>
        <v/>
      </c>
    </row>
    <row r="3310" spans="18:19" x14ac:dyDescent="0.25">
      <c r="R3310" s="8" t="str">
        <f t="shared" si="102"/>
        <v/>
      </c>
      <c r="S3310" s="82" t="str">
        <f t="shared" si="103"/>
        <v/>
      </c>
    </row>
    <row r="3311" spans="18:19" x14ac:dyDescent="0.25">
      <c r="R3311" s="8" t="str">
        <f t="shared" si="102"/>
        <v/>
      </c>
      <c r="S3311" s="82" t="str">
        <f t="shared" si="103"/>
        <v/>
      </c>
    </row>
    <row r="3312" spans="18:19" x14ac:dyDescent="0.25">
      <c r="R3312" s="8" t="str">
        <f t="shared" si="102"/>
        <v/>
      </c>
      <c r="S3312" s="82" t="str">
        <f t="shared" si="103"/>
        <v/>
      </c>
    </row>
    <row r="3313" spans="18:19" x14ac:dyDescent="0.25">
      <c r="R3313" s="8" t="str">
        <f t="shared" si="102"/>
        <v/>
      </c>
      <c r="S3313" s="82" t="str">
        <f t="shared" si="103"/>
        <v/>
      </c>
    </row>
    <row r="3314" spans="18:19" x14ac:dyDescent="0.25">
      <c r="R3314" s="8" t="str">
        <f t="shared" si="102"/>
        <v/>
      </c>
      <c r="S3314" s="82" t="str">
        <f t="shared" si="103"/>
        <v/>
      </c>
    </row>
    <row r="3315" spans="18:19" x14ac:dyDescent="0.25">
      <c r="R3315" s="8" t="str">
        <f t="shared" si="102"/>
        <v/>
      </c>
      <c r="S3315" s="82" t="str">
        <f t="shared" si="103"/>
        <v/>
      </c>
    </row>
    <row r="3316" spans="18:19" x14ac:dyDescent="0.25">
      <c r="R3316" s="8" t="str">
        <f t="shared" si="102"/>
        <v/>
      </c>
      <c r="S3316" s="82" t="str">
        <f t="shared" si="103"/>
        <v/>
      </c>
    </row>
    <row r="3317" spans="18:19" x14ac:dyDescent="0.25">
      <c r="R3317" s="8" t="str">
        <f t="shared" si="102"/>
        <v/>
      </c>
      <c r="S3317" s="82" t="str">
        <f t="shared" si="103"/>
        <v/>
      </c>
    </row>
    <row r="3318" spans="18:19" x14ac:dyDescent="0.25">
      <c r="R3318" s="8" t="str">
        <f t="shared" si="102"/>
        <v/>
      </c>
      <c r="S3318" s="82" t="str">
        <f t="shared" si="103"/>
        <v/>
      </c>
    </row>
    <row r="3319" spans="18:19" x14ac:dyDescent="0.25">
      <c r="R3319" s="8" t="str">
        <f t="shared" si="102"/>
        <v/>
      </c>
      <c r="S3319" s="82" t="str">
        <f t="shared" si="103"/>
        <v/>
      </c>
    </row>
    <row r="3320" spans="18:19" x14ac:dyDescent="0.25">
      <c r="R3320" s="8" t="str">
        <f t="shared" si="102"/>
        <v/>
      </c>
      <c r="S3320" s="82" t="str">
        <f t="shared" si="103"/>
        <v/>
      </c>
    </row>
    <row r="3321" spans="18:19" x14ac:dyDescent="0.25">
      <c r="R3321" s="8" t="str">
        <f t="shared" si="102"/>
        <v/>
      </c>
      <c r="S3321" s="82" t="str">
        <f t="shared" si="103"/>
        <v/>
      </c>
    </row>
    <row r="3322" spans="18:19" x14ac:dyDescent="0.25">
      <c r="R3322" s="8" t="str">
        <f t="shared" si="102"/>
        <v/>
      </c>
      <c r="S3322" s="82" t="str">
        <f t="shared" si="103"/>
        <v/>
      </c>
    </row>
    <row r="3323" spans="18:19" x14ac:dyDescent="0.25">
      <c r="R3323" s="8" t="str">
        <f t="shared" si="102"/>
        <v/>
      </c>
      <c r="S3323" s="82" t="str">
        <f t="shared" si="103"/>
        <v/>
      </c>
    </row>
    <row r="3324" spans="18:19" x14ac:dyDescent="0.25">
      <c r="R3324" s="8" t="str">
        <f t="shared" si="102"/>
        <v/>
      </c>
      <c r="S3324" s="82" t="str">
        <f t="shared" si="103"/>
        <v/>
      </c>
    </row>
    <row r="3325" spans="18:19" x14ac:dyDescent="0.25">
      <c r="R3325" s="8" t="str">
        <f t="shared" si="102"/>
        <v/>
      </c>
      <c r="S3325" s="82" t="str">
        <f t="shared" si="103"/>
        <v/>
      </c>
    </row>
    <row r="3326" spans="18:19" x14ac:dyDescent="0.25">
      <c r="R3326" s="8" t="str">
        <f t="shared" si="102"/>
        <v/>
      </c>
      <c r="S3326" s="82" t="str">
        <f t="shared" si="103"/>
        <v/>
      </c>
    </row>
    <row r="3327" spans="18:19" x14ac:dyDescent="0.25">
      <c r="R3327" s="8" t="str">
        <f t="shared" si="102"/>
        <v/>
      </c>
      <c r="S3327" s="82" t="str">
        <f t="shared" si="103"/>
        <v/>
      </c>
    </row>
    <row r="3328" spans="18:19" x14ac:dyDescent="0.25">
      <c r="R3328" s="8" t="str">
        <f t="shared" si="102"/>
        <v/>
      </c>
      <c r="S3328" s="82" t="str">
        <f t="shared" si="103"/>
        <v/>
      </c>
    </row>
    <row r="3329" spans="18:19" x14ac:dyDescent="0.25">
      <c r="R3329" s="8" t="str">
        <f t="shared" si="102"/>
        <v/>
      </c>
      <c r="S3329" s="82" t="str">
        <f t="shared" si="103"/>
        <v/>
      </c>
    </row>
    <row r="3330" spans="18:19" x14ac:dyDescent="0.25">
      <c r="R3330" s="8" t="str">
        <f t="shared" si="102"/>
        <v/>
      </c>
      <c r="S3330" s="82" t="str">
        <f t="shared" si="103"/>
        <v/>
      </c>
    </row>
    <row r="3331" spans="18:19" x14ac:dyDescent="0.25">
      <c r="R3331" s="8" t="str">
        <f t="shared" si="102"/>
        <v/>
      </c>
      <c r="S3331" s="82" t="str">
        <f t="shared" si="103"/>
        <v/>
      </c>
    </row>
    <row r="3332" spans="18:19" x14ac:dyDescent="0.25">
      <c r="R3332" s="8" t="str">
        <f t="shared" si="102"/>
        <v/>
      </c>
      <c r="S3332" s="82" t="str">
        <f t="shared" si="103"/>
        <v/>
      </c>
    </row>
    <row r="3333" spans="18:19" x14ac:dyDescent="0.25">
      <c r="R3333" s="8" t="str">
        <f t="shared" si="102"/>
        <v/>
      </c>
      <c r="S3333" s="82" t="str">
        <f t="shared" si="103"/>
        <v/>
      </c>
    </row>
    <row r="3334" spans="18:19" x14ac:dyDescent="0.25">
      <c r="R3334" s="8" t="str">
        <f t="shared" si="102"/>
        <v/>
      </c>
      <c r="S3334" s="82" t="str">
        <f t="shared" si="103"/>
        <v/>
      </c>
    </row>
    <row r="3335" spans="18:19" x14ac:dyDescent="0.25">
      <c r="R3335" s="8" t="str">
        <f t="shared" si="102"/>
        <v/>
      </c>
      <c r="S3335" s="82" t="str">
        <f t="shared" si="103"/>
        <v/>
      </c>
    </row>
    <row r="3336" spans="18:19" x14ac:dyDescent="0.25">
      <c r="R3336" s="8" t="str">
        <f t="shared" ref="R3336:R3399" si="104">IF(A3336="",(""),(MONTH(A3336)))</f>
        <v/>
      </c>
      <c r="S3336" s="82" t="str">
        <f t="shared" ref="S3336:S3399" si="105">IF(B3336="",(""),IF(B3336="3 - Nota de Crédito A",-Q3336,IF(B3336="8 - Nota de Crédito B",-Q3336,(Q3336))))</f>
        <v/>
      </c>
    </row>
    <row r="3337" spans="18:19" x14ac:dyDescent="0.25">
      <c r="R3337" s="8" t="str">
        <f t="shared" si="104"/>
        <v/>
      </c>
      <c r="S3337" s="82" t="str">
        <f t="shared" si="105"/>
        <v/>
      </c>
    </row>
    <row r="3338" spans="18:19" x14ac:dyDescent="0.25">
      <c r="R3338" s="8" t="str">
        <f t="shared" si="104"/>
        <v/>
      </c>
      <c r="S3338" s="82" t="str">
        <f t="shared" si="105"/>
        <v/>
      </c>
    </row>
    <row r="3339" spans="18:19" x14ac:dyDescent="0.25">
      <c r="R3339" s="8" t="str">
        <f t="shared" si="104"/>
        <v/>
      </c>
      <c r="S3339" s="82" t="str">
        <f t="shared" si="105"/>
        <v/>
      </c>
    </row>
    <row r="3340" spans="18:19" x14ac:dyDescent="0.25">
      <c r="R3340" s="8" t="str">
        <f t="shared" si="104"/>
        <v/>
      </c>
      <c r="S3340" s="82" t="str">
        <f t="shared" si="105"/>
        <v/>
      </c>
    </row>
    <row r="3341" spans="18:19" x14ac:dyDescent="0.25">
      <c r="R3341" s="8" t="str">
        <f t="shared" si="104"/>
        <v/>
      </c>
      <c r="S3341" s="82" t="str">
        <f t="shared" si="105"/>
        <v/>
      </c>
    </row>
    <row r="3342" spans="18:19" x14ac:dyDescent="0.25">
      <c r="R3342" s="8" t="str">
        <f t="shared" si="104"/>
        <v/>
      </c>
      <c r="S3342" s="82" t="str">
        <f t="shared" si="105"/>
        <v/>
      </c>
    </row>
    <row r="3343" spans="18:19" x14ac:dyDescent="0.25">
      <c r="R3343" s="8" t="str">
        <f t="shared" si="104"/>
        <v/>
      </c>
      <c r="S3343" s="82" t="str">
        <f t="shared" si="105"/>
        <v/>
      </c>
    </row>
    <row r="3344" spans="18:19" x14ac:dyDescent="0.25">
      <c r="R3344" s="8" t="str">
        <f t="shared" si="104"/>
        <v/>
      </c>
      <c r="S3344" s="82" t="str">
        <f t="shared" si="105"/>
        <v/>
      </c>
    </row>
    <row r="3345" spans="18:19" x14ac:dyDescent="0.25">
      <c r="R3345" s="8" t="str">
        <f t="shared" si="104"/>
        <v/>
      </c>
      <c r="S3345" s="82" t="str">
        <f t="shared" si="105"/>
        <v/>
      </c>
    </row>
    <row r="3346" spans="18:19" x14ac:dyDescent="0.25">
      <c r="R3346" s="8" t="str">
        <f t="shared" si="104"/>
        <v/>
      </c>
      <c r="S3346" s="82" t="str">
        <f t="shared" si="105"/>
        <v/>
      </c>
    </row>
    <row r="3347" spans="18:19" x14ac:dyDescent="0.25">
      <c r="R3347" s="8" t="str">
        <f t="shared" si="104"/>
        <v/>
      </c>
      <c r="S3347" s="82" t="str">
        <f t="shared" si="105"/>
        <v/>
      </c>
    </row>
    <row r="3348" spans="18:19" x14ac:dyDescent="0.25">
      <c r="R3348" s="8" t="str">
        <f t="shared" si="104"/>
        <v/>
      </c>
      <c r="S3348" s="82" t="str">
        <f t="shared" si="105"/>
        <v/>
      </c>
    </row>
    <row r="3349" spans="18:19" x14ac:dyDescent="0.25">
      <c r="R3349" s="8" t="str">
        <f t="shared" si="104"/>
        <v/>
      </c>
      <c r="S3349" s="82" t="str">
        <f t="shared" si="105"/>
        <v/>
      </c>
    </row>
    <row r="3350" spans="18:19" x14ac:dyDescent="0.25">
      <c r="R3350" s="8" t="str">
        <f t="shared" si="104"/>
        <v/>
      </c>
      <c r="S3350" s="82" t="str">
        <f t="shared" si="105"/>
        <v/>
      </c>
    </row>
    <row r="3351" spans="18:19" x14ac:dyDescent="0.25">
      <c r="R3351" s="8" t="str">
        <f t="shared" si="104"/>
        <v/>
      </c>
      <c r="S3351" s="82" t="str">
        <f t="shared" si="105"/>
        <v/>
      </c>
    </row>
    <row r="3352" spans="18:19" x14ac:dyDescent="0.25">
      <c r="R3352" s="8" t="str">
        <f t="shared" si="104"/>
        <v/>
      </c>
      <c r="S3352" s="82" t="str">
        <f t="shared" si="105"/>
        <v/>
      </c>
    </row>
    <row r="3353" spans="18:19" x14ac:dyDescent="0.25">
      <c r="R3353" s="8" t="str">
        <f t="shared" si="104"/>
        <v/>
      </c>
      <c r="S3353" s="82" t="str">
        <f t="shared" si="105"/>
        <v/>
      </c>
    </row>
    <row r="3354" spans="18:19" x14ac:dyDescent="0.25">
      <c r="R3354" s="8" t="str">
        <f t="shared" si="104"/>
        <v/>
      </c>
      <c r="S3354" s="82" t="str">
        <f t="shared" si="105"/>
        <v/>
      </c>
    </row>
    <row r="3355" spans="18:19" x14ac:dyDescent="0.25">
      <c r="R3355" s="8" t="str">
        <f t="shared" si="104"/>
        <v/>
      </c>
      <c r="S3355" s="82" t="str">
        <f t="shared" si="105"/>
        <v/>
      </c>
    </row>
    <row r="3356" spans="18:19" x14ac:dyDescent="0.25">
      <c r="R3356" s="8" t="str">
        <f t="shared" si="104"/>
        <v/>
      </c>
      <c r="S3356" s="82" t="str">
        <f t="shared" si="105"/>
        <v/>
      </c>
    </row>
    <row r="3357" spans="18:19" x14ac:dyDescent="0.25">
      <c r="R3357" s="8" t="str">
        <f t="shared" si="104"/>
        <v/>
      </c>
      <c r="S3357" s="82" t="str">
        <f t="shared" si="105"/>
        <v/>
      </c>
    </row>
    <row r="3358" spans="18:19" x14ac:dyDescent="0.25">
      <c r="R3358" s="8" t="str">
        <f t="shared" si="104"/>
        <v/>
      </c>
      <c r="S3358" s="82" t="str">
        <f t="shared" si="105"/>
        <v/>
      </c>
    </row>
    <row r="3359" spans="18:19" x14ac:dyDescent="0.25">
      <c r="R3359" s="8" t="str">
        <f t="shared" si="104"/>
        <v/>
      </c>
      <c r="S3359" s="82" t="str">
        <f t="shared" si="105"/>
        <v/>
      </c>
    </row>
    <row r="3360" spans="18:19" x14ac:dyDescent="0.25">
      <c r="R3360" s="8" t="str">
        <f t="shared" si="104"/>
        <v/>
      </c>
      <c r="S3360" s="82" t="str">
        <f t="shared" si="105"/>
        <v/>
      </c>
    </row>
    <row r="3361" spans="18:19" x14ac:dyDescent="0.25">
      <c r="R3361" s="8" t="str">
        <f t="shared" si="104"/>
        <v/>
      </c>
      <c r="S3361" s="82" t="str">
        <f t="shared" si="105"/>
        <v/>
      </c>
    </row>
    <row r="3362" spans="18:19" x14ac:dyDescent="0.25">
      <c r="R3362" s="8" t="str">
        <f t="shared" si="104"/>
        <v/>
      </c>
      <c r="S3362" s="82" t="str">
        <f t="shared" si="105"/>
        <v/>
      </c>
    </row>
    <row r="3363" spans="18:19" x14ac:dyDescent="0.25">
      <c r="R3363" s="8" t="str">
        <f t="shared" si="104"/>
        <v/>
      </c>
      <c r="S3363" s="82" t="str">
        <f t="shared" si="105"/>
        <v/>
      </c>
    </row>
    <row r="3364" spans="18:19" x14ac:dyDescent="0.25">
      <c r="R3364" s="8" t="str">
        <f t="shared" si="104"/>
        <v/>
      </c>
      <c r="S3364" s="82" t="str">
        <f t="shared" si="105"/>
        <v/>
      </c>
    </row>
    <row r="3365" spans="18:19" x14ac:dyDescent="0.25">
      <c r="R3365" s="8" t="str">
        <f t="shared" si="104"/>
        <v/>
      </c>
      <c r="S3365" s="82" t="str">
        <f t="shared" si="105"/>
        <v/>
      </c>
    </row>
    <row r="3366" spans="18:19" x14ac:dyDescent="0.25">
      <c r="R3366" s="8" t="str">
        <f t="shared" si="104"/>
        <v/>
      </c>
      <c r="S3366" s="82" t="str">
        <f t="shared" si="105"/>
        <v/>
      </c>
    </row>
    <row r="3367" spans="18:19" x14ac:dyDescent="0.25">
      <c r="R3367" s="8" t="str">
        <f t="shared" si="104"/>
        <v/>
      </c>
      <c r="S3367" s="82" t="str">
        <f t="shared" si="105"/>
        <v/>
      </c>
    </row>
    <row r="3368" spans="18:19" x14ac:dyDescent="0.25">
      <c r="R3368" s="8" t="str">
        <f t="shared" si="104"/>
        <v/>
      </c>
      <c r="S3368" s="82" t="str">
        <f t="shared" si="105"/>
        <v/>
      </c>
    </row>
    <row r="3369" spans="18:19" x14ac:dyDescent="0.25">
      <c r="R3369" s="8" t="str">
        <f t="shared" si="104"/>
        <v/>
      </c>
      <c r="S3369" s="82" t="str">
        <f t="shared" si="105"/>
        <v/>
      </c>
    </row>
    <row r="3370" spans="18:19" x14ac:dyDescent="0.25">
      <c r="R3370" s="8" t="str">
        <f t="shared" si="104"/>
        <v/>
      </c>
      <c r="S3370" s="82" t="str">
        <f t="shared" si="105"/>
        <v/>
      </c>
    </row>
    <row r="3371" spans="18:19" x14ac:dyDescent="0.25">
      <c r="R3371" s="8" t="str">
        <f t="shared" si="104"/>
        <v/>
      </c>
      <c r="S3371" s="82" t="str">
        <f t="shared" si="105"/>
        <v/>
      </c>
    </row>
    <row r="3372" spans="18:19" x14ac:dyDescent="0.25">
      <c r="R3372" s="8" t="str">
        <f t="shared" si="104"/>
        <v/>
      </c>
      <c r="S3372" s="82" t="str">
        <f t="shared" si="105"/>
        <v/>
      </c>
    </row>
    <row r="3373" spans="18:19" x14ac:dyDescent="0.25">
      <c r="R3373" s="8" t="str">
        <f t="shared" si="104"/>
        <v/>
      </c>
      <c r="S3373" s="82" t="str">
        <f t="shared" si="105"/>
        <v/>
      </c>
    </row>
    <row r="3374" spans="18:19" x14ac:dyDescent="0.25">
      <c r="R3374" s="8" t="str">
        <f t="shared" si="104"/>
        <v/>
      </c>
      <c r="S3374" s="82" t="str">
        <f t="shared" si="105"/>
        <v/>
      </c>
    </row>
    <row r="3375" spans="18:19" x14ac:dyDescent="0.25">
      <c r="R3375" s="8" t="str">
        <f t="shared" si="104"/>
        <v/>
      </c>
      <c r="S3375" s="82" t="str">
        <f t="shared" si="105"/>
        <v/>
      </c>
    </row>
    <row r="3376" spans="18:19" x14ac:dyDescent="0.25">
      <c r="R3376" s="8" t="str">
        <f t="shared" si="104"/>
        <v/>
      </c>
      <c r="S3376" s="82" t="str">
        <f t="shared" si="105"/>
        <v/>
      </c>
    </row>
    <row r="3377" spans="18:19" x14ac:dyDescent="0.25">
      <c r="R3377" s="8" t="str">
        <f t="shared" si="104"/>
        <v/>
      </c>
      <c r="S3377" s="82" t="str">
        <f t="shared" si="105"/>
        <v/>
      </c>
    </row>
    <row r="3378" spans="18:19" x14ac:dyDescent="0.25">
      <c r="R3378" s="8" t="str">
        <f t="shared" si="104"/>
        <v/>
      </c>
      <c r="S3378" s="82" t="str">
        <f t="shared" si="105"/>
        <v/>
      </c>
    </row>
    <row r="3379" spans="18:19" x14ac:dyDescent="0.25">
      <c r="R3379" s="8" t="str">
        <f t="shared" si="104"/>
        <v/>
      </c>
      <c r="S3379" s="82" t="str">
        <f t="shared" si="105"/>
        <v/>
      </c>
    </row>
    <row r="3380" spans="18:19" x14ac:dyDescent="0.25">
      <c r="R3380" s="8" t="str">
        <f t="shared" si="104"/>
        <v/>
      </c>
      <c r="S3380" s="82" t="str">
        <f t="shared" si="105"/>
        <v/>
      </c>
    </row>
    <row r="3381" spans="18:19" x14ac:dyDescent="0.25">
      <c r="R3381" s="8" t="str">
        <f t="shared" si="104"/>
        <v/>
      </c>
      <c r="S3381" s="82" t="str">
        <f t="shared" si="105"/>
        <v/>
      </c>
    </row>
    <row r="3382" spans="18:19" x14ac:dyDescent="0.25">
      <c r="R3382" s="8" t="str">
        <f t="shared" si="104"/>
        <v/>
      </c>
      <c r="S3382" s="82" t="str">
        <f t="shared" si="105"/>
        <v/>
      </c>
    </row>
    <row r="3383" spans="18:19" x14ac:dyDescent="0.25">
      <c r="R3383" s="8" t="str">
        <f t="shared" si="104"/>
        <v/>
      </c>
      <c r="S3383" s="82" t="str">
        <f t="shared" si="105"/>
        <v/>
      </c>
    </row>
    <row r="3384" spans="18:19" x14ac:dyDescent="0.25">
      <c r="R3384" s="8" t="str">
        <f t="shared" si="104"/>
        <v/>
      </c>
      <c r="S3384" s="82" t="str">
        <f t="shared" si="105"/>
        <v/>
      </c>
    </row>
    <row r="3385" spans="18:19" x14ac:dyDescent="0.25">
      <c r="R3385" s="8" t="str">
        <f t="shared" si="104"/>
        <v/>
      </c>
      <c r="S3385" s="82" t="str">
        <f t="shared" si="105"/>
        <v/>
      </c>
    </row>
    <row r="3386" spans="18:19" x14ac:dyDescent="0.25">
      <c r="R3386" s="8" t="str">
        <f t="shared" si="104"/>
        <v/>
      </c>
      <c r="S3386" s="82" t="str">
        <f t="shared" si="105"/>
        <v/>
      </c>
    </row>
    <row r="3387" spans="18:19" x14ac:dyDescent="0.25">
      <c r="R3387" s="8" t="str">
        <f t="shared" si="104"/>
        <v/>
      </c>
      <c r="S3387" s="82" t="str">
        <f t="shared" si="105"/>
        <v/>
      </c>
    </row>
    <row r="3388" spans="18:19" x14ac:dyDescent="0.25">
      <c r="R3388" s="8" t="str">
        <f t="shared" si="104"/>
        <v/>
      </c>
      <c r="S3388" s="82" t="str">
        <f t="shared" si="105"/>
        <v/>
      </c>
    </row>
    <row r="3389" spans="18:19" x14ac:dyDescent="0.25">
      <c r="R3389" s="8" t="str">
        <f t="shared" si="104"/>
        <v/>
      </c>
      <c r="S3389" s="82" t="str">
        <f t="shared" si="105"/>
        <v/>
      </c>
    </row>
    <row r="3390" spans="18:19" x14ac:dyDescent="0.25">
      <c r="R3390" s="8" t="str">
        <f t="shared" si="104"/>
        <v/>
      </c>
      <c r="S3390" s="82" t="str">
        <f t="shared" si="105"/>
        <v/>
      </c>
    </row>
    <row r="3391" spans="18:19" x14ac:dyDescent="0.25">
      <c r="R3391" s="8" t="str">
        <f t="shared" si="104"/>
        <v/>
      </c>
      <c r="S3391" s="82" t="str">
        <f t="shared" si="105"/>
        <v/>
      </c>
    </row>
    <row r="3392" spans="18:19" x14ac:dyDescent="0.25">
      <c r="R3392" s="8" t="str">
        <f t="shared" si="104"/>
        <v/>
      </c>
      <c r="S3392" s="82" t="str">
        <f t="shared" si="105"/>
        <v/>
      </c>
    </row>
    <row r="3393" spans="18:19" x14ac:dyDescent="0.25">
      <c r="R3393" s="8" t="str">
        <f t="shared" si="104"/>
        <v/>
      </c>
      <c r="S3393" s="82" t="str">
        <f t="shared" si="105"/>
        <v/>
      </c>
    </row>
    <row r="3394" spans="18:19" x14ac:dyDescent="0.25">
      <c r="R3394" s="8" t="str">
        <f t="shared" si="104"/>
        <v/>
      </c>
      <c r="S3394" s="82" t="str">
        <f t="shared" si="105"/>
        <v/>
      </c>
    </row>
    <row r="3395" spans="18:19" x14ac:dyDescent="0.25">
      <c r="R3395" s="8" t="str">
        <f t="shared" si="104"/>
        <v/>
      </c>
      <c r="S3395" s="82" t="str">
        <f t="shared" si="105"/>
        <v/>
      </c>
    </row>
    <row r="3396" spans="18:19" x14ac:dyDescent="0.25">
      <c r="R3396" s="8" t="str">
        <f t="shared" si="104"/>
        <v/>
      </c>
      <c r="S3396" s="82" t="str">
        <f t="shared" si="105"/>
        <v/>
      </c>
    </row>
    <row r="3397" spans="18:19" x14ac:dyDescent="0.25">
      <c r="R3397" s="8" t="str">
        <f t="shared" si="104"/>
        <v/>
      </c>
      <c r="S3397" s="82" t="str">
        <f t="shared" si="105"/>
        <v/>
      </c>
    </row>
    <row r="3398" spans="18:19" x14ac:dyDescent="0.25">
      <c r="R3398" s="8" t="str">
        <f t="shared" si="104"/>
        <v/>
      </c>
      <c r="S3398" s="82" t="str">
        <f t="shared" si="105"/>
        <v/>
      </c>
    </row>
    <row r="3399" spans="18:19" x14ac:dyDescent="0.25">
      <c r="R3399" s="8" t="str">
        <f t="shared" si="104"/>
        <v/>
      </c>
      <c r="S3399" s="82" t="str">
        <f t="shared" si="105"/>
        <v/>
      </c>
    </row>
    <row r="3400" spans="18:19" x14ac:dyDescent="0.25">
      <c r="R3400" s="8" t="str">
        <f t="shared" ref="R3400:R3463" si="106">IF(A3400="",(""),(MONTH(A3400)))</f>
        <v/>
      </c>
      <c r="S3400" s="82" t="str">
        <f t="shared" ref="S3400:S3463" si="107">IF(B3400="",(""),IF(B3400="3 - Nota de Crédito A",-Q3400,IF(B3400="8 - Nota de Crédito B",-Q3400,(Q3400))))</f>
        <v/>
      </c>
    </row>
    <row r="3401" spans="18:19" x14ac:dyDescent="0.25">
      <c r="R3401" s="8" t="str">
        <f t="shared" si="106"/>
        <v/>
      </c>
      <c r="S3401" s="82" t="str">
        <f t="shared" si="107"/>
        <v/>
      </c>
    </row>
    <row r="3402" spans="18:19" x14ac:dyDescent="0.25">
      <c r="R3402" s="8" t="str">
        <f t="shared" si="106"/>
        <v/>
      </c>
      <c r="S3402" s="82" t="str">
        <f t="shared" si="107"/>
        <v/>
      </c>
    </row>
    <row r="3403" spans="18:19" x14ac:dyDescent="0.25">
      <c r="R3403" s="8" t="str">
        <f t="shared" si="106"/>
        <v/>
      </c>
      <c r="S3403" s="82" t="str">
        <f t="shared" si="107"/>
        <v/>
      </c>
    </row>
    <row r="3404" spans="18:19" x14ac:dyDescent="0.25">
      <c r="R3404" s="8" t="str">
        <f t="shared" si="106"/>
        <v/>
      </c>
      <c r="S3404" s="82" t="str">
        <f t="shared" si="107"/>
        <v/>
      </c>
    </row>
    <row r="3405" spans="18:19" x14ac:dyDescent="0.25">
      <c r="R3405" s="8" t="str">
        <f t="shared" si="106"/>
        <v/>
      </c>
      <c r="S3405" s="82" t="str">
        <f t="shared" si="107"/>
        <v/>
      </c>
    </row>
    <row r="3406" spans="18:19" x14ac:dyDescent="0.25">
      <c r="R3406" s="8" t="str">
        <f t="shared" si="106"/>
        <v/>
      </c>
      <c r="S3406" s="82" t="str">
        <f t="shared" si="107"/>
        <v/>
      </c>
    </row>
    <row r="3407" spans="18:19" x14ac:dyDescent="0.25">
      <c r="R3407" s="8" t="str">
        <f t="shared" si="106"/>
        <v/>
      </c>
      <c r="S3407" s="82" t="str">
        <f t="shared" si="107"/>
        <v/>
      </c>
    </row>
    <row r="3408" spans="18:19" x14ac:dyDescent="0.25">
      <c r="R3408" s="8" t="str">
        <f t="shared" si="106"/>
        <v/>
      </c>
      <c r="S3408" s="82" t="str">
        <f t="shared" si="107"/>
        <v/>
      </c>
    </row>
    <row r="3409" spans="18:19" x14ac:dyDescent="0.25">
      <c r="R3409" s="8" t="str">
        <f t="shared" si="106"/>
        <v/>
      </c>
      <c r="S3409" s="82" t="str">
        <f t="shared" si="107"/>
        <v/>
      </c>
    </row>
    <row r="3410" spans="18:19" x14ac:dyDescent="0.25">
      <c r="R3410" s="8" t="str">
        <f t="shared" si="106"/>
        <v/>
      </c>
      <c r="S3410" s="82" t="str">
        <f t="shared" si="107"/>
        <v/>
      </c>
    </row>
    <row r="3411" spans="18:19" x14ac:dyDescent="0.25">
      <c r="R3411" s="8" t="str">
        <f t="shared" si="106"/>
        <v/>
      </c>
      <c r="S3411" s="82" t="str">
        <f t="shared" si="107"/>
        <v/>
      </c>
    </row>
    <row r="3412" spans="18:19" x14ac:dyDescent="0.25">
      <c r="R3412" s="8" t="str">
        <f t="shared" si="106"/>
        <v/>
      </c>
      <c r="S3412" s="82" t="str">
        <f t="shared" si="107"/>
        <v/>
      </c>
    </row>
    <row r="3413" spans="18:19" x14ac:dyDescent="0.25">
      <c r="R3413" s="8" t="str">
        <f t="shared" si="106"/>
        <v/>
      </c>
      <c r="S3413" s="82" t="str">
        <f t="shared" si="107"/>
        <v/>
      </c>
    </row>
    <row r="3414" spans="18:19" x14ac:dyDescent="0.25">
      <c r="R3414" s="8" t="str">
        <f t="shared" si="106"/>
        <v/>
      </c>
      <c r="S3414" s="82" t="str">
        <f t="shared" si="107"/>
        <v/>
      </c>
    </row>
    <row r="3415" spans="18:19" x14ac:dyDescent="0.25">
      <c r="R3415" s="8" t="str">
        <f t="shared" si="106"/>
        <v/>
      </c>
      <c r="S3415" s="82" t="str">
        <f t="shared" si="107"/>
        <v/>
      </c>
    </row>
    <row r="3416" spans="18:19" x14ac:dyDescent="0.25">
      <c r="R3416" s="8" t="str">
        <f t="shared" si="106"/>
        <v/>
      </c>
      <c r="S3416" s="82" t="str">
        <f t="shared" si="107"/>
        <v/>
      </c>
    </row>
    <row r="3417" spans="18:19" x14ac:dyDescent="0.25">
      <c r="R3417" s="8" t="str">
        <f t="shared" si="106"/>
        <v/>
      </c>
      <c r="S3417" s="82" t="str">
        <f t="shared" si="107"/>
        <v/>
      </c>
    </row>
    <row r="3418" spans="18:19" x14ac:dyDescent="0.25">
      <c r="R3418" s="8" t="str">
        <f t="shared" si="106"/>
        <v/>
      </c>
      <c r="S3418" s="82" t="str">
        <f t="shared" si="107"/>
        <v/>
      </c>
    </row>
    <row r="3419" spans="18:19" x14ac:dyDescent="0.25">
      <c r="R3419" s="8" t="str">
        <f t="shared" si="106"/>
        <v/>
      </c>
      <c r="S3419" s="82" t="str">
        <f t="shared" si="107"/>
        <v/>
      </c>
    </row>
    <row r="3420" spans="18:19" x14ac:dyDescent="0.25">
      <c r="R3420" s="8" t="str">
        <f t="shared" si="106"/>
        <v/>
      </c>
      <c r="S3420" s="82" t="str">
        <f t="shared" si="107"/>
        <v/>
      </c>
    </row>
    <row r="3421" spans="18:19" x14ac:dyDescent="0.25">
      <c r="R3421" s="8" t="str">
        <f t="shared" si="106"/>
        <v/>
      </c>
      <c r="S3421" s="82" t="str">
        <f t="shared" si="107"/>
        <v/>
      </c>
    </row>
    <row r="3422" spans="18:19" x14ac:dyDescent="0.25">
      <c r="R3422" s="8" t="str">
        <f t="shared" si="106"/>
        <v/>
      </c>
      <c r="S3422" s="82" t="str">
        <f t="shared" si="107"/>
        <v/>
      </c>
    </row>
    <row r="3423" spans="18:19" x14ac:dyDescent="0.25">
      <c r="R3423" s="8" t="str">
        <f t="shared" si="106"/>
        <v/>
      </c>
      <c r="S3423" s="82" t="str">
        <f t="shared" si="107"/>
        <v/>
      </c>
    </row>
    <row r="3424" spans="18:19" x14ac:dyDescent="0.25">
      <c r="R3424" s="8" t="str">
        <f t="shared" si="106"/>
        <v/>
      </c>
      <c r="S3424" s="82" t="str">
        <f t="shared" si="107"/>
        <v/>
      </c>
    </row>
    <row r="3425" spans="18:19" x14ac:dyDescent="0.25">
      <c r="R3425" s="8" t="str">
        <f t="shared" si="106"/>
        <v/>
      </c>
      <c r="S3425" s="82" t="str">
        <f t="shared" si="107"/>
        <v/>
      </c>
    </row>
    <row r="3426" spans="18:19" x14ac:dyDescent="0.25">
      <c r="R3426" s="8" t="str">
        <f t="shared" si="106"/>
        <v/>
      </c>
      <c r="S3426" s="82" t="str">
        <f t="shared" si="107"/>
        <v/>
      </c>
    </row>
    <row r="3427" spans="18:19" x14ac:dyDescent="0.25">
      <c r="R3427" s="8" t="str">
        <f t="shared" si="106"/>
        <v/>
      </c>
      <c r="S3427" s="82" t="str">
        <f t="shared" si="107"/>
        <v/>
      </c>
    </row>
    <row r="3428" spans="18:19" x14ac:dyDescent="0.25">
      <c r="R3428" s="8" t="str">
        <f t="shared" si="106"/>
        <v/>
      </c>
      <c r="S3428" s="82" t="str">
        <f t="shared" si="107"/>
        <v/>
      </c>
    </row>
    <row r="3429" spans="18:19" x14ac:dyDescent="0.25">
      <c r="R3429" s="8" t="str">
        <f t="shared" si="106"/>
        <v/>
      </c>
      <c r="S3429" s="82" t="str">
        <f t="shared" si="107"/>
        <v/>
      </c>
    </row>
    <row r="3430" spans="18:19" x14ac:dyDescent="0.25">
      <c r="R3430" s="8" t="str">
        <f t="shared" si="106"/>
        <v/>
      </c>
      <c r="S3430" s="82" t="str">
        <f t="shared" si="107"/>
        <v/>
      </c>
    </row>
    <row r="3431" spans="18:19" x14ac:dyDescent="0.25">
      <c r="R3431" s="8" t="str">
        <f t="shared" si="106"/>
        <v/>
      </c>
      <c r="S3431" s="82" t="str">
        <f t="shared" si="107"/>
        <v/>
      </c>
    </row>
    <row r="3432" spans="18:19" x14ac:dyDescent="0.25">
      <c r="R3432" s="8" t="str">
        <f t="shared" si="106"/>
        <v/>
      </c>
      <c r="S3432" s="82" t="str">
        <f t="shared" si="107"/>
        <v/>
      </c>
    </row>
    <row r="3433" spans="18:19" x14ac:dyDescent="0.25">
      <c r="R3433" s="8" t="str">
        <f t="shared" si="106"/>
        <v/>
      </c>
      <c r="S3433" s="82" t="str">
        <f t="shared" si="107"/>
        <v/>
      </c>
    </row>
    <row r="3434" spans="18:19" x14ac:dyDescent="0.25">
      <c r="R3434" s="8" t="str">
        <f t="shared" si="106"/>
        <v/>
      </c>
      <c r="S3434" s="82" t="str">
        <f t="shared" si="107"/>
        <v/>
      </c>
    </row>
    <row r="3435" spans="18:19" x14ac:dyDescent="0.25">
      <c r="R3435" s="8" t="str">
        <f t="shared" si="106"/>
        <v/>
      </c>
      <c r="S3435" s="82" t="str">
        <f t="shared" si="107"/>
        <v/>
      </c>
    </row>
    <row r="3436" spans="18:19" x14ac:dyDescent="0.25">
      <c r="R3436" s="8" t="str">
        <f t="shared" si="106"/>
        <v/>
      </c>
      <c r="S3436" s="82" t="str">
        <f t="shared" si="107"/>
        <v/>
      </c>
    </row>
    <row r="3437" spans="18:19" x14ac:dyDescent="0.25">
      <c r="R3437" s="8" t="str">
        <f t="shared" si="106"/>
        <v/>
      </c>
      <c r="S3437" s="82" t="str">
        <f t="shared" si="107"/>
        <v/>
      </c>
    </row>
    <row r="3438" spans="18:19" x14ac:dyDescent="0.25">
      <c r="R3438" s="8" t="str">
        <f t="shared" si="106"/>
        <v/>
      </c>
      <c r="S3438" s="82" t="str">
        <f t="shared" si="107"/>
        <v/>
      </c>
    </row>
    <row r="3439" spans="18:19" x14ac:dyDescent="0.25">
      <c r="R3439" s="8" t="str">
        <f t="shared" si="106"/>
        <v/>
      </c>
      <c r="S3439" s="82" t="str">
        <f t="shared" si="107"/>
        <v/>
      </c>
    </row>
    <row r="3440" spans="18:19" x14ac:dyDescent="0.25">
      <c r="R3440" s="8" t="str">
        <f t="shared" si="106"/>
        <v/>
      </c>
      <c r="S3440" s="82" t="str">
        <f t="shared" si="107"/>
        <v/>
      </c>
    </row>
    <row r="3441" spans="18:19" x14ac:dyDescent="0.25">
      <c r="R3441" s="8" t="str">
        <f t="shared" si="106"/>
        <v/>
      </c>
      <c r="S3441" s="82" t="str">
        <f t="shared" si="107"/>
        <v/>
      </c>
    </row>
    <row r="3442" spans="18:19" x14ac:dyDescent="0.25">
      <c r="R3442" s="8" t="str">
        <f t="shared" si="106"/>
        <v/>
      </c>
      <c r="S3442" s="82" t="str">
        <f t="shared" si="107"/>
        <v/>
      </c>
    </row>
    <row r="3443" spans="18:19" x14ac:dyDescent="0.25">
      <c r="R3443" s="8" t="str">
        <f t="shared" si="106"/>
        <v/>
      </c>
      <c r="S3443" s="82" t="str">
        <f t="shared" si="107"/>
        <v/>
      </c>
    </row>
    <row r="3444" spans="18:19" x14ac:dyDescent="0.25">
      <c r="R3444" s="8" t="str">
        <f t="shared" si="106"/>
        <v/>
      </c>
      <c r="S3444" s="82" t="str">
        <f t="shared" si="107"/>
        <v/>
      </c>
    </row>
    <row r="3445" spans="18:19" x14ac:dyDescent="0.25">
      <c r="R3445" s="8" t="str">
        <f t="shared" si="106"/>
        <v/>
      </c>
      <c r="S3445" s="82" t="str">
        <f t="shared" si="107"/>
        <v/>
      </c>
    </row>
    <row r="3446" spans="18:19" x14ac:dyDescent="0.25">
      <c r="R3446" s="8" t="str">
        <f t="shared" si="106"/>
        <v/>
      </c>
      <c r="S3446" s="82" t="str">
        <f t="shared" si="107"/>
        <v/>
      </c>
    </row>
    <row r="3447" spans="18:19" x14ac:dyDescent="0.25">
      <c r="R3447" s="8" t="str">
        <f t="shared" si="106"/>
        <v/>
      </c>
      <c r="S3447" s="82" t="str">
        <f t="shared" si="107"/>
        <v/>
      </c>
    </row>
    <row r="3448" spans="18:19" x14ac:dyDescent="0.25">
      <c r="R3448" s="8" t="str">
        <f t="shared" si="106"/>
        <v/>
      </c>
      <c r="S3448" s="82" t="str">
        <f t="shared" si="107"/>
        <v/>
      </c>
    </row>
    <row r="3449" spans="18:19" x14ac:dyDescent="0.25">
      <c r="R3449" s="8" t="str">
        <f t="shared" si="106"/>
        <v/>
      </c>
      <c r="S3449" s="82" t="str">
        <f t="shared" si="107"/>
        <v/>
      </c>
    </row>
    <row r="3450" spans="18:19" x14ac:dyDescent="0.25">
      <c r="R3450" s="8" t="str">
        <f t="shared" si="106"/>
        <v/>
      </c>
      <c r="S3450" s="82" t="str">
        <f t="shared" si="107"/>
        <v/>
      </c>
    </row>
    <row r="3451" spans="18:19" x14ac:dyDescent="0.25">
      <c r="R3451" s="8" t="str">
        <f t="shared" si="106"/>
        <v/>
      </c>
      <c r="S3451" s="82" t="str">
        <f t="shared" si="107"/>
        <v/>
      </c>
    </row>
    <row r="3452" spans="18:19" x14ac:dyDescent="0.25">
      <c r="R3452" s="8" t="str">
        <f t="shared" si="106"/>
        <v/>
      </c>
      <c r="S3452" s="82" t="str">
        <f t="shared" si="107"/>
        <v/>
      </c>
    </row>
    <row r="3453" spans="18:19" x14ac:dyDescent="0.25">
      <c r="R3453" s="8" t="str">
        <f t="shared" si="106"/>
        <v/>
      </c>
      <c r="S3453" s="82" t="str">
        <f t="shared" si="107"/>
        <v/>
      </c>
    </row>
    <row r="3454" spans="18:19" x14ac:dyDescent="0.25">
      <c r="R3454" s="8" t="str">
        <f t="shared" si="106"/>
        <v/>
      </c>
      <c r="S3454" s="82" t="str">
        <f t="shared" si="107"/>
        <v/>
      </c>
    </row>
    <row r="3455" spans="18:19" x14ac:dyDescent="0.25">
      <c r="R3455" s="8" t="str">
        <f t="shared" si="106"/>
        <v/>
      </c>
      <c r="S3455" s="82" t="str">
        <f t="shared" si="107"/>
        <v/>
      </c>
    </row>
    <row r="3456" spans="18:19" x14ac:dyDescent="0.25">
      <c r="R3456" s="8" t="str">
        <f t="shared" si="106"/>
        <v/>
      </c>
      <c r="S3456" s="82" t="str">
        <f t="shared" si="107"/>
        <v/>
      </c>
    </row>
    <row r="3457" spans="18:19" x14ac:dyDescent="0.25">
      <c r="R3457" s="8" t="str">
        <f t="shared" si="106"/>
        <v/>
      </c>
      <c r="S3457" s="82" t="str">
        <f t="shared" si="107"/>
        <v/>
      </c>
    </row>
    <row r="3458" spans="18:19" x14ac:dyDescent="0.25">
      <c r="R3458" s="8" t="str">
        <f t="shared" si="106"/>
        <v/>
      </c>
      <c r="S3458" s="82" t="str">
        <f t="shared" si="107"/>
        <v/>
      </c>
    </row>
    <row r="3459" spans="18:19" x14ac:dyDescent="0.25">
      <c r="R3459" s="8" t="str">
        <f t="shared" si="106"/>
        <v/>
      </c>
      <c r="S3459" s="82" t="str">
        <f t="shared" si="107"/>
        <v/>
      </c>
    </row>
    <row r="3460" spans="18:19" x14ac:dyDescent="0.25">
      <c r="R3460" s="8" t="str">
        <f t="shared" si="106"/>
        <v/>
      </c>
      <c r="S3460" s="82" t="str">
        <f t="shared" si="107"/>
        <v/>
      </c>
    </row>
    <row r="3461" spans="18:19" x14ac:dyDescent="0.25">
      <c r="R3461" s="8" t="str">
        <f t="shared" si="106"/>
        <v/>
      </c>
      <c r="S3461" s="82" t="str">
        <f t="shared" si="107"/>
        <v/>
      </c>
    </row>
    <row r="3462" spans="18:19" x14ac:dyDescent="0.25">
      <c r="R3462" s="8" t="str">
        <f t="shared" si="106"/>
        <v/>
      </c>
      <c r="S3462" s="82" t="str">
        <f t="shared" si="107"/>
        <v/>
      </c>
    </row>
    <row r="3463" spans="18:19" x14ac:dyDescent="0.25">
      <c r="R3463" s="8" t="str">
        <f t="shared" si="106"/>
        <v/>
      </c>
      <c r="S3463" s="82" t="str">
        <f t="shared" si="107"/>
        <v/>
      </c>
    </row>
    <row r="3464" spans="18:19" x14ac:dyDescent="0.25">
      <c r="R3464" s="8" t="str">
        <f t="shared" ref="R3464:R3527" si="108">IF(A3464="",(""),(MONTH(A3464)))</f>
        <v/>
      </c>
      <c r="S3464" s="82" t="str">
        <f t="shared" ref="S3464:S3527" si="109">IF(B3464="",(""),IF(B3464="3 - Nota de Crédito A",-Q3464,IF(B3464="8 - Nota de Crédito B",-Q3464,(Q3464))))</f>
        <v/>
      </c>
    </row>
    <row r="3465" spans="18:19" x14ac:dyDescent="0.25">
      <c r="R3465" s="8" t="str">
        <f t="shared" si="108"/>
        <v/>
      </c>
      <c r="S3465" s="82" t="str">
        <f t="shared" si="109"/>
        <v/>
      </c>
    </row>
    <row r="3466" spans="18:19" x14ac:dyDescent="0.25">
      <c r="R3466" s="8" t="str">
        <f t="shared" si="108"/>
        <v/>
      </c>
      <c r="S3466" s="82" t="str">
        <f t="shared" si="109"/>
        <v/>
      </c>
    </row>
    <row r="3467" spans="18:19" x14ac:dyDescent="0.25">
      <c r="R3467" s="8" t="str">
        <f t="shared" si="108"/>
        <v/>
      </c>
      <c r="S3467" s="82" t="str">
        <f t="shared" si="109"/>
        <v/>
      </c>
    </row>
    <row r="3468" spans="18:19" x14ac:dyDescent="0.25">
      <c r="R3468" s="8" t="str">
        <f t="shared" si="108"/>
        <v/>
      </c>
      <c r="S3468" s="82" t="str">
        <f t="shared" si="109"/>
        <v/>
      </c>
    </row>
    <row r="3469" spans="18:19" x14ac:dyDescent="0.25">
      <c r="R3469" s="8" t="str">
        <f t="shared" si="108"/>
        <v/>
      </c>
      <c r="S3469" s="82" t="str">
        <f t="shared" si="109"/>
        <v/>
      </c>
    </row>
    <row r="3470" spans="18:19" x14ac:dyDescent="0.25">
      <c r="R3470" s="8" t="str">
        <f t="shared" si="108"/>
        <v/>
      </c>
      <c r="S3470" s="82" t="str">
        <f t="shared" si="109"/>
        <v/>
      </c>
    </row>
    <row r="3471" spans="18:19" x14ac:dyDescent="0.25">
      <c r="R3471" s="8" t="str">
        <f t="shared" si="108"/>
        <v/>
      </c>
      <c r="S3471" s="82" t="str">
        <f t="shared" si="109"/>
        <v/>
      </c>
    </row>
    <row r="3472" spans="18:19" x14ac:dyDescent="0.25">
      <c r="R3472" s="8" t="str">
        <f t="shared" si="108"/>
        <v/>
      </c>
      <c r="S3472" s="82" t="str">
        <f t="shared" si="109"/>
        <v/>
      </c>
    </row>
    <row r="3473" spans="18:19" x14ac:dyDescent="0.25">
      <c r="R3473" s="8" t="str">
        <f t="shared" si="108"/>
        <v/>
      </c>
      <c r="S3473" s="82" t="str">
        <f t="shared" si="109"/>
        <v/>
      </c>
    </row>
    <row r="3474" spans="18:19" x14ac:dyDescent="0.25">
      <c r="R3474" s="8" t="str">
        <f t="shared" si="108"/>
        <v/>
      </c>
      <c r="S3474" s="82" t="str">
        <f t="shared" si="109"/>
        <v/>
      </c>
    </row>
    <row r="3475" spans="18:19" x14ac:dyDescent="0.25">
      <c r="R3475" s="8" t="str">
        <f t="shared" si="108"/>
        <v/>
      </c>
      <c r="S3475" s="82" t="str">
        <f t="shared" si="109"/>
        <v/>
      </c>
    </row>
    <row r="3476" spans="18:19" x14ac:dyDescent="0.25">
      <c r="R3476" s="8" t="str">
        <f t="shared" si="108"/>
        <v/>
      </c>
      <c r="S3476" s="82" t="str">
        <f t="shared" si="109"/>
        <v/>
      </c>
    </row>
    <row r="3477" spans="18:19" x14ac:dyDescent="0.25">
      <c r="R3477" s="8" t="str">
        <f t="shared" si="108"/>
        <v/>
      </c>
      <c r="S3477" s="82" t="str">
        <f t="shared" si="109"/>
        <v/>
      </c>
    </row>
    <row r="3478" spans="18:19" x14ac:dyDescent="0.25">
      <c r="R3478" s="8" t="str">
        <f t="shared" si="108"/>
        <v/>
      </c>
      <c r="S3478" s="82" t="str">
        <f t="shared" si="109"/>
        <v/>
      </c>
    </row>
    <row r="3479" spans="18:19" x14ac:dyDescent="0.25">
      <c r="R3479" s="8" t="str">
        <f t="shared" si="108"/>
        <v/>
      </c>
      <c r="S3479" s="82" t="str">
        <f t="shared" si="109"/>
        <v/>
      </c>
    </row>
    <row r="3480" spans="18:19" x14ac:dyDescent="0.25">
      <c r="R3480" s="8" t="str">
        <f t="shared" si="108"/>
        <v/>
      </c>
      <c r="S3480" s="82" t="str">
        <f t="shared" si="109"/>
        <v/>
      </c>
    </row>
    <row r="3481" spans="18:19" x14ac:dyDescent="0.25">
      <c r="R3481" s="8" t="str">
        <f t="shared" si="108"/>
        <v/>
      </c>
      <c r="S3481" s="82" t="str">
        <f t="shared" si="109"/>
        <v/>
      </c>
    </row>
    <row r="3482" spans="18:19" x14ac:dyDescent="0.25">
      <c r="R3482" s="8" t="str">
        <f t="shared" si="108"/>
        <v/>
      </c>
      <c r="S3482" s="82" t="str">
        <f t="shared" si="109"/>
        <v/>
      </c>
    </row>
    <row r="3483" spans="18:19" x14ac:dyDescent="0.25">
      <c r="R3483" s="8" t="str">
        <f t="shared" si="108"/>
        <v/>
      </c>
      <c r="S3483" s="82" t="str">
        <f t="shared" si="109"/>
        <v/>
      </c>
    </row>
    <row r="3484" spans="18:19" x14ac:dyDescent="0.25">
      <c r="R3484" s="8" t="str">
        <f t="shared" si="108"/>
        <v/>
      </c>
      <c r="S3484" s="82" t="str">
        <f t="shared" si="109"/>
        <v/>
      </c>
    </row>
    <row r="3485" spans="18:19" x14ac:dyDescent="0.25">
      <c r="R3485" s="8" t="str">
        <f t="shared" si="108"/>
        <v/>
      </c>
      <c r="S3485" s="82" t="str">
        <f t="shared" si="109"/>
        <v/>
      </c>
    </row>
    <row r="3486" spans="18:19" x14ac:dyDescent="0.25">
      <c r="R3486" s="8" t="str">
        <f t="shared" si="108"/>
        <v/>
      </c>
      <c r="S3486" s="82" t="str">
        <f t="shared" si="109"/>
        <v/>
      </c>
    </row>
    <row r="3487" spans="18:19" x14ac:dyDescent="0.25">
      <c r="R3487" s="8" t="str">
        <f t="shared" si="108"/>
        <v/>
      </c>
      <c r="S3487" s="82" t="str">
        <f t="shared" si="109"/>
        <v/>
      </c>
    </row>
    <row r="3488" spans="18:19" x14ac:dyDescent="0.25">
      <c r="R3488" s="8" t="str">
        <f t="shared" si="108"/>
        <v/>
      </c>
      <c r="S3488" s="82" t="str">
        <f t="shared" si="109"/>
        <v/>
      </c>
    </row>
    <row r="3489" spans="18:19" x14ac:dyDescent="0.25">
      <c r="R3489" s="8" t="str">
        <f t="shared" si="108"/>
        <v/>
      </c>
      <c r="S3489" s="82" t="str">
        <f t="shared" si="109"/>
        <v/>
      </c>
    </row>
    <row r="3490" spans="18:19" x14ac:dyDescent="0.25">
      <c r="R3490" s="8" t="str">
        <f t="shared" si="108"/>
        <v/>
      </c>
      <c r="S3490" s="82" t="str">
        <f t="shared" si="109"/>
        <v/>
      </c>
    </row>
    <row r="3491" spans="18:19" x14ac:dyDescent="0.25">
      <c r="R3491" s="8" t="str">
        <f t="shared" si="108"/>
        <v/>
      </c>
      <c r="S3491" s="82" t="str">
        <f t="shared" si="109"/>
        <v/>
      </c>
    </row>
    <row r="3492" spans="18:19" x14ac:dyDescent="0.25">
      <c r="R3492" s="8" t="str">
        <f t="shared" si="108"/>
        <v/>
      </c>
      <c r="S3492" s="82" t="str">
        <f t="shared" si="109"/>
        <v/>
      </c>
    </row>
    <row r="3493" spans="18:19" x14ac:dyDescent="0.25">
      <c r="R3493" s="8" t="str">
        <f t="shared" si="108"/>
        <v/>
      </c>
      <c r="S3493" s="82" t="str">
        <f t="shared" si="109"/>
        <v/>
      </c>
    </row>
    <row r="3494" spans="18:19" x14ac:dyDescent="0.25">
      <c r="R3494" s="8" t="str">
        <f t="shared" si="108"/>
        <v/>
      </c>
      <c r="S3494" s="82" t="str">
        <f t="shared" si="109"/>
        <v/>
      </c>
    </row>
    <row r="3495" spans="18:19" x14ac:dyDescent="0.25">
      <c r="R3495" s="8" t="str">
        <f t="shared" si="108"/>
        <v/>
      </c>
      <c r="S3495" s="82" t="str">
        <f t="shared" si="109"/>
        <v/>
      </c>
    </row>
    <row r="3496" spans="18:19" x14ac:dyDescent="0.25">
      <c r="R3496" s="8" t="str">
        <f t="shared" si="108"/>
        <v/>
      </c>
      <c r="S3496" s="82" t="str">
        <f t="shared" si="109"/>
        <v/>
      </c>
    </row>
    <row r="3497" spans="18:19" x14ac:dyDescent="0.25">
      <c r="R3497" s="8" t="str">
        <f t="shared" si="108"/>
        <v/>
      </c>
      <c r="S3497" s="82" t="str">
        <f t="shared" si="109"/>
        <v/>
      </c>
    </row>
    <row r="3498" spans="18:19" x14ac:dyDescent="0.25">
      <c r="R3498" s="8" t="str">
        <f t="shared" si="108"/>
        <v/>
      </c>
      <c r="S3498" s="82" t="str">
        <f t="shared" si="109"/>
        <v/>
      </c>
    </row>
    <row r="3499" spans="18:19" x14ac:dyDescent="0.25">
      <c r="R3499" s="8" t="str">
        <f t="shared" si="108"/>
        <v/>
      </c>
      <c r="S3499" s="82" t="str">
        <f t="shared" si="109"/>
        <v/>
      </c>
    </row>
    <row r="3500" spans="18:19" x14ac:dyDescent="0.25">
      <c r="R3500" s="8" t="str">
        <f t="shared" si="108"/>
        <v/>
      </c>
      <c r="S3500" s="82" t="str">
        <f t="shared" si="109"/>
        <v/>
      </c>
    </row>
    <row r="3501" spans="18:19" x14ac:dyDescent="0.25">
      <c r="R3501" s="8" t="str">
        <f t="shared" si="108"/>
        <v/>
      </c>
      <c r="S3501" s="82" t="str">
        <f t="shared" si="109"/>
        <v/>
      </c>
    </row>
    <row r="3502" spans="18:19" x14ac:dyDescent="0.25">
      <c r="R3502" s="8" t="str">
        <f t="shared" si="108"/>
        <v/>
      </c>
      <c r="S3502" s="82" t="str">
        <f t="shared" si="109"/>
        <v/>
      </c>
    </row>
    <row r="3503" spans="18:19" x14ac:dyDescent="0.25">
      <c r="R3503" s="8" t="str">
        <f t="shared" si="108"/>
        <v/>
      </c>
      <c r="S3503" s="82" t="str">
        <f t="shared" si="109"/>
        <v/>
      </c>
    </row>
    <row r="3504" spans="18:19" x14ac:dyDescent="0.25">
      <c r="R3504" s="8" t="str">
        <f t="shared" si="108"/>
        <v/>
      </c>
      <c r="S3504" s="82" t="str">
        <f t="shared" si="109"/>
        <v/>
      </c>
    </row>
    <row r="3505" spans="18:19" x14ac:dyDescent="0.25">
      <c r="R3505" s="8" t="str">
        <f t="shared" si="108"/>
        <v/>
      </c>
      <c r="S3505" s="82" t="str">
        <f t="shared" si="109"/>
        <v/>
      </c>
    </row>
    <row r="3506" spans="18:19" x14ac:dyDescent="0.25">
      <c r="R3506" s="8" t="str">
        <f t="shared" si="108"/>
        <v/>
      </c>
      <c r="S3506" s="82" t="str">
        <f t="shared" si="109"/>
        <v/>
      </c>
    </row>
    <row r="3507" spans="18:19" x14ac:dyDescent="0.25">
      <c r="R3507" s="8" t="str">
        <f t="shared" si="108"/>
        <v/>
      </c>
      <c r="S3507" s="82" t="str">
        <f t="shared" si="109"/>
        <v/>
      </c>
    </row>
    <row r="3508" spans="18:19" x14ac:dyDescent="0.25">
      <c r="R3508" s="8" t="str">
        <f t="shared" si="108"/>
        <v/>
      </c>
      <c r="S3508" s="82" t="str">
        <f t="shared" si="109"/>
        <v/>
      </c>
    </row>
    <row r="3509" spans="18:19" x14ac:dyDescent="0.25">
      <c r="R3509" s="8" t="str">
        <f t="shared" si="108"/>
        <v/>
      </c>
      <c r="S3509" s="82" t="str">
        <f t="shared" si="109"/>
        <v/>
      </c>
    </row>
    <row r="3510" spans="18:19" x14ac:dyDescent="0.25">
      <c r="R3510" s="8" t="str">
        <f t="shared" si="108"/>
        <v/>
      </c>
      <c r="S3510" s="82" t="str">
        <f t="shared" si="109"/>
        <v/>
      </c>
    </row>
    <row r="3511" spans="18:19" x14ac:dyDescent="0.25">
      <c r="R3511" s="8" t="str">
        <f t="shared" si="108"/>
        <v/>
      </c>
      <c r="S3511" s="82" t="str">
        <f t="shared" si="109"/>
        <v/>
      </c>
    </row>
    <row r="3512" spans="18:19" x14ac:dyDescent="0.25">
      <c r="R3512" s="8" t="str">
        <f t="shared" si="108"/>
        <v/>
      </c>
      <c r="S3512" s="82" t="str">
        <f t="shared" si="109"/>
        <v/>
      </c>
    </row>
    <row r="3513" spans="18:19" x14ac:dyDescent="0.25">
      <c r="R3513" s="8" t="str">
        <f t="shared" si="108"/>
        <v/>
      </c>
      <c r="S3513" s="82" t="str">
        <f t="shared" si="109"/>
        <v/>
      </c>
    </row>
    <row r="3514" spans="18:19" x14ac:dyDescent="0.25">
      <c r="R3514" s="8" t="str">
        <f t="shared" si="108"/>
        <v/>
      </c>
      <c r="S3514" s="82" t="str">
        <f t="shared" si="109"/>
        <v/>
      </c>
    </row>
    <row r="3515" spans="18:19" x14ac:dyDescent="0.25">
      <c r="R3515" s="8" t="str">
        <f t="shared" si="108"/>
        <v/>
      </c>
      <c r="S3515" s="82" t="str">
        <f t="shared" si="109"/>
        <v/>
      </c>
    </row>
    <row r="3516" spans="18:19" x14ac:dyDescent="0.25">
      <c r="R3516" s="8" t="str">
        <f t="shared" si="108"/>
        <v/>
      </c>
      <c r="S3516" s="82" t="str">
        <f t="shared" si="109"/>
        <v/>
      </c>
    </row>
    <row r="3517" spans="18:19" x14ac:dyDescent="0.25">
      <c r="R3517" s="8" t="str">
        <f t="shared" si="108"/>
        <v/>
      </c>
      <c r="S3517" s="82" t="str">
        <f t="shared" si="109"/>
        <v/>
      </c>
    </row>
    <row r="3518" spans="18:19" x14ac:dyDescent="0.25">
      <c r="R3518" s="8" t="str">
        <f t="shared" si="108"/>
        <v/>
      </c>
      <c r="S3518" s="82" t="str">
        <f t="shared" si="109"/>
        <v/>
      </c>
    </row>
    <row r="3519" spans="18:19" x14ac:dyDescent="0.25">
      <c r="R3519" s="8" t="str">
        <f t="shared" si="108"/>
        <v/>
      </c>
      <c r="S3519" s="82" t="str">
        <f t="shared" si="109"/>
        <v/>
      </c>
    </row>
    <row r="3520" spans="18:19" x14ac:dyDescent="0.25">
      <c r="R3520" s="8" t="str">
        <f t="shared" si="108"/>
        <v/>
      </c>
      <c r="S3520" s="82" t="str">
        <f t="shared" si="109"/>
        <v/>
      </c>
    </row>
    <row r="3521" spans="18:19" x14ac:dyDescent="0.25">
      <c r="R3521" s="8" t="str">
        <f t="shared" si="108"/>
        <v/>
      </c>
      <c r="S3521" s="82" t="str">
        <f t="shared" si="109"/>
        <v/>
      </c>
    </row>
    <row r="3522" spans="18:19" x14ac:dyDescent="0.25">
      <c r="R3522" s="8" t="str">
        <f t="shared" si="108"/>
        <v/>
      </c>
      <c r="S3522" s="82" t="str">
        <f t="shared" si="109"/>
        <v/>
      </c>
    </row>
    <row r="3523" spans="18:19" x14ac:dyDescent="0.25">
      <c r="R3523" s="8" t="str">
        <f t="shared" si="108"/>
        <v/>
      </c>
      <c r="S3523" s="82" t="str">
        <f t="shared" si="109"/>
        <v/>
      </c>
    </row>
    <row r="3524" spans="18:19" x14ac:dyDescent="0.25">
      <c r="R3524" s="8" t="str">
        <f t="shared" si="108"/>
        <v/>
      </c>
      <c r="S3524" s="82" t="str">
        <f t="shared" si="109"/>
        <v/>
      </c>
    </row>
    <row r="3525" spans="18:19" x14ac:dyDescent="0.25">
      <c r="R3525" s="8" t="str">
        <f t="shared" si="108"/>
        <v/>
      </c>
      <c r="S3525" s="82" t="str">
        <f t="shared" si="109"/>
        <v/>
      </c>
    </row>
    <row r="3526" spans="18:19" x14ac:dyDescent="0.25">
      <c r="R3526" s="8" t="str">
        <f t="shared" si="108"/>
        <v/>
      </c>
      <c r="S3526" s="82" t="str">
        <f t="shared" si="109"/>
        <v/>
      </c>
    </row>
    <row r="3527" spans="18:19" x14ac:dyDescent="0.25">
      <c r="R3527" s="8" t="str">
        <f t="shared" si="108"/>
        <v/>
      </c>
      <c r="S3527" s="82" t="str">
        <f t="shared" si="109"/>
        <v/>
      </c>
    </row>
    <row r="3528" spans="18:19" x14ac:dyDescent="0.25">
      <c r="R3528" s="8" t="str">
        <f t="shared" ref="R3528:R3591" si="110">IF(A3528="",(""),(MONTH(A3528)))</f>
        <v/>
      </c>
      <c r="S3528" s="82" t="str">
        <f t="shared" ref="S3528:S3591" si="111">IF(B3528="",(""),IF(B3528="3 - Nota de Crédito A",-Q3528,IF(B3528="8 - Nota de Crédito B",-Q3528,(Q3528))))</f>
        <v/>
      </c>
    </row>
    <row r="3529" spans="18:19" x14ac:dyDescent="0.25">
      <c r="R3529" s="8" t="str">
        <f t="shared" si="110"/>
        <v/>
      </c>
      <c r="S3529" s="82" t="str">
        <f t="shared" si="111"/>
        <v/>
      </c>
    </row>
    <row r="3530" spans="18:19" x14ac:dyDescent="0.25">
      <c r="R3530" s="8" t="str">
        <f t="shared" si="110"/>
        <v/>
      </c>
      <c r="S3530" s="82" t="str">
        <f t="shared" si="111"/>
        <v/>
      </c>
    </row>
    <row r="3531" spans="18:19" x14ac:dyDescent="0.25">
      <c r="R3531" s="8" t="str">
        <f t="shared" si="110"/>
        <v/>
      </c>
      <c r="S3531" s="82" t="str">
        <f t="shared" si="111"/>
        <v/>
      </c>
    </row>
    <row r="3532" spans="18:19" x14ac:dyDescent="0.25">
      <c r="R3532" s="8" t="str">
        <f t="shared" si="110"/>
        <v/>
      </c>
      <c r="S3532" s="82" t="str">
        <f t="shared" si="111"/>
        <v/>
      </c>
    </row>
    <row r="3533" spans="18:19" x14ac:dyDescent="0.25">
      <c r="R3533" s="8" t="str">
        <f t="shared" si="110"/>
        <v/>
      </c>
      <c r="S3533" s="82" t="str">
        <f t="shared" si="111"/>
        <v/>
      </c>
    </row>
    <row r="3534" spans="18:19" x14ac:dyDescent="0.25">
      <c r="R3534" s="8" t="str">
        <f t="shared" si="110"/>
        <v/>
      </c>
      <c r="S3534" s="82" t="str">
        <f t="shared" si="111"/>
        <v/>
      </c>
    </row>
    <row r="3535" spans="18:19" x14ac:dyDescent="0.25">
      <c r="R3535" s="8" t="str">
        <f t="shared" si="110"/>
        <v/>
      </c>
      <c r="S3535" s="82" t="str">
        <f t="shared" si="111"/>
        <v/>
      </c>
    </row>
    <row r="3536" spans="18:19" x14ac:dyDescent="0.25">
      <c r="R3536" s="8" t="str">
        <f t="shared" si="110"/>
        <v/>
      </c>
      <c r="S3536" s="82" t="str">
        <f t="shared" si="111"/>
        <v/>
      </c>
    </row>
    <row r="3537" spans="18:19" x14ac:dyDescent="0.25">
      <c r="R3537" s="8" t="str">
        <f t="shared" si="110"/>
        <v/>
      </c>
      <c r="S3537" s="82" t="str">
        <f t="shared" si="111"/>
        <v/>
      </c>
    </row>
    <row r="3538" spans="18:19" x14ac:dyDescent="0.25">
      <c r="R3538" s="8" t="str">
        <f t="shared" si="110"/>
        <v/>
      </c>
      <c r="S3538" s="82" t="str">
        <f t="shared" si="111"/>
        <v/>
      </c>
    </row>
    <row r="3539" spans="18:19" x14ac:dyDescent="0.25">
      <c r="R3539" s="8" t="str">
        <f t="shared" si="110"/>
        <v/>
      </c>
      <c r="S3539" s="82" t="str">
        <f t="shared" si="111"/>
        <v/>
      </c>
    </row>
    <row r="3540" spans="18:19" x14ac:dyDescent="0.25">
      <c r="R3540" s="8" t="str">
        <f t="shared" si="110"/>
        <v/>
      </c>
      <c r="S3540" s="82" t="str">
        <f t="shared" si="111"/>
        <v/>
      </c>
    </row>
    <row r="3541" spans="18:19" x14ac:dyDescent="0.25">
      <c r="R3541" s="8" t="str">
        <f t="shared" si="110"/>
        <v/>
      </c>
      <c r="S3541" s="82" t="str">
        <f t="shared" si="111"/>
        <v/>
      </c>
    </row>
    <row r="3542" spans="18:19" x14ac:dyDescent="0.25">
      <c r="R3542" s="8" t="str">
        <f t="shared" si="110"/>
        <v/>
      </c>
      <c r="S3542" s="82" t="str">
        <f t="shared" si="111"/>
        <v/>
      </c>
    </row>
    <row r="3543" spans="18:19" x14ac:dyDescent="0.25">
      <c r="R3543" s="8" t="str">
        <f t="shared" si="110"/>
        <v/>
      </c>
      <c r="S3543" s="82" t="str">
        <f t="shared" si="111"/>
        <v/>
      </c>
    </row>
    <row r="3544" spans="18:19" x14ac:dyDescent="0.25">
      <c r="R3544" s="8" t="str">
        <f t="shared" si="110"/>
        <v/>
      </c>
      <c r="S3544" s="82" t="str">
        <f t="shared" si="111"/>
        <v/>
      </c>
    </row>
    <row r="3545" spans="18:19" x14ac:dyDescent="0.25">
      <c r="R3545" s="8" t="str">
        <f t="shared" si="110"/>
        <v/>
      </c>
      <c r="S3545" s="82" t="str">
        <f t="shared" si="111"/>
        <v/>
      </c>
    </row>
    <row r="3546" spans="18:19" x14ac:dyDescent="0.25">
      <c r="R3546" s="8" t="str">
        <f t="shared" si="110"/>
        <v/>
      </c>
      <c r="S3546" s="82" t="str">
        <f t="shared" si="111"/>
        <v/>
      </c>
    </row>
    <row r="3547" spans="18:19" x14ac:dyDescent="0.25">
      <c r="R3547" s="8" t="str">
        <f t="shared" si="110"/>
        <v/>
      </c>
      <c r="S3547" s="82" t="str">
        <f t="shared" si="111"/>
        <v/>
      </c>
    </row>
    <row r="3548" spans="18:19" x14ac:dyDescent="0.25">
      <c r="R3548" s="8" t="str">
        <f t="shared" si="110"/>
        <v/>
      </c>
      <c r="S3548" s="82" t="str">
        <f t="shared" si="111"/>
        <v/>
      </c>
    </row>
    <row r="3549" spans="18:19" x14ac:dyDescent="0.25">
      <c r="R3549" s="8" t="str">
        <f t="shared" si="110"/>
        <v/>
      </c>
      <c r="S3549" s="82" t="str">
        <f t="shared" si="111"/>
        <v/>
      </c>
    </row>
    <row r="3550" spans="18:19" x14ac:dyDescent="0.25">
      <c r="R3550" s="8" t="str">
        <f t="shared" si="110"/>
        <v/>
      </c>
      <c r="S3550" s="82" t="str">
        <f t="shared" si="111"/>
        <v/>
      </c>
    </row>
    <row r="3551" spans="18:19" x14ac:dyDescent="0.25">
      <c r="R3551" s="8" t="str">
        <f t="shared" si="110"/>
        <v/>
      </c>
      <c r="S3551" s="82" t="str">
        <f t="shared" si="111"/>
        <v/>
      </c>
    </row>
    <row r="3552" spans="18:19" x14ac:dyDescent="0.25">
      <c r="R3552" s="8" t="str">
        <f t="shared" si="110"/>
        <v/>
      </c>
      <c r="S3552" s="82" t="str">
        <f t="shared" si="111"/>
        <v/>
      </c>
    </row>
    <row r="3553" spans="18:19" x14ac:dyDescent="0.25">
      <c r="R3553" s="8" t="str">
        <f t="shared" si="110"/>
        <v/>
      </c>
      <c r="S3553" s="82" t="str">
        <f t="shared" si="111"/>
        <v/>
      </c>
    </row>
    <row r="3554" spans="18:19" x14ac:dyDescent="0.25">
      <c r="R3554" s="8" t="str">
        <f t="shared" si="110"/>
        <v/>
      </c>
      <c r="S3554" s="82" t="str">
        <f t="shared" si="111"/>
        <v/>
      </c>
    </row>
    <row r="3555" spans="18:19" x14ac:dyDescent="0.25">
      <c r="R3555" s="8" t="str">
        <f t="shared" si="110"/>
        <v/>
      </c>
      <c r="S3555" s="82" t="str">
        <f t="shared" si="111"/>
        <v/>
      </c>
    </row>
    <row r="3556" spans="18:19" x14ac:dyDescent="0.25">
      <c r="R3556" s="8" t="str">
        <f t="shared" si="110"/>
        <v/>
      </c>
      <c r="S3556" s="82" t="str">
        <f t="shared" si="111"/>
        <v/>
      </c>
    </row>
    <row r="3557" spans="18:19" x14ac:dyDescent="0.25">
      <c r="R3557" s="8" t="str">
        <f t="shared" si="110"/>
        <v/>
      </c>
      <c r="S3557" s="82" t="str">
        <f t="shared" si="111"/>
        <v/>
      </c>
    </row>
    <row r="3558" spans="18:19" x14ac:dyDescent="0.25">
      <c r="R3558" s="8" t="str">
        <f t="shared" si="110"/>
        <v/>
      </c>
      <c r="S3558" s="82" t="str">
        <f t="shared" si="111"/>
        <v/>
      </c>
    </row>
    <row r="3559" spans="18:19" x14ac:dyDescent="0.25">
      <c r="R3559" s="8" t="str">
        <f t="shared" si="110"/>
        <v/>
      </c>
      <c r="S3559" s="82" t="str">
        <f t="shared" si="111"/>
        <v/>
      </c>
    </row>
    <row r="3560" spans="18:19" x14ac:dyDescent="0.25">
      <c r="R3560" s="8" t="str">
        <f t="shared" si="110"/>
        <v/>
      </c>
      <c r="S3560" s="82" t="str">
        <f t="shared" si="111"/>
        <v/>
      </c>
    </row>
    <row r="3561" spans="18:19" x14ac:dyDescent="0.25">
      <c r="R3561" s="8" t="str">
        <f t="shared" si="110"/>
        <v/>
      </c>
      <c r="S3561" s="82" t="str">
        <f t="shared" si="111"/>
        <v/>
      </c>
    </row>
    <row r="3562" spans="18:19" x14ac:dyDescent="0.25">
      <c r="R3562" s="8" t="str">
        <f t="shared" si="110"/>
        <v/>
      </c>
      <c r="S3562" s="82" t="str">
        <f t="shared" si="111"/>
        <v/>
      </c>
    </row>
    <row r="3563" spans="18:19" x14ac:dyDescent="0.25">
      <c r="R3563" s="8" t="str">
        <f t="shared" si="110"/>
        <v/>
      </c>
      <c r="S3563" s="82" t="str">
        <f t="shared" si="111"/>
        <v/>
      </c>
    </row>
    <row r="3564" spans="18:19" x14ac:dyDescent="0.25">
      <c r="R3564" s="8" t="str">
        <f t="shared" si="110"/>
        <v/>
      </c>
      <c r="S3564" s="82" t="str">
        <f t="shared" si="111"/>
        <v/>
      </c>
    </row>
    <row r="3565" spans="18:19" x14ac:dyDescent="0.25">
      <c r="R3565" s="8" t="str">
        <f t="shared" si="110"/>
        <v/>
      </c>
      <c r="S3565" s="82" t="str">
        <f t="shared" si="111"/>
        <v/>
      </c>
    </row>
    <row r="3566" spans="18:19" x14ac:dyDescent="0.25">
      <c r="R3566" s="8" t="str">
        <f t="shared" si="110"/>
        <v/>
      </c>
      <c r="S3566" s="82" t="str">
        <f t="shared" si="111"/>
        <v/>
      </c>
    </row>
    <row r="3567" spans="18:19" x14ac:dyDescent="0.25">
      <c r="R3567" s="8" t="str">
        <f t="shared" si="110"/>
        <v/>
      </c>
      <c r="S3567" s="82" t="str">
        <f t="shared" si="111"/>
        <v/>
      </c>
    </row>
    <row r="3568" spans="18:19" x14ac:dyDescent="0.25">
      <c r="R3568" s="8" t="str">
        <f t="shared" si="110"/>
        <v/>
      </c>
      <c r="S3568" s="82" t="str">
        <f t="shared" si="111"/>
        <v/>
      </c>
    </row>
    <row r="3569" spans="18:19" x14ac:dyDescent="0.25">
      <c r="R3569" s="8" t="str">
        <f t="shared" si="110"/>
        <v/>
      </c>
      <c r="S3569" s="82" t="str">
        <f t="shared" si="111"/>
        <v/>
      </c>
    </row>
    <row r="3570" spans="18:19" x14ac:dyDescent="0.25">
      <c r="R3570" s="8" t="str">
        <f t="shared" si="110"/>
        <v/>
      </c>
      <c r="S3570" s="82" t="str">
        <f t="shared" si="111"/>
        <v/>
      </c>
    </row>
    <row r="3571" spans="18:19" x14ac:dyDescent="0.25">
      <c r="R3571" s="8" t="str">
        <f t="shared" si="110"/>
        <v/>
      </c>
      <c r="S3571" s="82" t="str">
        <f t="shared" si="111"/>
        <v/>
      </c>
    </row>
    <row r="3572" spans="18:19" x14ac:dyDescent="0.25">
      <c r="R3572" s="8" t="str">
        <f t="shared" si="110"/>
        <v/>
      </c>
      <c r="S3572" s="82" t="str">
        <f t="shared" si="111"/>
        <v/>
      </c>
    </row>
    <row r="3573" spans="18:19" x14ac:dyDescent="0.25">
      <c r="R3573" s="8" t="str">
        <f t="shared" si="110"/>
        <v/>
      </c>
      <c r="S3573" s="82" t="str">
        <f t="shared" si="111"/>
        <v/>
      </c>
    </row>
    <row r="3574" spans="18:19" x14ac:dyDescent="0.25">
      <c r="R3574" s="8" t="str">
        <f t="shared" si="110"/>
        <v/>
      </c>
      <c r="S3574" s="82" t="str">
        <f t="shared" si="111"/>
        <v/>
      </c>
    </row>
    <row r="3575" spans="18:19" x14ac:dyDescent="0.25">
      <c r="R3575" s="8" t="str">
        <f t="shared" si="110"/>
        <v/>
      </c>
      <c r="S3575" s="82" t="str">
        <f t="shared" si="111"/>
        <v/>
      </c>
    </row>
    <row r="3576" spans="18:19" x14ac:dyDescent="0.25">
      <c r="R3576" s="8" t="str">
        <f t="shared" si="110"/>
        <v/>
      </c>
      <c r="S3576" s="82" t="str">
        <f t="shared" si="111"/>
        <v/>
      </c>
    </row>
    <row r="3577" spans="18:19" x14ac:dyDescent="0.25">
      <c r="R3577" s="8" t="str">
        <f t="shared" si="110"/>
        <v/>
      </c>
      <c r="S3577" s="82" t="str">
        <f t="shared" si="111"/>
        <v/>
      </c>
    </row>
    <row r="3578" spans="18:19" x14ac:dyDescent="0.25">
      <c r="R3578" s="8" t="str">
        <f t="shared" si="110"/>
        <v/>
      </c>
      <c r="S3578" s="82" t="str">
        <f t="shared" si="111"/>
        <v/>
      </c>
    </row>
    <row r="3579" spans="18:19" x14ac:dyDescent="0.25">
      <c r="R3579" s="8" t="str">
        <f t="shared" si="110"/>
        <v/>
      </c>
      <c r="S3579" s="82" t="str">
        <f t="shared" si="111"/>
        <v/>
      </c>
    </row>
    <row r="3580" spans="18:19" x14ac:dyDescent="0.25">
      <c r="R3580" s="8" t="str">
        <f t="shared" si="110"/>
        <v/>
      </c>
      <c r="S3580" s="82" t="str">
        <f t="shared" si="111"/>
        <v/>
      </c>
    </row>
    <row r="3581" spans="18:19" x14ac:dyDescent="0.25">
      <c r="R3581" s="8" t="str">
        <f t="shared" si="110"/>
        <v/>
      </c>
      <c r="S3581" s="82" t="str">
        <f t="shared" si="111"/>
        <v/>
      </c>
    </row>
    <row r="3582" spans="18:19" x14ac:dyDescent="0.25">
      <c r="R3582" s="8" t="str">
        <f t="shared" si="110"/>
        <v/>
      </c>
      <c r="S3582" s="82" t="str">
        <f t="shared" si="111"/>
        <v/>
      </c>
    </row>
    <row r="3583" spans="18:19" x14ac:dyDescent="0.25">
      <c r="R3583" s="8" t="str">
        <f t="shared" si="110"/>
        <v/>
      </c>
      <c r="S3583" s="82" t="str">
        <f t="shared" si="111"/>
        <v/>
      </c>
    </row>
    <row r="3584" spans="18:19" x14ac:dyDescent="0.25">
      <c r="R3584" s="8" t="str">
        <f t="shared" si="110"/>
        <v/>
      </c>
      <c r="S3584" s="82" t="str">
        <f t="shared" si="111"/>
        <v/>
      </c>
    </row>
    <row r="3585" spans="18:19" x14ac:dyDescent="0.25">
      <c r="R3585" s="8" t="str">
        <f t="shared" si="110"/>
        <v/>
      </c>
      <c r="S3585" s="82" t="str">
        <f t="shared" si="111"/>
        <v/>
      </c>
    </row>
    <row r="3586" spans="18:19" x14ac:dyDescent="0.25">
      <c r="R3586" s="8" t="str">
        <f t="shared" si="110"/>
        <v/>
      </c>
      <c r="S3586" s="82" t="str">
        <f t="shared" si="111"/>
        <v/>
      </c>
    </row>
    <row r="3587" spans="18:19" x14ac:dyDescent="0.25">
      <c r="R3587" s="8" t="str">
        <f t="shared" si="110"/>
        <v/>
      </c>
      <c r="S3587" s="82" t="str">
        <f t="shared" si="111"/>
        <v/>
      </c>
    </row>
    <row r="3588" spans="18:19" x14ac:dyDescent="0.25">
      <c r="R3588" s="8" t="str">
        <f t="shared" si="110"/>
        <v/>
      </c>
      <c r="S3588" s="82" t="str">
        <f t="shared" si="111"/>
        <v/>
      </c>
    </row>
    <row r="3589" spans="18:19" x14ac:dyDescent="0.25">
      <c r="R3589" s="8" t="str">
        <f t="shared" si="110"/>
        <v/>
      </c>
      <c r="S3589" s="82" t="str">
        <f t="shared" si="111"/>
        <v/>
      </c>
    </row>
    <row r="3590" spans="18:19" x14ac:dyDescent="0.25">
      <c r="R3590" s="8" t="str">
        <f t="shared" si="110"/>
        <v/>
      </c>
      <c r="S3590" s="82" t="str">
        <f t="shared" si="111"/>
        <v/>
      </c>
    </row>
    <row r="3591" spans="18:19" x14ac:dyDescent="0.25">
      <c r="R3591" s="8" t="str">
        <f t="shared" si="110"/>
        <v/>
      </c>
      <c r="S3591" s="82" t="str">
        <f t="shared" si="111"/>
        <v/>
      </c>
    </row>
    <row r="3592" spans="18:19" x14ac:dyDescent="0.25">
      <c r="R3592" s="8" t="str">
        <f t="shared" ref="R3592:R3655" si="112">IF(A3592="",(""),(MONTH(A3592)))</f>
        <v/>
      </c>
      <c r="S3592" s="82" t="str">
        <f t="shared" ref="S3592:S3655" si="113">IF(B3592="",(""),IF(B3592="3 - Nota de Crédito A",-Q3592,IF(B3592="8 - Nota de Crédito B",-Q3592,(Q3592))))</f>
        <v/>
      </c>
    </row>
    <row r="3593" spans="18:19" x14ac:dyDescent="0.25">
      <c r="R3593" s="8" t="str">
        <f t="shared" si="112"/>
        <v/>
      </c>
      <c r="S3593" s="82" t="str">
        <f t="shared" si="113"/>
        <v/>
      </c>
    </row>
    <row r="3594" spans="18:19" x14ac:dyDescent="0.25">
      <c r="R3594" s="8" t="str">
        <f t="shared" si="112"/>
        <v/>
      </c>
      <c r="S3594" s="82" t="str">
        <f t="shared" si="113"/>
        <v/>
      </c>
    </row>
    <row r="3595" spans="18:19" x14ac:dyDescent="0.25">
      <c r="R3595" s="8" t="str">
        <f t="shared" si="112"/>
        <v/>
      </c>
      <c r="S3595" s="82" t="str">
        <f t="shared" si="113"/>
        <v/>
      </c>
    </row>
    <row r="3596" spans="18:19" x14ac:dyDescent="0.25">
      <c r="R3596" s="8" t="str">
        <f t="shared" si="112"/>
        <v/>
      </c>
      <c r="S3596" s="82" t="str">
        <f t="shared" si="113"/>
        <v/>
      </c>
    </row>
    <row r="3597" spans="18:19" x14ac:dyDescent="0.25">
      <c r="R3597" s="8" t="str">
        <f t="shared" si="112"/>
        <v/>
      </c>
      <c r="S3597" s="82" t="str">
        <f t="shared" si="113"/>
        <v/>
      </c>
    </row>
    <row r="3598" spans="18:19" x14ac:dyDescent="0.25">
      <c r="R3598" s="8" t="str">
        <f t="shared" si="112"/>
        <v/>
      </c>
      <c r="S3598" s="82" t="str">
        <f t="shared" si="113"/>
        <v/>
      </c>
    </row>
    <row r="3599" spans="18:19" x14ac:dyDescent="0.25">
      <c r="R3599" s="8" t="str">
        <f t="shared" si="112"/>
        <v/>
      </c>
      <c r="S3599" s="82" t="str">
        <f t="shared" si="113"/>
        <v/>
      </c>
    </row>
    <row r="3600" spans="18:19" x14ac:dyDescent="0.25">
      <c r="R3600" s="8" t="str">
        <f t="shared" si="112"/>
        <v/>
      </c>
      <c r="S3600" s="82" t="str">
        <f t="shared" si="113"/>
        <v/>
      </c>
    </row>
    <row r="3601" spans="18:19" x14ac:dyDescent="0.25">
      <c r="R3601" s="8" t="str">
        <f t="shared" si="112"/>
        <v/>
      </c>
      <c r="S3601" s="82" t="str">
        <f t="shared" si="113"/>
        <v/>
      </c>
    </row>
    <row r="3602" spans="18:19" x14ac:dyDescent="0.25">
      <c r="R3602" s="8" t="str">
        <f t="shared" si="112"/>
        <v/>
      </c>
      <c r="S3602" s="82" t="str">
        <f t="shared" si="113"/>
        <v/>
      </c>
    </row>
    <row r="3603" spans="18:19" x14ac:dyDescent="0.25">
      <c r="R3603" s="8" t="str">
        <f t="shared" si="112"/>
        <v/>
      </c>
      <c r="S3603" s="82" t="str">
        <f t="shared" si="113"/>
        <v/>
      </c>
    </row>
    <row r="3604" spans="18:19" x14ac:dyDescent="0.25">
      <c r="R3604" s="8" t="str">
        <f t="shared" si="112"/>
        <v/>
      </c>
      <c r="S3604" s="82" t="str">
        <f t="shared" si="113"/>
        <v/>
      </c>
    </row>
    <row r="3605" spans="18:19" x14ac:dyDescent="0.25">
      <c r="R3605" s="8" t="str">
        <f t="shared" si="112"/>
        <v/>
      </c>
      <c r="S3605" s="82" t="str">
        <f t="shared" si="113"/>
        <v/>
      </c>
    </row>
    <row r="3606" spans="18:19" x14ac:dyDescent="0.25">
      <c r="R3606" s="8" t="str">
        <f t="shared" si="112"/>
        <v/>
      </c>
      <c r="S3606" s="82" t="str">
        <f t="shared" si="113"/>
        <v/>
      </c>
    </row>
    <row r="3607" spans="18:19" x14ac:dyDescent="0.25">
      <c r="R3607" s="8" t="str">
        <f t="shared" si="112"/>
        <v/>
      </c>
      <c r="S3607" s="82" t="str">
        <f t="shared" si="113"/>
        <v/>
      </c>
    </row>
    <row r="3608" spans="18:19" x14ac:dyDescent="0.25">
      <c r="R3608" s="8" t="str">
        <f t="shared" si="112"/>
        <v/>
      </c>
      <c r="S3608" s="82" t="str">
        <f t="shared" si="113"/>
        <v/>
      </c>
    </row>
    <row r="3609" spans="18:19" x14ac:dyDescent="0.25">
      <c r="R3609" s="8" t="str">
        <f t="shared" si="112"/>
        <v/>
      </c>
      <c r="S3609" s="82" t="str">
        <f t="shared" si="113"/>
        <v/>
      </c>
    </row>
    <row r="3610" spans="18:19" x14ac:dyDescent="0.25">
      <c r="R3610" s="8" t="str">
        <f t="shared" si="112"/>
        <v/>
      </c>
      <c r="S3610" s="82" t="str">
        <f t="shared" si="113"/>
        <v/>
      </c>
    </row>
    <row r="3611" spans="18:19" x14ac:dyDescent="0.25">
      <c r="R3611" s="8" t="str">
        <f t="shared" si="112"/>
        <v/>
      </c>
      <c r="S3611" s="82" t="str">
        <f t="shared" si="113"/>
        <v/>
      </c>
    </row>
    <row r="3612" spans="18:19" x14ac:dyDescent="0.25">
      <c r="R3612" s="8" t="str">
        <f t="shared" si="112"/>
        <v/>
      </c>
      <c r="S3612" s="82" t="str">
        <f t="shared" si="113"/>
        <v/>
      </c>
    </row>
    <row r="3613" spans="18:19" x14ac:dyDescent="0.25">
      <c r="R3613" s="8" t="str">
        <f t="shared" si="112"/>
        <v/>
      </c>
      <c r="S3613" s="82" t="str">
        <f t="shared" si="113"/>
        <v/>
      </c>
    </row>
    <row r="3614" spans="18:19" x14ac:dyDescent="0.25">
      <c r="R3614" s="8" t="str">
        <f t="shared" si="112"/>
        <v/>
      </c>
      <c r="S3614" s="82" t="str">
        <f t="shared" si="113"/>
        <v/>
      </c>
    </row>
    <row r="3615" spans="18:19" x14ac:dyDescent="0.25">
      <c r="R3615" s="8" t="str">
        <f t="shared" si="112"/>
        <v/>
      </c>
      <c r="S3615" s="82" t="str">
        <f t="shared" si="113"/>
        <v/>
      </c>
    </row>
    <row r="3616" spans="18:19" x14ac:dyDescent="0.25">
      <c r="R3616" s="8" t="str">
        <f t="shared" si="112"/>
        <v/>
      </c>
      <c r="S3616" s="82" t="str">
        <f t="shared" si="113"/>
        <v/>
      </c>
    </row>
    <row r="3617" spans="18:19" x14ac:dyDescent="0.25">
      <c r="R3617" s="8" t="str">
        <f t="shared" si="112"/>
        <v/>
      </c>
      <c r="S3617" s="82" t="str">
        <f t="shared" si="113"/>
        <v/>
      </c>
    </row>
    <row r="3618" spans="18:19" x14ac:dyDescent="0.25">
      <c r="R3618" s="8" t="str">
        <f t="shared" si="112"/>
        <v/>
      </c>
      <c r="S3618" s="82" t="str">
        <f t="shared" si="113"/>
        <v/>
      </c>
    </row>
    <row r="3619" spans="18:19" x14ac:dyDescent="0.25">
      <c r="R3619" s="8" t="str">
        <f t="shared" si="112"/>
        <v/>
      </c>
      <c r="S3619" s="82" t="str">
        <f t="shared" si="113"/>
        <v/>
      </c>
    </row>
    <row r="3620" spans="18:19" x14ac:dyDescent="0.25">
      <c r="R3620" s="8" t="str">
        <f t="shared" si="112"/>
        <v/>
      </c>
      <c r="S3620" s="82" t="str">
        <f t="shared" si="113"/>
        <v/>
      </c>
    </row>
    <row r="3621" spans="18:19" x14ac:dyDescent="0.25">
      <c r="R3621" s="8" t="str">
        <f t="shared" si="112"/>
        <v/>
      </c>
      <c r="S3621" s="82" t="str">
        <f t="shared" si="113"/>
        <v/>
      </c>
    </row>
    <row r="3622" spans="18:19" x14ac:dyDescent="0.25">
      <c r="R3622" s="8" t="str">
        <f t="shared" si="112"/>
        <v/>
      </c>
      <c r="S3622" s="82" t="str">
        <f t="shared" si="113"/>
        <v/>
      </c>
    </row>
    <row r="3623" spans="18:19" x14ac:dyDescent="0.25">
      <c r="R3623" s="8" t="str">
        <f t="shared" si="112"/>
        <v/>
      </c>
      <c r="S3623" s="82" t="str">
        <f t="shared" si="113"/>
        <v/>
      </c>
    </row>
    <row r="3624" spans="18:19" x14ac:dyDescent="0.25">
      <c r="R3624" s="8" t="str">
        <f t="shared" si="112"/>
        <v/>
      </c>
      <c r="S3624" s="82" t="str">
        <f t="shared" si="113"/>
        <v/>
      </c>
    </row>
    <row r="3625" spans="18:19" x14ac:dyDescent="0.25">
      <c r="R3625" s="8" t="str">
        <f t="shared" si="112"/>
        <v/>
      </c>
      <c r="S3625" s="82" t="str">
        <f t="shared" si="113"/>
        <v/>
      </c>
    </row>
    <row r="3626" spans="18:19" x14ac:dyDescent="0.25">
      <c r="R3626" s="8" t="str">
        <f t="shared" si="112"/>
        <v/>
      </c>
      <c r="S3626" s="82" t="str">
        <f t="shared" si="113"/>
        <v/>
      </c>
    </row>
    <row r="3627" spans="18:19" x14ac:dyDescent="0.25">
      <c r="R3627" s="8" t="str">
        <f t="shared" si="112"/>
        <v/>
      </c>
      <c r="S3627" s="82" t="str">
        <f t="shared" si="113"/>
        <v/>
      </c>
    </row>
    <row r="3628" spans="18:19" x14ac:dyDescent="0.25">
      <c r="R3628" s="8" t="str">
        <f t="shared" si="112"/>
        <v/>
      </c>
      <c r="S3628" s="82" t="str">
        <f t="shared" si="113"/>
        <v/>
      </c>
    </row>
    <row r="3629" spans="18:19" x14ac:dyDescent="0.25">
      <c r="R3629" s="8" t="str">
        <f t="shared" si="112"/>
        <v/>
      </c>
      <c r="S3629" s="82" t="str">
        <f t="shared" si="113"/>
        <v/>
      </c>
    </row>
    <row r="3630" spans="18:19" x14ac:dyDescent="0.25">
      <c r="R3630" s="8" t="str">
        <f t="shared" si="112"/>
        <v/>
      </c>
      <c r="S3630" s="82" t="str">
        <f t="shared" si="113"/>
        <v/>
      </c>
    </row>
    <row r="3631" spans="18:19" x14ac:dyDescent="0.25">
      <c r="R3631" s="8" t="str">
        <f t="shared" si="112"/>
        <v/>
      </c>
      <c r="S3631" s="82" t="str">
        <f t="shared" si="113"/>
        <v/>
      </c>
    </row>
    <row r="3632" spans="18:19" x14ac:dyDescent="0.25">
      <c r="R3632" s="8" t="str">
        <f t="shared" si="112"/>
        <v/>
      </c>
      <c r="S3632" s="82" t="str">
        <f t="shared" si="113"/>
        <v/>
      </c>
    </row>
    <row r="3633" spans="18:19" x14ac:dyDescent="0.25">
      <c r="R3633" s="8" t="str">
        <f t="shared" si="112"/>
        <v/>
      </c>
      <c r="S3633" s="82" t="str">
        <f t="shared" si="113"/>
        <v/>
      </c>
    </row>
    <row r="3634" spans="18:19" x14ac:dyDescent="0.25">
      <c r="R3634" s="8" t="str">
        <f t="shared" si="112"/>
        <v/>
      </c>
      <c r="S3634" s="82" t="str">
        <f t="shared" si="113"/>
        <v/>
      </c>
    </row>
    <row r="3635" spans="18:19" x14ac:dyDescent="0.25">
      <c r="R3635" s="8" t="str">
        <f t="shared" si="112"/>
        <v/>
      </c>
      <c r="S3635" s="82" t="str">
        <f t="shared" si="113"/>
        <v/>
      </c>
    </row>
    <row r="3636" spans="18:19" x14ac:dyDescent="0.25">
      <c r="R3636" s="8" t="str">
        <f t="shared" si="112"/>
        <v/>
      </c>
      <c r="S3636" s="82" t="str">
        <f t="shared" si="113"/>
        <v/>
      </c>
    </row>
    <row r="3637" spans="18:19" x14ac:dyDescent="0.25">
      <c r="R3637" s="8" t="str">
        <f t="shared" si="112"/>
        <v/>
      </c>
      <c r="S3637" s="82" t="str">
        <f t="shared" si="113"/>
        <v/>
      </c>
    </row>
    <row r="3638" spans="18:19" x14ac:dyDescent="0.25">
      <c r="R3638" s="8" t="str">
        <f t="shared" si="112"/>
        <v/>
      </c>
      <c r="S3638" s="82" t="str">
        <f t="shared" si="113"/>
        <v/>
      </c>
    </row>
    <row r="3639" spans="18:19" x14ac:dyDescent="0.25">
      <c r="R3639" s="8" t="str">
        <f t="shared" si="112"/>
        <v/>
      </c>
      <c r="S3639" s="82" t="str">
        <f t="shared" si="113"/>
        <v/>
      </c>
    </row>
    <row r="3640" spans="18:19" x14ac:dyDescent="0.25">
      <c r="R3640" s="8" t="str">
        <f t="shared" si="112"/>
        <v/>
      </c>
      <c r="S3640" s="82" t="str">
        <f t="shared" si="113"/>
        <v/>
      </c>
    </row>
    <row r="3641" spans="18:19" x14ac:dyDescent="0.25">
      <c r="R3641" s="8" t="str">
        <f t="shared" si="112"/>
        <v/>
      </c>
      <c r="S3641" s="82" t="str">
        <f t="shared" si="113"/>
        <v/>
      </c>
    </row>
    <row r="3642" spans="18:19" x14ac:dyDescent="0.25">
      <c r="R3642" s="8" t="str">
        <f t="shared" si="112"/>
        <v/>
      </c>
      <c r="S3642" s="82" t="str">
        <f t="shared" si="113"/>
        <v/>
      </c>
    </row>
    <row r="3643" spans="18:19" x14ac:dyDescent="0.25">
      <c r="R3643" s="8" t="str">
        <f t="shared" si="112"/>
        <v/>
      </c>
      <c r="S3643" s="82" t="str">
        <f t="shared" si="113"/>
        <v/>
      </c>
    </row>
    <row r="3644" spans="18:19" x14ac:dyDescent="0.25">
      <c r="R3644" s="8" t="str">
        <f t="shared" si="112"/>
        <v/>
      </c>
      <c r="S3644" s="82" t="str">
        <f t="shared" si="113"/>
        <v/>
      </c>
    </row>
    <row r="3645" spans="18:19" x14ac:dyDescent="0.25">
      <c r="R3645" s="8" t="str">
        <f t="shared" si="112"/>
        <v/>
      </c>
      <c r="S3645" s="82" t="str">
        <f t="shared" si="113"/>
        <v/>
      </c>
    </row>
    <row r="3646" spans="18:19" x14ac:dyDescent="0.25">
      <c r="R3646" s="8" t="str">
        <f t="shared" si="112"/>
        <v/>
      </c>
      <c r="S3646" s="82" t="str">
        <f t="shared" si="113"/>
        <v/>
      </c>
    </row>
    <row r="3647" spans="18:19" x14ac:dyDescent="0.25">
      <c r="R3647" s="8" t="str">
        <f t="shared" si="112"/>
        <v/>
      </c>
      <c r="S3647" s="82" t="str">
        <f t="shared" si="113"/>
        <v/>
      </c>
    </row>
    <row r="3648" spans="18:19" x14ac:dyDescent="0.25">
      <c r="R3648" s="8" t="str">
        <f t="shared" si="112"/>
        <v/>
      </c>
      <c r="S3648" s="82" t="str">
        <f t="shared" si="113"/>
        <v/>
      </c>
    </row>
    <row r="3649" spans="18:19" x14ac:dyDescent="0.25">
      <c r="R3649" s="8" t="str">
        <f t="shared" si="112"/>
        <v/>
      </c>
      <c r="S3649" s="82" t="str">
        <f t="shared" si="113"/>
        <v/>
      </c>
    </row>
    <row r="3650" spans="18:19" x14ac:dyDescent="0.25">
      <c r="R3650" s="8" t="str">
        <f t="shared" si="112"/>
        <v/>
      </c>
      <c r="S3650" s="82" t="str">
        <f t="shared" si="113"/>
        <v/>
      </c>
    </row>
    <row r="3651" spans="18:19" x14ac:dyDescent="0.25">
      <c r="R3651" s="8" t="str">
        <f t="shared" si="112"/>
        <v/>
      </c>
      <c r="S3651" s="82" t="str">
        <f t="shared" si="113"/>
        <v/>
      </c>
    </row>
    <row r="3652" spans="18:19" x14ac:dyDescent="0.25">
      <c r="R3652" s="8" t="str">
        <f t="shared" si="112"/>
        <v/>
      </c>
      <c r="S3652" s="82" t="str">
        <f t="shared" si="113"/>
        <v/>
      </c>
    </row>
    <row r="3653" spans="18:19" x14ac:dyDescent="0.25">
      <c r="R3653" s="8" t="str">
        <f t="shared" si="112"/>
        <v/>
      </c>
      <c r="S3653" s="82" t="str">
        <f t="shared" si="113"/>
        <v/>
      </c>
    </row>
    <row r="3654" spans="18:19" x14ac:dyDescent="0.25">
      <c r="R3654" s="8" t="str">
        <f t="shared" si="112"/>
        <v/>
      </c>
      <c r="S3654" s="82" t="str">
        <f t="shared" si="113"/>
        <v/>
      </c>
    </row>
    <row r="3655" spans="18:19" x14ac:dyDescent="0.25">
      <c r="R3655" s="8" t="str">
        <f t="shared" si="112"/>
        <v/>
      </c>
      <c r="S3655" s="82" t="str">
        <f t="shared" si="113"/>
        <v/>
      </c>
    </row>
    <row r="3656" spans="18:19" x14ac:dyDescent="0.25">
      <c r="R3656" s="8" t="str">
        <f t="shared" ref="R3656:R3719" si="114">IF(A3656="",(""),(MONTH(A3656)))</f>
        <v/>
      </c>
      <c r="S3656" s="82" t="str">
        <f t="shared" ref="S3656:S3719" si="115">IF(B3656="",(""),IF(B3656="3 - Nota de Crédito A",-Q3656,IF(B3656="8 - Nota de Crédito B",-Q3656,(Q3656))))</f>
        <v/>
      </c>
    </row>
    <row r="3657" spans="18:19" x14ac:dyDescent="0.25">
      <c r="R3657" s="8" t="str">
        <f t="shared" si="114"/>
        <v/>
      </c>
      <c r="S3657" s="82" t="str">
        <f t="shared" si="115"/>
        <v/>
      </c>
    </row>
    <row r="3658" spans="18:19" x14ac:dyDescent="0.25">
      <c r="R3658" s="8" t="str">
        <f t="shared" si="114"/>
        <v/>
      </c>
      <c r="S3658" s="82" t="str">
        <f t="shared" si="115"/>
        <v/>
      </c>
    </row>
    <row r="3659" spans="18:19" x14ac:dyDescent="0.25">
      <c r="R3659" s="8" t="str">
        <f t="shared" si="114"/>
        <v/>
      </c>
      <c r="S3659" s="82" t="str">
        <f t="shared" si="115"/>
        <v/>
      </c>
    </row>
    <row r="3660" spans="18:19" x14ac:dyDescent="0.25">
      <c r="R3660" s="8" t="str">
        <f t="shared" si="114"/>
        <v/>
      </c>
      <c r="S3660" s="82" t="str">
        <f t="shared" si="115"/>
        <v/>
      </c>
    </row>
    <row r="3661" spans="18:19" x14ac:dyDescent="0.25">
      <c r="R3661" s="8" t="str">
        <f t="shared" si="114"/>
        <v/>
      </c>
      <c r="S3661" s="82" t="str">
        <f t="shared" si="115"/>
        <v/>
      </c>
    </row>
    <row r="3662" spans="18:19" x14ac:dyDescent="0.25">
      <c r="R3662" s="8" t="str">
        <f t="shared" si="114"/>
        <v/>
      </c>
      <c r="S3662" s="82" t="str">
        <f t="shared" si="115"/>
        <v/>
      </c>
    </row>
    <row r="3663" spans="18:19" x14ac:dyDescent="0.25">
      <c r="R3663" s="8" t="str">
        <f t="shared" si="114"/>
        <v/>
      </c>
      <c r="S3663" s="82" t="str">
        <f t="shared" si="115"/>
        <v/>
      </c>
    </row>
    <row r="3664" spans="18:19" x14ac:dyDescent="0.25">
      <c r="R3664" s="8" t="str">
        <f t="shared" si="114"/>
        <v/>
      </c>
      <c r="S3664" s="82" t="str">
        <f t="shared" si="115"/>
        <v/>
      </c>
    </row>
    <row r="3665" spans="18:19" x14ac:dyDescent="0.25">
      <c r="R3665" s="8" t="str">
        <f t="shared" si="114"/>
        <v/>
      </c>
      <c r="S3665" s="82" t="str">
        <f t="shared" si="115"/>
        <v/>
      </c>
    </row>
    <row r="3666" spans="18:19" x14ac:dyDescent="0.25">
      <c r="R3666" s="8" t="str">
        <f t="shared" si="114"/>
        <v/>
      </c>
      <c r="S3666" s="82" t="str">
        <f t="shared" si="115"/>
        <v/>
      </c>
    </row>
    <row r="3667" spans="18:19" x14ac:dyDescent="0.25">
      <c r="R3667" s="8" t="str">
        <f t="shared" si="114"/>
        <v/>
      </c>
      <c r="S3667" s="82" t="str">
        <f t="shared" si="115"/>
        <v/>
      </c>
    </row>
    <row r="3668" spans="18:19" x14ac:dyDescent="0.25">
      <c r="R3668" s="8" t="str">
        <f t="shared" si="114"/>
        <v/>
      </c>
      <c r="S3668" s="82" t="str">
        <f t="shared" si="115"/>
        <v/>
      </c>
    </row>
    <row r="3669" spans="18:19" x14ac:dyDescent="0.25">
      <c r="R3669" s="8" t="str">
        <f t="shared" si="114"/>
        <v/>
      </c>
      <c r="S3669" s="82" t="str">
        <f t="shared" si="115"/>
        <v/>
      </c>
    </row>
    <row r="3670" spans="18:19" x14ac:dyDescent="0.25">
      <c r="R3670" s="8" t="str">
        <f t="shared" si="114"/>
        <v/>
      </c>
      <c r="S3670" s="82" t="str">
        <f t="shared" si="115"/>
        <v/>
      </c>
    </row>
    <row r="3671" spans="18:19" x14ac:dyDescent="0.25">
      <c r="R3671" s="8" t="str">
        <f t="shared" si="114"/>
        <v/>
      </c>
      <c r="S3671" s="82" t="str">
        <f t="shared" si="115"/>
        <v/>
      </c>
    </row>
    <row r="3672" spans="18:19" x14ac:dyDescent="0.25">
      <c r="R3672" s="8" t="str">
        <f t="shared" si="114"/>
        <v/>
      </c>
      <c r="S3672" s="82" t="str">
        <f t="shared" si="115"/>
        <v/>
      </c>
    </row>
    <row r="3673" spans="18:19" x14ac:dyDescent="0.25">
      <c r="R3673" s="8" t="str">
        <f t="shared" si="114"/>
        <v/>
      </c>
      <c r="S3673" s="82" t="str">
        <f t="shared" si="115"/>
        <v/>
      </c>
    </row>
    <row r="3674" spans="18:19" x14ac:dyDescent="0.25">
      <c r="R3674" s="8" t="str">
        <f t="shared" si="114"/>
        <v/>
      </c>
      <c r="S3674" s="82" t="str">
        <f t="shared" si="115"/>
        <v/>
      </c>
    </row>
    <row r="3675" spans="18:19" x14ac:dyDescent="0.25">
      <c r="R3675" s="8" t="str">
        <f t="shared" si="114"/>
        <v/>
      </c>
      <c r="S3675" s="82" t="str">
        <f t="shared" si="115"/>
        <v/>
      </c>
    </row>
    <row r="3676" spans="18:19" x14ac:dyDescent="0.25">
      <c r="R3676" s="8" t="str">
        <f t="shared" si="114"/>
        <v/>
      </c>
      <c r="S3676" s="82" t="str">
        <f t="shared" si="115"/>
        <v/>
      </c>
    </row>
    <row r="3677" spans="18:19" x14ac:dyDescent="0.25">
      <c r="R3677" s="8" t="str">
        <f t="shared" si="114"/>
        <v/>
      </c>
      <c r="S3677" s="82" t="str">
        <f t="shared" si="115"/>
        <v/>
      </c>
    </row>
    <row r="3678" spans="18:19" x14ac:dyDescent="0.25">
      <c r="R3678" s="8" t="str">
        <f t="shared" si="114"/>
        <v/>
      </c>
      <c r="S3678" s="82" t="str">
        <f t="shared" si="115"/>
        <v/>
      </c>
    </row>
    <row r="3679" spans="18:19" x14ac:dyDescent="0.25">
      <c r="R3679" s="8" t="str">
        <f t="shared" si="114"/>
        <v/>
      </c>
      <c r="S3679" s="82" t="str">
        <f t="shared" si="115"/>
        <v/>
      </c>
    </row>
    <row r="3680" spans="18:19" x14ac:dyDescent="0.25">
      <c r="R3680" s="8" t="str">
        <f t="shared" si="114"/>
        <v/>
      </c>
      <c r="S3680" s="82" t="str">
        <f t="shared" si="115"/>
        <v/>
      </c>
    </row>
    <row r="3681" spans="18:19" x14ac:dyDescent="0.25">
      <c r="R3681" s="8" t="str">
        <f t="shared" si="114"/>
        <v/>
      </c>
      <c r="S3681" s="82" t="str">
        <f t="shared" si="115"/>
        <v/>
      </c>
    </row>
    <row r="3682" spans="18:19" x14ac:dyDescent="0.25">
      <c r="R3682" s="8" t="str">
        <f t="shared" si="114"/>
        <v/>
      </c>
      <c r="S3682" s="82" t="str">
        <f t="shared" si="115"/>
        <v/>
      </c>
    </row>
    <row r="3683" spans="18:19" x14ac:dyDescent="0.25">
      <c r="R3683" s="8" t="str">
        <f t="shared" si="114"/>
        <v/>
      </c>
      <c r="S3683" s="82" t="str">
        <f t="shared" si="115"/>
        <v/>
      </c>
    </row>
    <row r="3684" spans="18:19" x14ac:dyDescent="0.25">
      <c r="R3684" s="8" t="str">
        <f t="shared" si="114"/>
        <v/>
      </c>
      <c r="S3684" s="82" t="str">
        <f t="shared" si="115"/>
        <v/>
      </c>
    </row>
    <row r="3685" spans="18:19" x14ac:dyDescent="0.25">
      <c r="R3685" s="8" t="str">
        <f t="shared" si="114"/>
        <v/>
      </c>
      <c r="S3685" s="82" t="str">
        <f t="shared" si="115"/>
        <v/>
      </c>
    </row>
    <row r="3686" spans="18:19" x14ac:dyDescent="0.25">
      <c r="R3686" s="8" t="str">
        <f t="shared" si="114"/>
        <v/>
      </c>
      <c r="S3686" s="82" t="str">
        <f t="shared" si="115"/>
        <v/>
      </c>
    </row>
    <row r="3687" spans="18:19" x14ac:dyDescent="0.25">
      <c r="R3687" s="8" t="str">
        <f t="shared" si="114"/>
        <v/>
      </c>
      <c r="S3687" s="82" t="str">
        <f t="shared" si="115"/>
        <v/>
      </c>
    </row>
    <row r="3688" spans="18:19" x14ac:dyDescent="0.25">
      <c r="R3688" s="8" t="str">
        <f t="shared" si="114"/>
        <v/>
      </c>
      <c r="S3688" s="82" t="str">
        <f t="shared" si="115"/>
        <v/>
      </c>
    </row>
    <row r="3689" spans="18:19" x14ac:dyDescent="0.25">
      <c r="R3689" s="8" t="str">
        <f t="shared" si="114"/>
        <v/>
      </c>
      <c r="S3689" s="82" t="str">
        <f t="shared" si="115"/>
        <v/>
      </c>
    </row>
    <row r="3690" spans="18:19" x14ac:dyDescent="0.25">
      <c r="R3690" s="8" t="str">
        <f t="shared" si="114"/>
        <v/>
      </c>
      <c r="S3690" s="82" t="str">
        <f t="shared" si="115"/>
        <v/>
      </c>
    </row>
    <row r="3691" spans="18:19" x14ac:dyDescent="0.25">
      <c r="R3691" s="8" t="str">
        <f t="shared" si="114"/>
        <v/>
      </c>
      <c r="S3691" s="82" t="str">
        <f t="shared" si="115"/>
        <v/>
      </c>
    </row>
    <row r="3692" spans="18:19" x14ac:dyDescent="0.25">
      <c r="R3692" s="8" t="str">
        <f t="shared" si="114"/>
        <v/>
      </c>
      <c r="S3692" s="82" t="str">
        <f t="shared" si="115"/>
        <v/>
      </c>
    </row>
    <row r="3693" spans="18:19" x14ac:dyDescent="0.25">
      <c r="R3693" s="8" t="str">
        <f t="shared" si="114"/>
        <v/>
      </c>
      <c r="S3693" s="82" t="str">
        <f t="shared" si="115"/>
        <v/>
      </c>
    </row>
    <row r="3694" spans="18:19" x14ac:dyDescent="0.25">
      <c r="R3694" s="8" t="str">
        <f t="shared" si="114"/>
        <v/>
      </c>
      <c r="S3694" s="82" t="str">
        <f t="shared" si="115"/>
        <v/>
      </c>
    </row>
    <row r="3695" spans="18:19" x14ac:dyDescent="0.25">
      <c r="R3695" s="8" t="str">
        <f t="shared" si="114"/>
        <v/>
      </c>
      <c r="S3695" s="82" t="str">
        <f t="shared" si="115"/>
        <v/>
      </c>
    </row>
    <row r="3696" spans="18:19" x14ac:dyDescent="0.25">
      <c r="R3696" s="8" t="str">
        <f t="shared" si="114"/>
        <v/>
      </c>
      <c r="S3696" s="82" t="str">
        <f t="shared" si="115"/>
        <v/>
      </c>
    </row>
    <row r="3697" spans="18:19" x14ac:dyDescent="0.25">
      <c r="R3697" s="8" t="str">
        <f t="shared" si="114"/>
        <v/>
      </c>
      <c r="S3697" s="82" t="str">
        <f t="shared" si="115"/>
        <v/>
      </c>
    </row>
    <row r="3698" spans="18:19" x14ac:dyDescent="0.25">
      <c r="R3698" s="8" t="str">
        <f t="shared" si="114"/>
        <v/>
      </c>
      <c r="S3698" s="82" t="str">
        <f t="shared" si="115"/>
        <v/>
      </c>
    </row>
    <row r="3699" spans="18:19" x14ac:dyDescent="0.25">
      <c r="R3699" s="8" t="str">
        <f t="shared" si="114"/>
        <v/>
      </c>
      <c r="S3699" s="82" t="str">
        <f t="shared" si="115"/>
        <v/>
      </c>
    </row>
    <row r="3700" spans="18:19" x14ac:dyDescent="0.25">
      <c r="R3700" s="8" t="str">
        <f t="shared" si="114"/>
        <v/>
      </c>
      <c r="S3700" s="82" t="str">
        <f t="shared" si="115"/>
        <v/>
      </c>
    </row>
    <row r="3701" spans="18:19" x14ac:dyDescent="0.25">
      <c r="R3701" s="8" t="str">
        <f t="shared" si="114"/>
        <v/>
      </c>
      <c r="S3701" s="82" t="str">
        <f t="shared" si="115"/>
        <v/>
      </c>
    </row>
    <row r="3702" spans="18:19" x14ac:dyDescent="0.25">
      <c r="R3702" s="8" t="str">
        <f t="shared" si="114"/>
        <v/>
      </c>
      <c r="S3702" s="82" t="str">
        <f t="shared" si="115"/>
        <v/>
      </c>
    </row>
    <row r="3703" spans="18:19" x14ac:dyDescent="0.25">
      <c r="R3703" s="8" t="str">
        <f t="shared" si="114"/>
        <v/>
      </c>
      <c r="S3703" s="82" t="str">
        <f t="shared" si="115"/>
        <v/>
      </c>
    </row>
    <row r="3704" spans="18:19" x14ac:dyDescent="0.25">
      <c r="R3704" s="8" t="str">
        <f t="shared" si="114"/>
        <v/>
      </c>
      <c r="S3704" s="82" t="str">
        <f t="shared" si="115"/>
        <v/>
      </c>
    </row>
    <row r="3705" spans="18:19" x14ac:dyDescent="0.25">
      <c r="R3705" s="8" t="str">
        <f t="shared" si="114"/>
        <v/>
      </c>
      <c r="S3705" s="82" t="str">
        <f t="shared" si="115"/>
        <v/>
      </c>
    </row>
    <row r="3706" spans="18:19" x14ac:dyDescent="0.25">
      <c r="R3706" s="8" t="str">
        <f t="shared" si="114"/>
        <v/>
      </c>
      <c r="S3706" s="82" t="str">
        <f t="shared" si="115"/>
        <v/>
      </c>
    </row>
    <row r="3707" spans="18:19" x14ac:dyDescent="0.25">
      <c r="R3707" s="8" t="str">
        <f t="shared" si="114"/>
        <v/>
      </c>
      <c r="S3707" s="82" t="str">
        <f t="shared" si="115"/>
        <v/>
      </c>
    </row>
    <row r="3708" spans="18:19" x14ac:dyDescent="0.25">
      <c r="R3708" s="8" t="str">
        <f t="shared" si="114"/>
        <v/>
      </c>
      <c r="S3708" s="82" t="str">
        <f t="shared" si="115"/>
        <v/>
      </c>
    </row>
    <row r="3709" spans="18:19" x14ac:dyDescent="0.25">
      <c r="R3709" s="8" t="str">
        <f t="shared" si="114"/>
        <v/>
      </c>
      <c r="S3709" s="82" t="str">
        <f t="shared" si="115"/>
        <v/>
      </c>
    </row>
    <row r="3710" spans="18:19" x14ac:dyDescent="0.25">
      <c r="R3710" s="8" t="str">
        <f t="shared" si="114"/>
        <v/>
      </c>
      <c r="S3710" s="82" t="str">
        <f t="shared" si="115"/>
        <v/>
      </c>
    </row>
    <row r="3711" spans="18:19" x14ac:dyDescent="0.25">
      <c r="R3711" s="8" t="str">
        <f t="shared" si="114"/>
        <v/>
      </c>
      <c r="S3711" s="82" t="str">
        <f t="shared" si="115"/>
        <v/>
      </c>
    </row>
    <row r="3712" spans="18:19" x14ac:dyDescent="0.25">
      <c r="R3712" s="8" t="str">
        <f t="shared" si="114"/>
        <v/>
      </c>
      <c r="S3712" s="82" t="str">
        <f t="shared" si="115"/>
        <v/>
      </c>
    </row>
    <row r="3713" spans="18:19" x14ac:dyDescent="0.25">
      <c r="R3713" s="8" t="str">
        <f t="shared" si="114"/>
        <v/>
      </c>
      <c r="S3713" s="82" t="str">
        <f t="shared" si="115"/>
        <v/>
      </c>
    </row>
    <row r="3714" spans="18:19" x14ac:dyDescent="0.25">
      <c r="R3714" s="8" t="str">
        <f t="shared" si="114"/>
        <v/>
      </c>
      <c r="S3714" s="82" t="str">
        <f t="shared" si="115"/>
        <v/>
      </c>
    </row>
    <row r="3715" spans="18:19" x14ac:dyDescent="0.25">
      <c r="R3715" s="8" t="str">
        <f t="shared" si="114"/>
        <v/>
      </c>
      <c r="S3715" s="82" t="str">
        <f t="shared" si="115"/>
        <v/>
      </c>
    </row>
    <row r="3716" spans="18:19" x14ac:dyDescent="0.25">
      <c r="R3716" s="8" t="str">
        <f t="shared" si="114"/>
        <v/>
      </c>
      <c r="S3716" s="82" t="str">
        <f t="shared" si="115"/>
        <v/>
      </c>
    </row>
    <row r="3717" spans="18:19" x14ac:dyDescent="0.25">
      <c r="R3717" s="8" t="str">
        <f t="shared" si="114"/>
        <v/>
      </c>
      <c r="S3717" s="82" t="str">
        <f t="shared" si="115"/>
        <v/>
      </c>
    </row>
    <row r="3718" spans="18:19" x14ac:dyDescent="0.25">
      <c r="R3718" s="8" t="str">
        <f t="shared" si="114"/>
        <v/>
      </c>
      <c r="S3718" s="82" t="str">
        <f t="shared" si="115"/>
        <v/>
      </c>
    </row>
    <row r="3719" spans="18:19" x14ac:dyDescent="0.25">
      <c r="R3719" s="8" t="str">
        <f t="shared" si="114"/>
        <v/>
      </c>
      <c r="S3719" s="82" t="str">
        <f t="shared" si="115"/>
        <v/>
      </c>
    </row>
    <row r="3720" spans="18:19" x14ac:dyDescent="0.25">
      <c r="R3720" s="8" t="str">
        <f t="shared" ref="R3720:R3783" si="116">IF(A3720="",(""),(MONTH(A3720)))</f>
        <v/>
      </c>
      <c r="S3720" s="82" t="str">
        <f t="shared" ref="S3720:S3783" si="117">IF(B3720="",(""),IF(B3720="3 - Nota de Crédito A",-Q3720,IF(B3720="8 - Nota de Crédito B",-Q3720,(Q3720))))</f>
        <v/>
      </c>
    </row>
    <row r="3721" spans="18:19" x14ac:dyDescent="0.25">
      <c r="R3721" s="8" t="str">
        <f t="shared" si="116"/>
        <v/>
      </c>
      <c r="S3721" s="82" t="str">
        <f t="shared" si="117"/>
        <v/>
      </c>
    </row>
    <row r="3722" spans="18:19" x14ac:dyDescent="0.25">
      <c r="R3722" s="8" t="str">
        <f t="shared" si="116"/>
        <v/>
      </c>
      <c r="S3722" s="82" t="str">
        <f t="shared" si="117"/>
        <v/>
      </c>
    </row>
    <row r="3723" spans="18:19" x14ac:dyDescent="0.25">
      <c r="R3723" s="8" t="str">
        <f t="shared" si="116"/>
        <v/>
      </c>
      <c r="S3723" s="82" t="str">
        <f t="shared" si="117"/>
        <v/>
      </c>
    </row>
    <row r="3724" spans="18:19" x14ac:dyDescent="0.25">
      <c r="R3724" s="8" t="str">
        <f t="shared" si="116"/>
        <v/>
      </c>
      <c r="S3724" s="82" t="str">
        <f t="shared" si="117"/>
        <v/>
      </c>
    </row>
    <row r="3725" spans="18:19" x14ac:dyDescent="0.25">
      <c r="R3725" s="8" t="str">
        <f t="shared" si="116"/>
        <v/>
      </c>
      <c r="S3725" s="82" t="str">
        <f t="shared" si="117"/>
        <v/>
      </c>
    </row>
    <row r="3726" spans="18:19" x14ac:dyDescent="0.25">
      <c r="R3726" s="8" t="str">
        <f t="shared" si="116"/>
        <v/>
      </c>
      <c r="S3726" s="82" t="str">
        <f t="shared" si="117"/>
        <v/>
      </c>
    </row>
    <row r="3727" spans="18:19" x14ac:dyDescent="0.25">
      <c r="R3727" s="8" t="str">
        <f t="shared" si="116"/>
        <v/>
      </c>
      <c r="S3727" s="82" t="str">
        <f t="shared" si="117"/>
        <v/>
      </c>
    </row>
    <row r="3728" spans="18:19" x14ac:dyDescent="0.25">
      <c r="R3728" s="8" t="str">
        <f t="shared" si="116"/>
        <v/>
      </c>
      <c r="S3728" s="82" t="str">
        <f t="shared" si="117"/>
        <v/>
      </c>
    </row>
    <row r="3729" spans="18:19" x14ac:dyDescent="0.25">
      <c r="R3729" s="8" t="str">
        <f t="shared" si="116"/>
        <v/>
      </c>
      <c r="S3729" s="82" t="str">
        <f t="shared" si="117"/>
        <v/>
      </c>
    </row>
    <row r="3730" spans="18:19" x14ac:dyDescent="0.25">
      <c r="R3730" s="8" t="str">
        <f t="shared" si="116"/>
        <v/>
      </c>
      <c r="S3730" s="82" t="str">
        <f t="shared" si="117"/>
        <v/>
      </c>
    </row>
    <row r="3731" spans="18:19" x14ac:dyDescent="0.25">
      <c r="R3731" s="8" t="str">
        <f t="shared" si="116"/>
        <v/>
      </c>
      <c r="S3731" s="82" t="str">
        <f t="shared" si="117"/>
        <v/>
      </c>
    </row>
    <row r="3732" spans="18:19" x14ac:dyDescent="0.25">
      <c r="R3732" s="8" t="str">
        <f t="shared" si="116"/>
        <v/>
      </c>
      <c r="S3732" s="82" t="str">
        <f t="shared" si="117"/>
        <v/>
      </c>
    </row>
    <row r="3733" spans="18:19" x14ac:dyDescent="0.25">
      <c r="R3733" s="8" t="str">
        <f t="shared" si="116"/>
        <v/>
      </c>
      <c r="S3733" s="82" t="str">
        <f t="shared" si="117"/>
        <v/>
      </c>
    </row>
    <row r="3734" spans="18:19" x14ac:dyDescent="0.25">
      <c r="R3734" s="8" t="str">
        <f t="shared" si="116"/>
        <v/>
      </c>
      <c r="S3734" s="82" t="str">
        <f t="shared" si="117"/>
        <v/>
      </c>
    </row>
    <row r="3735" spans="18:19" x14ac:dyDescent="0.25">
      <c r="R3735" s="8" t="str">
        <f t="shared" si="116"/>
        <v/>
      </c>
      <c r="S3735" s="82" t="str">
        <f t="shared" si="117"/>
        <v/>
      </c>
    </row>
    <row r="3736" spans="18:19" x14ac:dyDescent="0.25">
      <c r="R3736" s="8" t="str">
        <f t="shared" si="116"/>
        <v/>
      </c>
      <c r="S3736" s="82" t="str">
        <f t="shared" si="117"/>
        <v/>
      </c>
    </row>
    <row r="3737" spans="18:19" x14ac:dyDescent="0.25">
      <c r="R3737" s="8" t="str">
        <f t="shared" si="116"/>
        <v/>
      </c>
      <c r="S3737" s="82" t="str">
        <f t="shared" si="117"/>
        <v/>
      </c>
    </row>
    <row r="3738" spans="18:19" x14ac:dyDescent="0.25">
      <c r="R3738" s="8" t="str">
        <f t="shared" si="116"/>
        <v/>
      </c>
      <c r="S3738" s="82" t="str">
        <f t="shared" si="117"/>
        <v/>
      </c>
    </row>
    <row r="3739" spans="18:19" x14ac:dyDescent="0.25">
      <c r="R3739" s="8" t="str">
        <f t="shared" si="116"/>
        <v/>
      </c>
      <c r="S3739" s="82" t="str">
        <f t="shared" si="117"/>
        <v/>
      </c>
    </row>
    <row r="3740" spans="18:19" x14ac:dyDescent="0.25">
      <c r="R3740" s="8" t="str">
        <f t="shared" si="116"/>
        <v/>
      </c>
      <c r="S3740" s="82" t="str">
        <f t="shared" si="117"/>
        <v/>
      </c>
    </row>
    <row r="3741" spans="18:19" x14ac:dyDescent="0.25">
      <c r="R3741" s="8" t="str">
        <f t="shared" si="116"/>
        <v/>
      </c>
      <c r="S3741" s="82" t="str">
        <f t="shared" si="117"/>
        <v/>
      </c>
    </row>
    <row r="3742" spans="18:19" x14ac:dyDescent="0.25">
      <c r="R3742" s="8" t="str">
        <f t="shared" si="116"/>
        <v/>
      </c>
      <c r="S3742" s="82" t="str">
        <f t="shared" si="117"/>
        <v/>
      </c>
    </row>
    <row r="3743" spans="18:19" x14ac:dyDescent="0.25">
      <c r="R3743" s="8" t="str">
        <f t="shared" si="116"/>
        <v/>
      </c>
      <c r="S3743" s="82" t="str">
        <f t="shared" si="117"/>
        <v/>
      </c>
    </row>
    <row r="3744" spans="18:19" x14ac:dyDescent="0.25">
      <c r="R3744" s="8" t="str">
        <f t="shared" si="116"/>
        <v/>
      </c>
      <c r="S3744" s="82" t="str">
        <f t="shared" si="117"/>
        <v/>
      </c>
    </row>
    <row r="3745" spans="18:19" x14ac:dyDescent="0.25">
      <c r="R3745" s="8" t="str">
        <f t="shared" si="116"/>
        <v/>
      </c>
      <c r="S3745" s="82" t="str">
        <f t="shared" si="117"/>
        <v/>
      </c>
    </row>
    <row r="3746" spans="18:19" x14ac:dyDescent="0.25">
      <c r="R3746" s="8" t="str">
        <f t="shared" si="116"/>
        <v/>
      </c>
      <c r="S3746" s="82" t="str">
        <f t="shared" si="117"/>
        <v/>
      </c>
    </row>
    <row r="3747" spans="18:19" x14ac:dyDescent="0.25">
      <c r="R3747" s="8" t="str">
        <f t="shared" si="116"/>
        <v/>
      </c>
      <c r="S3747" s="82" t="str">
        <f t="shared" si="117"/>
        <v/>
      </c>
    </row>
    <row r="3748" spans="18:19" x14ac:dyDescent="0.25">
      <c r="R3748" s="8" t="str">
        <f t="shared" si="116"/>
        <v/>
      </c>
      <c r="S3748" s="82" t="str">
        <f t="shared" si="117"/>
        <v/>
      </c>
    </row>
    <row r="3749" spans="18:19" x14ac:dyDescent="0.25">
      <c r="R3749" s="8" t="str">
        <f t="shared" si="116"/>
        <v/>
      </c>
      <c r="S3749" s="82" t="str">
        <f t="shared" si="117"/>
        <v/>
      </c>
    </row>
    <row r="3750" spans="18:19" x14ac:dyDescent="0.25">
      <c r="R3750" s="8" t="str">
        <f t="shared" si="116"/>
        <v/>
      </c>
      <c r="S3750" s="82" t="str">
        <f t="shared" si="117"/>
        <v/>
      </c>
    </row>
    <row r="3751" spans="18:19" x14ac:dyDescent="0.25">
      <c r="R3751" s="8" t="str">
        <f t="shared" si="116"/>
        <v/>
      </c>
      <c r="S3751" s="82" t="str">
        <f t="shared" si="117"/>
        <v/>
      </c>
    </row>
    <row r="3752" spans="18:19" x14ac:dyDescent="0.25">
      <c r="R3752" s="8" t="str">
        <f t="shared" si="116"/>
        <v/>
      </c>
      <c r="S3752" s="82" t="str">
        <f t="shared" si="117"/>
        <v/>
      </c>
    </row>
    <row r="3753" spans="18:19" x14ac:dyDescent="0.25">
      <c r="R3753" s="8" t="str">
        <f t="shared" si="116"/>
        <v/>
      </c>
      <c r="S3753" s="82" t="str">
        <f t="shared" si="117"/>
        <v/>
      </c>
    </row>
    <row r="3754" spans="18:19" x14ac:dyDescent="0.25">
      <c r="R3754" s="8" t="str">
        <f t="shared" si="116"/>
        <v/>
      </c>
      <c r="S3754" s="82" t="str">
        <f t="shared" si="117"/>
        <v/>
      </c>
    </row>
    <row r="3755" spans="18:19" x14ac:dyDescent="0.25">
      <c r="R3755" s="8" t="str">
        <f t="shared" si="116"/>
        <v/>
      </c>
      <c r="S3755" s="82" t="str">
        <f t="shared" si="117"/>
        <v/>
      </c>
    </row>
    <row r="3756" spans="18:19" x14ac:dyDescent="0.25">
      <c r="R3756" s="8" t="str">
        <f t="shared" si="116"/>
        <v/>
      </c>
      <c r="S3756" s="82" t="str">
        <f t="shared" si="117"/>
        <v/>
      </c>
    </row>
    <row r="3757" spans="18:19" x14ac:dyDescent="0.25">
      <c r="R3757" s="8" t="str">
        <f t="shared" si="116"/>
        <v/>
      </c>
      <c r="S3757" s="82" t="str">
        <f t="shared" si="117"/>
        <v/>
      </c>
    </row>
    <row r="3758" spans="18:19" x14ac:dyDescent="0.25">
      <c r="R3758" s="8" t="str">
        <f t="shared" si="116"/>
        <v/>
      </c>
      <c r="S3758" s="82" t="str">
        <f t="shared" si="117"/>
        <v/>
      </c>
    </row>
    <row r="3759" spans="18:19" x14ac:dyDescent="0.25">
      <c r="R3759" s="8" t="str">
        <f t="shared" si="116"/>
        <v/>
      </c>
      <c r="S3759" s="82" t="str">
        <f t="shared" si="117"/>
        <v/>
      </c>
    </row>
    <row r="3760" spans="18:19" x14ac:dyDescent="0.25">
      <c r="R3760" s="8" t="str">
        <f t="shared" si="116"/>
        <v/>
      </c>
      <c r="S3760" s="82" t="str">
        <f t="shared" si="117"/>
        <v/>
      </c>
    </row>
    <row r="3761" spans="18:19" x14ac:dyDescent="0.25">
      <c r="R3761" s="8" t="str">
        <f t="shared" si="116"/>
        <v/>
      </c>
      <c r="S3761" s="82" t="str">
        <f t="shared" si="117"/>
        <v/>
      </c>
    </row>
    <row r="3762" spans="18:19" x14ac:dyDescent="0.25">
      <c r="R3762" s="8" t="str">
        <f t="shared" si="116"/>
        <v/>
      </c>
      <c r="S3762" s="82" t="str">
        <f t="shared" si="117"/>
        <v/>
      </c>
    </row>
    <row r="3763" spans="18:19" x14ac:dyDescent="0.25">
      <c r="R3763" s="8" t="str">
        <f t="shared" si="116"/>
        <v/>
      </c>
      <c r="S3763" s="82" t="str">
        <f t="shared" si="117"/>
        <v/>
      </c>
    </row>
    <row r="3764" spans="18:19" x14ac:dyDescent="0.25">
      <c r="R3764" s="8" t="str">
        <f t="shared" si="116"/>
        <v/>
      </c>
      <c r="S3764" s="82" t="str">
        <f t="shared" si="117"/>
        <v/>
      </c>
    </row>
    <row r="3765" spans="18:19" x14ac:dyDescent="0.25">
      <c r="R3765" s="8" t="str">
        <f t="shared" si="116"/>
        <v/>
      </c>
      <c r="S3765" s="82" t="str">
        <f t="shared" si="117"/>
        <v/>
      </c>
    </row>
    <row r="3766" spans="18:19" x14ac:dyDescent="0.25">
      <c r="R3766" s="8" t="str">
        <f t="shared" si="116"/>
        <v/>
      </c>
      <c r="S3766" s="82" t="str">
        <f t="shared" si="117"/>
        <v/>
      </c>
    </row>
    <row r="3767" spans="18:19" x14ac:dyDescent="0.25">
      <c r="R3767" s="8" t="str">
        <f t="shared" si="116"/>
        <v/>
      </c>
      <c r="S3767" s="82" t="str">
        <f t="shared" si="117"/>
        <v/>
      </c>
    </row>
    <row r="3768" spans="18:19" x14ac:dyDescent="0.25">
      <c r="R3768" s="8" t="str">
        <f t="shared" si="116"/>
        <v/>
      </c>
      <c r="S3768" s="82" t="str">
        <f t="shared" si="117"/>
        <v/>
      </c>
    </row>
    <row r="3769" spans="18:19" x14ac:dyDescent="0.25">
      <c r="R3769" s="8" t="str">
        <f t="shared" si="116"/>
        <v/>
      </c>
      <c r="S3769" s="82" t="str">
        <f t="shared" si="117"/>
        <v/>
      </c>
    </row>
    <row r="3770" spans="18:19" x14ac:dyDescent="0.25">
      <c r="R3770" s="8" t="str">
        <f t="shared" si="116"/>
        <v/>
      </c>
      <c r="S3770" s="82" t="str">
        <f t="shared" si="117"/>
        <v/>
      </c>
    </row>
    <row r="3771" spans="18:19" x14ac:dyDescent="0.25">
      <c r="R3771" s="8" t="str">
        <f t="shared" si="116"/>
        <v/>
      </c>
      <c r="S3771" s="82" t="str">
        <f t="shared" si="117"/>
        <v/>
      </c>
    </row>
    <row r="3772" spans="18:19" x14ac:dyDescent="0.25">
      <c r="R3772" s="8" t="str">
        <f t="shared" si="116"/>
        <v/>
      </c>
      <c r="S3772" s="82" t="str">
        <f t="shared" si="117"/>
        <v/>
      </c>
    </row>
    <row r="3773" spans="18:19" x14ac:dyDescent="0.25">
      <c r="R3773" s="8" t="str">
        <f t="shared" si="116"/>
        <v/>
      </c>
      <c r="S3773" s="82" t="str">
        <f t="shared" si="117"/>
        <v/>
      </c>
    </row>
    <row r="3774" spans="18:19" x14ac:dyDescent="0.25">
      <c r="R3774" s="8" t="str">
        <f t="shared" si="116"/>
        <v/>
      </c>
      <c r="S3774" s="82" t="str">
        <f t="shared" si="117"/>
        <v/>
      </c>
    </row>
    <row r="3775" spans="18:19" x14ac:dyDescent="0.25">
      <c r="R3775" s="8" t="str">
        <f t="shared" si="116"/>
        <v/>
      </c>
      <c r="S3775" s="82" t="str">
        <f t="shared" si="117"/>
        <v/>
      </c>
    </row>
    <row r="3776" spans="18:19" x14ac:dyDescent="0.25">
      <c r="R3776" s="8" t="str">
        <f t="shared" si="116"/>
        <v/>
      </c>
      <c r="S3776" s="82" t="str">
        <f t="shared" si="117"/>
        <v/>
      </c>
    </row>
    <row r="3777" spans="18:19" x14ac:dyDescent="0.25">
      <c r="R3777" s="8" t="str">
        <f t="shared" si="116"/>
        <v/>
      </c>
      <c r="S3777" s="82" t="str">
        <f t="shared" si="117"/>
        <v/>
      </c>
    </row>
    <row r="3778" spans="18:19" x14ac:dyDescent="0.25">
      <c r="R3778" s="8" t="str">
        <f t="shared" si="116"/>
        <v/>
      </c>
      <c r="S3778" s="82" t="str">
        <f t="shared" si="117"/>
        <v/>
      </c>
    </row>
    <row r="3779" spans="18:19" x14ac:dyDescent="0.25">
      <c r="R3779" s="8" t="str">
        <f t="shared" si="116"/>
        <v/>
      </c>
      <c r="S3779" s="82" t="str">
        <f t="shared" si="117"/>
        <v/>
      </c>
    </row>
    <row r="3780" spans="18:19" x14ac:dyDescent="0.25">
      <c r="R3780" s="8" t="str">
        <f t="shared" si="116"/>
        <v/>
      </c>
      <c r="S3780" s="82" t="str">
        <f t="shared" si="117"/>
        <v/>
      </c>
    </row>
    <row r="3781" spans="18:19" x14ac:dyDescent="0.25">
      <c r="R3781" s="8" t="str">
        <f t="shared" si="116"/>
        <v/>
      </c>
      <c r="S3781" s="82" t="str">
        <f t="shared" si="117"/>
        <v/>
      </c>
    </row>
    <row r="3782" spans="18:19" x14ac:dyDescent="0.25">
      <c r="R3782" s="8" t="str">
        <f t="shared" si="116"/>
        <v/>
      </c>
      <c r="S3782" s="82" t="str">
        <f t="shared" si="117"/>
        <v/>
      </c>
    </row>
    <row r="3783" spans="18:19" x14ac:dyDescent="0.25">
      <c r="R3783" s="8" t="str">
        <f t="shared" si="116"/>
        <v/>
      </c>
      <c r="S3783" s="82" t="str">
        <f t="shared" si="117"/>
        <v/>
      </c>
    </row>
    <row r="3784" spans="18:19" x14ac:dyDescent="0.25">
      <c r="R3784" s="8" t="str">
        <f t="shared" ref="R3784:R3799" si="118">IF(A3784="",(""),(MONTH(A3784)))</f>
        <v/>
      </c>
      <c r="S3784" s="82" t="str">
        <f t="shared" ref="S3784:S3799" si="119">IF(B3784="",(""),IF(B3784="3 - Nota de Crédito A",-Q3784,IF(B3784="8 - Nota de Crédito B",-Q3784,(Q3784))))</f>
        <v/>
      </c>
    </row>
    <row r="3785" spans="18:19" x14ac:dyDescent="0.25">
      <c r="R3785" s="8" t="str">
        <f t="shared" si="118"/>
        <v/>
      </c>
      <c r="S3785" s="82" t="str">
        <f t="shared" si="119"/>
        <v/>
      </c>
    </row>
    <row r="3786" spans="18:19" x14ac:dyDescent="0.25">
      <c r="R3786" s="8" t="str">
        <f t="shared" si="118"/>
        <v/>
      </c>
      <c r="S3786" s="82" t="str">
        <f t="shared" si="119"/>
        <v/>
      </c>
    </row>
    <row r="3787" spans="18:19" x14ac:dyDescent="0.25">
      <c r="R3787" s="8" t="str">
        <f t="shared" si="118"/>
        <v/>
      </c>
      <c r="S3787" s="82" t="str">
        <f t="shared" si="119"/>
        <v/>
      </c>
    </row>
    <row r="3788" spans="18:19" x14ac:dyDescent="0.25">
      <c r="R3788" s="8" t="str">
        <f t="shared" si="118"/>
        <v/>
      </c>
      <c r="S3788" s="82" t="str">
        <f t="shared" si="119"/>
        <v/>
      </c>
    </row>
    <row r="3789" spans="18:19" x14ac:dyDescent="0.25">
      <c r="R3789" s="8" t="str">
        <f t="shared" si="118"/>
        <v/>
      </c>
      <c r="S3789" s="82" t="str">
        <f t="shared" si="119"/>
        <v/>
      </c>
    </row>
    <row r="3790" spans="18:19" x14ac:dyDescent="0.25">
      <c r="R3790" s="8" t="str">
        <f t="shared" si="118"/>
        <v/>
      </c>
      <c r="S3790" s="82" t="str">
        <f t="shared" si="119"/>
        <v/>
      </c>
    </row>
    <row r="3791" spans="18:19" x14ac:dyDescent="0.25">
      <c r="R3791" s="8" t="str">
        <f t="shared" si="118"/>
        <v/>
      </c>
      <c r="S3791" s="82" t="str">
        <f t="shared" si="119"/>
        <v/>
      </c>
    </row>
    <row r="3792" spans="18:19" x14ac:dyDescent="0.25">
      <c r="R3792" s="8" t="str">
        <f t="shared" si="118"/>
        <v/>
      </c>
      <c r="S3792" s="82" t="str">
        <f t="shared" si="119"/>
        <v/>
      </c>
    </row>
    <row r="3793" spans="18:19" x14ac:dyDescent="0.25">
      <c r="R3793" s="8" t="str">
        <f t="shared" si="118"/>
        <v/>
      </c>
      <c r="S3793" s="82" t="str">
        <f t="shared" si="119"/>
        <v/>
      </c>
    </row>
    <row r="3794" spans="18:19" x14ac:dyDescent="0.25">
      <c r="R3794" s="8" t="str">
        <f t="shared" si="118"/>
        <v/>
      </c>
      <c r="S3794" s="82" t="str">
        <f t="shared" si="119"/>
        <v/>
      </c>
    </row>
    <row r="3795" spans="18:19" x14ac:dyDescent="0.25">
      <c r="R3795" s="8" t="str">
        <f t="shared" si="118"/>
        <v/>
      </c>
      <c r="S3795" s="82" t="str">
        <f t="shared" si="119"/>
        <v/>
      </c>
    </row>
    <row r="3796" spans="18:19" x14ac:dyDescent="0.25">
      <c r="R3796" s="8" t="str">
        <f t="shared" si="118"/>
        <v/>
      </c>
      <c r="S3796" s="82" t="str">
        <f t="shared" si="119"/>
        <v/>
      </c>
    </row>
    <row r="3797" spans="18:19" x14ac:dyDescent="0.25">
      <c r="R3797" s="8" t="str">
        <f t="shared" si="118"/>
        <v/>
      </c>
      <c r="S3797" s="82" t="str">
        <f t="shared" si="119"/>
        <v/>
      </c>
    </row>
    <row r="3798" spans="18:19" x14ac:dyDescent="0.25">
      <c r="R3798" s="8" t="str">
        <f t="shared" si="118"/>
        <v/>
      </c>
      <c r="S3798" s="82" t="str">
        <f t="shared" si="119"/>
        <v/>
      </c>
    </row>
    <row r="3799" spans="18:19" x14ac:dyDescent="0.25">
      <c r="R3799" s="8" t="str">
        <f t="shared" si="118"/>
        <v/>
      </c>
      <c r="S3799" s="82" t="str">
        <f t="shared" si="119"/>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3:E133"/>
  <sheetViews>
    <sheetView workbookViewId="0">
      <selection activeCell="B128" sqref="B128"/>
    </sheetView>
  </sheetViews>
  <sheetFormatPr baseColWidth="10" defaultRowHeight="15" x14ac:dyDescent="0.25"/>
  <cols>
    <col min="1" max="1" width="21" customWidth="1"/>
    <col min="2" max="2" width="30.28515625" customWidth="1"/>
    <col min="4" max="4" width="16" customWidth="1"/>
    <col min="5" max="5" width="15.5703125" customWidth="1"/>
  </cols>
  <sheetData>
    <row r="3" spans="1:5" x14ac:dyDescent="0.25">
      <c r="A3" s="217" t="s">
        <v>10</v>
      </c>
      <c r="B3" s="218" t="s">
        <v>43</v>
      </c>
      <c r="C3" s="218" t="s">
        <v>44</v>
      </c>
      <c r="D3" s="218" t="s">
        <v>45</v>
      </c>
      <c r="E3" s="143" t="s">
        <v>72</v>
      </c>
    </row>
    <row r="4" spans="1:5" x14ac:dyDescent="0.25">
      <c r="A4" s="219"/>
      <c r="B4" s="220"/>
      <c r="C4" s="221"/>
      <c r="D4" s="222"/>
      <c r="E4" s="155"/>
    </row>
    <row r="5" spans="1:5" x14ac:dyDescent="0.25">
      <c r="A5" s="223"/>
      <c r="B5" s="79"/>
      <c r="C5" s="80"/>
      <c r="D5" s="86"/>
      <c r="E5" s="159"/>
    </row>
    <row r="6" spans="1:5" x14ac:dyDescent="0.25">
      <c r="A6" s="224"/>
      <c r="B6" s="77"/>
      <c r="C6" s="78"/>
      <c r="D6" s="85"/>
      <c r="E6" s="159"/>
    </row>
    <row r="7" spans="1:5" x14ac:dyDescent="0.25">
      <c r="A7" s="223"/>
      <c r="B7" s="79"/>
      <c r="C7" s="80"/>
      <c r="D7" s="87"/>
      <c r="E7" s="159"/>
    </row>
    <row r="8" spans="1:5" x14ac:dyDescent="0.25">
      <c r="A8" s="224"/>
      <c r="B8" s="77"/>
      <c r="C8" s="78"/>
      <c r="D8" s="88"/>
      <c r="E8" s="159"/>
    </row>
    <row r="9" spans="1:5" x14ac:dyDescent="0.25">
      <c r="A9" s="223"/>
      <c r="B9" s="79"/>
      <c r="C9" s="80"/>
      <c r="D9" s="86"/>
      <c r="E9" s="159"/>
    </row>
    <row r="10" spans="1:5" x14ac:dyDescent="0.25">
      <c r="A10" s="224"/>
      <c r="B10" s="77"/>
      <c r="C10" s="78"/>
      <c r="D10" s="85"/>
      <c r="E10" s="159"/>
    </row>
    <row r="11" spans="1:5" x14ac:dyDescent="0.25">
      <c r="A11" s="223"/>
      <c r="B11" s="79"/>
      <c r="C11" s="80"/>
      <c r="D11" s="86"/>
      <c r="E11" s="159"/>
    </row>
    <row r="12" spans="1:5" x14ac:dyDescent="0.25">
      <c r="A12" s="224"/>
      <c r="B12" s="77"/>
      <c r="C12" s="78"/>
      <c r="D12" s="85"/>
      <c r="E12" s="159"/>
    </row>
    <row r="13" spans="1:5" x14ac:dyDescent="0.25">
      <c r="A13" s="223"/>
      <c r="B13" s="79"/>
      <c r="C13" s="80"/>
      <c r="D13" s="80"/>
      <c r="E13" s="159"/>
    </row>
    <row r="14" spans="1:5" x14ac:dyDescent="0.25">
      <c r="A14" s="224"/>
      <c r="B14" s="77"/>
      <c r="C14" s="78"/>
      <c r="D14" s="78"/>
      <c r="E14" s="159"/>
    </row>
    <row r="15" spans="1:5" x14ac:dyDescent="0.25">
      <c r="A15" s="223"/>
      <c r="B15" s="79"/>
      <c r="C15" s="80"/>
      <c r="D15" s="80"/>
      <c r="E15" s="159"/>
    </row>
    <row r="16" spans="1:5" x14ac:dyDescent="0.25">
      <c r="A16" s="224"/>
      <c r="B16" s="77"/>
      <c r="C16" s="78"/>
      <c r="D16" s="88"/>
      <c r="E16" s="159"/>
    </row>
    <row r="17" spans="1:5" x14ac:dyDescent="0.25">
      <c r="A17" s="223"/>
      <c r="B17" s="79"/>
      <c r="C17" s="80"/>
      <c r="D17" s="86"/>
      <c r="E17" s="159"/>
    </row>
    <row r="18" spans="1:5" x14ac:dyDescent="0.25">
      <c r="A18" s="224"/>
      <c r="B18" s="77"/>
      <c r="C18" s="78"/>
      <c r="D18" s="78"/>
      <c r="E18" s="159"/>
    </row>
    <row r="19" spans="1:5" x14ac:dyDescent="0.25">
      <c r="A19" s="223"/>
      <c r="B19" s="79"/>
      <c r="C19" s="80"/>
      <c r="D19" s="80"/>
      <c r="E19" s="159"/>
    </row>
    <row r="20" spans="1:5" x14ac:dyDescent="0.25">
      <c r="A20" s="224"/>
      <c r="B20" s="77"/>
      <c r="C20" s="78"/>
      <c r="D20" s="78"/>
      <c r="E20" s="159"/>
    </row>
    <row r="21" spans="1:5" x14ac:dyDescent="0.25">
      <c r="A21" s="223"/>
      <c r="B21" s="79"/>
      <c r="C21" s="80"/>
      <c r="D21" s="80"/>
      <c r="E21" s="159"/>
    </row>
    <row r="22" spans="1:5" x14ac:dyDescent="0.25">
      <c r="A22" s="224"/>
      <c r="B22" s="77"/>
      <c r="C22" s="78"/>
      <c r="D22" s="78"/>
      <c r="E22" s="159"/>
    </row>
    <row r="23" spans="1:5" x14ac:dyDescent="0.25">
      <c r="A23" s="223"/>
      <c r="B23" s="79"/>
      <c r="C23" s="80"/>
      <c r="D23" s="80"/>
      <c r="E23" s="159"/>
    </row>
    <row r="24" spans="1:5" x14ac:dyDescent="0.25">
      <c r="A24" s="224"/>
      <c r="B24" s="77"/>
      <c r="C24" s="78"/>
      <c r="D24" s="78"/>
      <c r="E24" s="159"/>
    </row>
    <row r="25" spans="1:5" x14ac:dyDescent="0.25">
      <c r="A25" s="223"/>
      <c r="B25" s="79"/>
      <c r="C25" s="80"/>
      <c r="D25" s="80"/>
      <c r="E25" s="159"/>
    </row>
    <row r="26" spans="1:5" x14ac:dyDescent="0.25">
      <c r="A26" s="224"/>
      <c r="B26" s="77"/>
      <c r="C26" s="78"/>
      <c r="D26" s="78"/>
      <c r="E26" s="159"/>
    </row>
    <row r="27" spans="1:5" x14ac:dyDescent="0.25">
      <c r="A27" s="223"/>
      <c r="B27" s="79"/>
      <c r="C27" s="80"/>
      <c r="D27" s="80"/>
      <c r="E27" s="159"/>
    </row>
    <row r="28" spans="1:5" x14ac:dyDescent="0.25">
      <c r="A28" s="224"/>
      <c r="B28" s="77"/>
      <c r="C28" s="78"/>
      <c r="D28" s="78"/>
      <c r="E28" s="159"/>
    </row>
    <row r="29" spans="1:5" x14ac:dyDescent="0.25">
      <c r="A29" s="223"/>
      <c r="B29" s="79"/>
      <c r="C29" s="80"/>
      <c r="D29" s="80"/>
      <c r="E29" s="159"/>
    </row>
    <row r="30" spans="1:5" x14ac:dyDescent="0.25">
      <c r="A30" s="224"/>
      <c r="B30" s="77"/>
      <c r="C30" s="78"/>
      <c r="D30" s="78"/>
      <c r="E30" s="159"/>
    </row>
    <row r="31" spans="1:5" x14ac:dyDescent="0.25">
      <c r="A31" s="223"/>
      <c r="B31" s="79"/>
      <c r="C31" s="80"/>
      <c r="D31" s="87"/>
      <c r="E31" s="159"/>
    </row>
    <row r="32" spans="1:5" x14ac:dyDescent="0.25">
      <c r="A32" s="224"/>
      <c r="B32" s="77"/>
      <c r="C32" s="78"/>
      <c r="D32" s="78"/>
      <c r="E32" s="159"/>
    </row>
    <row r="33" spans="1:5" x14ac:dyDescent="0.25">
      <c r="A33" s="223"/>
      <c r="B33" s="79"/>
      <c r="C33" s="80"/>
      <c r="D33" s="80"/>
      <c r="E33" s="159"/>
    </row>
    <row r="34" spans="1:5" x14ac:dyDescent="0.25">
      <c r="A34" s="224"/>
      <c r="B34" s="77"/>
      <c r="C34" s="78"/>
      <c r="D34" s="78"/>
      <c r="E34" s="159"/>
    </row>
    <row r="35" spans="1:5" x14ac:dyDescent="0.25">
      <c r="A35" s="223"/>
      <c r="B35" s="79"/>
      <c r="C35" s="80"/>
      <c r="D35" s="80"/>
      <c r="E35" s="159"/>
    </row>
    <row r="36" spans="1:5" x14ac:dyDescent="0.25">
      <c r="A36" s="223"/>
      <c r="B36" s="79"/>
      <c r="C36" s="80"/>
      <c r="D36" s="80"/>
      <c r="E36" s="159"/>
    </row>
    <row r="37" spans="1:5" x14ac:dyDescent="0.25">
      <c r="A37" s="224"/>
      <c r="B37" s="77"/>
      <c r="C37" s="78"/>
      <c r="D37" s="88"/>
      <c r="E37" s="159"/>
    </row>
    <row r="38" spans="1:5" x14ac:dyDescent="0.25">
      <c r="A38" s="223"/>
      <c r="B38" s="79"/>
      <c r="C38" s="80"/>
      <c r="D38" s="80"/>
      <c r="E38" s="159"/>
    </row>
    <row r="39" spans="1:5" x14ac:dyDescent="0.25">
      <c r="A39" s="224"/>
      <c r="B39" s="77"/>
      <c r="C39" s="78"/>
      <c r="D39" s="88"/>
      <c r="E39" s="159"/>
    </row>
    <row r="40" spans="1:5" x14ac:dyDescent="0.25">
      <c r="A40" s="223"/>
      <c r="B40" s="79"/>
      <c r="C40" s="80"/>
      <c r="D40" s="80"/>
      <c r="E40" s="159"/>
    </row>
    <row r="41" spans="1:5" x14ac:dyDescent="0.25">
      <c r="A41" s="224"/>
      <c r="B41" s="77"/>
      <c r="C41" s="78"/>
      <c r="D41" s="78"/>
      <c r="E41" s="159"/>
    </row>
    <row r="42" spans="1:5" x14ac:dyDescent="0.25">
      <c r="A42" s="223"/>
      <c r="B42" s="79"/>
      <c r="C42" s="80"/>
      <c r="D42" s="80"/>
      <c r="E42" s="159"/>
    </row>
    <row r="43" spans="1:5" x14ac:dyDescent="0.25">
      <c r="A43" s="224"/>
      <c r="B43" s="77"/>
      <c r="C43" s="78"/>
      <c r="D43" s="78"/>
      <c r="E43" s="159"/>
    </row>
    <row r="44" spans="1:5" x14ac:dyDescent="0.25">
      <c r="A44" s="223"/>
      <c r="B44" s="79"/>
      <c r="C44" s="80"/>
      <c r="D44" s="80"/>
      <c r="E44" s="159"/>
    </row>
    <row r="45" spans="1:5" x14ac:dyDescent="0.25">
      <c r="A45" s="224"/>
      <c r="B45" s="77"/>
      <c r="C45" s="78"/>
      <c r="D45" s="78"/>
      <c r="E45" s="159"/>
    </row>
    <row r="46" spans="1:5" x14ac:dyDescent="0.25">
      <c r="A46" s="223"/>
      <c r="B46" s="79"/>
      <c r="C46" s="80"/>
      <c r="D46" s="80"/>
      <c r="E46" s="159"/>
    </row>
    <row r="47" spans="1:5" x14ac:dyDescent="0.25">
      <c r="A47" s="224"/>
      <c r="B47" s="77"/>
      <c r="C47" s="78"/>
      <c r="D47" s="78"/>
      <c r="E47" s="159"/>
    </row>
    <row r="48" spans="1:5" x14ac:dyDescent="0.25">
      <c r="A48" s="223"/>
      <c r="B48" s="79"/>
      <c r="C48" s="80"/>
      <c r="D48" s="80"/>
      <c r="E48" s="159"/>
    </row>
    <row r="49" spans="1:5" x14ac:dyDescent="0.25">
      <c r="A49" s="224"/>
      <c r="B49" s="77"/>
      <c r="C49" s="78"/>
      <c r="D49" s="88"/>
      <c r="E49" s="159"/>
    </row>
    <row r="50" spans="1:5" x14ac:dyDescent="0.25">
      <c r="A50" s="223"/>
      <c r="B50" s="79"/>
      <c r="C50" s="80"/>
      <c r="D50" s="80"/>
      <c r="E50" s="159"/>
    </row>
    <row r="51" spans="1:5" x14ac:dyDescent="0.25">
      <c r="A51" s="224"/>
      <c r="B51" s="77"/>
      <c r="C51" s="78"/>
      <c r="D51" s="78"/>
      <c r="E51" s="159"/>
    </row>
    <row r="52" spans="1:5" x14ac:dyDescent="0.25">
      <c r="A52" s="223"/>
      <c r="B52" s="79"/>
      <c r="C52" s="80"/>
      <c r="D52" s="87"/>
      <c r="E52" s="159"/>
    </row>
    <row r="53" spans="1:5" x14ac:dyDescent="0.25">
      <c r="A53" s="224"/>
      <c r="B53" s="77"/>
      <c r="C53" s="78"/>
      <c r="D53" s="88"/>
      <c r="E53" s="159"/>
    </row>
    <row r="54" spans="1:5" x14ac:dyDescent="0.25">
      <c r="A54" s="223"/>
      <c r="B54" s="79"/>
      <c r="C54" s="80"/>
      <c r="D54" s="80"/>
      <c r="E54" s="159"/>
    </row>
    <row r="55" spans="1:5" x14ac:dyDescent="0.25">
      <c r="A55" s="224"/>
      <c r="B55" s="77"/>
      <c r="C55" s="78"/>
      <c r="D55" s="78"/>
      <c r="E55" s="159"/>
    </row>
    <row r="56" spans="1:5" x14ac:dyDescent="0.25">
      <c r="A56" s="223"/>
      <c r="B56" s="79"/>
      <c r="C56" s="80"/>
      <c r="D56" s="80"/>
      <c r="E56" s="159"/>
    </row>
    <row r="57" spans="1:5" x14ac:dyDescent="0.25">
      <c r="A57" s="224"/>
      <c r="B57" s="77"/>
      <c r="C57" s="78"/>
      <c r="D57" s="78"/>
      <c r="E57" s="159"/>
    </row>
    <row r="58" spans="1:5" x14ac:dyDescent="0.25">
      <c r="A58" s="223"/>
      <c r="B58" s="79"/>
      <c r="C58" s="80"/>
      <c r="D58" s="80"/>
      <c r="E58" s="159"/>
    </row>
    <row r="59" spans="1:5" x14ac:dyDescent="0.25">
      <c r="A59" s="223"/>
      <c r="B59" s="79"/>
      <c r="C59" s="80"/>
      <c r="D59" s="80"/>
      <c r="E59" s="159"/>
    </row>
    <row r="60" spans="1:5" x14ac:dyDescent="0.25">
      <c r="A60" s="224"/>
      <c r="B60" s="77"/>
      <c r="C60" s="78"/>
      <c r="D60" s="78"/>
      <c r="E60" s="159"/>
    </row>
    <row r="61" spans="1:5" x14ac:dyDescent="0.25">
      <c r="A61" s="223"/>
      <c r="B61" s="79"/>
      <c r="C61" s="80"/>
      <c r="D61" s="80"/>
      <c r="E61" s="159"/>
    </row>
    <row r="62" spans="1:5" x14ac:dyDescent="0.25">
      <c r="A62" s="224"/>
      <c r="B62" s="77"/>
      <c r="C62" s="78"/>
      <c r="D62" s="88"/>
      <c r="E62" s="159"/>
    </row>
    <row r="63" spans="1:5" x14ac:dyDescent="0.25">
      <c r="A63" s="223"/>
      <c r="B63" s="79"/>
      <c r="C63" s="80"/>
      <c r="D63" s="80"/>
      <c r="E63" s="159"/>
    </row>
    <row r="64" spans="1:5" x14ac:dyDescent="0.25">
      <c r="A64" s="224"/>
      <c r="B64" s="77"/>
      <c r="C64" s="78"/>
      <c r="D64" s="88"/>
      <c r="E64" s="159"/>
    </row>
    <row r="65" spans="1:5" x14ac:dyDescent="0.25">
      <c r="A65" s="223"/>
      <c r="B65" s="79"/>
      <c r="C65" s="80"/>
      <c r="D65" s="80"/>
      <c r="E65" s="159"/>
    </row>
    <row r="66" spans="1:5" x14ac:dyDescent="0.25">
      <c r="A66" s="224"/>
      <c r="B66" s="77"/>
      <c r="C66" s="78"/>
      <c r="D66" s="78"/>
      <c r="E66" s="159"/>
    </row>
    <row r="67" spans="1:5" x14ac:dyDescent="0.25">
      <c r="A67" s="223"/>
      <c r="B67" s="79"/>
      <c r="C67" s="80"/>
      <c r="D67" s="80"/>
      <c r="E67" s="159"/>
    </row>
    <row r="68" spans="1:5" x14ac:dyDescent="0.25">
      <c r="A68" s="224"/>
      <c r="B68" s="77"/>
      <c r="C68" s="78"/>
      <c r="D68" s="78"/>
      <c r="E68" s="159"/>
    </row>
    <row r="69" spans="1:5" x14ac:dyDescent="0.25">
      <c r="A69" s="223"/>
      <c r="B69" s="79"/>
      <c r="C69" s="80"/>
      <c r="D69" s="80"/>
      <c r="E69" s="159"/>
    </row>
    <row r="70" spans="1:5" x14ac:dyDescent="0.25">
      <c r="A70" s="224"/>
      <c r="B70" s="77"/>
      <c r="C70" s="78"/>
      <c r="D70" s="78"/>
      <c r="E70" s="159"/>
    </row>
    <row r="71" spans="1:5" x14ac:dyDescent="0.25">
      <c r="A71" s="223"/>
      <c r="B71" s="79"/>
      <c r="C71" s="80"/>
      <c r="D71" s="80"/>
      <c r="E71" s="159"/>
    </row>
    <row r="72" spans="1:5" x14ac:dyDescent="0.25">
      <c r="A72" s="224"/>
      <c r="B72" s="77"/>
      <c r="C72" s="78"/>
      <c r="D72" s="78"/>
      <c r="E72" s="159"/>
    </row>
    <row r="73" spans="1:5" x14ac:dyDescent="0.25">
      <c r="A73" s="223"/>
      <c r="B73" s="79"/>
      <c r="C73" s="80"/>
      <c r="D73" s="87"/>
      <c r="E73" s="159"/>
    </row>
    <row r="74" spans="1:5" x14ac:dyDescent="0.25">
      <c r="A74" s="224"/>
      <c r="B74" s="77"/>
      <c r="C74" s="78"/>
      <c r="D74" s="78"/>
      <c r="E74" s="159"/>
    </row>
    <row r="75" spans="1:5" x14ac:dyDescent="0.25">
      <c r="A75" s="223"/>
      <c r="B75" s="79"/>
      <c r="C75" s="80"/>
      <c r="D75" s="80"/>
      <c r="E75" s="159"/>
    </row>
    <row r="76" spans="1:5" x14ac:dyDescent="0.25">
      <c r="A76" s="224"/>
      <c r="B76" s="77"/>
      <c r="C76" s="78"/>
      <c r="D76" s="78"/>
      <c r="E76" s="159"/>
    </row>
    <row r="77" spans="1:5" x14ac:dyDescent="0.25">
      <c r="A77" s="223"/>
      <c r="B77" s="79"/>
      <c r="C77" s="80"/>
      <c r="D77" s="80"/>
      <c r="E77" s="159"/>
    </row>
    <row r="78" spans="1:5" x14ac:dyDescent="0.25">
      <c r="A78" s="224"/>
      <c r="B78" s="77"/>
      <c r="C78" s="78"/>
      <c r="D78" s="78"/>
      <c r="E78" s="159"/>
    </row>
    <row r="79" spans="1:5" x14ac:dyDescent="0.25">
      <c r="A79" s="223"/>
      <c r="B79" s="79"/>
      <c r="C79" s="80"/>
      <c r="D79" s="80"/>
      <c r="E79" s="159"/>
    </row>
    <row r="80" spans="1:5" x14ac:dyDescent="0.25">
      <c r="A80" s="224"/>
      <c r="B80" s="77"/>
      <c r="C80" s="78"/>
      <c r="D80" s="78"/>
      <c r="E80" s="159"/>
    </row>
    <row r="81" spans="1:5" x14ac:dyDescent="0.25">
      <c r="A81" s="223"/>
      <c r="B81" s="79"/>
      <c r="C81" s="80"/>
      <c r="D81" s="80"/>
      <c r="E81" s="159"/>
    </row>
    <row r="82" spans="1:5" x14ac:dyDescent="0.25">
      <c r="A82" s="224"/>
      <c r="B82" s="77"/>
      <c r="C82" s="78"/>
      <c r="D82" s="78"/>
      <c r="E82" s="159"/>
    </row>
    <row r="83" spans="1:5" x14ac:dyDescent="0.25">
      <c r="A83" s="223"/>
      <c r="B83" s="79"/>
      <c r="C83" s="80"/>
      <c r="D83" s="80"/>
      <c r="E83" s="159"/>
    </row>
    <row r="84" spans="1:5" x14ac:dyDescent="0.25">
      <c r="A84" s="224"/>
      <c r="B84" s="77"/>
      <c r="C84" s="78"/>
      <c r="D84" s="78"/>
      <c r="E84" s="159"/>
    </row>
    <row r="85" spans="1:5" x14ac:dyDescent="0.25">
      <c r="A85" s="223"/>
      <c r="B85" s="79"/>
      <c r="C85" s="80"/>
      <c r="D85" s="80"/>
      <c r="E85" s="159"/>
    </row>
    <row r="86" spans="1:5" x14ac:dyDescent="0.25">
      <c r="A86" s="224"/>
      <c r="B86" s="77"/>
      <c r="C86" s="78"/>
      <c r="D86" s="78"/>
      <c r="E86" s="159"/>
    </row>
    <row r="87" spans="1:5" x14ac:dyDescent="0.25">
      <c r="A87" s="223"/>
      <c r="B87" s="79"/>
      <c r="C87" s="80"/>
      <c r="D87" s="80"/>
      <c r="E87" s="159"/>
    </row>
    <row r="88" spans="1:5" x14ac:dyDescent="0.25">
      <c r="A88" s="224"/>
      <c r="B88" s="77"/>
      <c r="C88" s="78"/>
      <c r="D88" s="78"/>
      <c r="E88" s="159"/>
    </row>
    <row r="89" spans="1:5" x14ac:dyDescent="0.25">
      <c r="A89" s="223"/>
      <c r="B89" s="79"/>
      <c r="C89" s="80"/>
      <c r="D89" s="80"/>
      <c r="E89" s="159"/>
    </row>
    <row r="90" spans="1:5" x14ac:dyDescent="0.25">
      <c r="A90" s="223"/>
      <c r="B90" s="79"/>
      <c r="C90" s="80"/>
      <c r="D90" s="80"/>
      <c r="E90" s="159"/>
    </row>
    <row r="91" spans="1:5" x14ac:dyDescent="0.25">
      <c r="A91" s="224"/>
      <c r="B91" s="77"/>
      <c r="C91" s="78"/>
      <c r="D91" s="78"/>
      <c r="E91" s="159"/>
    </row>
    <row r="92" spans="1:5" x14ac:dyDescent="0.25">
      <c r="A92" s="223"/>
      <c r="B92" s="79"/>
      <c r="C92" s="80"/>
      <c r="D92" s="80"/>
      <c r="E92" s="159"/>
    </row>
    <row r="93" spans="1:5" x14ac:dyDescent="0.25">
      <c r="A93" s="224"/>
      <c r="B93" s="77"/>
      <c r="C93" s="78"/>
      <c r="D93" s="78"/>
      <c r="E93" s="159"/>
    </row>
    <row r="94" spans="1:5" x14ac:dyDescent="0.25">
      <c r="A94" s="223"/>
      <c r="B94" s="79"/>
      <c r="C94" s="80"/>
      <c r="D94" s="80"/>
      <c r="E94" s="159"/>
    </row>
    <row r="95" spans="1:5" x14ac:dyDescent="0.25">
      <c r="A95" s="224"/>
      <c r="B95" s="77"/>
      <c r="C95" s="78"/>
      <c r="D95" s="78"/>
      <c r="E95" s="159"/>
    </row>
    <row r="96" spans="1:5" x14ac:dyDescent="0.25">
      <c r="A96" s="223"/>
      <c r="B96" s="79"/>
      <c r="C96" s="80"/>
      <c r="D96" s="80"/>
      <c r="E96" s="159"/>
    </row>
    <row r="97" spans="1:5" x14ac:dyDescent="0.25">
      <c r="A97" s="224"/>
      <c r="B97" s="77"/>
      <c r="C97" s="78"/>
      <c r="D97" s="78"/>
      <c r="E97" s="159"/>
    </row>
    <row r="98" spans="1:5" x14ac:dyDescent="0.25">
      <c r="A98" s="223"/>
      <c r="B98" s="79"/>
      <c r="C98" s="80"/>
      <c r="D98" s="80"/>
      <c r="E98" s="159"/>
    </row>
    <row r="99" spans="1:5" x14ac:dyDescent="0.25">
      <c r="A99" s="224"/>
      <c r="B99" s="77"/>
      <c r="C99" s="78"/>
      <c r="D99" s="78"/>
      <c r="E99" s="159"/>
    </row>
    <row r="100" spans="1:5" x14ac:dyDescent="0.25">
      <c r="A100" s="223"/>
      <c r="B100" s="79"/>
      <c r="C100" s="80"/>
      <c r="D100" s="80"/>
      <c r="E100" s="159"/>
    </row>
    <row r="101" spans="1:5" x14ac:dyDescent="0.25">
      <c r="A101" s="224"/>
      <c r="B101" s="77"/>
      <c r="C101" s="78"/>
      <c r="D101" s="78"/>
      <c r="E101" s="159"/>
    </row>
    <row r="102" spans="1:5" x14ac:dyDescent="0.25">
      <c r="A102" s="223"/>
      <c r="B102" s="79"/>
      <c r="C102" s="80"/>
      <c r="D102" s="80"/>
      <c r="E102" s="159"/>
    </row>
    <row r="103" spans="1:5" x14ac:dyDescent="0.25">
      <c r="A103" s="224"/>
      <c r="B103" s="77"/>
      <c r="C103" s="78"/>
      <c r="D103" s="78"/>
      <c r="E103" s="159"/>
    </row>
    <row r="104" spans="1:5" x14ac:dyDescent="0.25">
      <c r="A104" s="223"/>
      <c r="B104" s="79"/>
      <c r="C104" s="80"/>
      <c r="D104" s="80"/>
      <c r="E104" s="159"/>
    </row>
    <row r="105" spans="1:5" x14ac:dyDescent="0.25">
      <c r="A105" s="224"/>
      <c r="B105" s="77"/>
      <c r="C105" s="78"/>
      <c r="D105" s="78"/>
      <c r="E105" s="159"/>
    </row>
    <row r="106" spans="1:5" x14ac:dyDescent="0.25">
      <c r="A106" s="223"/>
      <c r="B106" s="79"/>
      <c r="C106" s="80"/>
      <c r="D106" s="80"/>
      <c r="E106" s="159"/>
    </row>
    <row r="107" spans="1:5" x14ac:dyDescent="0.25">
      <c r="A107" s="224"/>
      <c r="B107" s="77"/>
      <c r="C107" s="78"/>
      <c r="D107" s="78"/>
      <c r="E107" s="159"/>
    </row>
    <row r="108" spans="1:5" x14ac:dyDescent="0.25">
      <c r="A108" s="223"/>
      <c r="B108" s="79"/>
      <c r="C108" s="80"/>
      <c r="D108" s="80"/>
      <c r="E108" s="159"/>
    </row>
    <row r="109" spans="1:5" x14ac:dyDescent="0.25">
      <c r="A109" s="224"/>
      <c r="B109" s="77"/>
      <c r="C109" s="78"/>
      <c r="D109" s="88"/>
      <c r="E109" s="159"/>
    </row>
    <row r="110" spans="1:5" x14ac:dyDescent="0.25">
      <c r="A110" s="223"/>
      <c r="B110" s="79"/>
      <c r="C110" s="80"/>
      <c r="D110" s="80"/>
      <c r="E110" s="159"/>
    </row>
    <row r="111" spans="1:5" x14ac:dyDescent="0.25">
      <c r="A111" s="224"/>
      <c r="B111" s="77"/>
      <c r="C111" s="78"/>
      <c r="D111" s="78"/>
      <c r="E111" s="159"/>
    </row>
    <row r="112" spans="1:5" x14ac:dyDescent="0.25">
      <c r="A112" s="223"/>
      <c r="B112" s="79"/>
      <c r="C112" s="80"/>
      <c r="D112" s="80"/>
      <c r="E112" s="159"/>
    </row>
    <row r="113" spans="1:5" x14ac:dyDescent="0.25">
      <c r="A113" s="224"/>
      <c r="B113" s="77"/>
      <c r="C113" s="78"/>
      <c r="D113" s="78"/>
      <c r="E113" s="159"/>
    </row>
    <row r="114" spans="1:5" x14ac:dyDescent="0.25">
      <c r="A114" s="223"/>
      <c r="B114" s="79"/>
      <c r="C114" s="80"/>
      <c r="D114" s="80"/>
      <c r="E114" s="159"/>
    </row>
    <row r="115" spans="1:5" x14ac:dyDescent="0.25">
      <c r="A115" s="224"/>
      <c r="B115" s="77"/>
      <c r="C115" s="78"/>
      <c r="D115" s="78"/>
      <c r="E115" s="159"/>
    </row>
    <row r="116" spans="1:5" x14ac:dyDescent="0.25">
      <c r="A116" s="223"/>
      <c r="B116" s="79"/>
      <c r="C116" s="80"/>
      <c r="D116" s="80"/>
      <c r="E116" s="159"/>
    </row>
    <row r="117" spans="1:5" x14ac:dyDescent="0.25">
      <c r="A117" s="224"/>
      <c r="B117" s="77"/>
      <c r="C117" s="78"/>
      <c r="D117" s="78"/>
      <c r="E117" s="159"/>
    </row>
    <row r="118" spans="1:5" x14ac:dyDescent="0.25">
      <c r="A118" s="223"/>
      <c r="B118" s="79"/>
      <c r="C118" s="80"/>
      <c r="D118" s="80"/>
      <c r="E118" s="159"/>
    </row>
    <row r="119" spans="1:5" x14ac:dyDescent="0.25">
      <c r="A119" s="224"/>
      <c r="B119" s="77"/>
      <c r="C119" s="78"/>
      <c r="D119" s="78"/>
      <c r="E119" s="159"/>
    </row>
    <row r="120" spans="1:5" x14ac:dyDescent="0.25">
      <c r="A120" s="223"/>
      <c r="B120" s="79"/>
      <c r="C120" s="80"/>
      <c r="D120" s="87"/>
      <c r="E120" s="159"/>
    </row>
    <row r="121" spans="1:5" x14ac:dyDescent="0.25">
      <c r="A121" s="224"/>
      <c r="B121" s="77"/>
      <c r="C121" s="78"/>
      <c r="D121" s="78"/>
      <c r="E121" s="159"/>
    </row>
    <row r="122" spans="1:5" x14ac:dyDescent="0.25">
      <c r="A122" s="223"/>
      <c r="B122" s="79"/>
      <c r="C122" s="80"/>
      <c r="D122" s="80"/>
      <c r="E122" s="159"/>
    </row>
    <row r="123" spans="1:5" x14ac:dyDescent="0.25">
      <c r="A123" s="224"/>
      <c r="B123" s="77"/>
      <c r="C123" s="78"/>
      <c r="D123" s="88"/>
      <c r="E123" s="159"/>
    </row>
    <row r="124" spans="1:5" x14ac:dyDescent="0.25">
      <c r="A124" s="223"/>
      <c r="B124" s="79"/>
      <c r="C124" s="80"/>
      <c r="D124" s="80"/>
      <c r="E124" s="159"/>
    </row>
    <row r="125" spans="1:5" x14ac:dyDescent="0.25">
      <c r="A125" s="224"/>
      <c r="B125" s="77"/>
      <c r="C125" s="78"/>
      <c r="D125" s="88"/>
      <c r="E125" s="159"/>
    </row>
    <row r="126" spans="1:5" x14ac:dyDescent="0.25">
      <c r="A126" s="223"/>
      <c r="B126" s="79"/>
      <c r="C126" s="80"/>
      <c r="D126" s="87"/>
      <c r="E126" s="159"/>
    </row>
    <row r="127" spans="1:5" x14ac:dyDescent="0.25">
      <c r="A127" s="224"/>
      <c r="B127" s="77"/>
      <c r="C127" s="78"/>
      <c r="D127" s="88"/>
      <c r="E127" s="159"/>
    </row>
    <row r="128" spans="1:5" x14ac:dyDescent="0.25">
      <c r="A128" s="223"/>
      <c r="B128" s="79"/>
      <c r="C128" s="80"/>
      <c r="D128" s="87"/>
      <c r="E128" s="159"/>
    </row>
    <row r="129" spans="1:5" x14ac:dyDescent="0.25">
      <c r="A129" s="224"/>
      <c r="B129" s="77"/>
      <c r="C129" s="78"/>
      <c r="D129" s="88"/>
      <c r="E129" s="159"/>
    </row>
    <row r="130" spans="1:5" x14ac:dyDescent="0.25">
      <c r="A130" s="223"/>
      <c r="B130" s="79"/>
      <c r="C130" s="80"/>
      <c r="D130" s="225"/>
      <c r="E130" s="159"/>
    </row>
    <row r="131" spans="1:5" x14ac:dyDescent="0.25">
      <c r="A131" s="226"/>
      <c r="B131" s="227"/>
      <c r="C131" s="228"/>
      <c r="D131" s="88"/>
      <c r="E131" s="159"/>
    </row>
    <row r="132" spans="1:5" x14ac:dyDescent="0.25">
      <c r="A132" s="226"/>
      <c r="B132" s="227"/>
      <c r="C132" s="228"/>
      <c r="D132" s="88"/>
      <c r="E132" s="159"/>
    </row>
    <row r="133" spans="1:5" x14ac:dyDescent="0.25">
      <c r="A133" s="229"/>
      <c r="B133" s="230"/>
      <c r="C133" s="231"/>
      <c r="D133" s="150"/>
      <c r="E133" s="167"/>
    </row>
  </sheetData>
  <phoneticPr fontId="4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70"/>
  <sheetViews>
    <sheetView workbookViewId="0">
      <selection activeCell="C3" sqref="C3"/>
    </sheetView>
  </sheetViews>
  <sheetFormatPr baseColWidth="10" defaultRowHeight="15" x14ac:dyDescent="0.25"/>
  <cols>
    <col min="2" max="2" width="17.140625" customWidth="1"/>
    <col min="3" max="3" width="14.42578125" customWidth="1"/>
    <col min="7" max="7" width="15.5703125" bestFit="1" customWidth="1"/>
    <col min="8" max="8" width="16.140625" customWidth="1"/>
  </cols>
  <sheetData>
    <row r="1" spans="1:8" ht="15.75" thickBot="1" x14ac:dyDescent="0.3"/>
    <row r="2" spans="1:8" ht="19.5" thickBot="1" x14ac:dyDescent="0.35">
      <c r="A2" s="146" t="s">
        <v>80</v>
      </c>
      <c r="B2" s="147"/>
      <c r="C2" s="148">
        <v>45108</v>
      </c>
      <c r="F2" t="s">
        <v>112</v>
      </c>
    </row>
    <row r="3" spans="1:8" x14ac:dyDescent="0.25">
      <c r="A3">
        <f>MONTH(B3)</f>
        <v>7</v>
      </c>
      <c r="B3" s="144">
        <f>C2</f>
        <v>45108</v>
      </c>
      <c r="C3">
        <f>MONTH(B3)</f>
        <v>7</v>
      </c>
    </row>
    <row r="4" spans="1:8" x14ac:dyDescent="0.25">
      <c r="A4">
        <f t="shared" ref="A4:A67" si="0">MONTH(B4)</f>
        <v>8</v>
      </c>
      <c r="B4" s="144">
        <f>DATE(YEAR(B3),MONTH(B3)+1,1)</f>
        <v>45139</v>
      </c>
      <c r="C4">
        <f t="shared" ref="C4:C67" si="1">MONTH(B4)</f>
        <v>8</v>
      </c>
      <c r="F4" s="149" t="s">
        <v>113</v>
      </c>
      <c r="G4" s="155">
        <v>20</v>
      </c>
      <c r="H4" s="155">
        <v>20</v>
      </c>
    </row>
    <row r="5" spans="1:8" x14ac:dyDescent="0.25">
      <c r="A5">
        <f t="shared" si="0"/>
        <v>9</v>
      </c>
      <c r="B5" s="144">
        <f t="shared" ref="B5:B68" si="2">DATE(YEAR(B4),MONTH(B4)+1,1)</f>
        <v>45170</v>
      </c>
      <c r="C5">
        <f t="shared" si="1"/>
        <v>9</v>
      </c>
      <c r="F5" s="89" t="s">
        <v>114</v>
      </c>
      <c r="G5" s="159">
        <v>20</v>
      </c>
      <c r="H5" s="159">
        <v>20</v>
      </c>
    </row>
    <row r="6" spans="1:8" x14ac:dyDescent="0.25">
      <c r="A6">
        <f t="shared" si="0"/>
        <v>10</v>
      </c>
      <c r="B6" s="144">
        <f t="shared" si="2"/>
        <v>45200</v>
      </c>
      <c r="C6">
        <f t="shared" si="1"/>
        <v>10</v>
      </c>
      <c r="F6" s="89" t="s">
        <v>115</v>
      </c>
      <c r="G6" s="159">
        <v>20</v>
      </c>
      <c r="H6" s="159">
        <v>20</v>
      </c>
    </row>
    <row r="7" spans="1:8" x14ac:dyDescent="0.25">
      <c r="A7">
        <f t="shared" si="0"/>
        <v>11</v>
      </c>
      <c r="B7" s="144">
        <f t="shared" si="2"/>
        <v>45231</v>
      </c>
      <c r="C7">
        <f t="shared" si="1"/>
        <v>11</v>
      </c>
      <c r="F7" s="89" t="s">
        <v>116</v>
      </c>
      <c r="G7" s="159">
        <v>20</v>
      </c>
      <c r="H7" s="159">
        <v>20</v>
      </c>
    </row>
    <row r="8" spans="1:8" x14ac:dyDescent="0.25">
      <c r="A8">
        <f t="shared" si="0"/>
        <v>12</v>
      </c>
      <c r="B8" s="144">
        <f t="shared" si="2"/>
        <v>45261</v>
      </c>
      <c r="C8">
        <f t="shared" si="1"/>
        <v>12</v>
      </c>
      <c r="F8" s="89" t="s">
        <v>117</v>
      </c>
      <c r="G8" s="159">
        <v>20</v>
      </c>
      <c r="H8" s="159">
        <v>20</v>
      </c>
    </row>
    <row r="9" spans="1:8" x14ac:dyDescent="0.25">
      <c r="A9">
        <f t="shared" si="0"/>
        <v>1</v>
      </c>
      <c r="B9" s="144">
        <f t="shared" si="2"/>
        <v>45292</v>
      </c>
      <c r="C9">
        <f t="shared" si="1"/>
        <v>1</v>
      </c>
      <c r="F9" s="89" t="s">
        <v>21</v>
      </c>
      <c r="G9" s="159">
        <v>100</v>
      </c>
      <c r="H9" s="159">
        <v>100</v>
      </c>
    </row>
    <row r="10" spans="1:8" x14ac:dyDescent="0.25">
      <c r="A10">
        <f t="shared" si="0"/>
        <v>2</v>
      </c>
      <c r="B10" s="144">
        <f t="shared" si="2"/>
        <v>45323</v>
      </c>
      <c r="C10">
        <f t="shared" si="1"/>
        <v>2</v>
      </c>
      <c r="F10" s="89"/>
      <c r="G10" s="159"/>
      <c r="H10" s="159"/>
    </row>
    <row r="11" spans="1:8" x14ac:dyDescent="0.25">
      <c r="A11">
        <f t="shared" si="0"/>
        <v>3</v>
      </c>
      <c r="B11" s="144">
        <f t="shared" si="2"/>
        <v>45352</v>
      </c>
      <c r="C11">
        <f t="shared" si="1"/>
        <v>3</v>
      </c>
      <c r="F11" s="149" t="s">
        <v>121</v>
      </c>
      <c r="G11" s="165" t="e">
        <f>G22*100</f>
        <v>#N/A</v>
      </c>
      <c r="H11" s="165">
        <f>H22*100</f>
        <v>0</v>
      </c>
    </row>
    <row r="12" spans="1:8" x14ac:dyDescent="0.25">
      <c r="A12">
        <f t="shared" si="0"/>
        <v>4</v>
      </c>
      <c r="B12" s="144">
        <f t="shared" si="2"/>
        <v>45383</v>
      </c>
      <c r="C12">
        <f t="shared" si="1"/>
        <v>4</v>
      </c>
      <c r="F12" s="90" t="s">
        <v>125</v>
      </c>
      <c r="G12" s="166" t="e">
        <f>G11/100</f>
        <v>#N/A</v>
      </c>
      <c r="H12" s="166">
        <f>H11/100</f>
        <v>0</v>
      </c>
    </row>
    <row r="13" spans="1:8" x14ac:dyDescent="0.25">
      <c r="A13">
        <f t="shared" si="0"/>
        <v>5</v>
      </c>
      <c r="B13" s="144">
        <f t="shared" si="2"/>
        <v>45413</v>
      </c>
      <c r="C13">
        <f t="shared" si="1"/>
        <v>5</v>
      </c>
      <c r="F13" s="149" t="s">
        <v>118</v>
      </c>
      <c r="G13" s="155" t="e">
        <f>G11-G14/2</f>
        <v>#N/A</v>
      </c>
      <c r="H13" s="155">
        <f>H11-H14/2</f>
        <v>-1.5</v>
      </c>
    </row>
    <row r="14" spans="1:8" x14ac:dyDescent="0.25">
      <c r="A14">
        <f t="shared" si="0"/>
        <v>6</v>
      </c>
      <c r="B14" s="144">
        <f t="shared" si="2"/>
        <v>45444</v>
      </c>
      <c r="C14">
        <f t="shared" si="1"/>
        <v>6</v>
      </c>
      <c r="F14" s="89" t="s">
        <v>119</v>
      </c>
      <c r="G14" s="159">
        <v>3</v>
      </c>
      <c r="H14" s="159">
        <v>3</v>
      </c>
    </row>
    <row r="15" spans="1:8" x14ac:dyDescent="0.25">
      <c r="A15">
        <f t="shared" si="0"/>
        <v>7</v>
      </c>
      <c r="B15" s="144">
        <f t="shared" si="2"/>
        <v>45474</v>
      </c>
      <c r="C15">
        <f t="shared" si="1"/>
        <v>7</v>
      </c>
      <c r="F15" s="90" t="s">
        <v>120</v>
      </c>
      <c r="G15" s="167" t="e">
        <f>SUM(G4:G9)-G14-G13</f>
        <v>#N/A</v>
      </c>
      <c r="H15" s="167">
        <f>SUM(H4:H9)-H14-H13</f>
        <v>198.5</v>
      </c>
    </row>
    <row r="16" spans="1:8" x14ac:dyDescent="0.25">
      <c r="A16">
        <f t="shared" si="0"/>
        <v>8</v>
      </c>
      <c r="B16" s="144">
        <f t="shared" si="2"/>
        <v>45505</v>
      </c>
      <c r="C16">
        <f t="shared" si="1"/>
        <v>8</v>
      </c>
      <c r="F16" s="89"/>
      <c r="G16" s="159"/>
      <c r="H16" s="159"/>
    </row>
    <row r="17" spans="1:8" x14ac:dyDescent="0.25">
      <c r="A17">
        <f t="shared" si="0"/>
        <v>9</v>
      </c>
      <c r="B17" s="144">
        <f t="shared" si="2"/>
        <v>45536</v>
      </c>
      <c r="C17">
        <f t="shared" si="1"/>
        <v>9</v>
      </c>
      <c r="F17" s="89" t="e">
        <f>Datos!H4</f>
        <v>#N/A</v>
      </c>
      <c r="G17" s="168" t="e">
        <f>VLOOKUP(F17,Ventas!A5:C15,3,(TRUE))</f>
        <v>#N/A</v>
      </c>
      <c r="H17" s="168">
        <f>VLOOKUP("H",Ventas!A5:C15,3,(TRUE))</f>
        <v>44000000</v>
      </c>
    </row>
    <row r="18" spans="1:8" x14ac:dyDescent="0.25">
      <c r="A18">
        <f t="shared" si="0"/>
        <v>10</v>
      </c>
      <c r="B18" s="144">
        <f t="shared" si="2"/>
        <v>45566</v>
      </c>
      <c r="C18">
        <f t="shared" si="1"/>
        <v>10</v>
      </c>
      <c r="F18" s="89" t="s">
        <v>122</v>
      </c>
      <c r="G18" s="168" t="e">
        <f>G17/12</f>
        <v>#N/A</v>
      </c>
      <c r="H18" s="168">
        <f>H17/12</f>
        <v>3666666.6666666665</v>
      </c>
    </row>
    <row r="19" spans="1:8" x14ac:dyDescent="0.25">
      <c r="A19">
        <f t="shared" si="0"/>
        <v>11</v>
      </c>
      <c r="B19" s="144">
        <f t="shared" si="2"/>
        <v>45597</v>
      </c>
      <c r="C19">
        <f t="shared" si="1"/>
        <v>11</v>
      </c>
      <c r="F19" s="89" t="s">
        <v>64</v>
      </c>
      <c r="G19" s="169">
        <f>Datos!B23</f>
        <v>0</v>
      </c>
      <c r="H19" s="169">
        <f>Datos!B23</f>
        <v>0</v>
      </c>
    </row>
    <row r="20" spans="1:8" x14ac:dyDescent="0.25">
      <c r="A20">
        <f t="shared" si="0"/>
        <v>12</v>
      </c>
      <c r="B20" s="144">
        <f t="shared" si="2"/>
        <v>45627</v>
      </c>
      <c r="C20">
        <f t="shared" si="1"/>
        <v>12</v>
      </c>
      <c r="F20" s="89" t="s">
        <v>123</v>
      </c>
      <c r="G20" s="169">
        <f>G19/12</f>
        <v>0</v>
      </c>
      <c r="H20" s="169">
        <f>H19/12</f>
        <v>0</v>
      </c>
    </row>
    <row r="21" spans="1:8" x14ac:dyDescent="0.25">
      <c r="A21">
        <f t="shared" si="0"/>
        <v>1</v>
      </c>
      <c r="B21" s="144">
        <f t="shared" si="2"/>
        <v>45658</v>
      </c>
      <c r="C21">
        <f t="shared" si="1"/>
        <v>1</v>
      </c>
      <c r="F21" s="89"/>
      <c r="G21" s="159"/>
      <c r="H21" s="159"/>
    </row>
    <row r="22" spans="1:8" x14ac:dyDescent="0.25">
      <c r="A22">
        <f t="shared" si="0"/>
        <v>2</v>
      </c>
      <c r="B22" s="144">
        <f t="shared" si="2"/>
        <v>45689</v>
      </c>
      <c r="C22">
        <f t="shared" si="1"/>
        <v>2</v>
      </c>
      <c r="F22" s="90" t="s">
        <v>124</v>
      </c>
      <c r="G22" s="166" t="e">
        <f>IF(G20&gt;G18,("100%"),(G20/G18))</f>
        <v>#N/A</v>
      </c>
      <c r="H22" s="166">
        <f>IF(H20&gt;H18,("100%"),(H20/H18))</f>
        <v>0</v>
      </c>
    </row>
    <row r="23" spans="1:8" x14ac:dyDescent="0.25">
      <c r="A23">
        <f t="shared" si="0"/>
        <v>3</v>
      </c>
      <c r="B23" s="144">
        <f t="shared" si="2"/>
        <v>45717</v>
      </c>
      <c r="C23">
        <f t="shared" si="1"/>
        <v>3</v>
      </c>
      <c r="G23" s="145"/>
    </row>
    <row r="24" spans="1:8" x14ac:dyDescent="0.25">
      <c r="A24">
        <f t="shared" si="0"/>
        <v>4</v>
      </c>
      <c r="B24" s="144">
        <f t="shared" si="2"/>
        <v>45748</v>
      </c>
      <c r="C24">
        <f t="shared" si="1"/>
        <v>4</v>
      </c>
    </row>
    <row r="25" spans="1:8" x14ac:dyDescent="0.25">
      <c r="A25">
        <f t="shared" si="0"/>
        <v>5</v>
      </c>
      <c r="B25" s="144">
        <f t="shared" si="2"/>
        <v>45778</v>
      </c>
      <c r="C25">
        <f t="shared" si="1"/>
        <v>5</v>
      </c>
    </row>
    <row r="26" spans="1:8" x14ac:dyDescent="0.25">
      <c r="A26">
        <f t="shared" si="0"/>
        <v>6</v>
      </c>
      <c r="B26" s="144">
        <f t="shared" si="2"/>
        <v>45809</v>
      </c>
      <c r="C26">
        <f t="shared" si="1"/>
        <v>6</v>
      </c>
    </row>
    <row r="27" spans="1:8" x14ac:dyDescent="0.25">
      <c r="A27">
        <f t="shared" si="0"/>
        <v>7</v>
      </c>
      <c r="B27" s="144">
        <f t="shared" si="2"/>
        <v>45839</v>
      </c>
      <c r="C27">
        <f t="shared" si="1"/>
        <v>7</v>
      </c>
    </row>
    <row r="28" spans="1:8" x14ac:dyDescent="0.25">
      <c r="A28">
        <f t="shared" si="0"/>
        <v>8</v>
      </c>
      <c r="B28" s="144">
        <f t="shared" si="2"/>
        <v>45870</v>
      </c>
      <c r="C28">
        <f t="shared" si="1"/>
        <v>8</v>
      </c>
    </row>
    <row r="29" spans="1:8" x14ac:dyDescent="0.25">
      <c r="A29">
        <f t="shared" si="0"/>
        <v>9</v>
      </c>
      <c r="B29" s="144">
        <f t="shared" si="2"/>
        <v>45901</v>
      </c>
      <c r="C29">
        <f t="shared" si="1"/>
        <v>9</v>
      </c>
    </row>
    <row r="30" spans="1:8" x14ac:dyDescent="0.25">
      <c r="A30">
        <f t="shared" si="0"/>
        <v>10</v>
      </c>
      <c r="B30" s="144">
        <f t="shared" si="2"/>
        <v>45931</v>
      </c>
      <c r="C30">
        <f t="shared" si="1"/>
        <v>10</v>
      </c>
    </row>
    <row r="31" spans="1:8" x14ac:dyDescent="0.25">
      <c r="A31">
        <f t="shared" si="0"/>
        <v>11</v>
      </c>
      <c r="B31" s="144">
        <f t="shared" si="2"/>
        <v>45962</v>
      </c>
      <c r="C31">
        <f t="shared" si="1"/>
        <v>11</v>
      </c>
    </row>
    <row r="32" spans="1:8" x14ac:dyDescent="0.25">
      <c r="A32">
        <f t="shared" si="0"/>
        <v>12</v>
      </c>
      <c r="B32" s="144">
        <f t="shared" si="2"/>
        <v>45992</v>
      </c>
      <c r="C32">
        <f t="shared" si="1"/>
        <v>12</v>
      </c>
    </row>
    <row r="33" spans="1:3" x14ac:dyDescent="0.25">
      <c r="A33">
        <f t="shared" si="0"/>
        <v>1</v>
      </c>
      <c r="B33" s="144">
        <f t="shared" si="2"/>
        <v>46023</v>
      </c>
      <c r="C33">
        <f t="shared" si="1"/>
        <v>1</v>
      </c>
    </row>
    <row r="34" spans="1:3" x14ac:dyDescent="0.25">
      <c r="A34">
        <f t="shared" si="0"/>
        <v>2</v>
      </c>
      <c r="B34" s="144">
        <f t="shared" si="2"/>
        <v>46054</v>
      </c>
      <c r="C34">
        <f t="shared" si="1"/>
        <v>2</v>
      </c>
    </row>
    <row r="35" spans="1:3" x14ac:dyDescent="0.25">
      <c r="A35">
        <f t="shared" si="0"/>
        <v>3</v>
      </c>
      <c r="B35" s="144">
        <f t="shared" si="2"/>
        <v>46082</v>
      </c>
      <c r="C35">
        <f t="shared" si="1"/>
        <v>3</v>
      </c>
    </row>
    <row r="36" spans="1:3" x14ac:dyDescent="0.25">
      <c r="A36">
        <f t="shared" si="0"/>
        <v>4</v>
      </c>
      <c r="B36" s="144">
        <f t="shared" si="2"/>
        <v>46113</v>
      </c>
      <c r="C36">
        <f t="shared" si="1"/>
        <v>4</v>
      </c>
    </row>
    <row r="37" spans="1:3" x14ac:dyDescent="0.25">
      <c r="A37">
        <f t="shared" si="0"/>
        <v>5</v>
      </c>
      <c r="B37" s="144">
        <f t="shared" si="2"/>
        <v>46143</v>
      </c>
      <c r="C37">
        <f t="shared" si="1"/>
        <v>5</v>
      </c>
    </row>
    <row r="38" spans="1:3" x14ac:dyDescent="0.25">
      <c r="A38">
        <f t="shared" si="0"/>
        <v>6</v>
      </c>
      <c r="B38" s="144">
        <f t="shared" si="2"/>
        <v>46174</v>
      </c>
      <c r="C38">
        <f t="shared" si="1"/>
        <v>6</v>
      </c>
    </row>
    <row r="39" spans="1:3" x14ac:dyDescent="0.25">
      <c r="A39">
        <f t="shared" si="0"/>
        <v>7</v>
      </c>
      <c r="B39" s="144">
        <f t="shared" si="2"/>
        <v>46204</v>
      </c>
      <c r="C39">
        <f t="shared" si="1"/>
        <v>7</v>
      </c>
    </row>
    <row r="40" spans="1:3" x14ac:dyDescent="0.25">
      <c r="A40">
        <f t="shared" si="0"/>
        <v>8</v>
      </c>
      <c r="B40" s="144">
        <f t="shared" si="2"/>
        <v>46235</v>
      </c>
      <c r="C40">
        <f t="shared" si="1"/>
        <v>8</v>
      </c>
    </row>
    <row r="41" spans="1:3" x14ac:dyDescent="0.25">
      <c r="A41">
        <f t="shared" si="0"/>
        <v>9</v>
      </c>
      <c r="B41" s="144">
        <f t="shared" si="2"/>
        <v>46266</v>
      </c>
      <c r="C41">
        <f t="shared" si="1"/>
        <v>9</v>
      </c>
    </row>
    <row r="42" spans="1:3" x14ac:dyDescent="0.25">
      <c r="A42">
        <f t="shared" si="0"/>
        <v>10</v>
      </c>
      <c r="B42" s="144">
        <f t="shared" si="2"/>
        <v>46296</v>
      </c>
      <c r="C42">
        <f t="shared" si="1"/>
        <v>10</v>
      </c>
    </row>
    <row r="43" spans="1:3" x14ac:dyDescent="0.25">
      <c r="A43">
        <f t="shared" si="0"/>
        <v>11</v>
      </c>
      <c r="B43" s="144">
        <f t="shared" si="2"/>
        <v>46327</v>
      </c>
      <c r="C43">
        <f t="shared" si="1"/>
        <v>11</v>
      </c>
    </row>
    <row r="44" spans="1:3" x14ac:dyDescent="0.25">
      <c r="A44">
        <f t="shared" si="0"/>
        <v>12</v>
      </c>
      <c r="B44" s="144">
        <f t="shared" si="2"/>
        <v>46357</v>
      </c>
      <c r="C44">
        <f t="shared" si="1"/>
        <v>12</v>
      </c>
    </row>
    <row r="45" spans="1:3" x14ac:dyDescent="0.25">
      <c r="A45">
        <f t="shared" si="0"/>
        <v>1</v>
      </c>
      <c r="B45" s="144">
        <f t="shared" si="2"/>
        <v>46388</v>
      </c>
      <c r="C45">
        <f t="shared" si="1"/>
        <v>1</v>
      </c>
    </row>
    <row r="46" spans="1:3" x14ac:dyDescent="0.25">
      <c r="A46">
        <f t="shared" si="0"/>
        <v>2</v>
      </c>
      <c r="B46" s="144">
        <f t="shared" si="2"/>
        <v>46419</v>
      </c>
      <c r="C46">
        <f t="shared" si="1"/>
        <v>2</v>
      </c>
    </row>
    <row r="47" spans="1:3" x14ac:dyDescent="0.25">
      <c r="A47">
        <f t="shared" si="0"/>
        <v>3</v>
      </c>
      <c r="B47" s="144">
        <f t="shared" si="2"/>
        <v>46447</v>
      </c>
      <c r="C47">
        <f t="shared" si="1"/>
        <v>3</v>
      </c>
    </row>
    <row r="48" spans="1:3" x14ac:dyDescent="0.25">
      <c r="A48">
        <f t="shared" si="0"/>
        <v>4</v>
      </c>
      <c r="B48" s="144">
        <f t="shared" si="2"/>
        <v>46478</v>
      </c>
      <c r="C48">
        <f t="shared" si="1"/>
        <v>4</v>
      </c>
    </row>
    <row r="49" spans="1:3" x14ac:dyDescent="0.25">
      <c r="A49">
        <f t="shared" si="0"/>
        <v>5</v>
      </c>
      <c r="B49" s="144">
        <f t="shared" si="2"/>
        <v>46508</v>
      </c>
      <c r="C49">
        <f t="shared" si="1"/>
        <v>5</v>
      </c>
    </row>
    <row r="50" spans="1:3" x14ac:dyDescent="0.25">
      <c r="A50">
        <f t="shared" si="0"/>
        <v>6</v>
      </c>
      <c r="B50" s="144">
        <f t="shared" si="2"/>
        <v>46539</v>
      </c>
      <c r="C50">
        <f t="shared" si="1"/>
        <v>6</v>
      </c>
    </row>
    <row r="51" spans="1:3" x14ac:dyDescent="0.25">
      <c r="A51">
        <f t="shared" si="0"/>
        <v>7</v>
      </c>
      <c r="B51" s="144">
        <f t="shared" si="2"/>
        <v>46569</v>
      </c>
      <c r="C51">
        <f t="shared" si="1"/>
        <v>7</v>
      </c>
    </row>
    <row r="52" spans="1:3" x14ac:dyDescent="0.25">
      <c r="A52">
        <f t="shared" si="0"/>
        <v>8</v>
      </c>
      <c r="B52" s="144">
        <f t="shared" si="2"/>
        <v>46600</v>
      </c>
      <c r="C52">
        <f t="shared" si="1"/>
        <v>8</v>
      </c>
    </row>
    <row r="53" spans="1:3" x14ac:dyDescent="0.25">
      <c r="A53">
        <f t="shared" si="0"/>
        <v>9</v>
      </c>
      <c r="B53" s="144">
        <f t="shared" si="2"/>
        <v>46631</v>
      </c>
      <c r="C53">
        <f t="shared" si="1"/>
        <v>9</v>
      </c>
    </row>
    <row r="54" spans="1:3" x14ac:dyDescent="0.25">
      <c r="A54">
        <f t="shared" si="0"/>
        <v>10</v>
      </c>
      <c r="B54" s="144">
        <f t="shared" si="2"/>
        <v>46661</v>
      </c>
      <c r="C54">
        <f t="shared" si="1"/>
        <v>10</v>
      </c>
    </row>
    <row r="55" spans="1:3" x14ac:dyDescent="0.25">
      <c r="A55">
        <f t="shared" si="0"/>
        <v>11</v>
      </c>
      <c r="B55" s="144">
        <f t="shared" si="2"/>
        <v>46692</v>
      </c>
      <c r="C55">
        <f t="shared" si="1"/>
        <v>11</v>
      </c>
    </row>
    <row r="56" spans="1:3" x14ac:dyDescent="0.25">
      <c r="A56">
        <f t="shared" si="0"/>
        <v>12</v>
      </c>
      <c r="B56" s="144">
        <f t="shared" si="2"/>
        <v>46722</v>
      </c>
      <c r="C56">
        <f t="shared" si="1"/>
        <v>12</v>
      </c>
    </row>
    <row r="57" spans="1:3" x14ac:dyDescent="0.25">
      <c r="A57">
        <f t="shared" si="0"/>
        <v>1</v>
      </c>
      <c r="B57" s="144">
        <f t="shared" si="2"/>
        <v>46753</v>
      </c>
      <c r="C57">
        <f t="shared" si="1"/>
        <v>1</v>
      </c>
    </row>
    <row r="58" spans="1:3" x14ac:dyDescent="0.25">
      <c r="A58">
        <f t="shared" si="0"/>
        <v>2</v>
      </c>
      <c r="B58" s="144">
        <f t="shared" si="2"/>
        <v>46784</v>
      </c>
      <c r="C58">
        <f t="shared" si="1"/>
        <v>2</v>
      </c>
    </row>
    <row r="59" spans="1:3" x14ac:dyDescent="0.25">
      <c r="A59">
        <f t="shared" si="0"/>
        <v>3</v>
      </c>
      <c r="B59" s="144">
        <f t="shared" si="2"/>
        <v>46813</v>
      </c>
      <c r="C59">
        <f t="shared" si="1"/>
        <v>3</v>
      </c>
    </row>
    <row r="60" spans="1:3" x14ac:dyDescent="0.25">
      <c r="A60">
        <f t="shared" si="0"/>
        <v>4</v>
      </c>
      <c r="B60" s="144">
        <f t="shared" si="2"/>
        <v>46844</v>
      </c>
      <c r="C60">
        <f t="shared" si="1"/>
        <v>4</v>
      </c>
    </row>
    <row r="61" spans="1:3" x14ac:dyDescent="0.25">
      <c r="A61">
        <f t="shared" si="0"/>
        <v>5</v>
      </c>
      <c r="B61" s="144">
        <f t="shared" si="2"/>
        <v>46874</v>
      </c>
      <c r="C61">
        <f t="shared" si="1"/>
        <v>5</v>
      </c>
    </row>
    <row r="62" spans="1:3" x14ac:dyDescent="0.25">
      <c r="A62">
        <f t="shared" si="0"/>
        <v>6</v>
      </c>
      <c r="B62" s="144">
        <f t="shared" si="2"/>
        <v>46905</v>
      </c>
      <c r="C62">
        <f t="shared" si="1"/>
        <v>6</v>
      </c>
    </row>
    <row r="63" spans="1:3" x14ac:dyDescent="0.25">
      <c r="A63">
        <f t="shared" si="0"/>
        <v>7</v>
      </c>
      <c r="B63" s="144">
        <f t="shared" si="2"/>
        <v>46935</v>
      </c>
      <c r="C63">
        <f t="shared" si="1"/>
        <v>7</v>
      </c>
    </row>
    <row r="64" spans="1:3" x14ac:dyDescent="0.25">
      <c r="A64">
        <f t="shared" si="0"/>
        <v>8</v>
      </c>
      <c r="B64" s="144">
        <f t="shared" si="2"/>
        <v>46966</v>
      </c>
      <c r="C64">
        <f t="shared" si="1"/>
        <v>8</v>
      </c>
    </row>
    <row r="65" spans="1:3" x14ac:dyDescent="0.25">
      <c r="A65">
        <f t="shared" si="0"/>
        <v>9</v>
      </c>
      <c r="B65" s="144">
        <f t="shared" si="2"/>
        <v>46997</v>
      </c>
      <c r="C65">
        <f t="shared" si="1"/>
        <v>9</v>
      </c>
    </row>
    <row r="66" spans="1:3" x14ac:dyDescent="0.25">
      <c r="A66">
        <f t="shared" si="0"/>
        <v>10</v>
      </c>
      <c r="B66" s="144">
        <f t="shared" si="2"/>
        <v>47027</v>
      </c>
      <c r="C66">
        <f t="shared" si="1"/>
        <v>10</v>
      </c>
    </row>
    <row r="67" spans="1:3" x14ac:dyDescent="0.25">
      <c r="A67">
        <f t="shared" si="0"/>
        <v>11</v>
      </c>
      <c r="B67" s="144">
        <f t="shared" si="2"/>
        <v>47058</v>
      </c>
      <c r="C67">
        <f t="shared" si="1"/>
        <v>11</v>
      </c>
    </row>
    <row r="68" spans="1:3" x14ac:dyDescent="0.25">
      <c r="A68">
        <f t="shared" ref="A68:A70" si="3">MONTH(B68)</f>
        <v>12</v>
      </c>
      <c r="B68" s="144">
        <f t="shared" si="2"/>
        <v>47088</v>
      </c>
      <c r="C68">
        <f t="shared" ref="C68:C70" si="4">MONTH(B68)</f>
        <v>12</v>
      </c>
    </row>
    <row r="69" spans="1:3" x14ac:dyDescent="0.25">
      <c r="A69">
        <f t="shared" si="3"/>
        <v>1</v>
      </c>
      <c r="B69" s="144">
        <f t="shared" ref="B69:B70" si="5">DATE(YEAR(B68),MONTH(B68)+1,1)</f>
        <v>47119</v>
      </c>
      <c r="C69">
        <f t="shared" si="4"/>
        <v>1</v>
      </c>
    </row>
    <row r="70" spans="1:3" x14ac:dyDescent="0.25">
      <c r="A70">
        <f t="shared" si="3"/>
        <v>2</v>
      </c>
      <c r="B70" s="144">
        <f t="shared" si="5"/>
        <v>47150</v>
      </c>
      <c r="C70">
        <f t="shared" si="4"/>
        <v>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1:H125"/>
  <sheetViews>
    <sheetView showGridLines="0" view="pageLayout" zoomScaleNormal="100" workbookViewId="0">
      <selection activeCell="G1" sqref="G1"/>
    </sheetView>
  </sheetViews>
  <sheetFormatPr baseColWidth="10" defaultRowHeight="15" x14ac:dyDescent="0.25"/>
  <cols>
    <col min="1" max="1" width="3.85546875" customWidth="1"/>
    <col min="2" max="2" width="10.5703125" customWidth="1"/>
    <col min="3" max="3" width="15.5703125" customWidth="1"/>
    <col min="4" max="4" width="2.28515625" customWidth="1"/>
    <col min="5" max="5" width="19.5703125" customWidth="1"/>
    <col min="6" max="6" width="15.42578125" customWidth="1"/>
    <col min="7" max="7" width="16" customWidth="1"/>
    <col min="8" max="8" width="17.5703125" customWidth="1"/>
    <col min="9" max="9" width="2.85546875" customWidth="1"/>
  </cols>
  <sheetData>
    <row r="1" spans="2:8" ht="60.75" customHeight="1" x14ac:dyDescent="0.25"/>
    <row r="3" spans="2:8" ht="55.5" customHeight="1" x14ac:dyDescent="0.5">
      <c r="E3" s="127" t="s">
        <v>63</v>
      </c>
    </row>
    <row r="4" spans="2:8" ht="37.5" customHeight="1" x14ac:dyDescent="0.35">
      <c r="B4" s="129" t="s">
        <v>62</v>
      </c>
      <c r="C4" s="202" t="e">
        <f>Datos!C4</f>
        <v>#N/A</v>
      </c>
      <c r="D4" s="202"/>
      <c r="E4" s="202"/>
    </row>
    <row r="5" spans="2:8" ht="21" x14ac:dyDescent="0.35">
      <c r="B5" s="129" t="s">
        <v>10</v>
      </c>
      <c r="C5" s="202">
        <f>Datos!C5</f>
        <v>0</v>
      </c>
      <c r="D5" s="202"/>
      <c r="E5" s="202"/>
    </row>
    <row r="7" spans="2:8" x14ac:dyDescent="0.25">
      <c r="B7" t="s">
        <v>54</v>
      </c>
    </row>
    <row r="9" spans="2:8" ht="33.75" customHeight="1" x14ac:dyDescent="0.25">
      <c r="B9" s="203" t="s">
        <v>55</v>
      </c>
      <c r="C9" s="203"/>
      <c r="D9" s="203"/>
      <c r="E9" s="203"/>
      <c r="F9" s="203"/>
      <c r="G9" s="203"/>
      <c r="H9" s="203"/>
    </row>
    <row r="10" spans="2:8" ht="29.25" customHeight="1" x14ac:dyDescent="0.25">
      <c r="B10" t="s">
        <v>69</v>
      </c>
      <c r="D10" s="1" t="e">
        <f>Datos!E10</f>
        <v>#N/A</v>
      </c>
      <c r="E10" t="s">
        <v>71</v>
      </c>
      <c r="F10" s="130" t="e">
        <f>VLOOKUP(D10,Ventas!A5:C15,3,FALSE)</f>
        <v>#N/A</v>
      </c>
      <c r="G10" s="204" t="e">
        <f>VLOOKUP(D10,Ventas!A5:D15,4,FALSE)</f>
        <v>#N/A</v>
      </c>
      <c r="H10" s="204"/>
    </row>
    <row r="11" spans="2:8" ht="29.25" customHeight="1" x14ac:dyDescent="0.25">
      <c r="B11" t="s">
        <v>70</v>
      </c>
      <c r="F11" s="130" t="e">
        <f>F10/12</f>
        <v>#N/A</v>
      </c>
      <c r="G11" s="204" t="e">
        <f>VLOOKUP(D10,Ventas!A5:H15,8)</f>
        <v>#N/A</v>
      </c>
      <c r="H11" s="204"/>
    </row>
    <row r="13" spans="2:8" x14ac:dyDescent="0.25">
      <c r="B13" t="s">
        <v>151</v>
      </c>
      <c r="G13" s="130">
        <f>D29</f>
        <v>0</v>
      </c>
    </row>
    <row r="14" spans="2:8" x14ac:dyDescent="0.25">
      <c r="B14" t="s">
        <v>56</v>
      </c>
    </row>
    <row r="15" spans="2:8" ht="26.25" x14ac:dyDescent="0.4">
      <c r="C15" s="133" t="s">
        <v>64</v>
      </c>
    </row>
    <row r="16" spans="2:8" ht="18.75" x14ac:dyDescent="0.3">
      <c r="C16" s="131" t="str">
        <f>Datos!A10</f>
        <v>Fecha</v>
      </c>
      <c r="D16" s="211" t="str">
        <f>Datos!B10</f>
        <v>Facturación</v>
      </c>
      <c r="E16" s="212"/>
    </row>
    <row r="17" spans="2:8" ht="18.75" x14ac:dyDescent="0.3">
      <c r="C17" s="132">
        <f>Datos!A11</f>
        <v>45108</v>
      </c>
      <c r="D17" s="199">
        <f>Datos!B11</f>
        <v>0</v>
      </c>
      <c r="E17" s="199"/>
      <c r="G17" s="205" t="e">
        <f>IF(D29&gt;Ventas!C15,("Has superado el límite como monotributista, y te corresponderá ser responsable inscripto"),IF(D29&gt;F10,("Tus ventas son superiores al límite de tu categoría por lo que en la próxima recategorización tendremos que pasarte a la categoría correspondiente. Recomendamos que consultes sobre tu facturación de forma continua para que no corras riesgos en el futuro"),IF(D29=0,("No has emitido facturas en el último año, esto es malo ya que AFIP puede excluirte por inactividad, además de que con esta situación no podés respaldar tus gastos"),("Tus ventas están por debajo del límite de la categoría que te corresponde, aún disponés de un margen para seguir facturando, específicamente el valor que aparece debajo del cuadro"))))</f>
        <v>#N/A</v>
      </c>
      <c r="H17" s="206"/>
    </row>
    <row r="18" spans="2:8" ht="18.75" x14ac:dyDescent="0.3">
      <c r="C18" s="132">
        <f>Datos!A12</f>
        <v>45139</v>
      </c>
      <c r="D18" s="199">
        <f>Datos!B12</f>
        <v>0</v>
      </c>
      <c r="E18" s="199"/>
      <c r="G18" s="207"/>
      <c r="H18" s="208"/>
    </row>
    <row r="19" spans="2:8" ht="18.75" x14ac:dyDescent="0.3">
      <c r="C19" s="132">
        <f>Datos!A13</f>
        <v>45170</v>
      </c>
      <c r="D19" s="199">
        <f>Datos!B13</f>
        <v>0</v>
      </c>
      <c r="E19" s="199"/>
      <c r="G19" s="207"/>
      <c r="H19" s="208"/>
    </row>
    <row r="20" spans="2:8" ht="18.75" x14ac:dyDescent="0.3">
      <c r="C20" s="132">
        <f>Datos!A14</f>
        <v>45200</v>
      </c>
      <c r="D20" s="199">
        <f>Datos!B14</f>
        <v>0</v>
      </c>
      <c r="E20" s="199"/>
      <c r="G20" s="207"/>
      <c r="H20" s="208"/>
    </row>
    <row r="21" spans="2:8" ht="18.75" x14ac:dyDescent="0.3">
      <c r="C21" s="132">
        <f>Datos!A15</f>
        <v>45231</v>
      </c>
      <c r="D21" s="199">
        <f>Datos!B15</f>
        <v>0</v>
      </c>
      <c r="E21" s="199"/>
      <c r="G21" s="207"/>
      <c r="H21" s="208"/>
    </row>
    <row r="22" spans="2:8" ht="18.75" x14ac:dyDescent="0.3">
      <c r="C22" s="132">
        <f>Datos!A16</f>
        <v>45261</v>
      </c>
      <c r="D22" s="199">
        <f>Datos!B16</f>
        <v>0</v>
      </c>
      <c r="E22" s="199"/>
      <c r="G22" s="207"/>
      <c r="H22" s="208"/>
    </row>
    <row r="23" spans="2:8" ht="18.75" x14ac:dyDescent="0.3">
      <c r="C23" s="132">
        <f>Datos!A17</f>
        <v>45292</v>
      </c>
      <c r="D23" s="199">
        <f>Datos!B17</f>
        <v>0</v>
      </c>
      <c r="E23" s="199"/>
      <c r="G23" s="207"/>
      <c r="H23" s="208"/>
    </row>
    <row r="24" spans="2:8" ht="18.75" x14ac:dyDescent="0.3">
      <c r="C24" s="132">
        <f>Datos!A18</f>
        <v>45323</v>
      </c>
      <c r="D24" s="199">
        <f>Datos!B18</f>
        <v>0</v>
      </c>
      <c r="E24" s="199"/>
      <c r="G24" s="209"/>
      <c r="H24" s="210"/>
    </row>
    <row r="25" spans="2:8" ht="18.75" x14ac:dyDescent="0.3">
      <c r="C25" s="132">
        <f>Datos!A19</f>
        <v>45352</v>
      </c>
      <c r="D25" s="199">
        <f>Datos!B19</f>
        <v>0</v>
      </c>
      <c r="E25" s="199"/>
    </row>
    <row r="26" spans="2:8" ht="18.75" x14ac:dyDescent="0.3">
      <c r="C26" s="132">
        <f>Datos!A20</f>
        <v>45383</v>
      </c>
      <c r="D26" s="199">
        <f>Datos!B20</f>
        <v>0</v>
      </c>
      <c r="E26" s="199"/>
      <c r="G26" s="149" t="s">
        <v>111</v>
      </c>
      <c r="H26" s="155"/>
    </row>
    <row r="27" spans="2:8" ht="18.75" x14ac:dyDescent="0.3">
      <c r="C27" s="132">
        <f>Datos!A21</f>
        <v>45413</v>
      </c>
      <c r="D27" s="199">
        <f>Datos!B21</f>
        <v>0</v>
      </c>
      <c r="E27" s="199"/>
      <c r="G27" s="158" t="str">
        <f>VLOOKUP(Datos!H5,Ventas!A5:K15,11,FALSE)</f>
        <v>Categoría A</v>
      </c>
      <c r="H27" s="159"/>
    </row>
    <row r="28" spans="2:8" ht="18.75" x14ac:dyDescent="0.3">
      <c r="C28" s="132">
        <f>Datos!A22</f>
        <v>45444</v>
      </c>
      <c r="D28" s="199">
        <f>Datos!B22</f>
        <v>0</v>
      </c>
      <c r="E28" s="199"/>
      <c r="G28" s="149" t="s">
        <v>109</v>
      </c>
      <c r="H28" s="157">
        <f>VLOOKUP(Datos!H5,Ventas!A5:K15,3,FALSE)</f>
        <v>6450000</v>
      </c>
    </row>
    <row r="29" spans="2:8" ht="18.75" x14ac:dyDescent="0.3">
      <c r="C29" s="134" t="s">
        <v>21</v>
      </c>
      <c r="D29" s="200">
        <f>SUM(D17:D28)</f>
        <v>0</v>
      </c>
      <c r="E29" s="201"/>
      <c r="G29" s="90" t="s">
        <v>110</v>
      </c>
      <c r="H29" s="156">
        <f>H28/12</f>
        <v>537500</v>
      </c>
    </row>
    <row r="31" spans="2:8" x14ac:dyDescent="0.25">
      <c r="B31" t="e">
        <f>IF(G31&lt;0,("                                                                        El monto por el cual te has excedido es"),("    De esta forma, hoy por hoy te queda un margen de facturación de"))</f>
        <v>#N/A</v>
      </c>
      <c r="G31" s="130" t="e">
        <f>F10-D29</f>
        <v>#N/A</v>
      </c>
    </row>
    <row r="32" spans="2:8" x14ac:dyDescent="0.25">
      <c r="B32" t="e">
        <f>IF(G32&lt;0,("No te queda margen de facturación para tu categoría, te has excedido por"),("    Y te queda por facturar hasta la próxima recategorización margen de"))</f>
        <v>#N/A</v>
      </c>
      <c r="G32" s="130" t="e">
        <f>F10-(SUM(D20:E28))</f>
        <v>#N/A</v>
      </c>
    </row>
    <row r="34" spans="3:8" ht="25.5" customHeight="1" x14ac:dyDescent="0.25"/>
    <row r="36" spans="3:8" ht="33" customHeight="1" x14ac:dyDescent="0.25"/>
    <row r="37" spans="3:8" ht="3" customHeight="1" x14ac:dyDescent="0.25"/>
    <row r="38" spans="3:8" ht="3.75" customHeight="1" x14ac:dyDescent="0.25"/>
    <row r="39" spans="3:8" ht="4.5" customHeight="1" x14ac:dyDescent="0.25"/>
    <row r="40" spans="3:8" ht="46.5" customHeight="1" x14ac:dyDescent="0.25">
      <c r="E40" s="142" t="s">
        <v>68</v>
      </c>
    </row>
    <row r="41" spans="3:8" ht="15.75" customHeight="1" x14ac:dyDescent="0.3">
      <c r="C41" s="135" t="str">
        <f>Datos!A47</f>
        <v>Fecha</v>
      </c>
      <c r="D41" s="213" t="str">
        <f>Datos!B47</f>
        <v>Compras</v>
      </c>
      <c r="E41" s="214"/>
    </row>
    <row r="42" spans="3:8" ht="18.75" x14ac:dyDescent="0.3">
      <c r="C42" s="132">
        <f>Datos!A48</f>
        <v>45108</v>
      </c>
      <c r="D42" s="199">
        <f>Datos!B48</f>
        <v>0</v>
      </c>
      <c r="E42" s="199"/>
      <c r="G42" s="136" t="s">
        <v>53</v>
      </c>
      <c r="H42" s="139" t="s">
        <v>64</v>
      </c>
    </row>
    <row r="43" spans="3:8" ht="18.75" x14ac:dyDescent="0.3">
      <c r="C43" s="132">
        <f>Datos!A49</f>
        <v>45139</v>
      </c>
      <c r="D43" s="199">
        <f>Datos!B49</f>
        <v>0</v>
      </c>
      <c r="E43" s="199"/>
      <c r="G43" s="137">
        <f>D54</f>
        <v>0</v>
      </c>
      <c r="H43" s="140">
        <f>D29</f>
        <v>0</v>
      </c>
    </row>
    <row r="44" spans="3:8" ht="18.75" x14ac:dyDescent="0.3">
      <c r="C44" s="132">
        <f>Datos!A50</f>
        <v>45170</v>
      </c>
      <c r="D44" s="199">
        <f>Datos!B50</f>
        <v>0</v>
      </c>
      <c r="E44" s="199"/>
      <c r="G44" s="138" t="s">
        <v>67</v>
      </c>
      <c r="H44" s="141">
        <f>H43-G43</f>
        <v>0</v>
      </c>
    </row>
    <row r="45" spans="3:8" ht="18.75" x14ac:dyDescent="0.3">
      <c r="C45" s="132">
        <f>Datos!A51</f>
        <v>45200</v>
      </c>
      <c r="D45" s="199">
        <f>Datos!B51</f>
        <v>0</v>
      </c>
      <c r="E45" s="199"/>
    </row>
    <row r="46" spans="3:8" ht="18.75" customHeight="1" x14ac:dyDescent="0.3">
      <c r="C46" s="132">
        <f>Datos!A52</f>
        <v>45231</v>
      </c>
      <c r="D46" s="199">
        <f>Datos!B52</f>
        <v>0</v>
      </c>
      <c r="E46" s="199"/>
      <c r="G46" s="205" t="str">
        <f>IF(H44&lt;0,("Tus compras han superado a las ventas, exceptuando el caso de que haya ingresos declarados por otro medio, esto es una situación ilógica, y debería regularse. Ya que la AFIP también puede excluir en base a los gastos"),("Tus ventas son superiores a tus compras, por lo que está correcta su relación"))</f>
        <v>Tus ventas son superiores a tus compras, por lo que está correcta su relación</v>
      </c>
      <c r="H46" s="206"/>
    </row>
    <row r="47" spans="3:8" ht="18.75" x14ac:dyDescent="0.3">
      <c r="C47" s="132">
        <f>Datos!A53</f>
        <v>45261</v>
      </c>
      <c r="D47" s="199">
        <f>Datos!B53</f>
        <v>0</v>
      </c>
      <c r="E47" s="199"/>
      <c r="G47" s="207"/>
      <c r="H47" s="208"/>
    </row>
    <row r="48" spans="3:8" ht="18.75" x14ac:dyDescent="0.3">
      <c r="C48" s="132">
        <f>Datos!A54</f>
        <v>45292</v>
      </c>
      <c r="D48" s="199">
        <f>Datos!B54</f>
        <v>0</v>
      </c>
      <c r="E48" s="199"/>
      <c r="G48" s="207"/>
      <c r="H48" s="208"/>
    </row>
    <row r="49" spans="2:8" ht="18.75" x14ac:dyDescent="0.3">
      <c r="C49" s="132">
        <f>Datos!A55</f>
        <v>45323</v>
      </c>
      <c r="D49" s="199">
        <f>Datos!B55</f>
        <v>0</v>
      </c>
      <c r="E49" s="199"/>
      <c r="G49" s="207"/>
      <c r="H49" s="208"/>
    </row>
    <row r="50" spans="2:8" ht="18.75" x14ac:dyDescent="0.3">
      <c r="C50" s="132">
        <f>Datos!A56</f>
        <v>45352</v>
      </c>
      <c r="D50" s="199">
        <f>Datos!B56</f>
        <v>0</v>
      </c>
      <c r="E50" s="199"/>
      <c r="G50" s="207"/>
      <c r="H50" s="208"/>
    </row>
    <row r="51" spans="2:8" ht="18.75" x14ac:dyDescent="0.3">
      <c r="C51" s="132">
        <f>Datos!A57</f>
        <v>45383</v>
      </c>
      <c r="D51" s="199">
        <f>Datos!B57</f>
        <v>0</v>
      </c>
      <c r="E51" s="199"/>
      <c r="G51" s="207"/>
      <c r="H51" s="208"/>
    </row>
    <row r="52" spans="2:8" ht="18.75" x14ac:dyDescent="0.3">
      <c r="C52" s="132">
        <f>Datos!A58</f>
        <v>45413</v>
      </c>
      <c r="D52" s="199">
        <f>Datos!B58</f>
        <v>0</v>
      </c>
      <c r="E52" s="199"/>
      <c r="G52" s="207"/>
      <c r="H52" s="208"/>
    </row>
    <row r="53" spans="2:8" ht="18.75" x14ac:dyDescent="0.3">
      <c r="C53" s="132">
        <f>Datos!A59</f>
        <v>45444</v>
      </c>
      <c r="D53" s="199">
        <f>Datos!B59</f>
        <v>0</v>
      </c>
      <c r="E53" s="199"/>
      <c r="G53" s="209"/>
      <c r="H53" s="210"/>
    </row>
    <row r="54" spans="2:8" ht="18.75" x14ac:dyDescent="0.3">
      <c r="C54" s="134" t="s">
        <v>21</v>
      </c>
      <c r="D54" s="200">
        <f>SUM(D42:D53)</f>
        <v>0</v>
      </c>
      <c r="E54" s="201"/>
    </row>
    <row r="55" spans="2:8" ht="9.75" customHeight="1" x14ac:dyDescent="0.25"/>
    <row r="56" spans="2:8" x14ac:dyDescent="0.25">
      <c r="B56" t="s">
        <v>65</v>
      </c>
    </row>
    <row r="57" spans="2:8" x14ac:dyDescent="0.25">
      <c r="B57" s="128" t="s">
        <v>66</v>
      </c>
      <c r="C57">
        <f>Datos!H47</f>
        <v>0</v>
      </c>
    </row>
    <row r="58" spans="2:8" x14ac:dyDescent="0.25">
      <c r="B58" s="128" t="s">
        <v>66</v>
      </c>
      <c r="C58">
        <f>Datos!H48</f>
        <v>0</v>
      </c>
    </row>
    <row r="59" spans="2:8" ht="6.75" customHeight="1" x14ac:dyDescent="0.25"/>
    <row r="60" spans="2:8" x14ac:dyDescent="0.25">
      <c r="B60" t="s">
        <v>61</v>
      </c>
    </row>
    <row r="62" spans="2:8" x14ac:dyDescent="0.25">
      <c r="B62" s="126"/>
    </row>
    <row r="82" spans="2:7" ht="10.5" customHeight="1" x14ac:dyDescent="0.25"/>
    <row r="83" spans="2:7" ht="33.75" customHeight="1" x14ac:dyDescent="0.25">
      <c r="E83" s="142"/>
    </row>
    <row r="84" spans="2:7" ht="26.25" x14ac:dyDescent="0.25">
      <c r="E84" s="142" t="s">
        <v>81</v>
      </c>
    </row>
    <row r="90" spans="2:7" x14ac:dyDescent="0.25">
      <c r="B90" t="s">
        <v>82</v>
      </c>
    </row>
    <row r="91" spans="2:7" x14ac:dyDescent="0.25">
      <c r="B91" t="s">
        <v>97</v>
      </c>
    </row>
    <row r="92" spans="2:7" x14ac:dyDescent="0.25">
      <c r="B92" t="s">
        <v>83</v>
      </c>
      <c r="F92" s="130">
        <f>Ventas!C12</f>
        <v>44000000</v>
      </c>
      <c r="G92" t="s">
        <v>84</v>
      </c>
    </row>
    <row r="93" spans="2:7" x14ac:dyDescent="0.25">
      <c r="B93" t="s">
        <v>85</v>
      </c>
      <c r="C93" s="154">
        <f>Ventas!C15</f>
        <v>68000000</v>
      </c>
    </row>
    <row r="95" spans="2:7" x14ac:dyDescent="0.25">
      <c r="D95" s="163" t="s">
        <v>13</v>
      </c>
      <c r="E95" s="160"/>
      <c r="F95" s="160"/>
      <c r="G95" s="164">
        <f>D29</f>
        <v>0</v>
      </c>
    </row>
    <row r="96" spans="2:7" x14ac:dyDescent="0.25">
      <c r="D96" s="90" t="s">
        <v>86</v>
      </c>
      <c r="E96" s="150"/>
      <c r="F96" s="150"/>
      <c r="G96" s="152">
        <f>C93-G95</f>
        <v>68000000</v>
      </c>
    </row>
    <row r="109" spans="2:6" x14ac:dyDescent="0.25">
      <c r="B109" t="s">
        <v>87</v>
      </c>
    </row>
    <row r="110" spans="2:6" x14ac:dyDescent="0.25">
      <c r="B110" t="s">
        <v>88</v>
      </c>
    </row>
    <row r="111" spans="2:6" ht="18.75" x14ac:dyDescent="0.3">
      <c r="E111" s="161" t="s">
        <v>29</v>
      </c>
      <c r="F111" s="162" t="s">
        <v>91</v>
      </c>
    </row>
    <row r="112" spans="2:6" x14ac:dyDescent="0.25">
      <c r="E112" s="149" t="s">
        <v>89</v>
      </c>
      <c r="F112" s="151">
        <v>0</v>
      </c>
    </row>
    <row r="113" spans="2:8" x14ac:dyDescent="0.25">
      <c r="E113" s="90" t="s">
        <v>90</v>
      </c>
      <c r="F113" s="152">
        <v>0</v>
      </c>
    </row>
    <row r="114" spans="2:8" x14ac:dyDescent="0.25">
      <c r="E114" s="90" t="s">
        <v>21</v>
      </c>
      <c r="F114" s="152">
        <f>F113+F112</f>
        <v>0</v>
      </c>
    </row>
    <row r="116" spans="2:8" x14ac:dyDescent="0.25">
      <c r="B116" t="s">
        <v>92</v>
      </c>
    </row>
    <row r="117" spans="2:8" x14ac:dyDescent="0.25">
      <c r="B117" t="s">
        <v>93</v>
      </c>
    </row>
    <row r="121" spans="2:8" x14ac:dyDescent="0.25">
      <c r="B121" s="153" t="str">
        <f ca="1" xml:space="preserve"> "A los " &amp; DAY(TODAY()) &amp; " días del mes de " &amp; TEXT(TODAY(), "mmmm") &amp; " de " &amp; YEAR(TODAY())</f>
        <v>A los 20 días del mes de octubre de 2025</v>
      </c>
    </row>
    <row r="123" spans="2:8" x14ac:dyDescent="0.25">
      <c r="G123" s="153"/>
      <c r="H123" s="153" t="s">
        <v>94</v>
      </c>
    </row>
    <row r="124" spans="2:8" x14ac:dyDescent="0.25">
      <c r="G124" s="153" t="s">
        <v>96</v>
      </c>
      <c r="H124" s="153"/>
    </row>
    <row r="125" spans="2:8" x14ac:dyDescent="0.25">
      <c r="H125" s="153" t="s">
        <v>95</v>
      </c>
    </row>
  </sheetData>
  <mergeCells count="35">
    <mergeCell ref="G46:H53"/>
    <mergeCell ref="G17:H24"/>
    <mergeCell ref="D16:E16"/>
    <mergeCell ref="D17:E17"/>
    <mergeCell ref="D18:E18"/>
    <mergeCell ref="D19:E19"/>
    <mergeCell ref="D47:E47"/>
    <mergeCell ref="D48:E48"/>
    <mergeCell ref="D49:E49"/>
    <mergeCell ref="D27:E27"/>
    <mergeCell ref="D28:E28"/>
    <mergeCell ref="D29:E29"/>
    <mergeCell ref="D41:E41"/>
    <mergeCell ref="D51:E51"/>
    <mergeCell ref="D52:E52"/>
    <mergeCell ref="D53:E53"/>
    <mergeCell ref="C4:E4"/>
    <mergeCell ref="C5:E5"/>
    <mergeCell ref="B9:H9"/>
    <mergeCell ref="G10:H10"/>
    <mergeCell ref="G11:H11"/>
    <mergeCell ref="D20:E20"/>
    <mergeCell ref="D54:E54"/>
    <mergeCell ref="D46:E46"/>
    <mergeCell ref="D21:E21"/>
    <mergeCell ref="D22:E22"/>
    <mergeCell ref="D23:E23"/>
    <mergeCell ref="D24:E24"/>
    <mergeCell ref="D25:E25"/>
    <mergeCell ref="D26:E26"/>
    <mergeCell ref="D42:E42"/>
    <mergeCell ref="D43:E43"/>
    <mergeCell ref="D45:E45"/>
    <mergeCell ref="D44:E44"/>
    <mergeCell ref="D50:E50"/>
  </mergeCells>
  <conditionalFormatting sqref="G31">
    <cfRule type="expression" dxfId="21" priority="7">
      <formula>$G$31&gt;0</formula>
    </cfRule>
    <cfRule type="expression" dxfId="20" priority="9">
      <formula>$G$31&lt;0</formula>
    </cfRule>
    <cfRule type="cellIs" dxfId="19" priority="13" operator="lessThan">
      <formula>0</formula>
    </cfRule>
    <cfRule type="cellIs" dxfId="18" priority="15" operator="lessThan">
      <formula>0</formula>
    </cfRule>
  </conditionalFormatting>
  <conditionalFormatting sqref="G32">
    <cfRule type="expression" dxfId="17" priority="8">
      <formula>$G$32&gt;0</formula>
    </cfRule>
    <cfRule type="cellIs" dxfId="16" priority="14" operator="lessThan">
      <formula>0</formula>
    </cfRule>
  </conditionalFormatting>
  <conditionalFormatting sqref="H44">
    <cfRule type="expression" dxfId="15" priority="10">
      <formula>$H$44&gt;0</formula>
    </cfRule>
    <cfRule type="expression" dxfId="14" priority="11">
      <formula>$H$44&lt;0</formula>
    </cfRule>
  </conditionalFormatting>
  <conditionalFormatting sqref="G96">
    <cfRule type="expression" dxfId="13" priority="3">
      <formula>$G$96&gt;0</formula>
    </cfRule>
    <cfRule type="expression" dxfId="12" priority="5">
      <formula>$G$96&lt;0</formula>
    </cfRule>
  </conditionalFormatting>
  <conditionalFormatting sqref="F114">
    <cfRule type="expression" dxfId="11" priority="1">
      <formula>$F$114&gt;0</formula>
    </cfRule>
    <cfRule type="expression" dxfId="10" priority="2">
      <formula>$F$114=0</formula>
    </cfRule>
  </conditionalFormatting>
  <pageMargins left="0" right="0" top="0.74803149606299213" bottom="0.74803149606299213" header="0" footer="0"/>
  <pageSetup paperSize="9" fitToWidth="0" fitToHeight="0" orientation="portrait" r:id="rId1"/>
  <headerFooter>
    <oddHeader xml:space="preserve">&amp;L&amp;G
</oddHeader>
    <oddFooter>&amp;C&amp;A&amp;RPágina &amp;P</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1:H125"/>
  <sheetViews>
    <sheetView showGridLines="0" view="pageLayout" zoomScaleNormal="100" workbookViewId="0">
      <selection activeCell="H125" sqref="H125"/>
    </sheetView>
  </sheetViews>
  <sheetFormatPr baseColWidth="10" defaultRowHeight="15" x14ac:dyDescent="0.25"/>
  <cols>
    <col min="1" max="1" width="3.85546875" customWidth="1"/>
    <col min="2" max="2" width="10.5703125" customWidth="1"/>
    <col min="3" max="3" width="15.5703125" customWidth="1"/>
    <col min="4" max="4" width="2.28515625" customWidth="1"/>
    <col min="5" max="5" width="19.5703125" customWidth="1"/>
    <col min="6" max="6" width="15.42578125" customWidth="1"/>
    <col min="7" max="7" width="16" customWidth="1"/>
    <col min="8" max="8" width="19.5703125" customWidth="1"/>
  </cols>
  <sheetData>
    <row r="1" spans="2:8" ht="60.75" customHeight="1" x14ac:dyDescent="0.25"/>
    <row r="3" spans="2:8" ht="55.5" customHeight="1" x14ac:dyDescent="0.25">
      <c r="G3" s="171" t="s">
        <v>149</v>
      </c>
    </row>
    <row r="4" spans="2:8" ht="37.5" customHeight="1" x14ac:dyDescent="0.35">
      <c r="B4" s="129" t="s">
        <v>62</v>
      </c>
      <c r="C4" s="202" t="e">
        <f>Datos!C4</f>
        <v>#N/A</v>
      </c>
      <c r="D4" s="202"/>
      <c r="E4" s="202"/>
    </row>
    <row r="5" spans="2:8" ht="21" x14ac:dyDescent="0.35">
      <c r="B5" s="129" t="s">
        <v>10</v>
      </c>
      <c r="C5" s="202">
        <f>Datos!C5</f>
        <v>0</v>
      </c>
      <c r="D5" s="202"/>
      <c r="E5" s="202"/>
      <c r="H5" s="174" t="e">
        <f>F10-D29</f>
        <v>#N/A</v>
      </c>
    </row>
    <row r="8" spans="2:8" x14ac:dyDescent="0.25">
      <c r="B8" t="s">
        <v>54</v>
      </c>
    </row>
    <row r="9" spans="2:8" ht="33.75" customHeight="1" x14ac:dyDescent="0.25">
      <c r="B9" s="203" t="s">
        <v>155</v>
      </c>
      <c r="C9" s="203"/>
      <c r="D9" s="203"/>
      <c r="E9" s="203"/>
      <c r="F9" s="203"/>
      <c r="G9" s="203"/>
      <c r="H9" s="203"/>
    </row>
    <row r="10" spans="2:8" ht="29.25" customHeight="1" x14ac:dyDescent="0.25">
      <c r="B10" t="s">
        <v>156</v>
      </c>
      <c r="D10" s="1" t="e">
        <f>Datos!E10</f>
        <v>#N/A</v>
      </c>
      <c r="E10" t="s">
        <v>71</v>
      </c>
      <c r="F10" s="130" t="e">
        <f>VLOOKUP(D10,Ventas!A5:C15,3,FALSE)</f>
        <v>#N/A</v>
      </c>
      <c r="G10" s="204" t="e">
        <f>VLOOKUP(D10,Ventas!A5:D15,4,FALSE)</f>
        <v>#N/A</v>
      </c>
      <c r="H10" s="204"/>
    </row>
    <row r="11" spans="2:8" ht="29.25" customHeight="1" x14ac:dyDescent="0.25">
      <c r="B11" t="s">
        <v>157</v>
      </c>
      <c r="F11" s="130" t="e">
        <f>F10/12</f>
        <v>#N/A</v>
      </c>
      <c r="G11" s="204" t="e">
        <f>VLOOKUP(D10,Ventas!A5:H15,8)</f>
        <v>#N/A</v>
      </c>
      <c r="H11" s="204"/>
    </row>
    <row r="13" spans="2:8" x14ac:dyDescent="0.25">
      <c r="B13" t="s">
        <v>162</v>
      </c>
      <c r="G13" s="130">
        <f>D29</f>
        <v>0</v>
      </c>
    </row>
    <row r="14" spans="2:8" x14ac:dyDescent="0.25">
      <c r="B14" t="s">
        <v>56</v>
      </c>
    </row>
    <row r="15" spans="2:8" ht="26.25" x14ac:dyDescent="0.4">
      <c r="C15" s="133" t="s">
        <v>64</v>
      </c>
    </row>
    <row r="16" spans="2:8" ht="18.75" x14ac:dyDescent="0.3">
      <c r="C16" s="172" t="str">
        <f>Datos!A10</f>
        <v>Fecha</v>
      </c>
      <c r="D16" s="215" t="str">
        <f>Datos!B10</f>
        <v>Facturación</v>
      </c>
      <c r="E16" s="216"/>
    </row>
    <row r="17" spans="2:8" ht="18.75" x14ac:dyDescent="0.3">
      <c r="C17" s="132">
        <f>Datos!A11</f>
        <v>45108</v>
      </c>
      <c r="D17" s="199">
        <f>Datos!B11</f>
        <v>0</v>
      </c>
      <c r="E17" s="199"/>
      <c r="G17" s="205" t="e">
        <f>IF(D29&gt;Ventas!C15,("Has superado el límite como monotributista, y te corresponderá ser responsable inscripto"),IF(D29&gt;F10,("Tus ventas son superiores al límite de tu categoría por lo que tenemos que recategorizarte y pasarte a la categoría correspondiente. En el cuadro debajo verás tu nueva categoría y sus límites."),IF(D29=0,("No has emitido facturas en el último año, esto es malo ya que AFIP puede excluirte por inactividad, además de que con esta situación no podés respaldar tus gastos"),IF(D10="A",("Tus ventas están por debajo del límite de la categoría sin embargo ya eres categoría A, por lo que la posibilidad de bajarte es inexistente. Seguirás en la categoría A con los nuevos parámetros que figuran aquí debajo"),IF(AND(D29&lt;F10,(F10-D29)&gt;VLOOKUP(D10,Ventas!A5:M15,13,FALSE)),("Tus ventas son considerablemente menores que el límite de tu categoría, hemos evaluado que podemos bajarte. Tu nueva categoría es la que aparece aquí debajo."),("Tus ventas están dentro del límite de tu categoría, por lo que continuarás y mantendrás la misma. Los nuevos parámetros figuran aquí debajo"))))))</f>
        <v>#N/A</v>
      </c>
      <c r="H17" s="206"/>
    </row>
    <row r="18" spans="2:8" ht="18.75" x14ac:dyDescent="0.3">
      <c r="C18" s="132">
        <f>Datos!A12</f>
        <v>45139</v>
      </c>
      <c r="D18" s="199">
        <f>Datos!B12</f>
        <v>0</v>
      </c>
      <c r="E18" s="199"/>
      <c r="G18" s="207"/>
      <c r="H18" s="208"/>
    </row>
    <row r="19" spans="2:8" ht="18.75" x14ac:dyDescent="0.3">
      <c r="C19" s="132">
        <f>Datos!A13</f>
        <v>45170</v>
      </c>
      <c r="D19" s="199">
        <f>Datos!B13</f>
        <v>0</v>
      </c>
      <c r="E19" s="199"/>
      <c r="G19" s="207"/>
      <c r="H19" s="208"/>
    </row>
    <row r="20" spans="2:8" ht="18.75" x14ac:dyDescent="0.3">
      <c r="C20" s="132">
        <f>Datos!A14</f>
        <v>45200</v>
      </c>
      <c r="D20" s="199">
        <f>Datos!B14</f>
        <v>0</v>
      </c>
      <c r="E20" s="199"/>
      <c r="G20" s="207"/>
      <c r="H20" s="208"/>
    </row>
    <row r="21" spans="2:8" ht="18.75" x14ac:dyDescent="0.3">
      <c r="C21" s="132">
        <f>Datos!A15</f>
        <v>45231</v>
      </c>
      <c r="D21" s="199">
        <f>Datos!B15</f>
        <v>0</v>
      </c>
      <c r="E21" s="199"/>
      <c r="G21" s="207"/>
      <c r="H21" s="208"/>
    </row>
    <row r="22" spans="2:8" ht="18.75" x14ac:dyDescent="0.3">
      <c r="C22" s="132">
        <f>Datos!A16</f>
        <v>45261</v>
      </c>
      <c r="D22" s="199">
        <f>Datos!B16</f>
        <v>0</v>
      </c>
      <c r="E22" s="199"/>
      <c r="G22" s="207"/>
      <c r="H22" s="208"/>
    </row>
    <row r="23" spans="2:8" ht="18.75" x14ac:dyDescent="0.3">
      <c r="C23" s="132">
        <f>Datos!A17</f>
        <v>45292</v>
      </c>
      <c r="D23" s="199">
        <f>Datos!B17</f>
        <v>0</v>
      </c>
      <c r="E23" s="199"/>
      <c r="G23" s="207"/>
      <c r="H23" s="208"/>
    </row>
    <row r="24" spans="2:8" ht="18.75" x14ac:dyDescent="0.3">
      <c r="C24" s="132">
        <f>Datos!A18</f>
        <v>45323</v>
      </c>
      <c r="D24" s="199">
        <f>Datos!B18</f>
        <v>0</v>
      </c>
      <c r="E24" s="199"/>
      <c r="G24" s="209"/>
      <c r="H24" s="210"/>
    </row>
    <row r="25" spans="2:8" ht="18.75" x14ac:dyDescent="0.3">
      <c r="C25" s="132">
        <f>Datos!A19</f>
        <v>45352</v>
      </c>
      <c r="D25" s="199">
        <f>Datos!B19</f>
        <v>0</v>
      </c>
      <c r="E25" s="199"/>
    </row>
    <row r="26" spans="2:8" ht="18.75" x14ac:dyDescent="0.3">
      <c r="C26" s="132">
        <f>Datos!A20</f>
        <v>45383</v>
      </c>
      <c r="D26" s="199">
        <f>Datos!B20</f>
        <v>0</v>
      </c>
      <c r="E26" s="199"/>
      <c r="G26" s="149" t="s">
        <v>150</v>
      </c>
      <c r="H26" s="155"/>
    </row>
    <row r="27" spans="2:8" ht="18.75" x14ac:dyDescent="0.3">
      <c r="C27" s="132">
        <f>Datos!A21</f>
        <v>45413</v>
      </c>
      <c r="D27" s="199">
        <f>Datos!B21</f>
        <v>0</v>
      </c>
      <c r="E27" s="199"/>
      <c r="G27" s="158" t="str">
        <f>VLOOKUP(Datos!H5,Ventas!A5:K15,11,FALSE)</f>
        <v>Categoría A</v>
      </c>
      <c r="H27" s="159"/>
    </row>
    <row r="28" spans="2:8" ht="18.75" x14ac:dyDescent="0.3">
      <c r="C28" s="132">
        <f>Datos!A22</f>
        <v>45444</v>
      </c>
      <c r="D28" s="199">
        <f>Datos!B22</f>
        <v>0</v>
      </c>
      <c r="E28" s="199"/>
      <c r="G28" s="149" t="s">
        <v>109</v>
      </c>
      <c r="H28" s="157">
        <f>VLOOKUP(Datos!H5,Ventas!A5:K15,3,FALSE)</f>
        <v>6450000</v>
      </c>
    </row>
    <row r="29" spans="2:8" ht="18.75" x14ac:dyDescent="0.3">
      <c r="C29" s="134" t="s">
        <v>21</v>
      </c>
      <c r="D29" s="200">
        <f>SUM(D17:D28)</f>
        <v>0</v>
      </c>
      <c r="E29" s="201"/>
      <c r="G29" s="90" t="s">
        <v>110</v>
      </c>
      <c r="H29" s="156">
        <f>H28/12</f>
        <v>537500</v>
      </c>
    </row>
    <row r="31" spans="2:8" x14ac:dyDescent="0.25">
      <c r="G31" s="130"/>
    </row>
    <row r="32" spans="2:8" x14ac:dyDescent="0.25">
      <c r="B32" t="str">
        <f>IF(G32&lt;0,("No te queda margen de facturación para tu categoría, te has excedido por"),("Es decir te queda por facturar hasta el 31 de diciembre de 2024 un margen de"))</f>
        <v>Es decir te queda por facturar hasta el 31 de diciembre de 2024 un margen de</v>
      </c>
      <c r="G32" s="130">
        <f>H28-(SUM(D22:E28))</f>
        <v>6450000</v>
      </c>
    </row>
    <row r="34" spans="3:8" ht="25.5" customHeight="1" x14ac:dyDescent="0.25"/>
    <row r="36" spans="3:8" ht="33" customHeight="1" x14ac:dyDescent="0.25"/>
    <row r="37" spans="3:8" ht="3" customHeight="1" x14ac:dyDescent="0.25"/>
    <row r="38" spans="3:8" ht="3.75" customHeight="1" x14ac:dyDescent="0.25"/>
    <row r="39" spans="3:8" ht="4.5" customHeight="1" x14ac:dyDescent="0.25"/>
    <row r="40" spans="3:8" ht="46.5" customHeight="1" x14ac:dyDescent="0.25">
      <c r="E40" s="142" t="s">
        <v>68</v>
      </c>
    </row>
    <row r="41" spans="3:8" ht="19.5" customHeight="1" x14ac:dyDescent="0.3">
      <c r="C41" s="172" t="str">
        <f>Datos!A47</f>
        <v>Fecha</v>
      </c>
      <c r="D41" s="215" t="str">
        <f>Datos!B47</f>
        <v>Compras</v>
      </c>
      <c r="E41" s="216"/>
    </row>
    <row r="42" spans="3:8" ht="18.75" x14ac:dyDescent="0.3">
      <c r="C42" s="132">
        <f>Datos!A48</f>
        <v>45108</v>
      </c>
      <c r="D42" s="199">
        <f>Datos!B48</f>
        <v>0</v>
      </c>
      <c r="E42" s="199"/>
      <c r="G42" s="136" t="s">
        <v>53</v>
      </c>
      <c r="H42" s="139" t="s">
        <v>64</v>
      </c>
    </row>
    <row r="43" spans="3:8" ht="18.75" x14ac:dyDescent="0.3">
      <c r="C43" s="132">
        <f>Datos!A49</f>
        <v>45139</v>
      </c>
      <c r="D43" s="199">
        <f>Datos!B49</f>
        <v>0</v>
      </c>
      <c r="E43" s="199"/>
      <c r="G43" s="137">
        <f>D54</f>
        <v>0</v>
      </c>
      <c r="H43" s="140">
        <f>D29</f>
        <v>0</v>
      </c>
    </row>
    <row r="44" spans="3:8" ht="18.75" x14ac:dyDescent="0.3">
      <c r="C44" s="132">
        <f>Datos!A50</f>
        <v>45170</v>
      </c>
      <c r="D44" s="199">
        <f>Datos!B50</f>
        <v>0</v>
      </c>
      <c r="E44" s="199"/>
      <c r="G44" s="138" t="s">
        <v>67</v>
      </c>
      <c r="H44" s="141">
        <f>H43-G43</f>
        <v>0</v>
      </c>
    </row>
    <row r="45" spans="3:8" ht="18.75" x14ac:dyDescent="0.3">
      <c r="C45" s="132">
        <f>Datos!A51</f>
        <v>45200</v>
      </c>
      <c r="D45" s="199">
        <f>Datos!B51</f>
        <v>0</v>
      </c>
      <c r="E45" s="199"/>
    </row>
    <row r="46" spans="3:8" ht="18.75" customHeight="1" x14ac:dyDescent="0.3">
      <c r="C46" s="132">
        <f>Datos!A52</f>
        <v>45231</v>
      </c>
      <c r="D46" s="199">
        <f>Datos!B52</f>
        <v>0</v>
      </c>
      <c r="E46" s="199"/>
      <c r="G46" s="205" t="str">
        <f>IF(H44&lt;0,("Tus compras han superado a las ventas, exceptuando el caso de que haya ingresos declarados por otro medio, esto es una situación ilógica, y debería regularse. Ten en cuenta, que la AFIP también puede excluir en base a los gastos"),("Tus ventas son superiores a tus compras, por lo que está correcta su relación"))</f>
        <v>Tus ventas son superiores a tus compras, por lo que está correcta su relación</v>
      </c>
      <c r="H46" s="206"/>
    </row>
    <row r="47" spans="3:8" ht="18.75" x14ac:dyDescent="0.3">
      <c r="C47" s="132">
        <f>Datos!A53</f>
        <v>45261</v>
      </c>
      <c r="D47" s="199">
        <f>Datos!B53</f>
        <v>0</v>
      </c>
      <c r="E47" s="199"/>
      <c r="G47" s="207"/>
      <c r="H47" s="208"/>
    </row>
    <row r="48" spans="3:8" ht="18.75" x14ac:dyDescent="0.3">
      <c r="C48" s="132">
        <f>Datos!A54</f>
        <v>45292</v>
      </c>
      <c r="D48" s="199">
        <f>Datos!B54</f>
        <v>0</v>
      </c>
      <c r="E48" s="199"/>
      <c r="G48" s="207"/>
      <c r="H48" s="208"/>
    </row>
    <row r="49" spans="2:8" ht="18.75" x14ac:dyDescent="0.3">
      <c r="C49" s="132">
        <f>Datos!A55</f>
        <v>45323</v>
      </c>
      <c r="D49" s="199">
        <f>Datos!B55</f>
        <v>0</v>
      </c>
      <c r="E49" s="199"/>
      <c r="G49" s="207"/>
      <c r="H49" s="208"/>
    </row>
    <row r="50" spans="2:8" ht="18.75" x14ac:dyDescent="0.3">
      <c r="C50" s="132">
        <f>Datos!A56</f>
        <v>45352</v>
      </c>
      <c r="D50" s="199">
        <f>Datos!B56</f>
        <v>0</v>
      </c>
      <c r="E50" s="199"/>
      <c r="G50" s="207"/>
      <c r="H50" s="208"/>
    </row>
    <row r="51" spans="2:8" ht="18.75" x14ac:dyDescent="0.3">
      <c r="C51" s="132">
        <f>Datos!A57</f>
        <v>45383</v>
      </c>
      <c r="D51" s="199">
        <f>Datos!B57</f>
        <v>0</v>
      </c>
      <c r="E51" s="199"/>
      <c r="G51" s="207"/>
      <c r="H51" s="208"/>
    </row>
    <row r="52" spans="2:8" ht="18.75" x14ac:dyDescent="0.3">
      <c r="C52" s="132">
        <f>Datos!A58</f>
        <v>45413</v>
      </c>
      <c r="D52" s="199">
        <f>Datos!B58</f>
        <v>0</v>
      </c>
      <c r="E52" s="199"/>
      <c r="G52" s="207"/>
      <c r="H52" s="208"/>
    </row>
    <row r="53" spans="2:8" ht="18.75" x14ac:dyDescent="0.3">
      <c r="C53" s="132">
        <f>Datos!A59</f>
        <v>45444</v>
      </c>
      <c r="D53" s="199">
        <f>Datos!B59</f>
        <v>0</v>
      </c>
      <c r="E53" s="199"/>
      <c r="G53" s="209"/>
      <c r="H53" s="210"/>
    </row>
    <row r="54" spans="2:8" ht="18.75" x14ac:dyDescent="0.3">
      <c r="C54" s="134" t="s">
        <v>21</v>
      </c>
      <c r="D54" s="200">
        <f>SUM(D42:D53)</f>
        <v>0</v>
      </c>
      <c r="E54" s="201"/>
    </row>
    <row r="55" spans="2:8" ht="9.75" customHeight="1" x14ac:dyDescent="0.25"/>
    <row r="56" spans="2:8" x14ac:dyDescent="0.25">
      <c r="B56" t="s">
        <v>65</v>
      </c>
    </row>
    <row r="57" spans="2:8" x14ac:dyDescent="0.25">
      <c r="B57" s="128" t="s">
        <v>66</v>
      </c>
      <c r="C57">
        <f>Datos!H47</f>
        <v>0</v>
      </c>
    </row>
    <row r="58" spans="2:8" x14ac:dyDescent="0.25">
      <c r="B58" s="128" t="s">
        <v>66</v>
      </c>
      <c r="C58">
        <f>Datos!H48</f>
        <v>0</v>
      </c>
    </row>
    <row r="59" spans="2:8" ht="6.75" customHeight="1" x14ac:dyDescent="0.25"/>
    <row r="60" spans="2:8" x14ac:dyDescent="0.25">
      <c r="B60" t="s">
        <v>61</v>
      </c>
    </row>
    <row r="62" spans="2:8" x14ac:dyDescent="0.25">
      <c r="B62" s="126"/>
    </row>
    <row r="82" spans="2:7" ht="10.5" customHeight="1" x14ac:dyDescent="0.25"/>
    <row r="83" spans="2:7" ht="33.75" customHeight="1" x14ac:dyDescent="0.25">
      <c r="E83" s="142"/>
    </row>
    <row r="84" spans="2:7" ht="26.25" x14ac:dyDescent="0.25">
      <c r="E84" s="142" t="s">
        <v>81</v>
      </c>
    </row>
    <row r="90" spans="2:7" x14ac:dyDescent="0.25">
      <c r="B90" t="s">
        <v>154</v>
      </c>
    </row>
    <row r="91" spans="2:7" x14ac:dyDescent="0.25">
      <c r="B91" t="s">
        <v>160</v>
      </c>
    </row>
    <row r="92" spans="2:7" x14ac:dyDescent="0.25">
      <c r="B92" t="s">
        <v>148</v>
      </c>
      <c r="F92" s="130">
        <f>Ventas!C15</f>
        <v>68000000</v>
      </c>
    </row>
    <row r="93" spans="2:7" x14ac:dyDescent="0.25">
      <c r="C93" s="154"/>
    </row>
    <row r="95" spans="2:7" x14ac:dyDescent="0.25">
      <c r="D95" s="163" t="s">
        <v>13</v>
      </c>
      <c r="E95" s="160"/>
      <c r="F95" s="160"/>
      <c r="G95" s="164">
        <f>D29</f>
        <v>0</v>
      </c>
    </row>
    <row r="96" spans="2:7" x14ac:dyDescent="0.25">
      <c r="D96" s="90" t="s">
        <v>147</v>
      </c>
      <c r="E96" s="150"/>
      <c r="F96" s="150"/>
      <c r="G96" s="152">
        <f>F92-G95</f>
        <v>68000000</v>
      </c>
    </row>
    <row r="111" spans="2:6" ht="18.75" x14ac:dyDescent="0.3">
      <c r="B111" t="s">
        <v>153</v>
      </c>
      <c r="E111" s="170"/>
      <c r="F111" s="170"/>
    </row>
    <row r="112" spans="2:6" x14ac:dyDescent="0.25">
      <c r="B112" s="40" t="s">
        <v>152</v>
      </c>
      <c r="F112" s="100"/>
    </row>
    <row r="113" spans="2:8" x14ac:dyDescent="0.25">
      <c r="F113" s="100"/>
    </row>
    <row r="114" spans="2:8" x14ac:dyDescent="0.25">
      <c r="B114" t="s">
        <v>92</v>
      </c>
      <c r="F114" s="100"/>
    </row>
    <row r="115" spans="2:8" x14ac:dyDescent="0.25">
      <c r="B115" t="s">
        <v>93</v>
      </c>
    </row>
    <row r="121" spans="2:8" x14ac:dyDescent="0.25">
      <c r="B121" s="153" t="str">
        <f ca="1" xml:space="preserve"> "A los " &amp; DAY(TODAY()) &amp; " días del mes de " &amp; TEXT(TODAY(), "mmmm") &amp; " de " &amp; YEAR(TODAY())</f>
        <v>A los 20 días del mes de octubre de 2025</v>
      </c>
    </row>
    <row r="123" spans="2:8" x14ac:dyDescent="0.25">
      <c r="G123" s="153"/>
      <c r="H123" s="175" t="s">
        <v>94</v>
      </c>
    </row>
    <row r="124" spans="2:8" x14ac:dyDescent="0.25">
      <c r="H124" s="175" t="s">
        <v>161</v>
      </c>
    </row>
    <row r="125" spans="2:8" x14ac:dyDescent="0.25">
      <c r="H125" s="175" t="s">
        <v>95</v>
      </c>
    </row>
  </sheetData>
  <mergeCells count="35">
    <mergeCell ref="D16:E16"/>
    <mergeCell ref="C4:E4"/>
    <mergeCell ref="C5:E5"/>
    <mergeCell ref="B9:H9"/>
    <mergeCell ref="G10:H10"/>
    <mergeCell ref="G11:H11"/>
    <mergeCell ref="D41:E41"/>
    <mergeCell ref="D17:E17"/>
    <mergeCell ref="G17:H24"/>
    <mergeCell ref="D18:E18"/>
    <mergeCell ref="D19:E19"/>
    <mergeCell ref="D20:E20"/>
    <mergeCell ref="D21:E21"/>
    <mergeCell ref="D22:E22"/>
    <mergeCell ref="D23:E23"/>
    <mergeCell ref="D24:E24"/>
    <mergeCell ref="D25:E25"/>
    <mergeCell ref="D26:E26"/>
    <mergeCell ref="D27:E27"/>
    <mergeCell ref="D28:E28"/>
    <mergeCell ref="D29:E29"/>
    <mergeCell ref="G46:H53"/>
    <mergeCell ref="D47:E47"/>
    <mergeCell ref="D48:E48"/>
    <mergeCell ref="D49:E49"/>
    <mergeCell ref="D50:E50"/>
    <mergeCell ref="D51:E51"/>
    <mergeCell ref="D52:E52"/>
    <mergeCell ref="D53:E53"/>
    <mergeCell ref="D54:E54"/>
    <mergeCell ref="D42:E42"/>
    <mergeCell ref="D43:E43"/>
    <mergeCell ref="D44:E44"/>
    <mergeCell ref="D45:E45"/>
    <mergeCell ref="D46:E46"/>
  </mergeCells>
  <conditionalFormatting sqref="G32">
    <cfRule type="expression" dxfId="9" priority="5">
      <formula>$G$31&gt;0</formula>
    </cfRule>
    <cfRule type="expression" dxfId="8" priority="6">
      <formula>$G$32&gt;0</formula>
    </cfRule>
    <cfRule type="expression" dxfId="7" priority="7">
      <formula>$G$31&lt;0</formula>
    </cfRule>
    <cfRule type="cellIs" dxfId="6" priority="10" operator="lessThan">
      <formula>0</formula>
    </cfRule>
    <cfRule type="cellIs" dxfId="5" priority="11" operator="lessThan">
      <formula>0</formula>
    </cfRule>
    <cfRule type="cellIs" dxfId="4" priority="12" operator="lessThan">
      <formula>0</formula>
    </cfRule>
  </conditionalFormatting>
  <conditionalFormatting sqref="H44">
    <cfRule type="expression" dxfId="3" priority="8">
      <formula>$H$44&gt;0</formula>
    </cfRule>
    <cfRule type="expression" dxfId="2" priority="9">
      <formula>$H$44&lt;0</formula>
    </cfRule>
  </conditionalFormatting>
  <conditionalFormatting sqref="G96">
    <cfRule type="expression" dxfId="1" priority="3">
      <formula>$G$96&gt;0</formula>
    </cfRule>
    <cfRule type="expression" dxfId="0" priority="4">
      <formula>$G$96&lt;0</formula>
    </cfRule>
  </conditionalFormatting>
  <pageMargins left="0" right="0" top="0.74803149606299213" bottom="0.74803149606299213" header="0" footer="0"/>
  <pageSetup paperSize="9" fitToWidth="0" fitToHeight="0" orientation="portrait" r:id="rId1"/>
  <headerFooter>
    <oddHeader>&amp;L&amp;G
&amp;R&amp;G</oddHeader>
    <oddFooter>&amp;C&amp;A&amp;RPágina &amp;P</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Datos</vt:lpstr>
      <vt:lpstr>Ventas</vt:lpstr>
      <vt:lpstr>Compras</vt:lpstr>
      <vt:lpstr>Listado</vt:lpstr>
      <vt:lpstr>Base de Datos</vt:lpstr>
      <vt:lpstr>Análisis de Situación</vt:lpstr>
      <vt:lpstr>Informe de Recategorizacion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Geronimo</dc:creator>
  <cp:lastModifiedBy>Usuario</cp:lastModifiedBy>
  <cp:lastPrinted>2024-07-30T21:35:32Z</cp:lastPrinted>
  <dcterms:created xsi:type="dcterms:W3CDTF">2015-06-05T18:19:34Z</dcterms:created>
  <dcterms:modified xsi:type="dcterms:W3CDTF">2025-10-20T22:02:56Z</dcterms:modified>
</cp:coreProperties>
</file>