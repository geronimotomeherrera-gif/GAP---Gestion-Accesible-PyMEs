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os\Proyectos e Innovación\Herramientas de un Administrador\"/>
    </mc:Choice>
  </mc:AlternateContent>
  <bookViews>
    <workbookView xWindow="7800" yWindow="0" windowWidth="19515" windowHeight="7935"/>
  </bookViews>
  <sheets>
    <sheet name="Vogel" sheetId="4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86" i="4" l="1"/>
  <c r="G174" i="4"/>
  <c r="G162" i="4"/>
  <c r="G135" i="4"/>
  <c r="G123" i="4"/>
  <c r="G96" i="4"/>
  <c r="D184" i="4"/>
  <c r="E184" i="4"/>
  <c r="F184" i="4"/>
  <c r="C184" i="4"/>
  <c r="D182" i="4"/>
  <c r="E182" i="4"/>
  <c r="F182" i="4"/>
  <c r="C182" i="4"/>
  <c r="D180" i="4"/>
  <c r="E180" i="4"/>
  <c r="F180" i="4"/>
  <c r="C180" i="4"/>
  <c r="C186" i="4"/>
  <c r="D186" i="4"/>
  <c r="E186" i="4"/>
  <c r="F186" i="4"/>
  <c r="G184" i="4"/>
  <c r="G182" i="4"/>
  <c r="G180" i="4"/>
  <c r="D19" i="4"/>
  <c r="E19" i="4"/>
  <c r="F19" i="4"/>
  <c r="C96" i="4"/>
  <c r="C93" i="4"/>
  <c r="C92" i="4"/>
  <c r="C54" i="4"/>
  <c r="C53" i="4"/>
  <c r="F185" i="4" l="1"/>
  <c r="E185" i="4"/>
  <c r="D185" i="4"/>
  <c r="C185" i="4"/>
  <c r="F183" i="4"/>
  <c r="E183" i="4"/>
  <c r="D183" i="4"/>
  <c r="C183" i="4"/>
  <c r="F181" i="4"/>
  <c r="D181" i="4"/>
  <c r="E181" i="4"/>
  <c r="C181" i="4"/>
  <c r="C196" i="4" l="1"/>
  <c r="C195" i="4"/>
  <c r="G192" i="4"/>
  <c r="C197" i="4"/>
  <c r="G39" i="4"/>
  <c r="G51" i="4" s="1"/>
  <c r="E39" i="4"/>
  <c r="D41" i="4"/>
  <c r="F41" i="4"/>
  <c r="D43" i="4"/>
  <c r="E43" i="4"/>
  <c r="C41" i="4"/>
  <c r="D27" i="4"/>
  <c r="D45" i="4" s="1"/>
  <c r="D57" i="4" s="1"/>
  <c r="E27" i="4"/>
  <c r="E45" i="4" s="1"/>
  <c r="E57" i="4" s="1"/>
  <c r="F27" i="4"/>
  <c r="F45" i="4" s="1"/>
  <c r="F57" i="4" s="1"/>
  <c r="C19" i="4"/>
  <c r="C27" i="4" s="1"/>
  <c r="C45" i="4" s="1"/>
  <c r="C57" i="4" s="1"/>
  <c r="D18" i="4"/>
  <c r="D26" i="4" s="1"/>
  <c r="E18" i="4"/>
  <c r="E26" i="4" s="1"/>
  <c r="F18" i="4"/>
  <c r="F26" i="4" s="1"/>
  <c r="F43" i="4" s="1"/>
  <c r="G18" i="4"/>
  <c r="G26" i="4" s="1"/>
  <c r="G43" i="4" s="1"/>
  <c r="G55" i="4" s="1"/>
  <c r="C18" i="4"/>
  <c r="H18" i="4" s="1"/>
  <c r="D17" i="4"/>
  <c r="D25" i="4" s="1"/>
  <c r="E17" i="4"/>
  <c r="F17" i="4"/>
  <c r="F25" i="4" s="1"/>
  <c r="G17" i="4"/>
  <c r="G25" i="4" s="1"/>
  <c r="G41" i="4" s="1"/>
  <c r="G53" i="4" s="1"/>
  <c r="C17" i="4"/>
  <c r="C25" i="4" s="1"/>
  <c r="D16" i="4"/>
  <c r="E16" i="4"/>
  <c r="E24" i="4" s="1"/>
  <c r="F16" i="4"/>
  <c r="F24" i="4" s="1"/>
  <c r="F39" i="4" s="1"/>
  <c r="G16" i="4"/>
  <c r="G24" i="4" s="1"/>
  <c r="C16" i="4"/>
  <c r="G11" i="4"/>
  <c r="G19" i="4" s="1"/>
  <c r="G27" i="4" s="1"/>
  <c r="G57" i="4" s="1"/>
  <c r="G66" i="4" s="1"/>
  <c r="G105" i="4" s="1"/>
  <c r="G144" i="4" s="1"/>
  <c r="F66" i="4" l="1"/>
  <c r="F84" i="4" s="1"/>
  <c r="F96" i="4" s="1"/>
  <c r="E66" i="4"/>
  <c r="E84" i="4" s="1"/>
  <c r="E96" i="4" s="1"/>
  <c r="G63" i="4"/>
  <c r="G78" i="4" s="1"/>
  <c r="G90" i="4" s="1"/>
  <c r="E52" i="4"/>
  <c r="F52" i="4"/>
  <c r="E51" i="4"/>
  <c r="E63" i="4" s="1"/>
  <c r="E78" i="4" s="1"/>
  <c r="F51" i="4"/>
  <c r="F63" i="4" s="1"/>
  <c r="F78" i="4" s="1"/>
  <c r="G64" i="4"/>
  <c r="G80" i="4" s="1"/>
  <c r="G92" i="4" s="1"/>
  <c r="D66" i="4"/>
  <c r="D84" i="4" s="1"/>
  <c r="D96" i="4" s="1"/>
  <c r="D52" i="4"/>
  <c r="C55" i="4"/>
  <c r="C65" i="4" s="1"/>
  <c r="C82" i="4" s="1"/>
  <c r="C66" i="4"/>
  <c r="C84" i="4" s="1"/>
  <c r="C56" i="4"/>
  <c r="G65" i="4"/>
  <c r="G82" i="4" s="1"/>
  <c r="G94" i="4" s="1"/>
  <c r="G45" i="4"/>
  <c r="E25" i="4"/>
  <c r="E41" i="4" s="1"/>
  <c r="E53" i="4" s="1"/>
  <c r="H17" i="4"/>
  <c r="I17" i="4"/>
  <c r="J17" i="4" s="1"/>
  <c r="H41" i="4" s="1"/>
  <c r="H16" i="4"/>
  <c r="C24" i="4"/>
  <c r="C39" i="4" s="1"/>
  <c r="C26" i="4"/>
  <c r="C43" i="4" s="1"/>
  <c r="I18" i="4"/>
  <c r="J18" i="4" s="1"/>
  <c r="H43" i="4" s="1"/>
  <c r="D24" i="4"/>
  <c r="D39" i="4" s="1"/>
  <c r="D51" i="4" s="1"/>
  <c r="I16" i="4"/>
  <c r="J16" i="4" s="1"/>
  <c r="H39" i="4" s="1"/>
  <c r="F56" i="4"/>
  <c r="E56" i="4"/>
  <c r="D56" i="4"/>
  <c r="F55" i="4"/>
  <c r="F65" i="4" s="1"/>
  <c r="F82" i="4" s="1"/>
  <c r="E55" i="4"/>
  <c r="E65" i="4" s="1"/>
  <c r="E82" i="4" s="1"/>
  <c r="D55" i="4"/>
  <c r="F54" i="4"/>
  <c r="E54" i="4"/>
  <c r="D54" i="4"/>
  <c r="F53" i="4"/>
  <c r="F64" i="4" s="1"/>
  <c r="F80" i="4" s="1"/>
  <c r="D53" i="4"/>
  <c r="D64" i="4" s="1"/>
  <c r="D80" i="4" s="1"/>
  <c r="C52" i="4"/>
  <c r="C51" i="4"/>
  <c r="C63" i="4" s="1"/>
  <c r="C64" i="4"/>
  <c r="C80" i="4" s="1"/>
  <c r="F28" i="4"/>
  <c r="F29" i="4" s="1"/>
  <c r="F30" i="4" s="1"/>
  <c r="F46" i="4" s="1"/>
  <c r="F58" i="4" s="1"/>
  <c r="E28" i="4"/>
  <c r="E29" i="4" s="1"/>
  <c r="E30" i="4" s="1"/>
  <c r="E46" i="4" s="1"/>
  <c r="E58" i="4" s="1"/>
  <c r="F94" i="4" l="1"/>
  <c r="F135" i="4"/>
  <c r="F95" i="4"/>
  <c r="D95" i="4"/>
  <c r="E94" i="4"/>
  <c r="E95" i="4"/>
  <c r="F105" i="4"/>
  <c r="F123" i="4" s="1"/>
  <c r="F104" i="4"/>
  <c r="F121" i="4" s="1"/>
  <c r="E105" i="4"/>
  <c r="E123" i="4" s="1"/>
  <c r="E135" i="4" s="1"/>
  <c r="E174" i="4" s="1"/>
  <c r="E104" i="4"/>
  <c r="E121" i="4" s="1"/>
  <c r="H55" i="4"/>
  <c r="I55" i="4" s="1"/>
  <c r="J55" i="4" s="1"/>
  <c r="H82" i="4" s="1"/>
  <c r="E91" i="4"/>
  <c r="G102" i="4"/>
  <c r="G117" i="4" s="1"/>
  <c r="G129" i="4" s="1"/>
  <c r="F91" i="4"/>
  <c r="E90" i="4"/>
  <c r="E102" i="4" s="1"/>
  <c r="E117" i="4" s="1"/>
  <c r="F90" i="4"/>
  <c r="F102" i="4" s="1"/>
  <c r="F117" i="4" s="1"/>
  <c r="F93" i="4"/>
  <c r="F92" i="4"/>
  <c r="F103" i="4" s="1"/>
  <c r="G103" i="4"/>
  <c r="G119" i="4" s="1"/>
  <c r="G131" i="4" s="1"/>
  <c r="E93" i="4"/>
  <c r="G84" i="4"/>
  <c r="D91" i="4"/>
  <c r="D105" i="4"/>
  <c r="D123" i="4" s="1"/>
  <c r="D135" i="4" s="1"/>
  <c r="D92" i="4"/>
  <c r="D103" i="4" s="1"/>
  <c r="D119" i="4" s="1"/>
  <c r="D93" i="4"/>
  <c r="C95" i="4"/>
  <c r="C105" i="4"/>
  <c r="C123" i="4" s="1"/>
  <c r="C135" i="4" s="1"/>
  <c r="C94" i="4"/>
  <c r="C104" i="4" s="1"/>
  <c r="C121" i="4" s="1"/>
  <c r="C103" i="4"/>
  <c r="C119" i="4" s="1"/>
  <c r="C91" i="4"/>
  <c r="G104" i="4"/>
  <c r="G121" i="4" s="1"/>
  <c r="G133" i="4"/>
  <c r="F67" i="4"/>
  <c r="F68" i="4" s="1"/>
  <c r="F69" i="4" s="1"/>
  <c r="F85" i="4" s="1"/>
  <c r="F97" i="4" s="1"/>
  <c r="E64" i="4"/>
  <c r="C78" i="4"/>
  <c r="C90" i="4" s="1"/>
  <c r="C67" i="4"/>
  <c r="C68" i="4" s="1"/>
  <c r="C69" i="4" s="1"/>
  <c r="C85" i="4" s="1"/>
  <c r="C97" i="4" s="1"/>
  <c r="D65" i="4"/>
  <c r="D82" i="4" s="1"/>
  <c r="D94" i="4" s="1"/>
  <c r="H51" i="4"/>
  <c r="E33" i="4"/>
  <c r="C28" i="4"/>
  <c r="C29" i="4" s="1"/>
  <c r="C30" i="4" s="1"/>
  <c r="C46" i="4" s="1"/>
  <c r="C58" i="4" s="1"/>
  <c r="D63" i="4"/>
  <c r="I51" i="4"/>
  <c r="J51" i="4" s="1"/>
  <c r="H78" i="4" s="1"/>
  <c r="D28" i="4"/>
  <c r="D29" i="4" s="1"/>
  <c r="D30" i="4" s="1"/>
  <c r="H53" i="4"/>
  <c r="I53" i="4" s="1"/>
  <c r="E144" i="4" l="1"/>
  <c r="E162" i="4" s="1"/>
  <c r="F134" i="4"/>
  <c r="F174" i="4"/>
  <c r="F173" i="4" s="1"/>
  <c r="F144" i="4"/>
  <c r="F162" i="4" s="1"/>
  <c r="F130" i="4"/>
  <c r="F133" i="4"/>
  <c r="F143" i="4" s="1"/>
  <c r="F160" i="4" s="1"/>
  <c r="F172" i="4" s="1"/>
  <c r="F129" i="4"/>
  <c r="F141" i="4" s="1"/>
  <c r="F156" i="4" s="1"/>
  <c r="E133" i="4"/>
  <c r="E143" i="4" s="1"/>
  <c r="E160" i="4" s="1"/>
  <c r="E134" i="4"/>
  <c r="E129" i="4"/>
  <c r="E141" i="4" s="1"/>
  <c r="E156" i="4" s="1"/>
  <c r="E130" i="4"/>
  <c r="G141" i="4"/>
  <c r="G156" i="4" s="1"/>
  <c r="G168" i="4" s="1"/>
  <c r="F169" i="4" s="1"/>
  <c r="E132" i="4"/>
  <c r="F132" i="4"/>
  <c r="F119" i="4"/>
  <c r="F131" i="4" s="1"/>
  <c r="F142" i="4" s="1"/>
  <c r="F106" i="4"/>
  <c r="F107" i="4" s="1"/>
  <c r="F108" i="4" s="1"/>
  <c r="F124" i="4" s="1"/>
  <c r="F136" i="4" s="1"/>
  <c r="G142" i="4"/>
  <c r="G158" i="4" s="1"/>
  <c r="G170" i="4" s="1"/>
  <c r="D131" i="4"/>
  <c r="D142" i="4" s="1"/>
  <c r="D158" i="4" s="1"/>
  <c r="D132" i="4"/>
  <c r="D144" i="4"/>
  <c r="D162" i="4" s="1"/>
  <c r="D174" i="4" s="1"/>
  <c r="D134" i="4"/>
  <c r="D130" i="4"/>
  <c r="C102" i="4"/>
  <c r="D104" i="4"/>
  <c r="H94" i="4"/>
  <c r="G143" i="4"/>
  <c r="G160" i="4" s="1"/>
  <c r="G172" i="4" s="1"/>
  <c r="E80" i="4"/>
  <c r="E92" i="4" s="1"/>
  <c r="E67" i="4"/>
  <c r="E68" i="4" s="1"/>
  <c r="E69" i="4" s="1"/>
  <c r="E85" i="4" s="1"/>
  <c r="E97" i="4" s="1"/>
  <c r="E34" i="4"/>
  <c r="D35" i="4" s="1"/>
  <c r="D46" i="4"/>
  <c r="D58" i="4" s="1"/>
  <c r="D78" i="4"/>
  <c r="D90" i="4" s="1"/>
  <c r="D102" i="4" s="1"/>
  <c r="D117" i="4" s="1"/>
  <c r="D129" i="4" s="1"/>
  <c r="D141" i="4" s="1"/>
  <c r="D156" i="4" s="1"/>
  <c r="D168" i="4" s="1"/>
  <c r="D67" i="4"/>
  <c r="D68" i="4" s="1"/>
  <c r="D69" i="4" s="1"/>
  <c r="J53" i="4"/>
  <c r="E168" i="4" l="1"/>
  <c r="E169" i="4"/>
  <c r="F168" i="4"/>
  <c r="H90" i="4"/>
  <c r="I90" i="4" s="1"/>
  <c r="J90" i="4" s="1"/>
  <c r="H117" i="4" s="1"/>
  <c r="E173" i="4"/>
  <c r="E172" i="4"/>
  <c r="E171" i="4"/>
  <c r="F171" i="4"/>
  <c r="F158" i="4"/>
  <c r="F170" i="4" s="1"/>
  <c r="F145" i="4"/>
  <c r="F146" i="4" s="1"/>
  <c r="F147" i="4" s="1"/>
  <c r="F163" i="4" s="1"/>
  <c r="F175" i="4" s="1"/>
  <c r="D171" i="4"/>
  <c r="D170" i="4"/>
  <c r="D169" i="4"/>
  <c r="C117" i="4"/>
  <c r="C106" i="4"/>
  <c r="C107" i="4" s="1"/>
  <c r="C108" i="4" s="1"/>
  <c r="C124" i="4" s="1"/>
  <c r="C136" i="4" s="1"/>
  <c r="C131" i="4"/>
  <c r="C134" i="4"/>
  <c r="C144" i="4"/>
  <c r="C162" i="4" s="1"/>
  <c r="C133" i="4"/>
  <c r="C143" i="4" s="1"/>
  <c r="C160" i="4" s="1"/>
  <c r="C129" i="4"/>
  <c r="C132" i="4"/>
  <c r="C130" i="4"/>
  <c r="I94" i="4"/>
  <c r="J94" i="4" s="1"/>
  <c r="H121" i="4" s="1"/>
  <c r="D121" i="4"/>
  <c r="D133" i="4" s="1"/>
  <c r="D106" i="4"/>
  <c r="D107" i="4" s="1"/>
  <c r="D108" i="4" s="1"/>
  <c r="D124" i="4" s="1"/>
  <c r="D136" i="4" s="1"/>
  <c r="E103" i="4"/>
  <c r="H92" i="4"/>
  <c r="D85" i="4"/>
  <c r="D97" i="4" s="1"/>
  <c r="E73" i="4"/>
  <c r="H80" i="4"/>
  <c r="E72" i="4"/>
  <c r="D74" i="4" s="1"/>
  <c r="C174" i="4" l="1"/>
  <c r="C169" i="4" s="1"/>
  <c r="C141" i="4"/>
  <c r="H129" i="4"/>
  <c r="I129" i="4" s="1"/>
  <c r="C142" i="4"/>
  <c r="C158" i="4" s="1"/>
  <c r="D143" i="4"/>
  <c r="H133" i="4"/>
  <c r="E119" i="4"/>
  <c r="E131" i="4" s="1"/>
  <c r="E142" i="4" s="1"/>
  <c r="E106" i="4"/>
  <c r="E107" i="4" s="1"/>
  <c r="I92" i="4"/>
  <c r="J92" i="4" s="1"/>
  <c r="C170" i="4" l="1"/>
  <c r="C172" i="4"/>
  <c r="C173" i="4" s="1"/>
  <c r="C171" i="4"/>
  <c r="E158" i="4"/>
  <c r="E170" i="4" s="1"/>
  <c r="H170" i="4" s="1"/>
  <c r="I170" i="4" s="1"/>
  <c r="E145" i="4"/>
  <c r="E146" i="4" s="1"/>
  <c r="E147" i="4" s="1"/>
  <c r="E163" i="4" s="1"/>
  <c r="E175" i="4" s="1"/>
  <c r="H131" i="4"/>
  <c r="I131" i="4" s="1"/>
  <c r="J131" i="4" s="1"/>
  <c r="H158" i="4" s="1"/>
  <c r="I133" i="4"/>
  <c r="J133" i="4" s="1"/>
  <c r="H160" i="4" s="1"/>
  <c r="J129" i="4"/>
  <c r="H156" i="4" s="1"/>
  <c r="C156" i="4"/>
  <c r="C168" i="4" s="1"/>
  <c r="H168" i="4" s="1"/>
  <c r="C145" i="4"/>
  <c r="C146" i="4" s="1"/>
  <c r="C147" i="4" s="1"/>
  <c r="C163" i="4" s="1"/>
  <c r="C175" i="4" s="1"/>
  <c r="D160" i="4"/>
  <c r="D172" i="4" s="1"/>
  <c r="D173" i="4" s="1"/>
  <c r="D145" i="4"/>
  <c r="H119" i="4"/>
  <c r="E111" i="4"/>
  <c r="E108" i="4"/>
  <c r="I168" i="4" l="1"/>
  <c r="J168" i="4" s="1"/>
  <c r="J170" i="4"/>
  <c r="H172" i="4"/>
  <c r="I172" i="4" s="1"/>
  <c r="E150" i="4"/>
  <c r="D146" i="4"/>
  <c r="D147" i="4" s="1"/>
  <c r="E124" i="4"/>
  <c r="E136" i="4" s="1"/>
  <c r="E112" i="4"/>
  <c r="D113" i="4" s="1"/>
  <c r="J172" i="4" l="1"/>
  <c r="E151" i="4"/>
  <c r="D152" i="4" s="1"/>
  <c r="D163" i="4"/>
  <c r="D175" i="4" s="1"/>
</calcChain>
</file>

<file path=xl/sharedStrings.xml><?xml version="1.0" encoding="utf-8"?>
<sst xmlns="http://schemas.openxmlformats.org/spreadsheetml/2006/main" count="224" uniqueCount="36">
  <si>
    <t>A</t>
  </si>
  <si>
    <t>B</t>
  </si>
  <si>
    <t>C</t>
  </si>
  <si>
    <t>Método Vogel</t>
  </si>
  <si>
    <t>ORIGEN</t>
  </si>
  <si>
    <t>DEMANDA</t>
  </si>
  <si>
    <t>ALMACEN A</t>
  </si>
  <si>
    <t>ALMACEN B</t>
  </si>
  <si>
    <t>ALMACEN C</t>
  </si>
  <si>
    <t>OFERTA DE ORIGEN</t>
  </si>
  <si>
    <t>ALMACEN D</t>
  </si>
  <si>
    <t>Mínimo</t>
  </si>
  <si>
    <t>Segundo Min</t>
  </si>
  <si>
    <t>Penalización por fila</t>
  </si>
  <si>
    <t>Penalización por columna</t>
  </si>
  <si>
    <t>Segundo Mín</t>
  </si>
  <si>
    <t>Diferencia</t>
  </si>
  <si>
    <t>Mayor penalización por fila</t>
  </si>
  <si>
    <t>Mayor penalización por columna</t>
  </si>
  <si>
    <t>Entre estas elijo=</t>
  </si>
  <si>
    <t>Primera Penalización</t>
  </si>
  <si>
    <t>*Atención, en este paso debemos visualizar en que posición está la penalización máxima recién obtenida. Y poner el valor menor (entre oferta y demanda) sobre la fila o columna de la primera penalización elegida, y donde el costo sea el mas bajo</t>
  </si>
  <si>
    <t>Segunda Penalización</t>
  </si>
  <si>
    <t>Tercera Penalización</t>
  </si>
  <si>
    <t>Cuarta Penalización</t>
  </si>
  <si>
    <t>Mostremos por último como quedó el cuadro con las reparticiones por costos</t>
  </si>
  <si>
    <t>Estas fueron las asignaciones para determinar el costo mínimo</t>
  </si>
  <si>
    <t>LEER</t>
  </si>
  <si>
    <t>Asignaciones de Recursos</t>
  </si>
  <si>
    <t>Por favor complete el cuadro en las celdas resaltadas en amarillo claro</t>
  </si>
  <si>
    <t>Quinta Penalización</t>
  </si>
  <si>
    <t>Calculo de costos</t>
  </si>
  <si>
    <t>Según la asignación de recursos que utilizamos, nos ha dado:</t>
  </si>
  <si>
    <t>Determinados de la siguiente manera según su origen:</t>
  </si>
  <si>
    <t>Asigne en las celdas en blanco debajo de cada fila con los costos.</t>
  </si>
  <si>
    <t>Esta es una planilla excel con cálculos automatizados que realizará la gran mayoría de los procesos. Solamente tendrá que escribir manualmente el número menor entre oferta y demanda, cuando asigne una cantidad a la penalización mayor que encuentre. Para ello encontrará cuadros resaltados en amarillo y con borde rojo que les recordará la necesidad de registrar manualmente este dato, todo lo demás, se ejecuta solo.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</si>
</sst>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$&quot;\ * #,##0.00_-;\-&quot;$&quot;\ * #,##0.00_-;_-&quot;$&quot;\ * &quot;-&quot;??_-;_-@_-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 style="thin">
        <color indexed="64"/>
      </left>
      <right/>
      <top style="thick">
        <color rgb="FFFF0000"/>
      </top>
      <bottom style="thick">
        <color rgb="FFFF0000"/>
      </bottom>
      <diagonal/>
    </border>
    <border>
      <left/>
      <right style="thin">
        <color indexed="64"/>
      </right>
      <top style="thick">
        <color rgb="FFFF0000"/>
      </top>
      <bottom style="thick">
        <color rgb="FFFF0000"/>
      </bottom>
      <diagonal/>
    </border>
  </borders>
  <cellStyleXfs count="2">
    <xf numFmtId="0" fontId="0" fillId="0" borderId="0"/>
    <xf numFmtId="44" fontId="13" fillId="0" borderId="0" applyFont="0" applyFill="0" applyBorder="0" applyAlignment="0" applyProtection="0"/>
  </cellStyleXfs>
  <cellXfs count="97">
    <xf numFmtId="0" fontId="0" fillId="0" borderId="0" xfId="0"/>
    <xf numFmtId="0" fontId="0" fillId="0" borderId="0" xfId="0" applyBorder="1"/>
    <xf numFmtId="0" fontId="3" fillId="2" borderId="27" xfId="0" applyFont="1" applyFill="1" applyBorder="1"/>
    <xf numFmtId="0" fontId="3" fillId="2" borderId="19" xfId="0" applyFont="1" applyFill="1" applyBorder="1"/>
    <xf numFmtId="0" fontId="2" fillId="2" borderId="18" xfId="0" applyFont="1" applyFill="1" applyBorder="1"/>
    <xf numFmtId="0" fontId="2" fillId="2" borderId="19" xfId="0" applyFont="1" applyFill="1" applyBorder="1"/>
    <xf numFmtId="0" fontId="2" fillId="2" borderId="31" xfId="0" applyFont="1" applyFill="1" applyBorder="1"/>
    <xf numFmtId="0" fontId="3" fillId="2" borderId="25" xfId="0" applyFont="1" applyFill="1" applyBorder="1"/>
    <xf numFmtId="0" fontId="3" fillId="3" borderId="20" xfId="0" applyFont="1" applyFill="1" applyBorder="1"/>
    <xf numFmtId="0" fontId="3" fillId="3" borderId="22" xfId="0" applyFont="1" applyFill="1" applyBorder="1"/>
    <xf numFmtId="0" fontId="3" fillId="3" borderId="10" xfId="0" applyFont="1" applyFill="1" applyBorder="1"/>
    <xf numFmtId="0" fontId="3" fillId="3" borderId="13" xfId="0" applyFont="1" applyFill="1" applyBorder="1"/>
    <xf numFmtId="0" fontId="3" fillId="3" borderId="16" xfId="0" applyFont="1" applyFill="1" applyBorder="1"/>
    <xf numFmtId="0" fontId="2" fillId="2" borderId="29" xfId="0" applyFont="1" applyFill="1" applyBorder="1"/>
    <xf numFmtId="0" fontId="3" fillId="4" borderId="22" xfId="0" applyFont="1" applyFill="1" applyBorder="1"/>
    <xf numFmtId="0" fontId="3" fillId="4" borderId="21" xfId="0" applyFont="1" applyFill="1" applyBorder="1"/>
    <xf numFmtId="0" fontId="3" fillId="4" borderId="15" xfId="0" applyFont="1" applyFill="1" applyBorder="1"/>
    <xf numFmtId="0" fontId="3" fillId="2" borderId="29" xfId="0" applyFont="1" applyFill="1" applyBorder="1"/>
    <xf numFmtId="0" fontId="0" fillId="0" borderId="1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5" fillId="0" borderId="0" xfId="0" applyFont="1"/>
    <xf numFmtId="0" fontId="0" fillId="0" borderId="5" xfId="0" applyBorder="1"/>
    <xf numFmtId="0" fontId="3" fillId="4" borderId="1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0" fillId="10" borderId="8" xfId="0" applyFill="1" applyBorder="1"/>
    <xf numFmtId="0" fontId="0" fillId="9" borderId="34" xfId="0" applyFill="1" applyBorder="1" applyAlignment="1">
      <alignment horizontal="center"/>
    </xf>
    <xf numFmtId="0" fontId="0" fillId="9" borderId="9" xfId="0" applyFill="1" applyBorder="1"/>
    <xf numFmtId="0" fontId="0" fillId="9" borderId="32" xfId="0" applyFill="1" applyBorder="1"/>
    <xf numFmtId="0" fontId="0" fillId="9" borderId="33" xfId="0" applyFill="1" applyBorder="1"/>
    <xf numFmtId="0" fontId="0" fillId="4" borderId="0" xfId="0" applyFill="1" applyBorder="1" applyAlignment="1">
      <alignment horizontal="center"/>
    </xf>
    <xf numFmtId="0" fontId="3" fillId="8" borderId="8" xfId="0" applyFont="1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1" fillId="8" borderId="32" xfId="0" applyFont="1" applyFill="1" applyBorder="1" applyAlignment="1">
      <alignment horizontal="center"/>
    </xf>
    <xf numFmtId="0" fontId="1" fillId="8" borderId="33" xfId="0" applyFont="1" applyFill="1" applyBorder="1" applyAlignment="1">
      <alignment horizontal="center"/>
    </xf>
    <xf numFmtId="0" fontId="1" fillId="8" borderId="34" xfId="0" applyFont="1" applyFill="1" applyBorder="1" applyAlignment="1">
      <alignment horizontal="center"/>
    </xf>
    <xf numFmtId="0" fontId="1" fillId="8" borderId="9" xfId="0" applyFont="1" applyFill="1" applyBorder="1" applyAlignment="1">
      <alignment horizontal="center"/>
    </xf>
    <xf numFmtId="0" fontId="0" fillId="0" borderId="1" xfId="0" applyBorder="1"/>
    <xf numFmtId="0" fontId="0" fillId="0" borderId="36" xfId="0" applyBorder="1"/>
    <xf numFmtId="0" fontId="0" fillId="0" borderId="37" xfId="0" applyBorder="1"/>
    <xf numFmtId="0" fontId="1" fillId="8" borderId="9" xfId="0" applyFont="1" applyFill="1" applyBorder="1"/>
    <xf numFmtId="0" fontId="1" fillId="8" borderId="32" xfId="0" applyFont="1" applyFill="1" applyBorder="1"/>
    <xf numFmtId="0" fontId="1" fillId="6" borderId="9" xfId="0" applyFont="1" applyFill="1" applyBorder="1"/>
    <xf numFmtId="0" fontId="1" fillId="6" borderId="32" xfId="0" applyFont="1" applyFill="1" applyBorder="1"/>
    <xf numFmtId="0" fontId="1" fillId="6" borderId="35" xfId="0" applyFont="1" applyFill="1" applyBorder="1"/>
    <xf numFmtId="0" fontId="1" fillId="6" borderId="8" xfId="0" applyFont="1" applyFill="1" applyBorder="1" applyAlignment="1">
      <alignment horizontal="center"/>
    </xf>
    <xf numFmtId="0" fontId="1" fillId="6" borderId="34" xfId="0" applyFont="1" applyFill="1" applyBorder="1" applyAlignment="1">
      <alignment horizontal="center"/>
    </xf>
    <xf numFmtId="0" fontId="1" fillId="6" borderId="34" xfId="0" applyFont="1" applyFill="1" applyBorder="1"/>
    <xf numFmtId="0" fontId="6" fillId="0" borderId="1" xfId="0" applyFont="1" applyBorder="1" applyAlignment="1">
      <alignment horizontal="center"/>
    </xf>
    <xf numFmtId="0" fontId="9" fillId="0" borderId="1" xfId="0" applyFont="1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10" borderId="0" xfId="0" applyFill="1" applyBorder="1"/>
    <xf numFmtId="0" fontId="0" fillId="0" borderId="6" xfId="0" applyBorder="1"/>
    <xf numFmtId="0" fontId="6" fillId="0" borderId="1" xfId="0" applyFont="1" applyBorder="1" applyAlignment="1">
      <alignment horizontal="right"/>
    </xf>
    <xf numFmtId="0" fontId="1" fillId="8" borderId="35" xfId="0" applyFont="1" applyFill="1" applyBorder="1" applyAlignment="1">
      <alignment horizontal="center"/>
    </xf>
    <xf numFmtId="0" fontId="8" fillId="0" borderId="0" xfId="0" applyFont="1" applyBorder="1"/>
    <xf numFmtId="0" fontId="7" fillId="5" borderId="1" xfId="0" applyFont="1" applyFill="1" applyBorder="1" applyAlignment="1">
      <alignment horizontal="center"/>
    </xf>
    <xf numFmtId="0" fontId="11" fillId="0" borderId="0" xfId="0" applyFont="1"/>
    <xf numFmtId="0" fontId="0" fillId="10" borderId="34" xfId="0" applyFill="1" applyBorder="1"/>
    <xf numFmtId="0" fontId="2" fillId="8" borderId="30" xfId="0" applyFont="1" applyFill="1" applyBorder="1"/>
    <xf numFmtId="0" fontId="2" fillId="8" borderId="11" xfId="0" applyFont="1" applyFill="1" applyBorder="1"/>
    <xf numFmtId="0" fontId="2" fillId="8" borderId="12" xfId="0" applyFont="1" applyFill="1" applyBorder="1"/>
    <xf numFmtId="0" fontId="2" fillId="8" borderId="28" xfId="0" applyFont="1" applyFill="1" applyBorder="1"/>
    <xf numFmtId="0" fontId="3" fillId="8" borderId="14" xfId="0" applyFont="1" applyFill="1" applyBorder="1"/>
    <xf numFmtId="0" fontId="3" fillId="8" borderId="10" xfId="0" applyFont="1" applyFill="1" applyBorder="1"/>
    <xf numFmtId="0" fontId="2" fillId="8" borderId="26" xfId="0" applyFont="1" applyFill="1" applyBorder="1"/>
    <xf numFmtId="0" fontId="2" fillId="8" borderId="24" xfId="0" applyFont="1" applyFill="1" applyBorder="1"/>
    <xf numFmtId="0" fontId="3" fillId="8" borderId="23" xfId="0" applyFont="1" applyFill="1" applyBorder="1"/>
    <xf numFmtId="0" fontId="3" fillId="8" borderId="17" xfId="0" applyFont="1" applyFill="1" applyBorder="1"/>
    <xf numFmtId="0" fontId="3" fillId="8" borderId="22" xfId="0" applyFont="1" applyFill="1" applyBorder="1"/>
    <xf numFmtId="0" fontId="8" fillId="0" borderId="4" xfId="0" applyFont="1" applyBorder="1"/>
    <xf numFmtId="0" fontId="8" fillId="0" borderId="1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12" fillId="0" borderId="0" xfId="0" applyFont="1"/>
    <xf numFmtId="0" fontId="10" fillId="7" borderId="0" xfId="0" applyFont="1" applyFill="1" applyAlignment="1">
      <alignment horizontal="center" wrapText="1"/>
    </xf>
    <xf numFmtId="0" fontId="0" fillId="4" borderId="3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5" borderId="39" xfId="0" applyFill="1" applyBorder="1" applyAlignment="1">
      <alignment horizontal="center" vertical="center" wrapText="1"/>
    </xf>
    <xf numFmtId="0" fontId="0" fillId="5" borderId="38" xfId="0" applyFill="1" applyBorder="1" applyAlignment="1">
      <alignment horizontal="center" vertical="center" wrapText="1"/>
    </xf>
    <xf numFmtId="0" fontId="0" fillId="5" borderId="40" xfId="0" applyFill="1" applyBorder="1" applyAlignment="1">
      <alignment horizontal="center" vertical="center" wrapText="1"/>
    </xf>
    <xf numFmtId="0" fontId="10" fillId="0" borderId="4" xfId="0" applyFont="1" applyFill="1" applyBorder="1" applyAlignment="1">
      <alignment horizontal="center" vertical="center" wrapText="1"/>
    </xf>
    <xf numFmtId="0" fontId="10" fillId="0" borderId="3" xfId="0" applyFont="1" applyFill="1" applyBorder="1" applyAlignment="1">
      <alignment horizontal="center" vertical="center" wrapText="1"/>
    </xf>
    <xf numFmtId="44" fontId="4" fillId="5" borderId="7" xfId="1" applyFont="1" applyFill="1" applyBorder="1"/>
    <xf numFmtId="44" fontId="8" fillId="0" borderId="2" xfId="1" applyFont="1" applyBorder="1" applyAlignment="1">
      <alignment horizontal="center"/>
    </xf>
    <xf numFmtId="44" fontId="8" fillId="0" borderId="3" xfId="1" applyFont="1" applyBorder="1" applyAlignment="1">
      <alignment horizontal="center"/>
    </xf>
    <xf numFmtId="44" fontId="8" fillId="0" borderId="6" xfId="1" applyFont="1" applyBorder="1" applyAlignment="1">
      <alignment horizontal="center"/>
    </xf>
  </cellXfs>
  <cellStyles count="2">
    <cellStyle name="Moneda" xfId="1" builtinId="4"/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98"/>
  <sheetViews>
    <sheetView tabSelected="1" zoomScaleNormal="100" workbookViewId="0">
      <selection activeCell="J186" sqref="J186"/>
    </sheetView>
  </sheetViews>
  <sheetFormatPr baseColWidth="10" defaultRowHeight="15" x14ac:dyDescent="0.25"/>
  <cols>
    <col min="1" max="1" width="5.85546875" customWidth="1"/>
    <col min="7" max="7" width="13" bestFit="1" customWidth="1"/>
    <col min="8" max="8" width="12" bestFit="1" customWidth="1"/>
    <col min="9" max="9" width="16.140625" customWidth="1"/>
    <col min="10" max="10" width="15.42578125" customWidth="1"/>
  </cols>
  <sheetData>
    <row r="1" spans="1:10" ht="28.5" x14ac:dyDescent="0.45">
      <c r="A1" s="29" t="s">
        <v>3</v>
      </c>
      <c r="E1" s="67" t="s">
        <v>27</v>
      </c>
    </row>
    <row r="2" spans="1:10" ht="104.25" customHeight="1" x14ac:dyDescent="0.3">
      <c r="A2" s="85" t="s">
        <v>35</v>
      </c>
      <c r="B2" s="85"/>
      <c r="C2" s="85"/>
      <c r="D2" s="85"/>
      <c r="E2" s="85"/>
      <c r="F2" s="85"/>
      <c r="G2" s="85"/>
      <c r="H2" s="85"/>
      <c r="I2" s="85"/>
      <c r="J2" s="85"/>
    </row>
    <row r="3" spans="1:10" ht="41.25" customHeight="1" thickBot="1" x14ac:dyDescent="0.4">
      <c r="A3" s="84" t="s">
        <v>29</v>
      </c>
    </row>
    <row r="4" spans="1:10" ht="15.75" thickBot="1" x14ac:dyDescent="0.3">
      <c r="B4" s="8" t="s">
        <v>4</v>
      </c>
      <c r="C4" s="15" t="s">
        <v>6</v>
      </c>
      <c r="D4" s="15" t="s">
        <v>7</v>
      </c>
      <c r="E4" s="15" t="s">
        <v>8</v>
      </c>
      <c r="F4" s="16" t="s">
        <v>10</v>
      </c>
      <c r="G4" s="10" t="s">
        <v>9</v>
      </c>
    </row>
    <row r="5" spans="1:10" x14ac:dyDescent="0.25">
      <c r="B5" s="8" t="s">
        <v>0</v>
      </c>
      <c r="C5" s="69">
        <v>20</v>
      </c>
      <c r="D5" s="70">
        <v>10</v>
      </c>
      <c r="E5" s="71">
        <v>20</v>
      </c>
      <c r="F5" s="72">
        <v>24</v>
      </c>
      <c r="G5" s="73">
        <v>20</v>
      </c>
    </row>
    <row r="6" spans="1:10" ht="15.75" thickBot="1" x14ac:dyDescent="0.3">
      <c r="B6" s="9"/>
      <c r="C6" s="6"/>
      <c r="D6" s="4"/>
      <c r="E6" s="5"/>
      <c r="F6" s="13"/>
      <c r="G6" s="11"/>
    </row>
    <row r="7" spans="1:10" x14ac:dyDescent="0.25">
      <c r="B7" s="8" t="s">
        <v>1</v>
      </c>
      <c r="C7" s="69">
        <v>12</v>
      </c>
      <c r="D7" s="70">
        <v>7</v>
      </c>
      <c r="E7" s="71">
        <v>37</v>
      </c>
      <c r="F7" s="72">
        <v>20</v>
      </c>
      <c r="G7" s="74">
        <v>40</v>
      </c>
    </row>
    <row r="8" spans="1:10" ht="15.75" thickBot="1" x14ac:dyDescent="0.3">
      <c r="B8" s="9"/>
      <c r="C8" s="6"/>
      <c r="D8" s="4"/>
      <c r="E8" s="5"/>
      <c r="F8" s="13"/>
      <c r="G8" s="12"/>
    </row>
    <row r="9" spans="1:10" x14ac:dyDescent="0.25">
      <c r="B9" s="10" t="s">
        <v>2</v>
      </c>
      <c r="C9" s="75">
        <v>19</v>
      </c>
      <c r="D9" s="76">
        <v>14</v>
      </c>
      <c r="E9" s="71">
        <v>16</v>
      </c>
      <c r="F9" s="72">
        <v>78</v>
      </c>
      <c r="G9" s="73">
        <v>48</v>
      </c>
    </row>
    <row r="10" spans="1:10" ht="15.75" thickBot="1" x14ac:dyDescent="0.3">
      <c r="B10" s="11"/>
      <c r="C10" s="2"/>
      <c r="D10" s="7"/>
      <c r="E10" s="3"/>
      <c r="F10" s="17"/>
      <c r="G10" s="11"/>
    </row>
    <row r="11" spans="1:10" ht="15.75" thickBot="1" x14ac:dyDescent="0.3">
      <c r="B11" s="14" t="s">
        <v>5</v>
      </c>
      <c r="C11" s="77">
        <v>10</v>
      </c>
      <c r="D11" s="77">
        <v>40</v>
      </c>
      <c r="E11" s="77">
        <v>21</v>
      </c>
      <c r="F11" s="78">
        <v>37</v>
      </c>
      <c r="G11" s="79">
        <f>SUM(G5:G10)</f>
        <v>108</v>
      </c>
    </row>
    <row r="13" spans="1:10" ht="21" x14ac:dyDescent="0.35">
      <c r="A13" s="57" t="s">
        <v>20</v>
      </c>
      <c r="B13" s="46"/>
      <c r="C13" s="46"/>
      <c r="D13" s="46"/>
      <c r="E13" s="46"/>
      <c r="F13" s="46"/>
      <c r="G13" s="46"/>
      <c r="H13" s="46"/>
      <c r="I13" s="46"/>
      <c r="J13" s="58"/>
    </row>
    <row r="14" spans="1:10" x14ac:dyDescent="0.25">
      <c r="A14" s="59"/>
      <c r="B14" s="1" t="s">
        <v>13</v>
      </c>
      <c r="C14" s="1"/>
      <c r="D14" s="1"/>
      <c r="E14" s="1"/>
      <c r="F14" s="1"/>
      <c r="G14" s="1"/>
      <c r="H14" s="1"/>
      <c r="I14" s="1"/>
      <c r="J14" s="60"/>
    </row>
    <row r="15" spans="1:10" x14ac:dyDescent="0.25">
      <c r="A15" s="59"/>
      <c r="B15" s="1" t="s">
        <v>4</v>
      </c>
      <c r="C15" s="61" t="s">
        <v>6</v>
      </c>
      <c r="D15" s="61" t="s">
        <v>7</v>
      </c>
      <c r="E15" s="61" t="s">
        <v>8</v>
      </c>
      <c r="F15" s="61" t="s">
        <v>10</v>
      </c>
      <c r="G15" s="33" t="s">
        <v>9</v>
      </c>
      <c r="H15" s="31" t="s">
        <v>11</v>
      </c>
      <c r="I15" s="32" t="s">
        <v>12</v>
      </c>
      <c r="J15" s="39" t="s">
        <v>16</v>
      </c>
    </row>
    <row r="16" spans="1:10" x14ac:dyDescent="0.25">
      <c r="A16" s="59"/>
      <c r="B16" s="38" t="s">
        <v>0</v>
      </c>
      <c r="C16" s="18">
        <f>C5</f>
        <v>20</v>
      </c>
      <c r="D16" s="19">
        <f t="shared" ref="D16:G16" si="0">D5</f>
        <v>10</v>
      </c>
      <c r="E16" s="19">
        <f t="shared" si="0"/>
        <v>20</v>
      </c>
      <c r="F16" s="20">
        <f t="shared" si="0"/>
        <v>24</v>
      </c>
      <c r="G16" s="34">
        <f t="shared" si="0"/>
        <v>20</v>
      </c>
      <c r="H16" s="21">
        <f>MIN(C16:F16)</f>
        <v>10</v>
      </c>
      <c r="I16" s="25">
        <f>IF(COUNT(C16:F16)=1,(SUMPRODUCT(C16:F16)),(IF(AND(C16="Satisfecho",(D16="Satisfecho"),(E16="Satisfecho"),(F16="Satisfecho")),("No corresponde"),(_xlfn.AGGREGATE(15,6,C16:F16/(C16:F16&lt;&gt;H16),1)))))</f>
        <v>20</v>
      </c>
      <c r="J16" s="43">
        <f>I16-H16</f>
        <v>10</v>
      </c>
    </row>
    <row r="17" spans="1:10" x14ac:dyDescent="0.25">
      <c r="A17" s="59"/>
      <c r="B17" s="38" t="s">
        <v>1</v>
      </c>
      <c r="C17" s="21">
        <f>C7</f>
        <v>12</v>
      </c>
      <c r="D17" s="22">
        <f>D7</f>
        <v>7</v>
      </c>
      <c r="E17" s="22">
        <f>E7</f>
        <v>37</v>
      </c>
      <c r="F17" s="23">
        <f>F7</f>
        <v>20</v>
      </c>
      <c r="G17" s="34">
        <f>G7</f>
        <v>40</v>
      </c>
      <c r="H17" s="21">
        <f t="shared" ref="H17:H18" si="1">MIN(C17:F17)</f>
        <v>7</v>
      </c>
      <c r="I17" s="25">
        <f>IF(COUNT(C17:F17)=1,(SUMPRODUCT(C17:F17)),(IF(AND(C17="Satisfecho",(D17="Satisfecho"),(E17="Satisfecho"),(F17="Satisfecho")),("No corresponde"),(_xlfn.AGGREGATE(15,6,C17:F17/(C17:F17&lt;&gt;H17),1)))))</f>
        <v>12</v>
      </c>
      <c r="J17" s="43">
        <f t="shared" ref="J17:J18" si="2">I17-H17</f>
        <v>5</v>
      </c>
    </row>
    <row r="18" spans="1:10" x14ac:dyDescent="0.25">
      <c r="A18" s="59"/>
      <c r="B18" s="38" t="s">
        <v>2</v>
      </c>
      <c r="C18" s="21">
        <f>C9</f>
        <v>19</v>
      </c>
      <c r="D18" s="22">
        <f>D9</f>
        <v>14</v>
      </c>
      <c r="E18" s="22">
        <f>E9</f>
        <v>16</v>
      </c>
      <c r="F18" s="23">
        <f>F9</f>
        <v>78</v>
      </c>
      <c r="G18" s="34">
        <f>G9</f>
        <v>48</v>
      </c>
      <c r="H18" s="21">
        <f t="shared" si="1"/>
        <v>14</v>
      </c>
      <c r="I18" s="25">
        <f>IF(COUNT(C18:F18)=1,(SUMPRODUCT(C18:F18)),(IF(AND(C18="Satisfecho",(D18="Satisfecho"),(E18="Satisfecho"),(F18="Satisfecho")),("No corresponde"),(_xlfn.AGGREGATE(15,6,C18:F18/(C18:F18&lt;&gt;H18),1)))))</f>
        <v>16</v>
      </c>
      <c r="J18" s="43">
        <f t="shared" si="2"/>
        <v>2</v>
      </c>
    </row>
    <row r="19" spans="1:10" x14ac:dyDescent="0.25">
      <c r="A19" s="59"/>
      <c r="B19" s="35" t="s">
        <v>5</v>
      </c>
      <c r="C19" s="36">
        <f>C11</f>
        <v>10</v>
      </c>
      <c r="D19" s="36">
        <f t="shared" ref="D19:F19" si="3">D11</f>
        <v>40</v>
      </c>
      <c r="E19" s="36">
        <f t="shared" si="3"/>
        <v>21</v>
      </c>
      <c r="F19" s="36">
        <f t="shared" si="3"/>
        <v>37</v>
      </c>
      <c r="G19" s="28">
        <f t="shared" ref="D19:G19" si="4">G11</f>
        <v>108</v>
      </c>
      <c r="H19" s="24"/>
      <c r="I19" s="25"/>
      <c r="J19" s="40"/>
    </row>
    <row r="20" spans="1:10" x14ac:dyDescent="0.25">
      <c r="A20" s="59"/>
      <c r="B20" s="1"/>
      <c r="C20" s="1"/>
      <c r="D20" s="1"/>
      <c r="E20" s="1"/>
      <c r="F20" s="1"/>
      <c r="G20" s="1"/>
      <c r="H20" s="1"/>
      <c r="I20" s="1"/>
      <c r="J20" s="60"/>
    </row>
    <row r="21" spans="1:10" x14ac:dyDescent="0.25">
      <c r="A21" s="59"/>
      <c r="B21" s="1"/>
      <c r="C21" s="1"/>
      <c r="D21" s="1"/>
      <c r="E21" s="1"/>
      <c r="F21" s="1"/>
      <c r="G21" s="1"/>
      <c r="H21" s="1"/>
      <c r="I21" s="1"/>
      <c r="J21" s="60"/>
    </row>
    <row r="22" spans="1:10" x14ac:dyDescent="0.25">
      <c r="A22" s="59"/>
      <c r="B22" s="1" t="s">
        <v>14</v>
      </c>
      <c r="C22" s="1"/>
      <c r="D22" s="1"/>
      <c r="E22" s="1"/>
      <c r="F22" s="1"/>
      <c r="G22" s="1"/>
      <c r="H22" s="1"/>
      <c r="I22" s="1"/>
      <c r="J22" s="60"/>
    </row>
    <row r="23" spans="1:10" x14ac:dyDescent="0.25">
      <c r="A23" s="59"/>
      <c r="B23" s="1" t="s">
        <v>4</v>
      </c>
      <c r="C23" s="61" t="s">
        <v>6</v>
      </c>
      <c r="D23" s="61" t="s">
        <v>7</v>
      </c>
      <c r="E23" s="61" t="s">
        <v>8</v>
      </c>
      <c r="F23" s="61" t="s">
        <v>10</v>
      </c>
      <c r="G23" s="33" t="s">
        <v>9</v>
      </c>
      <c r="H23" s="1"/>
      <c r="I23" s="1"/>
      <c r="J23" s="60"/>
    </row>
    <row r="24" spans="1:10" x14ac:dyDescent="0.25">
      <c r="A24" s="59"/>
      <c r="B24" s="38" t="s">
        <v>0</v>
      </c>
      <c r="C24" s="18">
        <f>C16</f>
        <v>20</v>
      </c>
      <c r="D24" s="19">
        <f t="shared" ref="C24:G26" si="5">D16</f>
        <v>10</v>
      </c>
      <c r="E24" s="19">
        <f t="shared" si="5"/>
        <v>20</v>
      </c>
      <c r="F24" s="20">
        <f t="shared" si="5"/>
        <v>24</v>
      </c>
      <c r="G24" s="34">
        <f t="shared" si="5"/>
        <v>20</v>
      </c>
      <c r="H24" s="1"/>
      <c r="I24" s="1"/>
      <c r="J24" s="60"/>
    </row>
    <row r="25" spans="1:10" x14ac:dyDescent="0.25">
      <c r="A25" s="59"/>
      <c r="B25" s="38" t="s">
        <v>1</v>
      </c>
      <c r="C25" s="21">
        <f t="shared" si="5"/>
        <v>12</v>
      </c>
      <c r="D25" s="22">
        <f t="shared" si="5"/>
        <v>7</v>
      </c>
      <c r="E25" s="22">
        <f t="shared" si="5"/>
        <v>37</v>
      </c>
      <c r="F25" s="23">
        <f t="shared" si="5"/>
        <v>20</v>
      </c>
      <c r="G25" s="34">
        <f t="shared" si="5"/>
        <v>40</v>
      </c>
      <c r="H25" s="1"/>
      <c r="I25" s="1"/>
      <c r="J25" s="60"/>
    </row>
    <row r="26" spans="1:10" x14ac:dyDescent="0.25">
      <c r="A26" s="59"/>
      <c r="B26" s="38" t="s">
        <v>2</v>
      </c>
      <c r="C26" s="21">
        <f t="shared" si="5"/>
        <v>19</v>
      </c>
      <c r="D26" s="22">
        <f t="shared" si="5"/>
        <v>14</v>
      </c>
      <c r="E26" s="22">
        <f t="shared" si="5"/>
        <v>16</v>
      </c>
      <c r="F26" s="23">
        <f t="shared" si="5"/>
        <v>78</v>
      </c>
      <c r="G26" s="34">
        <f t="shared" si="5"/>
        <v>48</v>
      </c>
      <c r="H26" s="1"/>
      <c r="I26" s="1"/>
      <c r="J26" s="60"/>
    </row>
    <row r="27" spans="1:10" x14ac:dyDescent="0.25">
      <c r="A27" s="59"/>
      <c r="B27" s="35" t="s">
        <v>5</v>
      </c>
      <c r="C27" s="36">
        <f>C19</f>
        <v>10</v>
      </c>
      <c r="D27" s="36">
        <f t="shared" ref="D27:G27" si="6">D19</f>
        <v>40</v>
      </c>
      <c r="E27" s="36">
        <f t="shared" si="6"/>
        <v>21</v>
      </c>
      <c r="F27" s="37">
        <f t="shared" si="6"/>
        <v>37</v>
      </c>
      <c r="G27" s="28">
        <f t="shared" si="6"/>
        <v>108</v>
      </c>
      <c r="H27" s="1"/>
      <c r="I27" s="1"/>
      <c r="J27" s="60"/>
    </row>
    <row r="28" spans="1:10" x14ac:dyDescent="0.25">
      <c r="A28" s="59"/>
      <c r="B28" s="38" t="s">
        <v>11</v>
      </c>
      <c r="C28" s="1">
        <f>MIN(C24:C26)</f>
        <v>12</v>
      </c>
      <c r="D28" s="1">
        <f>MIN(D24:D26)</f>
        <v>7</v>
      </c>
      <c r="E28" s="1">
        <f>MIN(E24:E26)</f>
        <v>16</v>
      </c>
      <c r="F28" s="1">
        <f>MIN(F24:F26)</f>
        <v>20</v>
      </c>
      <c r="G28" s="1"/>
      <c r="H28" s="1"/>
      <c r="I28" s="1"/>
      <c r="J28" s="60"/>
    </row>
    <row r="29" spans="1:10" x14ac:dyDescent="0.25">
      <c r="A29" s="59"/>
      <c r="B29" s="38" t="s">
        <v>15</v>
      </c>
      <c r="C29" s="1">
        <f>_xlfn.AGGREGATE(15, 6,C24:C26/(C24:C26&lt;&gt;C28), 1)</f>
        <v>19</v>
      </c>
      <c r="D29" s="1">
        <f>_xlfn.AGGREGATE(15, 6,D24:D26/(D24:D26&lt;&gt;D28), 1)</f>
        <v>10</v>
      </c>
      <c r="E29" s="1">
        <f>_xlfn.AGGREGATE(15, 6,E24:E26/(E24:E26&lt;&gt;E28), 1)</f>
        <v>20</v>
      </c>
      <c r="F29" s="1">
        <f>_xlfn.AGGREGATE(15, 6,F24:F26/(F24:F26&lt;&gt;F28), 1)</f>
        <v>24</v>
      </c>
      <c r="G29" s="1"/>
      <c r="H29" s="1"/>
      <c r="I29" s="1"/>
      <c r="J29" s="60"/>
    </row>
    <row r="30" spans="1:10" x14ac:dyDescent="0.25">
      <c r="A30" s="59"/>
      <c r="B30" s="44" t="s">
        <v>16</v>
      </c>
      <c r="C30" s="41">
        <f>C29-C28</f>
        <v>7</v>
      </c>
      <c r="D30" s="41">
        <f t="shared" ref="D30:F30" si="7">D29-D28</f>
        <v>3</v>
      </c>
      <c r="E30" s="41">
        <f t="shared" si="7"/>
        <v>4</v>
      </c>
      <c r="F30" s="42">
        <f t="shared" si="7"/>
        <v>4</v>
      </c>
      <c r="G30" s="1"/>
      <c r="H30" s="1"/>
      <c r="I30" s="1"/>
      <c r="J30" s="60"/>
    </row>
    <row r="31" spans="1:10" x14ac:dyDescent="0.25">
      <c r="A31" s="30"/>
      <c r="B31" s="47"/>
      <c r="C31" s="47"/>
      <c r="D31" s="47"/>
      <c r="E31" s="47"/>
      <c r="F31" s="47"/>
      <c r="G31" s="47"/>
      <c r="H31" s="47"/>
      <c r="I31" s="47"/>
      <c r="J31" s="62"/>
    </row>
    <row r="32" spans="1:10" x14ac:dyDescent="0.25">
      <c r="A32" s="59"/>
      <c r="B32" s="1"/>
      <c r="C32" s="1"/>
      <c r="D32" s="1"/>
      <c r="E32" s="1"/>
      <c r="F32" s="1"/>
      <c r="G32" s="1"/>
      <c r="H32" s="1"/>
      <c r="I32" s="1"/>
      <c r="J32" s="60"/>
    </row>
    <row r="33" spans="1:10" x14ac:dyDescent="0.25">
      <c r="A33" s="45"/>
      <c r="B33" s="45" t="s">
        <v>17</v>
      </c>
      <c r="C33" s="46"/>
      <c r="D33" s="46"/>
      <c r="E33" s="20">
        <f>MAX(J16:J18)</f>
        <v>10</v>
      </c>
      <c r="F33" s="46"/>
      <c r="G33" s="46"/>
      <c r="H33" s="46"/>
      <c r="I33" s="46"/>
      <c r="J33" s="58"/>
    </row>
    <row r="34" spans="1:10" x14ac:dyDescent="0.25">
      <c r="A34" s="59"/>
      <c r="B34" s="30" t="s">
        <v>18</v>
      </c>
      <c r="C34" s="47"/>
      <c r="D34" s="47"/>
      <c r="E34" s="25">
        <f>MAX(C30:F30)</f>
        <v>7</v>
      </c>
      <c r="F34" s="1"/>
      <c r="G34" s="1"/>
      <c r="H34" s="1"/>
      <c r="I34" s="1"/>
      <c r="J34" s="60"/>
    </row>
    <row r="35" spans="1:10" x14ac:dyDescent="0.25">
      <c r="A35" s="30"/>
      <c r="B35" s="48" t="s">
        <v>19</v>
      </c>
      <c r="C35" s="49"/>
      <c r="D35" s="42">
        <f>MAX(E33:E34)</f>
        <v>10</v>
      </c>
      <c r="E35" s="47"/>
      <c r="F35" s="47"/>
      <c r="G35" s="47"/>
      <c r="H35" s="47"/>
      <c r="I35" s="47"/>
      <c r="J35" s="62"/>
    </row>
    <row r="36" spans="1:10" ht="15.75" thickBot="1" x14ac:dyDescent="0.3">
      <c r="A36" s="59"/>
      <c r="B36" s="1"/>
      <c r="C36" s="1"/>
      <c r="D36" s="1"/>
      <c r="E36" s="1"/>
      <c r="F36" s="1"/>
      <c r="G36" s="1"/>
      <c r="H36" s="1"/>
      <c r="I36" s="1"/>
      <c r="J36" s="60"/>
    </row>
    <row r="37" spans="1:10" ht="46.5" customHeight="1" thickTop="1" thickBot="1" x14ac:dyDescent="0.3">
      <c r="A37" s="88" t="s">
        <v>21</v>
      </c>
      <c r="B37" s="89"/>
      <c r="C37" s="89"/>
      <c r="D37" s="89"/>
      <c r="E37" s="89"/>
      <c r="F37" s="89"/>
      <c r="G37" s="89"/>
      <c r="H37" s="89"/>
      <c r="I37" s="89"/>
      <c r="J37" s="90"/>
    </row>
    <row r="38" spans="1:10" ht="15.75" thickTop="1" x14ac:dyDescent="0.25">
      <c r="A38" s="59"/>
      <c r="B38" s="1" t="s">
        <v>4</v>
      </c>
      <c r="C38" s="61" t="s">
        <v>6</v>
      </c>
      <c r="D38" s="61" t="s">
        <v>7</v>
      </c>
      <c r="E38" s="61" t="s">
        <v>8</v>
      </c>
      <c r="F38" s="61" t="s">
        <v>10</v>
      </c>
      <c r="G38" s="68" t="s">
        <v>9</v>
      </c>
      <c r="H38" s="1"/>
      <c r="I38" s="1"/>
      <c r="J38" s="60"/>
    </row>
    <row r="39" spans="1:10" x14ac:dyDescent="0.25">
      <c r="A39" s="59"/>
      <c r="B39" s="86" t="s">
        <v>0</v>
      </c>
      <c r="C39" s="63">
        <f>C24</f>
        <v>20</v>
      </c>
      <c r="D39" s="63">
        <f t="shared" ref="D39:F39" si="8">D24</f>
        <v>10</v>
      </c>
      <c r="E39" s="63">
        <f t="shared" si="8"/>
        <v>20</v>
      </c>
      <c r="F39" s="63">
        <f t="shared" si="8"/>
        <v>24</v>
      </c>
      <c r="G39" s="26">
        <f>G24</f>
        <v>20</v>
      </c>
      <c r="H39" s="53">
        <f>J16</f>
        <v>10</v>
      </c>
      <c r="I39" s="91" t="s">
        <v>34</v>
      </c>
      <c r="J39" s="92"/>
    </row>
    <row r="40" spans="1:10" x14ac:dyDescent="0.25">
      <c r="A40" s="59"/>
      <c r="B40" s="86"/>
      <c r="C40" s="18"/>
      <c r="D40" s="18">
        <v>20</v>
      </c>
      <c r="E40" s="18"/>
      <c r="F40" s="18"/>
      <c r="G40" s="26"/>
      <c r="H40" s="54"/>
      <c r="I40" s="91"/>
      <c r="J40" s="92"/>
    </row>
    <row r="41" spans="1:10" x14ac:dyDescent="0.25">
      <c r="A41" s="59"/>
      <c r="B41" s="86" t="s">
        <v>1</v>
      </c>
      <c r="C41" s="63">
        <f t="shared" ref="C41:F41" si="9">C25</f>
        <v>12</v>
      </c>
      <c r="D41" s="63">
        <f t="shared" si="9"/>
        <v>7</v>
      </c>
      <c r="E41" s="63">
        <f t="shared" si="9"/>
        <v>37</v>
      </c>
      <c r="F41" s="63">
        <f t="shared" si="9"/>
        <v>20</v>
      </c>
      <c r="G41" s="26">
        <f t="shared" ref="G41" si="10">G25</f>
        <v>40</v>
      </c>
      <c r="H41" s="54">
        <f>J17</f>
        <v>5</v>
      </c>
      <c r="I41" s="91"/>
      <c r="J41" s="92"/>
    </row>
    <row r="42" spans="1:10" x14ac:dyDescent="0.25">
      <c r="A42" s="59"/>
      <c r="B42" s="86"/>
      <c r="C42" s="18"/>
      <c r="D42" s="18"/>
      <c r="E42" s="18"/>
      <c r="F42" s="18"/>
      <c r="G42" s="26"/>
      <c r="H42" s="54"/>
      <c r="I42" s="91"/>
      <c r="J42" s="92"/>
    </row>
    <row r="43" spans="1:10" x14ac:dyDescent="0.25">
      <c r="A43" s="59"/>
      <c r="B43" s="86" t="s">
        <v>2</v>
      </c>
      <c r="C43" s="63">
        <f>C26</f>
        <v>19</v>
      </c>
      <c r="D43" s="63">
        <f>D26</f>
        <v>14</v>
      </c>
      <c r="E43" s="63">
        <f>E26</f>
        <v>16</v>
      </c>
      <c r="F43" s="63">
        <f>F26</f>
        <v>78</v>
      </c>
      <c r="G43" s="27">
        <f t="shared" ref="G43" si="11">G26</f>
        <v>48</v>
      </c>
      <c r="H43" s="54">
        <f>J18</f>
        <v>2</v>
      </c>
      <c r="I43" s="91"/>
      <c r="J43" s="92"/>
    </row>
    <row r="44" spans="1:10" x14ac:dyDescent="0.25">
      <c r="A44" s="59"/>
      <c r="B44" s="87"/>
      <c r="C44" s="18"/>
      <c r="D44" s="18"/>
      <c r="E44" s="18"/>
      <c r="F44" s="18"/>
      <c r="G44" s="27"/>
      <c r="H44" s="54"/>
      <c r="I44" s="91"/>
      <c r="J44" s="92"/>
    </row>
    <row r="45" spans="1:10" x14ac:dyDescent="0.25">
      <c r="A45" s="59"/>
      <c r="B45" s="35" t="s">
        <v>5</v>
      </c>
      <c r="C45" s="26">
        <f>C27</f>
        <v>10</v>
      </c>
      <c r="D45" s="26">
        <f>D27</f>
        <v>40</v>
      </c>
      <c r="E45" s="26">
        <f>E27</f>
        <v>21</v>
      </c>
      <c r="F45" s="26">
        <f>F27</f>
        <v>37</v>
      </c>
      <c r="G45" s="26">
        <f>G27</f>
        <v>108</v>
      </c>
      <c r="H45" s="55"/>
      <c r="I45" s="91"/>
      <c r="J45" s="92"/>
    </row>
    <row r="46" spans="1:10" x14ac:dyDescent="0.25">
      <c r="A46" s="59"/>
      <c r="B46" s="1"/>
      <c r="C46" s="50">
        <f>C30</f>
        <v>7</v>
      </c>
      <c r="D46" s="51">
        <f t="shared" ref="D46:F46" si="12">D30</f>
        <v>3</v>
      </c>
      <c r="E46" s="51">
        <f t="shared" si="12"/>
        <v>4</v>
      </c>
      <c r="F46" s="51">
        <f t="shared" si="12"/>
        <v>4</v>
      </c>
      <c r="G46" s="51"/>
      <c r="H46" s="52"/>
      <c r="I46" s="1"/>
      <c r="J46" s="60"/>
    </row>
    <row r="47" spans="1:10" x14ac:dyDescent="0.25">
      <c r="A47" s="30"/>
      <c r="B47" s="47"/>
      <c r="C47" s="47"/>
      <c r="D47" s="47"/>
      <c r="E47" s="47"/>
      <c r="F47" s="47"/>
      <c r="G47" s="47"/>
      <c r="H47" s="47"/>
      <c r="I47" s="47"/>
      <c r="J47" s="62"/>
    </row>
    <row r="48" spans="1:10" ht="21" x14ac:dyDescent="0.35">
      <c r="A48" s="57" t="s">
        <v>22</v>
      </c>
      <c r="B48" s="46"/>
      <c r="C48" s="46"/>
      <c r="D48" s="46"/>
      <c r="E48" s="46"/>
      <c r="F48" s="46"/>
      <c r="G48" s="46"/>
      <c r="H48" s="46"/>
      <c r="I48" s="46"/>
      <c r="J48" s="58"/>
    </row>
    <row r="49" spans="1:10" ht="14.25" customHeight="1" x14ac:dyDescent="0.25">
      <c r="A49" s="59"/>
      <c r="B49" s="65" t="s">
        <v>13</v>
      </c>
      <c r="C49" s="1"/>
      <c r="D49" s="1"/>
      <c r="E49" s="1"/>
      <c r="F49" s="1"/>
      <c r="G49" s="46"/>
      <c r="H49" s="1"/>
      <c r="I49" s="46"/>
      <c r="J49" s="58"/>
    </row>
    <row r="50" spans="1:10" x14ac:dyDescent="0.25">
      <c r="A50" s="59"/>
      <c r="B50" s="1" t="s">
        <v>4</v>
      </c>
      <c r="C50" s="61" t="s">
        <v>6</v>
      </c>
      <c r="D50" s="61" t="s">
        <v>7</v>
      </c>
      <c r="E50" s="61" t="s">
        <v>8</v>
      </c>
      <c r="F50" s="61" t="s">
        <v>10</v>
      </c>
      <c r="G50" s="33" t="s">
        <v>9</v>
      </c>
      <c r="H50" s="31" t="s">
        <v>11</v>
      </c>
      <c r="I50" s="32" t="s">
        <v>12</v>
      </c>
      <c r="J50" s="39" t="s">
        <v>16</v>
      </c>
    </row>
    <row r="51" spans="1:10" x14ac:dyDescent="0.25">
      <c r="A51" s="59"/>
      <c r="B51" s="86" t="s">
        <v>0</v>
      </c>
      <c r="C51" s="56" t="str">
        <f>IF($C$57="Listo",("Satisfecho"),(IF($G$51="Listo",("Satisfecho"),(C39))))</f>
        <v>Satisfecho</v>
      </c>
      <c r="D51" s="56" t="str">
        <f>IF($D$57="Listo",("Satisfecho"),(IF($G$51="Listo",("Satisfecho"),(D39))))</f>
        <v>Satisfecho</v>
      </c>
      <c r="E51" s="56" t="str">
        <f>IF($E$57="Listo",("Satisfecho"),(IF($G$51="Listo",("Satisfecho"),(E39))))</f>
        <v>Satisfecho</v>
      </c>
      <c r="F51" s="56" t="str">
        <f>IF($F$57="Listo",("Satisfecho"),(IF($G$51="Listo",("Satisfecho"),(F39))))</f>
        <v>Satisfecho</v>
      </c>
      <c r="G51" s="26" t="str">
        <f>IF(AND(G39=F40),("Listo"),(IF(G39=E40,("Listo"),(IF(G39=D40,("Listo"),(IF(G39=C40,("Listo"),(G39-C40-D40-E40-F40))))))))</f>
        <v>Listo</v>
      </c>
      <c r="H51" s="30" t="str">
        <f>IF(AND(C51="Satisfecho",(D51="Satisfecho"),(E51="Satisfecho"),(F51="Satisfecho")),("No corresponde"),(MIN(C51:F51)))</f>
        <v>No corresponde</v>
      </c>
      <c r="I51" s="25" t="str">
        <f>IF(COUNT(C51:F51)=1,(SUMPRODUCT(C51:F51)),(IF(AND(C51="Satisfecho",(D51="Satisfecho"),(E51="Satisfecho"),(F51="Satisfecho")),("No corresponde"),(_xlfn.AGGREGATE(15,6,C51:F51/(C51:F51&lt;&gt;H51),1)))))</f>
        <v>No corresponde</v>
      </c>
      <c r="J51" s="64" t="str">
        <f>IF(H51="No corresponde",(""),(I51-H51))</f>
        <v/>
      </c>
    </row>
    <row r="52" spans="1:10" x14ac:dyDescent="0.25">
      <c r="A52" s="59"/>
      <c r="B52" s="86"/>
      <c r="C52" s="56" t="str">
        <f>IF($C$57="Listo",("Satisfecho"),(IF($G$51="Listo",("Satisfecho"),(C40))))</f>
        <v>Satisfecho</v>
      </c>
      <c r="D52" s="56" t="str">
        <f>IF($D$57="Listo",("Satisfecho"),(IF($G$51="Listo",("Satisfecho"),(D40))))</f>
        <v>Satisfecho</v>
      </c>
      <c r="E52" s="56" t="str">
        <f>IF($E$57="Listo",("Satisfecho"),(IF($G$51="Listo",("Satisfecho"),(E40))))</f>
        <v>Satisfecho</v>
      </c>
      <c r="F52" s="56" t="str">
        <f>IF($F$57="Listo",("Satisfecho"),(IF($G$51="Listo",("Satisfecho"),(F40))))</f>
        <v>Satisfecho</v>
      </c>
      <c r="G52" s="26"/>
      <c r="H52" s="59"/>
      <c r="I52" s="23"/>
      <c r="J52" s="43"/>
    </row>
    <row r="53" spans="1:10" x14ac:dyDescent="0.25">
      <c r="A53" s="59"/>
      <c r="B53" s="86" t="s">
        <v>1</v>
      </c>
      <c r="C53" s="56">
        <f>IF($C$57="Listo",("Satisfecho"),(IF($G$53="Listo",("Satisfecho"),(C41))))</f>
        <v>12</v>
      </c>
      <c r="D53" s="56">
        <f>IF($D$57="Listo",("Satisfecho"),(IF($G$53="Listo",("Satisfecho"),(D41))))</f>
        <v>7</v>
      </c>
      <c r="E53" s="56">
        <f>IF($E$57="Listo",("Satisfecho"),(IF($G$53="Listo",("Satisfecho"),(E41))))</f>
        <v>37</v>
      </c>
      <c r="F53" s="56">
        <f>IF($F$57="Listo",("Satisfecho"),(IF($G$53="Listo",("Satisfecho"),(F41))))</f>
        <v>20</v>
      </c>
      <c r="G53" s="26">
        <f>IF(AND(G41=F42),("Listo"),(IF(G41=E42,("Listo"),(IF(G41=D42,("Listo"),(IF(G41=C42,("Listo"),(G41-C42-D42-E42-F42))))))))</f>
        <v>40</v>
      </c>
      <c r="H53" s="30">
        <f>IF(AND(C53="Satisfecho",(D53="Satisfecho"),(E53="Satisfecho"),(F53="Satisfecho")),("No corresponde"),(MIN(C53:F53)))</f>
        <v>7</v>
      </c>
      <c r="I53" s="25">
        <f>IF(COUNT(C53:F53)=1,(SUMPRODUCT(C53:F53)),(IF(AND(C53="Satisfecho",(D53="Satisfecho"),(E53="Satisfecho"),(F53="Satisfecho")),("No corresponde"),(_xlfn.AGGREGATE(15,6,C53:F53/(C53:F53&lt;&gt;H53),1)))))</f>
        <v>12</v>
      </c>
      <c r="J53" s="64">
        <f>IF(H53="No corresponde",(""),(I53-H53))</f>
        <v>5</v>
      </c>
    </row>
    <row r="54" spans="1:10" x14ac:dyDescent="0.25">
      <c r="A54" s="59"/>
      <c r="B54" s="86"/>
      <c r="C54" s="56">
        <f>IF($C$57="Listo",("Satisfecho"),(IF($G$53="Listo",("Satisfecho"),(C42))))</f>
        <v>0</v>
      </c>
      <c r="D54" s="56">
        <f>IF($D$57="Listo",("Satisfecho"),(IF($G$53="Listo",("Satisfecho"),(D42))))</f>
        <v>0</v>
      </c>
      <c r="E54" s="56">
        <f>IF($E$57="Listo",("Satisfecho"),(IF($G$53="Listo",("Satisfecho"),(E42))))</f>
        <v>0</v>
      </c>
      <c r="F54" s="56">
        <f>IF($F$57="Listo",("Satisfecho"),(IF($G$53="Listo",("Satisfecho"),(F42))))</f>
        <v>0</v>
      </c>
      <c r="G54" s="26"/>
      <c r="H54" s="59"/>
      <c r="I54" s="25"/>
      <c r="J54" s="43"/>
    </row>
    <row r="55" spans="1:10" x14ac:dyDescent="0.25">
      <c r="A55" s="59"/>
      <c r="B55" s="86" t="s">
        <v>2</v>
      </c>
      <c r="C55" s="56">
        <f>IF($C$57="Listo",("Satisfecho"),(IF($G$55="Listo",("Satisfecho"),(C43))))</f>
        <v>19</v>
      </c>
      <c r="D55" s="56">
        <f>IF($D$57="Listo",("Satisfecho"),(IF($G$55="Listo",("Satisfecho"),(D43))))</f>
        <v>14</v>
      </c>
      <c r="E55" s="56">
        <f>IF($E$57="Listo",("Satisfecho"),(IF($G$55="Listo",("Satisfecho"),(E43))))</f>
        <v>16</v>
      </c>
      <c r="F55" s="56">
        <f>IF($F$57="Listo",("Satisfecho"),(IF($G$55="Listo",("Satisfecho"),(F43))))</f>
        <v>78</v>
      </c>
      <c r="G55" s="26">
        <f>IF(AND(G43=F44),("Listo"),(IF(G43=E44,("Listo"),(IF(G43=D44,("Listo"),(IF(G43=C44,("Listo"),(G43-C44-D44-E44-F44))))))))</f>
        <v>48</v>
      </c>
      <c r="H55" s="30">
        <f>IF(AND(C55="Satisfecho",(D55="Satisfecho"),(E55="Satisfecho"),(F55="Satisfecho")),("No corresponde"),(MIN(C55:F55)))</f>
        <v>14</v>
      </c>
      <c r="I55" s="25">
        <f>IF(COUNT(C55:F55)=1,(SUMPRODUCT(C55:F55)),(IF(AND(C55="Satisfecho",(D55="Satisfecho"),(E55="Satisfecho"),(F55="Satisfecho")),("No corresponde"),(_xlfn.AGGREGATE(15,6,C55:F55/(C55:F55&lt;&gt;H55),1)))))</f>
        <v>16</v>
      </c>
      <c r="J55" s="64">
        <f>IF(H55="No corresponde",(""),(I55-H55))</f>
        <v>2</v>
      </c>
    </row>
    <row r="56" spans="1:10" x14ac:dyDescent="0.25">
      <c r="A56" s="59"/>
      <c r="B56" s="87"/>
      <c r="C56" s="56">
        <f>IF($C$57="Listo",("Satisfecho"),(IF($G$55="Listo",("Satisfecho"),(C44))))</f>
        <v>0</v>
      </c>
      <c r="D56" s="56">
        <f>IF($D$57="Listo",("Satisfecho"),(IF($G$55="Listo",("Satisfecho"),(D44))))</f>
        <v>0</v>
      </c>
      <c r="E56" s="56">
        <f>IF($E$57="Listo",("Satisfecho"),(IF($G$55="Listo",("Satisfecho"),(E44))))</f>
        <v>0</v>
      </c>
      <c r="F56" s="56">
        <f>IF($F$57="Listo",("Satisfecho"),(IF($G$55="Listo",("Satisfecho"),(F44))))</f>
        <v>0</v>
      </c>
      <c r="G56" s="26"/>
      <c r="H56" s="53"/>
      <c r="I56" s="1"/>
      <c r="J56" s="60"/>
    </row>
    <row r="57" spans="1:10" x14ac:dyDescent="0.25">
      <c r="A57" s="59"/>
      <c r="B57" s="35" t="s">
        <v>5</v>
      </c>
      <c r="C57" s="26">
        <f>IF(AND(C45=C44),("Listo"),(IF(C45=C42,("Listo"),(IF(C45=C40,("Listo"),(C45-C40-C42-C44))))))</f>
        <v>10</v>
      </c>
      <c r="D57" s="26">
        <f t="shared" ref="D57:F57" si="13">IF(AND(D45=D44),("Listo"),(IF(D45=D42,("Listo"),(IF(D45=D40,("Listo"),(D45-D40-D42-D44))))))</f>
        <v>20</v>
      </c>
      <c r="E57" s="26">
        <f t="shared" si="13"/>
        <v>21</v>
      </c>
      <c r="F57" s="26">
        <f t="shared" si="13"/>
        <v>37</v>
      </c>
      <c r="G57" s="26">
        <f>G27</f>
        <v>108</v>
      </c>
      <c r="H57" s="55"/>
      <c r="I57" s="1"/>
      <c r="J57" s="60"/>
    </row>
    <row r="58" spans="1:10" x14ac:dyDescent="0.25">
      <c r="A58" s="59"/>
      <c r="B58" s="1"/>
      <c r="C58" s="50">
        <f>IF(C57="Listo",(""),(C46))</f>
        <v>7</v>
      </c>
      <c r="D58" s="50">
        <f>IF(D57="Listo",(""),(D46))</f>
        <v>3</v>
      </c>
      <c r="E58" s="50">
        <f>IF(E57="Listo",(""),(E46))</f>
        <v>4</v>
      </c>
      <c r="F58" s="50">
        <f>IF(F57="Listo",(""),(F46))</f>
        <v>4</v>
      </c>
      <c r="G58" s="51"/>
      <c r="H58" s="52"/>
      <c r="I58" s="1"/>
      <c r="J58" s="60"/>
    </row>
    <row r="59" spans="1:10" x14ac:dyDescent="0.25">
      <c r="A59" s="59"/>
      <c r="B59" s="1"/>
      <c r="C59" s="1"/>
      <c r="D59" s="1"/>
      <c r="E59" s="1"/>
      <c r="F59" s="1"/>
      <c r="G59" s="1"/>
      <c r="H59" s="1"/>
      <c r="I59" s="1"/>
      <c r="J59" s="60"/>
    </row>
    <row r="60" spans="1:10" x14ac:dyDescent="0.25">
      <c r="A60" s="59"/>
      <c r="B60" s="1"/>
      <c r="C60" s="1"/>
      <c r="D60" s="1"/>
      <c r="E60" s="1"/>
      <c r="F60" s="1"/>
      <c r="G60" s="1"/>
      <c r="H60" s="1"/>
      <c r="I60" s="1"/>
      <c r="J60" s="60"/>
    </row>
    <row r="61" spans="1:10" x14ac:dyDescent="0.25">
      <c r="A61" s="59"/>
      <c r="B61" s="1" t="s">
        <v>14</v>
      </c>
      <c r="C61" s="1"/>
      <c r="D61" s="1"/>
      <c r="E61" s="1"/>
      <c r="F61" s="1"/>
      <c r="G61" s="1"/>
      <c r="H61" s="1"/>
      <c r="I61" s="1"/>
      <c r="J61" s="60"/>
    </row>
    <row r="62" spans="1:10" x14ac:dyDescent="0.25">
      <c r="A62" s="59"/>
      <c r="B62" s="1" t="s">
        <v>4</v>
      </c>
      <c r="C62" s="61" t="s">
        <v>6</v>
      </c>
      <c r="D62" s="61" t="s">
        <v>7</v>
      </c>
      <c r="E62" s="61" t="s">
        <v>8</v>
      </c>
      <c r="F62" s="61" t="s">
        <v>10</v>
      </c>
      <c r="G62" s="33" t="s">
        <v>9</v>
      </c>
      <c r="H62" s="1"/>
      <c r="I62" s="1"/>
      <c r="J62" s="60"/>
    </row>
    <row r="63" spans="1:10" x14ac:dyDescent="0.25">
      <c r="A63" s="59"/>
      <c r="B63" s="38" t="s">
        <v>0</v>
      </c>
      <c r="C63" s="18" t="str">
        <f>C51</f>
        <v>Satisfecho</v>
      </c>
      <c r="D63" s="18" t="str">
        <f t="shared" ref="D63:F63" si="14">D51</f>
        <v>Satisfecho</v>
      </c>
      <c r="E63" s="18" t="str">
        <f t="shared" si="14"/>
        <v>Satisfecho</v>
      </c>
      <c r="F63" s="18" t="str">
        <f t="shared" si="14"/>
        <v>Satisfecho</v>
      </c>
      <c r="G63" s="34" t="str">
        <f>G51</f>
        <v>Listo</v>
      </c>
      <c r="H63" s="1"/>
      <c r="I63" s="1"/>
      <c r="J63" s="60"/>
    </row>
    <row r="64" spans="1:10" x14ac:dyDescent="0.25">
      <c r="A64" s="59"/>
      <c r="B64" s="38" t="s">
        <v>1</v>
      </c>
      <c r="C64" s="21">
        <f>C53</f>
        <v>12</v>
      </c>
      <c r="D64" s="21">
        <f t="shared" ref="D64:F64" si="15">D53</f>
        <v>7</v>
      </c>
      <c r="E64" s="21">
        <f t="shared" si="15"/>
        <v>37</v>
      </c>
      <c r="F64" s="21">
        <f t="shared" si="15"/>
        <v>20</v>
      </c>
      <c r="G64" s="34">
        <f>G53</f>
        <v>40</v>
      </c>
      <c r="H64" s="1"/>
      <c r="I64" s="1"/>
      <c r="J64" s="60"/>
    </row>
    <row r="65" spans="1:10" x14ac:dyDescent="0.25">
      <c r="A65" s="59"/>
      <c r="B65" s="38" t="s">
        <v>2</v>
      </c>
      <c r="C65" s="21">
        <f>C55</f>
        <v>19</v>
      </c>
      <c r="D65" s="21">
        <f t="shared" ref="D65:F65" si="16">D55</f>
        <v>14</v>
      </c>
      <c r="E65" s="21">
        <f t="shared" si="16"/>
        <v>16</v>
      </c>
      <c r="F65" s="21">
        <f t="shared" si="16"/>
        <v>78</v>
      </c>
      <c r="G65" s="34">
        <f>G55</f>
        <v>48</v>
      </c>
      <c r="H65" s="1"/>
      <c r="I65" s="1"/>
      <c r="J65" s="60"/>
    </row>
    <row r="66" spans="1:10" x14ac:dyDescent="0.25">
      <c r="A66" s="59"/>
      <c r="B66" s="35" t="s">
        <v>5</v>
      </c>
      <c r="C66" s="36">
        <f>C57</f>
        <v>10</v>
      </c>
      <c r="D66" s="36">
        <f t="shared" ref="D66:G66" si="17">D57</f>
        <v>20</v>
      </c>
      <c r="E66" s="36">
        <f t="shared" si="17"/>
        <v>21</v>
      </c>
      <c r="F66" s="36">
        <f t="shared" si="17"/>
        <v>37</v>
      </c>
      <c r="G66" s="36">
        <f t="shared" si="17"/>
        <v>108</v>
      </c>
      <c r="H66" s="1"/>
      <c r="I66" s="1"/>
      <c r="J66" s="60"/>
    </row>
    <row r="67" spans="1:10" x14ac:dyDescent="0.25">
      <c r="A67" s="59"/>
      <c r="B67" s="38" t="s">
        <v>11</v>
      </c>
      <c r="C67" s="1">
        <f>IF(AND(C63="Satisfecho",(C64="Satisfecho"),(C65="Satisfecho")),("No corresponde"),(MIN(C63:C65)))</f>
        <v>12</v>
      </c>
      <c r="D67" s="1">
        <f t="shared" ref="D67:F67" si="18">IF(AND(D63="Satisfecho",(D64="Satisfecho"),(D65="Satisfecho")),("No corresponde"),(MIN(D63:D65)))</f>
        <v>7</v>
      </c>
      <c r="E67" s="1">
        <f t="shared" si="18"/>
        <v>16</v>
      </c>
      <c r="F67" s="1">
        <f t="shared" si="18"/>
        <v>20</v>
      </c>
      <c r="G67" s="1"/>
      <c r="H67" s="1"/>
      <c r="I67" s="1"/>
      <c r="J67" s="60"/>
    </row>
    <row r="68" spans="1:10" x14ac:dyDescent="0.25">
      <c r="A68" s="59"/>
      <c r="B68" s="38" t="s">
        <v>15</v>
      </c>
      <c r="C68" s="1">
        <f>IF(COUNT(C63:C65)=1,(SUMPRODUCT(C63:C65)),(IF(AND(C63="Satisfecho",(C64="Satisfecho"),(C65="Satisfecho")),("No corresponde"),(_xlfn.AGGREGATE(15,6,C63:C65/(C63:C65&lt;&gt;C67),1)))))</f>
        <v>19</v>
      </c>
      <c r="D68" s="1">
        <f>IF(COUNT(D63:D65)=1,(SUMPRODUCT(D63:D65)),(IF(AND(D63="Satisfecho",(D64="Satisfecho"),(D65="Satisfecho")),("No corresponde"),(_xlfn.AGGREGATE(15,6,D63:D65/(D63:D65&lt;&gt;D67),1)))))</f>
        <v>14</v>
      </c>
      <c r="E68" s="1">
        <f>IF(COUNT(E63:E65)=1,(SUMPRODUCT(E63:E65)),(IF(AND(E63="Satisfecho",(E64="Satisfecho"),(E65="Satisfecho")),("No corresponde"),(_xlfn.AGGREGATE(15,6,E63:E65/(E63:E65&lt;&gt;E67),1)))))</f>
        <v>37</v>
      </c>
      <c r="F68" s="1">
        <f>IF(COUNT(F63:F65)=1,(SUMPRODUCT(F63:F65)),(IF(AND(F63="Satisfecho",(F64="Satisfecho"),(F65="Satisfecho")),("No corresponde"),(_xlfn.AGGREGATE(15,6,F63:F65/(F63:F65&lt;&gt;F67),1)))))</f>
        <v>78</v>
      </c>
      <c r="G68" s="1"/>
      <c r="H68" s="1"/>
      <c r="I68" s="1"/>
      <c r="J68" s="60"/>
    </row>
    <row r="69" spans="1:10" x14ac:dyDescent="0.25">
      <c r="A69" s="59"/>
      <c r="B69" s="44" t="s">
        <v>16</v>
      </c>
      <c r="C69" s="41">
        <f>IF(C68="No corresponde",(""),(C68-C67))</f>
        <v>7</v>
      </c>
      <c r="D69" s="41">
        <f t="shared" ref="D69:F69" si="19">IF(D68="No corresponde",(""),(D68-D67))</f>
        <v>7</v>
      </c>
      <c r="E69" s="41">
        <f t="shared" si="19"/>
        <v>21</v>
      </c>
      <c r="F69" s="41">
        <f t="shared" si="19"/>
        <v>58</v>
      </c>
      <c r="G69" s="1"/>
      <c r="H69" s="1"/>
      <c r="I69" s="1"/>
      <c r="J69" s="60"/>
    </row>
    <row r="70" spans="1:10" x14ac:dyDescent="0.25">
      <c r="A70" s="59"/>
      <c r="B70" s="1"/>
      <c r="C70" s="1"/>
      <c r="D70" s="1"/>
      <c r="E70" s="1"/>
      <c r="F70" s="1"/>
      <c r="G70" s="1"/>
      <c r="H70" s="1"/>
      <c r="I70" s="1"/>
      <c r="J70" s="60"/>
    </row>
    <row r="71" spans="1:10" x14ac:dyDescent="0.25">
      <c r="A71" s="59"/>
      <c r="B71" s="1"/>
      <c r="C71" s="1"/>
      <c r="D71" s="1"/>
      <c r="E71" s="1"/>
      <c r="F71" s="1"/>
      <c r="G71" s="1"/>
      <c r="H71" s="1"/>
      <c r="I71" s="1"/>
      <c r="J71" s="60"/>
    </row>
    <row r="72" spans="1:10" x14ac:dyDescent="0.25">
      <c r="A72" s="59"/>
      <c r="B72" s="45" t="s">
        <v>17</v>
      </c>
      <c r="C72" s="46"/>
      <c r="D72" s="46"/>
      <c r="E72" s="20">
        <f>MAX(J51:J55)</f>
        <v>5</v>
      </c>
      <c r="F72" s="1"/>
      <c r="G72" s="1"/>
      <c r="H72" s="1"/>
      <c r="I72" s="1"/>
      <c r="J72" s="60"/>
    </row>
    <row r="73" spans="1:10" x14ac:dyDescent="0.25">
      <c r="A73" s="59"/>
      <c r="B73" s="30" t="s">
        <v>18</v>
      </c>
      <c r="C73" s="47"/>
      <c r="D73" s="47"/>
      <c r="E73" s="25">
        <f>MAX(C69:F69)</f>
        <v>58</v>
      </c>
      <c r="F73" s="1"/>
      <c r="G73" s="1"/>
      <c r="H73" s="1"/>
      <c r="I73" s="1"/>
      <c r="J73" s="60"/>
    </row>
    <row r="74" spans="1:10" x14ac:dyDescent="0.25">
      <c r="A74" s="59"/>
      <c r="B74" s="48" t="s">
        <v>19</v>
      </c>
      <c r="C74" s="49"/>
      <c r="D74" s="42">
        <f>MAX(E72:E73)</f>
        <v>58</v>
      </c>
      <c r="E74" s="47"/>
      <c r="F74" s="1"/>
      <c r="G74" s="1"/>
      <c r="H74" s="1"/>
      <c r="I74" s="1"/>
      <c r="J74" s="60"/>
    </row>
    <row r="75" spans="1:10" ht="15.75" thickBot="1" x14ac:dyDescent="0.3">
      <c r="A75" s="59"/>
      <c r="B75" s="1"/>
      <c r="C75" s="1"/>
      <c r="D75" s="1"/>
      <c r="E75" s="1"/>
      <c r="F75" s="1"/>
      <c r="G75" s="1"/>
      <c r="H75" s="1"/>
      <c r="I75" s="1"/>
      <c r="J75" s="60"/>
    </row>
    <row r="76" spans="1:10" ht="45" customHeight="1" thickTop="1" thickBot="1" x14ac:dyDescent="0.3">
      <c r="A76" s="88" t="s">
        <v>21</v>
      </c>
      <c r="B76" s="89"/>
      <c r="C76" s="89"/>
      <c r="D76" s="89"/>
      <c r="E76" s="89"/>
      <c r="F76" s="89"/>
      <c r="G76" s="89"/>
      <c r="H76" s="89"/>
      <c r="I76" s="89"/>
      <c r="J76" s="90"/>
    </row>
    <row r="77" spans="1:10" ht="15.75" thickTop="1" x14ac:dyDescent="0.25">
      <c r="A77" s="59"/>
      <c r="B77" s="1" t="s">
        <v>4</v>
      </c>
      <c r="C77" s="61" t="s">
        <v>6</v>
      </c>
      <c r="D77" s="61" t="s">
        <v>7</v>
      </c>
      <c r="E77" s="61" t="s">
        <v>8</v>
      </c>
      <c r="F77" s="61" t="s">
        <v>10</v>
      </c>
      <c r="G77" s="33" t="s">
        <v>9</v>
      </c>
      <c r="H77" s="1"/>
      <c r="I77" s="1"/>
      <c r="J77" s="60"/>
    </row>
    <row r="78" spans="1:10" x14ac:dyDescent="0.25">
      <c r="A78" s="59"/>
      <c r="B78" s="86" t="s">
        <v>0</v>
      </c>
      <c r="C78" s="63" t="str">
        <f>C63</f>
        <v>Satisfecho</v>
      </c>
      <c r="D78" s="63" t="str">
        <f t="shared" ref="D78:F78" si="20">D63</f>
        <v>Satisfecho</v>
      </c>
      <c r="E78" s="63" t="str">
        <f t="shared" si="20"/>
        <v>Satisfecho</v>
      </c>
      <c r="F78" s="63" t="str">
        <f t="shared" si="20"/>
        <v>Satisfecho</v>
      </c>
      <c r="G78" s="26" t="str">
        <f>G63</f>
        <v>Listo</v>
      </c>
      <c r="H78" s="53" t="str">
        <f>J51</f>
        <v/>
      </c>
      <c r="I78" s="91" t="s">
        <v>34</v>
      </c>
      <c r="J78" s="92"/>
    </row>
    <row r="79" spans="1:10" x14ac:dyDescent="0.25">
      <c r="A79" s="59"/>
      <c r="B79" s="86"/>
      <c r="C79" s="18"/>
      <c r="D79" s="18"/>
      <c r="E79" s="18"/>
      <c r="F79" s="18"/>
      <c r="G79" s="26"/>
      <c r="H79" s="54"/>
      <c r="I79" s="91"/>
      <c r="J79" s="92"/>
    </row>
    <row r="80" spans="1:10" x14ac:dyDescent="0.25">
      <c r="A80" s="59"/>
      <c r="B80" s="86" t="s">
        <v>1</v>
      </c>
      <c r="C80" s="63">
        <f t="shared" ref="C80:G80" si="21">C64</f>
        <v>12</v>
      </c>
      <c r="D80" s="63">
        <f t="shared" si="21"/>
        <v>7</v>
      </c>
      <c r="E80" s="63">
        <f t="shared" si="21"/>
        <v>37</v>
      </c>
      <c r="F80" s="63">
        <f t="shared" si="21"/>
        <v>20</v>
      </c>
      <c r="G80" s="26">
        <f t="shared" si="21"/>
        <v>40</v>
      </c>
      <c r="H80" s="54">
        <f>J53</f>
        <v>5</v>
      </c>
      <c r="I80" s="91"/>
      <c r="J80" s="92"/>
    </row>
    <row r="81" spans="1:10" x14ac:dyDescent="0.25">
      <c r="A81" s="59"/>
      <c r="B81" s="86"/>
      <c r="C81" s="18"/>
      <c r="D81" s="18"/>
      <c r="E81" s="18"/>
      <c r="F81" s="18">
        <v>37</v>
      </c>
      <c r="G81" s="26"/>
      <c r="H81" s="54"/>
      <c r="I81" s="91"/>
      <c r="J81" s="92"/>
    </row>
    <row r="82" spans="1:10" x14ac:dyDescent="0.25">
      <c r="A82" s="59"/>
      <c r="B82" s="86" t="s">
        <v>2</v>
      </c>
      <c r="C82" s="63">
        <f>C65</f>
        <v>19</v>
      </c>
      <c r="D82" s="63">
        <f>D65</f>
        <v>14</v>
      </c>
      <c r="E82" s="63">
        <f>E65</f>
        <v>16</v>
      </c>
      <c r="F82" s="63">
        <f>F65</f>
        <v>78</v>
      </c>
      <c r="G82" s="27">
        <f t="shared" ref="G82" si="22">G65</f>
        <v>48</v>
      </c>
      <c r="H82" s="54">
        <f>J55</f>
        <v>2</v>
      </c>
      <c r="I82" s="91"/>
      <c r="J82" s="92"/>
    </row>
    <row r="83" spans="1:10" x14ac:dyDescent="0.25">
      <c r="A83" s="59"/>
      <c r="B83" s="87"/>
      <c r="C83" s="18"/>
      <c r="D83" s="18"/>
      <c r="E83" s="18"/>
      <c r="F83" s="18"/>
      <c r="G83" s="27"/>
      <c r="H83" s="54"/>
      <c r="I83" s="91"/>
      <c r="J83" s="92"/>
    </row>
    <row r="84" spans="1:10" x14ac:dyDescent="0.25">
      <c r="A84" s="59"/>
      <c r="B84" s="35" t="s">
        <v>5</v>
      </c>
      <c r="C84" s="26">
        <f>C66</f>
        <v>10</v>
      </c>
      <c r="D84" s="26">
        <f>D66</f>
        <v>20</v>
      </c>
      <c r="E84" s="26">
        <f>E66</f>
        <v>21</v>
      </c>
      <c r="F84" s="26">
        <f>F66</f>
        <v>37</v>
      </c>
      <c r="G84" s="26">
        <f>SUM(C84:F84)</f>
        <v>88</v>
      </c>
      <c r="H84" s="55"/>
      <c r="I84" s="91"/>
      <c r="J84" s="92"/>
    </row>
    <row r="85" spans="1:10" x14ac:dyDescent="0.25">
      <c r="A85" s="59"/>
      <c r="B85" s="1"/>
      <c r="C85" s="50">
        <f>C69</f>
        <v>7</v>
      </c>
      <c r="D85" s="51">
        <f t="shared" ref="D85:F85" si="23">D69</f>
        <v>7</v>
      </c>
      <c r="E85" s="51">
        <f t="shared" si="23"/>
        <v>21</v>
      </c>
      <c r="F85" s="51">
        <f t="shared" si="23"/>
        <v>58</v>
      </c>
      <c r="G85" s="51"/>
      <c r="H85" s="52"/>
      <c r="I85" s="1"/>
      <c r="J85" s="60"/>
    </row>
    <row r="86" spans="1:10" x14ac:dyDescent="0.25">
      <c r="A86" s="30"/>
      <c r="B86" s="47"/>
      <c r="C86" s="47"/>
      <c r="D86" s="47"/>
      <c r="E86" s="47"/>
      <c r="F86" s="47"/>
      <c r="G86" s="47"/>
      <c r="H86" s="47"/>
      <c r="I86" s="47"/>
      <c r="J86" s="62"/>
    </row>
    <row r="87" spans="1:10" ht="21" x14ac:dyDescent="0.35">
      <c r="A87" s="57" t="s">
        <v>23</v>
      </c>
      <c r="B87" s="46"/>
      <c r="C87" s="46"/>
      <c r="D87" s="46"/>
      <c r="E87" s="46"/>
      <c r="F87" s="46"/>
      <c r="G87" s="46"/>
      <c r="H87" s="46"/>
      <c r="I87" s="46"/>
      <c r="J87" s="58"/>
    </row>
    <row r="88" spans="1:10" ht="15.75" x14ac:dyDescent="0.25">
      <c r="A88" s="59"/>
      <c r="B88" s="65" t="s">
        <v>13</v>
      </c>
      <c r="C88" s="1"/>
      <c r="D88" s="1"/>
      <c r="E88" s="1"/>
      <c r="F88" s="1"/>
      <c r="G88" s="46"/>
      <c r="H88" s="1"/>
      <c r="I88" s="46"/>
      <c r="J88" s="58"/>
    </row>
    <row r="89" spans="1:10" x14ac:dyDescent="0.25">
      <c r="A89" s="59"/>
      <c r="B89" s="1" t="s">
        <v>4</v>
      </c>
      <c r="C89" s="61" t="s">
        <v>6</v>
      </c>
      <c r="D89" s="61" t="s">
        <v>7</v>
      </c>
      <c r="E89" s="61" t="s">
        <v>8</v>
      </c>
      <c r="F89" s="61" t="s">
        <v>10</v>
      </c>
      <c r="G89" s="33" t="s">
        <v>9</v>
      </c>
      <c r="H89" s="31" t="s">
        <v>11</v>
      </c>
      <c r="I89" s="32" t="s">
        <v>12</v>
      </c>
      <c r="J89" s="39" t="s">
        <v>16</v>
      </c>
    </row>
    <row r="90" spans="1:10" x14ac:dyDescent="0.25">
      <c r="A90" s="59"/>
      <c r="B90" s="86" t="s">
        <v>0</v>
      </c>
      <c r="C90" s="56" t="str">
        <f>IF($C$96="Listo",("Satisfecho"),(IF($G$90="Listo",("Satisfecho"),(C78))))</f>
        <v>Satisfecho</v>
      </c>
      <c r="D90" s="56" t="str">
        <f>IF($D$96="Listo",("Satisfecho"),(IF($G$90="Listo",("Satisfecho"),(D78))))</f>
        <v>Satisfecho</v>
      </c>
      <c r="E90" s="56" t="str">
        <f>IF($E$96="Listo",("Satisfecho"),(IF($G$90="Listo",("Satisfecho"),(E78))))</f>
        <v>Satisfecho</v>
      </c>
      <c r="F90" s="56" t="str">
        <f>IF($F$96="Listo",("Satisfecho"),(IF($G$90="Listo",("Satisfecho"),(F78))))</f>
        <v>Satisfecho</v>
      </c>
      <c r="G90" s="26" t="str">
        <f>IF(G51="Listo",(G51),(IF(AND(G78=F79),("Listo"),(IF(G78=E79,("Listo"),(IF(G78=D79,("Listo"),(IF(G78=C79,("Listo"),(IF((G78-C79-D79-E79-F79)=0,("Listo"),(G78-C79-D79-E79-F79))))))))))))</f>
        <v>Listo</v>
      </c>
      <c r="H90" s="30" t="str">
        <f>IF(AND(C90="Satisfecho",(D90="Satisfecho"),(E90="Satisfecho"),(F90="Satisfecho")),("No corresponde"),(MIN(C90:F90)))</f>
        <v>No corresponde</v>
      </c>
      <c r="I90" s="25" t="str">
        <f>IF(COUNT(C90:F90)=1,(SUMPRODUCT(C90:F90)),(IF(AND(C90="Satisfecho",(D90="Satisfecho"),(E90="Satisfecho"),(F90="Satisfecho")),("No corresponde"),(_xlfn.AGGREGATE(15,6,C90:F90/(C90:F90&lt;&gt;H90),1)))))</f>
        <v>No corresponde</v>
      </c>
      <c r="J90" s="64" t="str">
        <f>IF(H90="No corresponde",(""),(I90-H90))</f>
        <v/>
      </c>
    </row>
    <row r="91" spans="1:10" x14ac:dyDescent="0.25">
      <c r="A91" s="59"/>
      <c r="B91" s="86"/>
      <c r="C91" s="56" t="str">
        <f>IF($C$96="Listo",("Satisfecho"),(IF($G$90="Listo",("Satisfecho"),(C79))))</f>
        <v>Satisfecho</v>
      </c>
      <c r="D91" s="56" t="str">
        <f>IF($D$96="Listo",("Satisfecho"),(IF($G$90="Listo",("Satisfecho"),(D79))))</f>
        <v>Satisfecho</v>
      </c>
      <c r="E91" s="56" t="str">
        <f>IF($E$96="Listo",("Satisfecho"),(IF($G$90="Listo",("Satisfecho"),(E79))))</f>
        <v>Satisfecho</v>
      </c>
      <c r="F91" s="56" t="str">
        <f>IF($F$96="Listo",("Satisfecho"),(IF($G$90="Listo",("Satisfecho"),(F79))))</f>
        <v>Satisfecho</v>
      </c>
      <c r="G91" s="26"/>
      <c r="H91" s="59"/>
      <c r="I91" s="23"/>
      <c r="J91" s="43"/>
    </row>
    <row r="92" spans="1:10" x14ac:dyDescent="0.25">
      <c r="A92" s="59"/>
      <c r="B92" s="86" t="s">
        <v>1</v>
      </c>
      <c r="C92" s="56">
        <f>IF($C$96="Listo",("Satisfecho"),(IF($G$92="Listo",("Satisfecho"),(C80))))</f>
        <v>12</v>
      </c>
      <c r="D92" s="56">
        <f>IF($D$96="Listo",("Satisfecho"),(IF($G$92="Listo",("Satisfecho"),(D80))))</f>
        <v>7</v>
      </c>
      <c r="E92" s="56">
        <f>IF($E$96="Listo",("Satisfecho"),(IF($G$92="Listo",("Satisfecho"),(E80))))</f>
        <v>37</v>
      </c>
      <c r="F92" s="56" t="str">
        <f>IF($F$96="Listo",("Satisfecho"),(IF($G$92="Listo",("Satisfecho"),(F80))))</f>
        <v>Satisfecho</v>
      </c>
      <c r="G92" s="26">
        <f>IF(G53="Listo",(G53),(IF(AND(G80=F81),("Listo"),(IF(G80=E81,("Listo"),(IF(G80=D81,("Listo"),(IF(G80=C81,("Listo"),(IF((G80-C81-D81-E81-F81)=0,("Listo"),(G80-C81-D81-E81-F81))))))))))))</f>
        <v>3</v>
      </c>
      <c r="H92" s="30">
        <f>IF(AND(C92="Satisfecho",(D92="Satisfecho"),(E92="Satisfecho"),(F92="Satisfecho")),("No corresponde"),(MIN(C92:F92)))</f>
        <v>7</v>
      </c>
      <c r="I92" s="25">
        <f>IF(COUNT(C92:F92)=1,(SUMPRODUCT(C92:F92)),(IF(AND(C92="Satisfecho",(D92="Satisfecho"),(E92="Satisfecho"),(F92="Satisfecho")),("No corresponde"),(_xlfn.AGGREGATE(15,6,C92:F92/(C92:F92&lt;&gt;H92),1)))))</f>
        <v>12</v>
      </c>
      <c r="J92" s="64">
        <f>IF(H92="No corresponde",(""),(I92-H92))</f>
        <v>5</v>
      </c>
    </row>
    <row r="93" spans="1:10" x14ac:dyDescent="0.25">
      <c r="A93" s="59"/>
      <c r="B93" s="86"/>
      <c r="C93" s="56">
        <f>IF($C$96="Listo",("Satisfecho"),(IF($G$92="Listo",("Satisfecho"),(C81))))</f>
        <v>0</v>
      </c>
      <c r="D93" s="56">
        <f>IF($D$96="Listo",("Satisfecho"),(IF($G$92="Listo",("Satisfecho"),(D81))))</f>
        <v>0</v>
      </c>
      <c r="E93" s="56">
        <f>IF($E$96="Listo",("Satisfecho"),(IF($G$92="Listo",("Satisfecho"),(E81))))</f>
        <v>0</v>
      </c>
      <c r="F93" s="56" t="str">
        <f>IF($F$96="Listo",("Satisfecho"),(IF($G$92="Listo",("Satisfecho"),(F81))))</f>
        <v>Satisfecho</v>
      </c>
      <c r="G93" s="26"/>
      <c r="H93" s="59"/>
      <c r="I93" s="25"/>
      <c r="J93" s="43"/>
    </row>
    <row r="94" spans="1:10" x14ac:dyDescent="0.25">
      <c r="A94" s="59"/>
      <c r="B94" s="86" t="s">
        <v>2</v>
      </c>
      <c r="C94" s="56">
        <f>IF($C$96="Listo",("Satisfecho"),(IF($G$94="Listo",("Satisfecho"),(C82))))</f>
        <v>19</v>
      </c>
      <c r="D94" s="56">
        <f>IF($D$96="Listo",("Satisfecho"),(IF($G$94="Listo",("Satisfecho"),(D82))))</f>
        <v>14</v>
      </c>
      <c r="E94" s="56">
        <f>IF($E$96="Listo",("Satisfecho"),(IF($G$94="Listo",("Satisfecho"),(E82))))</f>
        <v>16</v>
      </c>
      <c r="F94" s="56" t="str">
        <f>IF($F$96="Listo",("Satisfecho"),(IF($G$94="Listo",("Satisfecho"),(F82))))</f>
        <v>Satisfecho</v>
      </c>
      <c r="G94" s="26">
        <f>IF(G55="Listo",(G55),(IF(AND(G82=F83),("Listo"),(IF(G82=E83,("Listo"),(IF(G82=D83,("Listo"),(IF(G82=C83,("Listo"),(IF((G82-C83-D83-E83-F83)=0,("Listo"),(G82-C83-D83-E83-F83))))))))))))</f>
        <v>48</v>
      </c>
      <c r="H94" s="30">
        <f>IF(AND(C94="Satisfecho",(D94="Satisfecho"),(E94="Satisfecho"),(F94="Satisfecho")),("No corresponde"),(MIN(C94:F94)))</f>
        <v>14</v>
      </c>
      <c r="I94" s="25">
        <f>IF(COUNT(C94:F94)=1,(SUMPRODUCT(C94:F94)),(IF(AND(C94="Satisfecho",(D94="Satisfecho"),(E94="Satisfecho"),(F94="Satisfecho")),("No corresponde"),(_xlfn.AGGREGATE(15,6,C94:F94/(C94:F94&lt;&gt;H94),1)))))</f>
        <v>16</v>
      </c>
      <c r="J94" s="64">
        <f>IF(H94="No corresponde",(""),(I94-H94))</f>
        <v>2</v>
      </c>
    </row>
    <row r="95" spans="1:10" x14ac:dyDescent="0.25">
      <c r="A95" s="59"/>
      <c r="B95" s="87"/>
      <c r="C95" s="56">
        <f>IF($C$96="Listo",("Satisfecho"),(IF($G$94="Listo",("Satisfecho"),(C83))))</f>
        <v>0</v>
      </c>
      <c r="D95" s="56">
        <f>IF($D$96="Listo",("Satisfecho"),(IF($G$94="Listo",("Satisfecho"),(D83))))</f>
        <v>0</v>
      </c>
      <c r="E95" s="56">
        <f>IF($E$96="Listo",("Satisfecho"),(IF($G$94="Listo",("Satisfecho"),(E83))))</f>
        <v>0</v>
      </c>
      <c r="F95" s="56" t="str">
        <f>IF($F$96="Listo",("Satisfecho"),(IF($G$94="Listo",("Satisfecho"),(F83))))</f>
        <v>Satisfecho</v>
      </c>
      <c r="G95" s="26"/>
      <c r="H95" s="53"/>
      <c r="I95" s="1"/>
      <c r="J95" s="60"/>
    </row>
    <row r="96" spans="1:10" x14ac:dyDescent="0.25">
      <c r="A96" s="59"/>
      <c r="B96" s="35" t="s">
        <v>5</v>
      </c>
      <c r="C96" s="26">
        <f>IF(C57="Listo",(C57),(IF(AND(C84=C83),("Listo"),(IF(C84=C81,("Listo"),(IF(C84=C79,("Listo"),(IF((C84-C79-C81-C83)=0,("Listo"),(C84-C79-C81-C83))))))))))</f>
        <v>10</v>
      </c>
      <c r="D96" s="26">
        <f t="shared" ref="D96:E96" si="24">IF(D57="Listo",(D57),(IF(AND(D84=D83),("Listo"),(IF(D84=D81,("Listo"),(IF(D84=D79,("Listo"),(IF((D84-D79-D81-D83)=0,("Listo"),(D84-D79-D81-D83))))))))))</f>
        <v>20</v>
      </c>
      <c r="E96" s="26">
        <f t="shared" si="24"/>
        <v>21</v>
      </c>
      <c r="F96" s="26" t="str">
        <f>IF(F57="Listo",(F57),(IF(AND(F84=F83),("Listo"),(IF(F84=F81,("Listo"),(IF(F84=F79,("Listo"),(IF((F84-F79-F81-F83)=0,("Listo"),(F84-F79-F81-F83))))))))))</f>
        <v>Listo</v>
      </c>
      <c r="G96" s="26">
        <f>SUM(C96:F96)</f>
        <v>51</v>
      </c>
      <c r="H96" s="55"/>
      <c r="I96" s="1"/>
      <c r="J96" s="60"/>
    </row>
    <row r="97" spans="1:10" x14ac:dyDescent="0.25">
      <c r="A97" s="59"/>
      <c r="B97" s="1"/>
      <c r="C97" s="50">
        <f>IF(C96="Listo",(""),(C85))</f>
        <v>7</v>
      </c>
      <c r="D97" s="50">
        <f>IF(D96="Listo",(""),(D85))</f>
        <v>7</v>
      </c>
      <c r="E97" s="50">
        <f>IF(E96="Listo",(""),(E85))</f>
        <v>21</v>
      </c>
      <c r="F97" s="50" t="str">
        <f>IF(F96="Listo",(""),(F85))</f>
        <v/>
      </c>
      <c r="G97" s="51"/>
      <c r="H97" s="52"/>
      <c r="I97" s="1"/>
      <c r="J97" s="60"/>
    </row>
    <row r="98" spans="1:10" x14ac:dyDescent="0.25">
      <c r="A98" s="59"/>
      <c r="B98" s="1"/>
      <c r="C98" s="1"/>
      <c r="D98" s="1"/>
      <c r="E98" s="1"/>
      <c r="F98" s="1"/>
      <c r="G98" s="1"/>
      <c r="H98" s="1"/>
      <c r="I98" s="1"/>
      <c r="J98" s="60"/>
    </row>
    <row r="99" spans="1:10" x14ac:dyDescent="0.25">
      <c r="A99" s="59"/>
      <c r="B99" s="1"/>
      <c r="C99" s="1"/>
      <c r="D99" s="1"/>
      <c r="E99" s="1"/>
      <c r="F99" s="1"/>
      <c r="G99" s="1"/>
      <c r="H99" s="1"/>
      <c r="I99" s="1"/>
      <c r="J99" s="60"/>
    </row>
    <row r="100" spans="1:10" x14ac:dyDescent="0.25">
      <c r="A100" s="59"/>
      <c r="B100" s="1" t="s">
        <v>14</v>
      </c>
      <c r="C100" s="1"/>
      <c r="D100" s="1"/>
      <c r="E100" s="1"/>
      <c r="F100" s="1"/>
      <c r="G100" s="1"/>
      <c r="H100" s="1"/>
      <c r="I100" s="1"/>
      <c r="J100" s="60"/>
    </row>
    <row r="101" spans="1:10" x14ac:dyDescent="0.25">
      <c r="A101" s="59"/>
      <c r="B101" s="1" t="s">
        <v>4</v>
      </c>
      <c r="C101" s="61" t="s">
        <v>6</v>
      </c>
      <c r="D101" s="61" t="s">
        <v>7</v>
      </c>
      <c r="E101" s="61" t="s">
        <v>8</v>
      </c>
      <c r="F101" s="61" t="s">
        <v>10</v>
      </c>
      <c r="G101" s="33" t="s">
        <v>9</v>
      </c>
      <c r="H101" s="1"/>
      <c r="I101" s="1"/>
      <c r="J101" s="60"/>
    </row>
    <row r="102" spans="1:10" x14ac:dyDescent="0.25">
      <c r="A102" s="59"/>
      <c r="B102" s="38" t="s">
        <v>0</v>
      </c>
      <c r="C102" s="18" t="str">
        <f>C90</f>
        <v>Satisfecho</v>
      </c>
      <c r="D102" s="18" t="str">
        <f t="shared" ref="D102:F102" si="25">D90</f>
        <v>Satisfecho</v>
      </c>
      <c r="E102" s="18" t="str">
        <f t="shared" si="25"/>
        <v>Satisfecho</v>
      </c>
      <c r="F102" s="18" t="str">
        <f t="shared" si="25"/>
        <v>Satisfecho</v>
      </c>
      <c r="G102" s="34" t="str">
        <f>G90</f>
        <v>Listo</v>
      </c>
      <c r="H102" s="1"/>
      <c r="I102" s="1"/>
      <c r="J102" s="60"/>
    </row>
    <row r="103" spans="1:10" x14ac:dyDescent="0.25">
      <c r="A103" s="59"/>
      <c r="B103" s="38" t="s">
        <v>1</v>
      </c>
      <c r="C103" s="21">
        <f>C92</f>
        <v>12</v>
      </c>
      <c r="D103" s="21">
        <f t="shared" ref="D103:F103" si="26">D92</f>
        <v>7</v>
      </c>
      <c r="E103" s="21">
        <f t="shared" si="26"/>
        <v>37</v>
      </c>
      <c r="F103" s="21" t="str">
        <f t="shared" si="26"/>
        <v>Satisfecho</v>
      </c>
      <c r="G103" s="34">
        <f>G92</f>
        <v>3</v>
      </c>
      <c r="H103" s="1"/>
      <c r="I103" s="1"/>
      <c r="J103" s="60"/>
    </row>
    <row r="104" spans="1:10" x14ac:dyDescent="0.25">
      <c r="A104" s="59"/>
      <c r="B104" s="38" t="s">
        <v>2</v>
      </c>
      <c r="C104" s="21">
        <f>C94</f>
        <v>19</v>
      </c>
      <c r="D104" s="21">
        <f t="shared" ref="D104:F104" si="27">D94</f>
        <v>14</v>
      </c>
      <c r="E104" s="21">
        <f t="shared" si="27"/>
        <v>16</v>
      </c>
      <c r="F104" s="21" t="str">
        <f t="shared" si="27"/>
        <v>Satisfecho</v>
      </c>
      <c r="G104" s="34">
        <f>G94</f>
        <v>48</v>
      </c>
      <c r="H104" s="1"/>
      <c r="I104" s="1"/>
      <c r="J104" s="60"/>
    </row>
    <row r="105" spans="1:10" x14ac:dyDescent="0.25">
      <c r="A105" s="59"/>
      <c r="B105" s="35" t="s">
        <v>5</v>
      </c>
      <c r="C105" s="36">
        <f>C96</f>
        <v>10</v>
      </c>
      <c r="D105" s="36">
        <f t="shared" ref="D105:G105" si="28">D96</f>
        <v>20</v>
      </c>
      <c r="E105" s="36">
        <f t="shared" si="28"/>
        <v>21</v>
      </c>
      <c r="F105" s="36" t="str">
        <f t="shared" si="28"/>
        <v>Listo</v>
      </c>
      <c r="G105" s="36">
        <f t="shared" si="28"/>
        <v>51</v>
      </c>
      <c r="H105" s="1"/>
      <c r="I105" s="1"/>
      <c r="J105" s="60"/>
    </row>
    <row r="106" spans="1:10" x14ac:dyDescent="0.25">
      <c r="A106" s="59"/>
      <c r="B106" s="38" t="s">
        <v>11</v>
      </c>
      <c r="C106" s="1">
        <f>IF(AND(C102="Satisfecho",(C103="Satisfecho"),(C104="Satisfecho")),("No corresponde"),(MIN(C102:C104)))</f>
        <v>12</v>
      </c>
      <c r="D106" s="1">
        <f t="shared" ref="D106:F106" si="29">IF(AND(D102="Satisfecho",(D103="Satisfecho"),(D104="Satisfecho")),("No corresponde"),(MIN(D102:D104)))</f>
        <v>7</v>
      </c>
      <c r="E106" s="1">
        <f t="shared" si="29"/>
        <v>16</v>
      </c>
      <c r="F106" s="1" t="str">
        <f t="shared" si="29"/>
        <v>No corresponde</v>
      </c>
      <c r="G106" s="1"/>
      <c r="H106" s="1"/>
      <c r="I106" s="1"/>
      <c r="J106" s="60"/>
    </row>
    <row r="107" spans="1:10" x14ac:dyDescent="0.25">
      <c r="A107" s="59"/>
      <c r="B107" s="38" t="s">
        <v>15</v>
      </c>
      <c r="C107" s="1">
        <f>IF(COUNT(C102:C104)=1,(SUMPRODUCT(C102:C104)),(IF(AND(C102="Satisfecho",(C103="Satisfecho"),(C104="Satisfecho")),("No corresponde"),(_xlfn.AGGREGATE(15,6,C102:C104/(C102:C104&lt;&gt;C106),1)))))</f>
        <v>19</v>
      </c>
      <c r="D107" s="1">
        <f t="shared" ref="D107:F107" si="30">IF(COUNT(D102:D104)=1,(SUMPRODUCT(D102:D104)),(IF(AND(D102="Satisfecho",(D103="Satisfecho"),(D104="Satisfecho")),("No corresponde"),(_xlfn.AGGREGATE(15,6,D102:D104/(D102:D104&lt;&gt;D106),1)))))</f>
        <v>14</v>
      </c>
      <c r="E107" s="1">
        <f t="shared" si="30"/>
        <v>37</v>
      </c>
      <c r="F107" s="1" t="str">
        <f t="shared" si="30"/>
        <v>No corresponde</v>
      </c>
      <c r="G107" s="1"/>
      <c r="H107" s="1"/>
      <c r="I107" s="1"/>
      <c r="J107" s="60"/>
    </row>
    <row r="108" spans="1:10" x14ac:dyDescent="0.25">
      <c r="A108" s="59"/>
      <c r="B108" s="44" t="s">
        <v>16</v>
      </c>
      <c r="C108" s="41">
        <f>IF(C107="No corresponde",(""),(C107-C106))</f>
        <v>7</v>
      </c>
      <c r="D108" s="41">
        <f t="shared" ref="D108" si="31">IF(D107="No corresponde",(""),(D107-D106))</f>
        <v>7</v>
      </c>
      <c r="E108" s="41">
        <f t="shared" ref="E108" si="32">IF(E107="No corresponde",(""),(E107-E106))</f>
        <v>21</v>
      </c>
      <c r="F108" s="41" t="str">
        <f t="shared" ref="F108" si="33">IF(F107="No corresponde",(""),(F107-F106))</f>
        <v/>
      </c>
      <c r="G108" s="1"/>
      <c r="H108" s="1"/>
      <c r="I108" s="1"/>
      <c r="J108" s="60"/>
    </row>
    <row r="109" spans="1:10" x14ac:dyDescent="0.25">
      <c r="A109" s="59"/>
      <c r="B109" s="1"/>
      <c r="C109" s="1"/>
      <c r="D109" s="1"/>
      <c r="E109" s="1"/>
      <c r="F109" s="1"/>
      <c r="G109" s="1"/>
      <c r="H109" s="1"/>
      <c r="I109" s="1"/>
      <c r="J109" s="60"/>
    </row>
    <row r="110" spans="1:10" x14ac:dyDescent="0.25">
      <c r="A110" s="59"/>
      <c r="B110" s="1"/>
      <c r="C110" s="1"/>
      <c r="D110" s="1"/>
      <c r="E110" s="1"/>
      <c r="F110" s="1"/>
      <c r="G110" s="1"/>
      <c r="H110" s="1"/>
      <c r="I110" s="1"/>
      <c r="J110" s="60"/>
    </row>
    <row r="111" spans="1:10" x14ac:dyDescent="0.25">
      <c r="A111" s="59"/>
      <c r="B111" s="45" t="s">
        <v>17</v>
      </c>
      <c r="C111" s="46"/>
      <c r="D111" s="46"/>
      <c r="E111" s="20">
        <f>MAX(J90:J94)</f>
        <v>5</v>
      </c>
      <c r="F111" s="1"/>
      <c r="G111" s="1"/>
      <c r="H111" s="1"/>
      <c r="I111" s="1"/>
      <c r="J111" s="60"/>
    </row>
    <row r="112" spans="1:10" x14ac:dyDescent="0.25">
      <c r="A112" s="59"/>
      <c r="B112" s="30" t="s">
        <v>18</v>
      </c>
      <c r="C112" s="47"/>
      <c r="D112" s="47"/>
      <c r="E112" s="25">
        <f>MAX(C108:F108)</f>
        <v>21</v>
      </c>
      <c r="F112" s="1"/>
      <c r="G112" s="1"/>
      <c r="H112" s="1"/>
      <c r="I112" s="1"/>
      <c r="J112" s="60"/>
    </row>
    <row r="113" spans="1:10" x14ac:dyDescent="0.25">
      <c r="A113" s="59"/>
      <c r="B113" s="48" t="s">
        <v>19</v>
      </c>
      <c r="C113" s="49"/>
      <c r="D113" s="42">
        <f>MAX(E111:E112)</f>
        <v>21</v>
      </c>
      <c r="E113" s="47"/>
      <c r="F113" s="1"/>
      <c r="G113" s="1"/>
      <c r="H113" s="1"/>
      <c r="I113" s="1"/>
      <c r="J113" s="60"/>
    </row>
    <row r="114" spans="1:10" ht="15.75" thickBot="1" x14ac:dyDescent="0.3">
      <c r="A114" s="59"/>
      <c r="B114" s="1"/>
      <c r="C114" s="1"/>
      <c r="D114" s="1"/>
      <c r="E114" s="1"/>
      <c r="F114" s="1"/>
      <c r="G114" s="1"/>
      <c r="H114" s="1"/>
      <c r="I114" s="1"/>
      <c r="J114" s="60"/>
    </row>
    <row r="115" spans="1:10" ht="51" customHeight="1" thickTop="1" thickBot="1" x14ac:dyDescent="0.3">
      <c r="A115" s="88" t="s">
        <v>21</v>
      </c>
      <c r="B115" s="89"/>
      <c r="C115" s="89"/>
      <c r="D115" s="89"/>
      <c r="E115" s="89"/>
      <c r="F115" s="89"/>
      <c r="G115" s="89"/>
      <c r="H115" s="89"/>
      <c r="I115" s="89"/>
      <c r="J115" s="90"/>
    </row>
    <row r="116" spans="1:10" ht="15.75" thickTop="1" x14ac:dyDescent="0.25">
      <c r="A116" s="59"/>
      <c r="B116" s="1" t="s">
        <v>4</v>
      </c>
      <c r="C116" s="61" t="s">
        <v>6</v>
      </c>
      <c r="D116" s="61" t="s">
        <v>7</v>
      </c>
      <c r="E116" s="61" t="s">
        <v>8</v>
      </c>
      <c r="F116" s="61" t="s">
        <v>10</v>
      </c>
      <c r="G116" s="33" t="s">
        <v>9</v>
      </c>
      <c r="H116" s="1"/>
      <c r="I116" s="1"/>
      <c r="J116" s="60"/>
    </row>
    <row r="117" spans="1:10" x14ac:dyDescent="0.25">
      <c r="A117" s="59"/>
      <c r="B117" s="86" t="s">
        <v>0</v>
      </c>
      <c r="C117" s="63" t="str">
        <f>C102</f>
        <v>Satisfecho</v>
      </c>
      <c r="D117" s="63" t="str">
        <f t="shared" ref="D117:F117" si="34">D102</f>
        <v>Satisfecho</v>
      </c>
      <c r="E117" s="63" t="str">
        <f t="shared" si="34"/>
        <v>Satisfecho</v>
      </c>
      <c r="F117" s="63" t="str">
        <f t="shared" si="34"/>
        <v>Satisfecho</v>
      </c>
      <c r="G117" s="26" t="str">
        <f>G102</f>
        <v>Listo</v>
      </c>
      <c r="H117" s="53" t="str">
        <f>J90</f>
        <v/>
      </c>
      <c r="I117" s="91" t="s">
        <v>34</v>
      </c>
      <c r="J117" s="92"/>
    </row>
    <row r="118" spans="1:10" x14ac:dyDescent="0.25">
      <c r="A118" s="59"/>
      <c r="B118" s="86"/>
      <c r="C118" s="18"/>
      <c r="D118" s="18"/>
      <c r="E118" s="18"/>
      <c r="F118" s="18"/>
      <c r="G118" s="26"/>
      <c r="H118" s="54"/>
      <c r="I118" s="91"/>
      <c r="J118" s="92"/>
    </row>
    <row r="119" spans="1:10" x14ac:dyDescent="0.25">
      <c r="A119" s="59"/>
      <c r="B119" s="86" t="s">
        <v>1</v>
      </c>
      <c r="C119" s="63">
        <f t="shared" ref="C119:G119" si="35">C103</f>
        <v>12</v>
      </c>
      <c r="D119" s="63">
        <f t="shared" si="35"/>
        <v>7</v>
      </c>
      <c r="E119" s="63">
        <f t="shared" si="35"/>
        <v>37</v>
      </c>
      <c r="F119" s="63" t="str">
        <f t="shared" si="35"/>
        <v>Satisfecho</v>
      </c>
      <c r="G119" s="26">
        <f t="shared" si="35"/>
        <v>3</v>
      </c>
      <c r="H119" s="54">
        <f>J92</f>
        <v>5</v>
      </c>
      <c r="I119" s="91"/>
      <c r="J119" s="92"/>
    </row>
    <row r="120" spans="1:10" x14ac:dyDescent="0.25">
      <c r="A120" s="59"/>
      <c r="B120" s="86"/>
      <c r="C120" s="18"/>
      <c r="D120" s="18"/>
      <c r="E120" s="18"/>
      <c r="F120" s="18"/>
      <c r="G120" s="26"/>
      <c r="H120" s="54"/>
      <c r="I120" s="91"/>
      <c r="J120" s="92"/>
    </row>
    <row r="121" spans="1:10" x14ac:dyDescent="0.25">
      <c r="A121" s="59"/>
      <c r="B121" s="86" t="s">
        <v>2</v>
      </c>
      <c r="C121" s="63">
        <f>C104</f>
        <v>19</v>
      </c>
      <c r="D121" s="63">
        <f>D104</f>
        <v>14</v>
      </c>
      <c r="E121" s="63">
        <f>E104</f>
        <v>16</v>
      </c>
      <c r="F121" s="63" t="str">
        <f>F104</f>
        <v>Satisfecho</v>
      </c>
      <c r="G121" s="27">
        <f t="shared" ref="G121" si="36">G104</f>
        <v>48</v>
      </c>
      <c r="H121" s="54">
        <f>J94</f>
        <v>2</v>
      </c>
      <c r="I121" s="91"/>
      <c r="J121" s="92"/>
    </row>
    <row r="122" spans="1:10" x14ac:dyDescent="0.25">
      <c r="A122" s="59"/>
      <c r="B122" s="87"/>
      <c r="C122" s="18"/>
      <c r="D122" s="18"/>
      <c r="E122" s="18">
        <v>21</v>
      </c>
      <c r="F122" s="18"/>
      <c r="G122" s="27"/>
      <c r="H122" s="54"/>
      <c r="I122" s="91"/>
      <c r="J122" s="92"/>
    </row>
    <row r="123" spans="1:10" x14ac:dyDescent="0.25">
      <c r="A123" s="59"/>
      <c r="B123" s="35" t="s">
        <v>5</v>
      </c>
      <c r="C123" s="26">
        <f>C105</f>
        <v>10</v>
      </c>
      <c r="D123" s="26">
        <f>D105</f>
        <v>20</v>
      </c>
      <c r="E123" s="26">
        <f>E105</f>
        <v>21</v>
      </c>
      <c r="F123" s="26" t="str">
        <f>F105</f>
        <v>Listo</v>
      </c>
      <c r="G123" s="26">
        <f>SUM(C123:F123)</f>
        <v>51</v>
      </c>
      <c r="H123" s="55"/>
      <c r="I123" s="91"/>
      <c r="J123" s="92"/>
    </row>
    <row r="124" spans="1:10" x14ac:dyDescent="0.25">
      <c r="A124" s="59"/>
      <c r="B124" s="1"/>
      <c r="C124" s="50">
        <f>C108</f>
        <v>7</v>
      </c>
      <c r="D124" s="51">
        <f t="shared" ref="D124:F124" si="37">D108</f>
        <v>7</v>
      </c>
      <c r="E124" s="51">
        <f t="shared" si="37"/>
        <v>21</v>
      </c>
      <c r="F124" s="51" t="str">
        <f t="shared" si="37"/>
        <v/>
      </c>
      <c r="G124" s="51"/>
      <c r="H124" s="52"/>
      <c r="I124" s="1"/>
      <c r="J124" s="60"/>
    </row>
    <row r="125" spans="1:10" x14ac:dyDescent="0.25">
      <c r="A125" s="30"/>
      <c r="B125" s="47"/>
      <c r="C125" s="47"/>
      <c r="D125" s="47"/>
      <c r="E125" s="47"/>
      <c r="F125" s="47"/>
      <c r="G125" s="47"/>
      <c r="H125" s="47"/>
      <c r="I125" s="47"/>
      <c r="J125" s="62"/>
    </row>
    <row r="126" spans="1:10" ht="21" x14ac:dyDescent="0.35">
      <c r="A126" s="57" t="s">
        <v>24</v>
      </c>
      <c r="B126" s="46"/>
      <c r="C126" s="46"/>
      <c r="D126" s="46"/>
      <c r="E126" s="46"/>
      <c r="F126" s="46"/>
      <c r="G126" s="46"/>
      <c r="H126" s="46"/>
      <c r="I126" s="46"/>
      <c r="J126" s="58"/>
    </row>
    <row r="127" spans="1:10" ht="15.75" x14ac:dyDescent="0.25">
      <c r="A127" s="59"/>
      <c r="B127" s="65" t="s">
        <v>13</v>
      </c>
      <c r="C127" s="1"/>
      <c r="D127" s="1"/>
      <c r="E127" s="1"/>
      <c r="F127" s="1"/>
      <c r="G127" s="46"/>
      <c r="H127" s="1"/>
      <c r="I127" s="46"/>
      <c r="J127" s="58"/>
    </row>
    <row r="128" spans="1:10" x14ac:dyDescent="0.25">
      <c r="A128" s="59"/>
      <c r="B128" s="1" t="s">
        <v>4</v>
      </c>
      <c r="C128" s="61" t="s">
        <v>6</v>
      </c>
      <c r="D128" s="61" t="s">
        <v>7</v>
      </c>
      <c r="E128" s="61" t="s">
        <v>8</v>
      </c>
      <c r="F128" s="61" t="s">
        <v>10</v>
      </c>
      <c r="G128" s="33" t="s">
        <v>9</v>
      </c>
      <c r="H128" s="31" t="s">
        <v>11</v>
      </c>
      <c r="I128" s="32" t="s">
        <v>12</v>
      </c>
      <c r="J128" s="39" t="s">
        <v>16</v>
      </c>
    </row>
    <row r="129" spans="1:10" x14ac:dyDescent="0.25">
      <c r="A129" s="59"/>
      <c r="B129" s="86" t="s">
        <v>0</v>
      </c>
      <c r="C129" s="56" t="str">
        <f>IF($C$135="Listo",("Satisfecho"),(IF($G$129="Listo",("Satisfecho"),(C117))))</f>
        <v>Satisfecho</v>
      </c>
      <c r="D129" s="56" t="str">
        <f>IF($D$135="Listo",("Satisfecho"),(IF($G$129="Listo",("Satisfecho"),(D117))))</f>
        <v>Satisfecho</v>
      </c>
      <c r="E129" s="56" t="str">
        <f>IF($E$135="Listo",("Satisfecho"),(IF($G$129="Listo",("Satisfecho"),(E117))))</f>
        <v>Satisfecho</v>
      </c>
      <c r="F129" s="56" t="str">
        <f>IF($F$135="Listo",("Satisfecho"),(IF($G$129="Listo",("Satisfecho"),(F117))))</f>
        <v>Satisfecho</v>
      </c>
      <c r="G129" s="26" t="str">
        <f>IF(G90="Listo",(G90),(IF(AND(G117=F118),("Listo"),(IF(G117=E118,("Listo"),(IF(G117=D118,("Listo"),(IF(G117=C118,("Listo"),(IF((G117-C118-D118-E118-F118)=0,("Listo"),(G117-C118-D118-E118-F118))))))))))))</f>
        <v>Listo</v>
      </c>
      <c r="H129" s="30" t="str">
        <f>IF(AND(C129="Satisfecho",(D129="Satisfecho"),(E129="Satisfecho"),(F129="Satisfecho")),("No corresponde"),(MIN(C129:F129)))</f>
        <v>No corresponde</v>
      </c>
      <c r="I129" s="25" t="str">
        <f>IF(COUNT(C129:F129)=1,(SUMPRODUCT(C129:F129)),(IF(AND(C129="Satisfecho",(D129="Satisfecho"),(E129="Satisfecho"),(F129="Satisfecho")),("No corresponde"),(_xlfn.AGGREGATE(15,6,C129:F129/(C129:F129&lt;&gt;H129),1)))))</f>
        <v>No corresponde</v>
      </c>
      <c r="J129" s="64" t="str">
        <f>IF(H129="No corresponde",(""),(I129-H129))</f>
        <v/>
      </c>
    </row>
    <row r="130" spans="1:10" x14ac:dyDescent="0.25">
      <c r="A130" s="59"/>
      <c r="B130" s="86"/>
      <c r="C130" s="56" t="str">
        <f>IF($C$135="Listo",("Satisfecho"),(IF($G$129="Listo",("Satisfecho"),(C118))))</f>
        <v>Satisfecho</v>
      </c>
      <c r="D130" s="56" t="str">
        <f>IF($D$135="Listo",("Satisfecho"),(IF($G$129="Listo",("Satisfecho"),(D118))))</f>
        <v>Satisfecho</v>
      </c>
      <c r="E130" s="56" t="str">
        <f>IF($E$135="Listo",("Satisfecho"),(IF($G$129="Listo",("Satisfecho"),(E118))))</f>
        <v>Satisfecho</v>
      </c>
      <c r="F130" s="56" t="str">
        <f>IF($F$135="Listo",("Satisfecho"),(IF($G$129="Listo",("Satisfecho"),(F118))))</f>
        <v>Satisfecho</v>
      </c>
      <c r="G130" s="26"/>
      <c r="H130" s="59"/>
      <c r="I130" s="23"/>
      <c r="J130" s="43"/>
    </row>
    <row r="131" spans="1:10" x14ac:dyDescent="0.25">
      <c r="A131" s="59"/>
      <c r="B131" s="86" t="s">
        <v>1</v>
      </c>
      <c r="C131" s="56">
        <f>IF($C$135="Listo",("Satisfecho"),(IF($G$131="Listo",("Satisfecho"),(C119))))</f>
        <v>12</v>
      </c>
      <c r="D131" s="56">
        <f>IF($D$135="Listo",("Satisfecho"),(IF($G$131="Listo",("Satisfecho"),(D119))))</f>
        <v>7</v>
      </c>
      <c r="E131" s="56" t="str">
        <f>IF($E$135="Listo",("Satisfecho"),(IF($G$131="Listo",("Satisfecho"),(E119))))</f>
        <v>Satisfecho</v>
      </c>
      <c r="F131" s="56" t="str">
        <f>IF($F$135="Listo",("Satisfecho"),(IF($G$131="Listo",("Satisfecho"),(F119))))</f>
        <v>Satisfecho</v>
      </c>
      <c r="G131" s="26">
        <f>IF(G92="Listo",(G92),(IF(AND(G119=F120),("Listo"),(IF(G119=E120,("Listo"),(IF(G119=D120,("Listo"),(IF(G119=C120,("Listo"),(IF((G119-C120-D120-E120-F120)=0,("Listo"),(G119-C120-D120-E120-F120))))))))))))</f>
        <v>3</v>
      </c>
      <c r="H131" s="30">
        <f>IF(AND(C131="Satisfecho",(D131="Satisfecho"),(E131="Satisfecho"),(F131="Satisfecho")),("No corresponde"),(MIN(C131:F131)))</f>
        <v>7</v>
      </c>
      <c r="I131" s="25">
        <f>IF(COUNT(C131:F131)=1,(SUMPRODUCT(C131:F131)),(IF(AND(C131="Satisfecho",(D131="Satisfecho"),(E131="Satisfecho"),(F131="Satisfecho")),("No corresponde"),(_xlfn.AGGREGATE(15,6,C131:F131/(C131:F131&lt;&gt;H131),1)))))</f>
        <v>12</v>
      </c>
      <c r="J131" s="64">
        <f>IF(H131="No corresponde",(""),(I131-H131))</f>
        <v>5</v>
      </c>
    </row>
    <row r="132" spans="1:10" x14ac:dyDescent="0.25">
      <c r="A132" s="59"/>
      <c r="B132" s="86"/>
      <c r="C132" s="56">
        <f>IF($C$135="Listo",("Satisfecho"),(IF($G$131="Listo",("Satisfecho"),(C120))))</f>
        <v>0</v>
      </c>
      <c r="D132" s="56">
        <f>IF($D$135="Listo",("Satisfecho"),(IF($G$131="Listo",("Satisfecho"),(D120))))</f>
        <v>0</v>
      </c>
      <c r="E132" s="56" t="str">
        <f>IF($E$135="Listo",("Satisfecho"),(IF($G$131="Listo",("Satisfecho"),(E120))))</f>
        <v>Satisfecho</v>
      </c>
      <c r="F132" s="56" t="str">
        <f>IF($F$135="Listo",("Satisfecho"),(IF($G$131="Listo",("Satisfecho"),(F120))))</f>
        <v>Satisfecho</v>
      </c>
      <c r="G132" s="26"/>
      <c r="H132" s="59"/>
      <c r="I132" s="25"/>
      <c r="J132" s="43"/>
    </row>
    <row r="133" spans="1:10" x14ac:dyDescent="0.25">
      <c r="A133" s="59"/>
      <c r="B133" s="86" t="s">
        <v>2</v>
      </c>
      <c r="C133" s="56">
        <f>IF($C$135="Listo",("Satisfecho"),(IF($G$133="Listo",("Satisfecho"),(C121))))</f>
        <v>19</v>
      </c>
      <c r="D133" s="56">
        <f>IF($D$135="Listo",("Satisfecho"),(IF($G$55="Listo",("Satisfecho"),(D121))))</f>
        <v>14</v>
      </c>
      <c r="E133" s="56" t="str">
        <f>IF($E$135="Listo",("Satisfecho"),(IF($G$133="Listo",("Satisfecho"),(E121))))</f>
        <v>Satisfecho</v>
      </c>
      <c r="F133" s="56" t="str">
        <f>IF($F$135="Listo",("Satisfecho"),(IF($G$133="Listo",("Satisfecho"),(F121))))</f>
        <v>Satisfecho</v>
      </c>
      <c r="G133" s="26">
        <f>IF(G94="Listo",(G94),(IF(AND(G121=F122),("Listo"),(IF(G121=E122,("Listo"),(IF(G121=D122,("Listo"),(IF(G121=C122,("Listo"),(IF((G121-C122-D122-E122-F122)=0,("Listo"),(G121-C122-D122-E122-F122))))))))))))</f>
        <v>27</v>
      </c>
      <c r="H133" s="30">
        <f>IF(AND(C133="Satisfecho",(D133="Satisfecho"),(E133="Satisfecho"),(F133="Satisfecho")),("No corresponde"),(MIN(C133:F133)))</f>
        <v>14</v>
      </c>
      <c r="I133" s="25">
        <f>IF(COUNT(C133:F133)=1,(SUMPRODUCT(C133:F133)),(IF(AND(C133="Satisfecho",(D133="Satisfecho"),(E133="Satisfecho"),(F133="Satisfecho")),("No corresponde"),(_xlfn.AGGREGATE(15,6,C133:F133/(C133:F133&lt;&gt;H133),1)))))</f>
        <v>19</v>
      </c>
      <c r="J133" s="64">
        <f>IF(H133="No corresponde",(""),(I133-H133))</f>
        <v>5</v>
      </c>
    </row>
    <row r="134" spans="1:10" x14ac:dyDescent="0.25">
      <c r="A134" s="59"/>
      <c r="B134" s="87"/>
      <c r="C134" s="56">
        <f>IF($C$135="Listo",("Satisfecho"),(IF($G$133="Listo",("Satisfecho"),(C122))))</f>
        <v>0</v>
      </c>
      <c r="D134" s="56">
        <f>IF($D$135="Listo",("Satisfecho"),(IF($G$55="Listo",("Satisfecho"),(D122))))</f>
        <v>0</v>
      </c>
      <c r="E134" s="56" t="str">
        <f>IF($E$135="Listo",("Satisfecho"),(IF($G$133="Listo",("Satisfecho"),(E122))))</f>
        <v>Satisfecho</v>
      </c>
      <c r="F134" s="56" t="str">
        <f>IF($F$135="Listo",("Satisfecho"),(IF($G$133="Listo",("Satisfecho"),(F122))))</f>
        <v>Satisfecho</v>
      </c>
      <c r="G134" s="26"/>
      <c r="H134" s="53"/>
      <c r="I134" s="1"/>
      <c r="J134" s="60"/>
    </row>
    <row r="135" spans="1:10" x14ac:dyDescent="0.25">
      <c r="A135" s="59"/>
      <c r="B135" s="35" t="s">
        <v>5</v>
      </c>
      <c r="C135" s="26">
        <f>IF(C96="Listo",(C96),(IF(AND(C123=C122),("Listo"),(IF(C123=C120,("Listo"),(IF(C123=C118,("Listo"),(IF((C123-C118-C120-C122)=0,("Listo"),(C123-C118-C120-C122))))))))))</f>
        <v>10</v>
      </c>
      <c r="D135" s="26">
        <f t="shared" ref="D135:F135" si="38">IF(D96="Listo",(D96),(IF(AND(D123=D122),("Listo"),(IF(D123=D120,("Listo"),(IF(D123=D118,("Listo"),(IF((D123-D118-D120-D122)=0,("Listo"),(D123-D118-D120-D122))))))))))</f>
        <v>20</v>
      </c>
      <c r="E135" s="26" t="str">
        <f t="shared" si="38"/>
        <v>Listo</v>
      </c>
      <c r="F135" s="26" t="str">
        <f t="shared" si="38"/>
        <v>Listo</v>
      </c>
      <c r="G135" s="26">
        <f>SUM(C135:F135)</f>
        <v>30</v>
      </c>
      <c r="H135" s="55"/>
      <c r="I135" s="1"/>
      <c r="J135" s="60"/>
    </row>
    <row r="136" spans="1:10" x14ac:dyDescent="0.25">
      <c r="A136" s="59"/>
      <c r="B136" s="1"/>
      <c r="C136" s="50">
        <f>IF(C135="Listo",(""),(C124))</f>
        <v>7</v>
      </c>
      <c r="D136" s="50">
        <f>IF(D135="Listo",(""),(D124))</f>
        <v>7</v>
      </c>
      <c r="E136" s="50" t="str">
        <f>IF(E135="Listo",(""),(E124))</f>
        <v/>
      </c>
      <c r="F136" s="50" t="str">
        <f>IF(F135="Listo",(""),(F124))</f>
        <v/>
      </c>
      <c r="G136" s="51"/>
      <c r="H136" s="52"/>
      <c r="I136" s="1"/>
      <c r="J136" s="60"/>
    </row>
    <row r="137" spans="1:10" x14ac:dyDescent="0.25">
      <c r="A137" s="59"/>
      <c r="B137" s="1"/>
      <c r="C137" s="1"/>
      <c r="D137" s="1"/>
      <c r="E137" s="1"/>
      <c r="F137" s="1"/>
      <c r="G137" s="1"/>
      <c r="H137" s="1"/>
      <c r="I137" s="1"/>
      <c r="J137" s="60"/>
    </row>
    <row r="138" spans="1:10" x14ac:dyDescent="0.25">
      <c r="A138" s="59"/>
      <c r="B138" s="1"/>
      <c r="C138" s="1"/>
      <c r="D138" s="1"/>
      <c r="E138" s="1"/>
      <c r="F138" s="1"/>
      <c r="G138" s="1"/>
      <c r="H138" s="1"/>
      <c r="I138" s="1"/>
      <c r="J138" s="60"/>
    </row>
    <row r="139" spans="1:10" x14ac:dyDescent="0.25">
      <c r="A139" s="59"/>
      <c r="B139" s="1" t="s">
        <v>14</v>
      </c>
      <c r="C139" s="1"/>
      <c r="D139" s="1"/>
      <c r="E139" s="1"/>
      <c r="F139" s="1"/>
      <c r="G139" s="1"/>
      <c r="H139" s="1"/>
      <c r="I139" s="1"/>
      <c r="J139" s="60"/>
    </row>
    <row r="140" spans="1:10" x14ac:dyDescent="0.25">
      <c r="A140" s="59"/>
      <c r="B140" s="1" t="s">
        <v>4</v>
      </c>
      <c r="C140" s="61" t="s">
        <v>6</v>
      </c>
      <c r="D140" s="61" t="s">
        <v>7</v>
      </c>
      <c r="E140" s="61" t="s">
        <v>8</v>
      </c>
      <c r="F140" s="61" t="s">
        <v>10</v>
      </c>
      <c r="G140" s="33" t="s">
        <v>9</v>
      </c>
      <c r="H140" s="1"/>
      <c r="I140" s="1"/>
      <c r="J140" s="60"/>
    </row>
    <row r="141" spans="1:10" x14ac:dyDescent="0.25">
      <c r="A141" s="59"/>
      <c r="B141" s="38" t="s">
        <v>0</v>
      </c>
      <c r="C141" s="18" t="str">
        <f>C129</f>
        <v>Satisfecho</v>
      </c>
      <c r="D141" s="18" t="str">
        <f t="shared" ref="D141:F141" si="39">D129</f>
        <v>Satisfecho</v>
      </c>
      <c r="E141" s="18" t="str">
        <f t="shared" si="39"/>
        <v>Satisfecho</v>
      </c>
      <c r="F141" s="18" t="str">
        <f t="shared" si="39"/>
        <v>Satisfecho</v>
      </c>
      <c r="G141" s="34" t="str">
        <f>G129</f>
        <v>Listo</v>
      </c>
      <c r="H141" s="1"/>
      <c r="I141" s="1"/>
      <c r="J141" s="60"/>
    </row>
    <row r="142" spans="1:10" x14ac:dyDescent="0.25">
      <c r="A142" s="59"/>
      <c r="B142" s="38" t="s">
        <v>1</v>
      </c>
      <c r="C142" s="21">
        <f>C131</f>
        <v>12</v>
      </c>
      <c r="D142" s="21">
        <f t="shared" ref="D142:F142" si="40">D131</f>
        <v>7</v>
      </c>
      <c r="E142" s="21" t="str">
        <f t="shared" si="40"/>
        <v>Satisfecho</v>
      </c>
      <c r="F142" s="21" t="str">
        <f t="shared" si="40"/>
        <v>Satisfecho</v>
      </c>
      <c r="G142" s="34">
        <f>G131</f>
        <v>3</v>
      </c>
      <c r="H142" s="1"/>
      <c r="I142" s="1"/>
      <c r="J142" s="60"/>
    </row>
    <row r="143" spans="1:10" x14ac:dyDescent="0.25">
      <c r="A143" s="59"/>
      <c r="B143" s="38" t="s">
        <v>2</v>
      </c>
      <c r="C143" s="21">
        <f>C133</f>
        <v>19</v>
      </c>
      <c r="D143" s="21">
        <f t="shared" ref="D143:F143" si="41">D133</f>
        <v>14</v>
      </c>
      <c r="E143" s="21" t="str">
        <f t="shared" si="41"/>
        <v>Satisfecho</v>
      </c>
      <c r="F143" s="21" t="str">
        <f t="shared" si="41"/>
        <v>Satisfecho</v>
      </c>
      <c r="G143" s="34">
        <f>G133</f>
        <v>27</v>
      </c>
      <c r="H143" s="1"/>
      <c r="I143" s="1"/>
      <c r="J143" s="60"/>
    </row>
    <row r="144" spans="1:10" x14ac:dyDescent="0.25">
      <c r="A144" s="59"/>
      <c r="B144" s="35" t="s">
        <v>5</v>
      </c>
      <c r="C144" s="36">
        <f>C135</f>
        <v>10</v>
      </c>
      <c r="D144" s="36">
        <f t="shared" ref="D144:G144" si="42">D135</f>
        <v>20</v>
      </c>
      <c r="E144" s="36" t="str">
        <f t="shared" si="42"/>
        <v>Listo</v>
      </c>
      <c r="F144" s="36" t="str">
        <f t="shared" si="42"/>
        <v>Listo</v>
      </c>
      <c r="G144" s="36">
        <f t="shared" si="42"/>
        <v>30</v>
      </c>
      <c r="H144" s="1"/>
      <c r="I144" s="1"/>
      <c r="J144" s="60"/>
    </row>
    <row r="145" spans="1:10" x14ac:dyDescent="0.25">
      <c r="A145" s="59"/>
      <c r="B145" s="38" t="s">
        <v>11</v>
      </c>
      <c r="C145" s="1">
        <f>IF(AND(C141="Satisfecho",(C142="Satisfecho"),(C143="Satisfecho")),("No corresponde"),(MIN(C141:C143)))</f>
        <v>12</v>
      </c>
      <c r="D145" s="1">
        <f t="shared" ref="D145:F145" si="43">IF(AND(D141="Satisfecho",(D142="Satisfecho"),(D143="Satisfecho")),("No corresponde"),(MIN(D141:D143)))</f>
        <v>7</v>
      </c>
      <c r="E145" s="1" t="str">
        <f t="shared" si="43"/>
        <v>No corresponde</v>
      </c>
      <c r="F145" s="1" t="str">
        <f t="shared" si="43"/>
        <v>No corresponde</v>
      </c>
      <c r="G145" s="1"/>
      <c r="H145" s="1"/>
      <c r="I145" s="1"/>
      <c r="J145" s="60"/>
    </row>
    <row r="146" spans="1:10" x14ac:dyDescent="0.25">
      <c r="A146" s="59"/>
      <c r="B146" s="38" t="s">
        <v>15</v>
      </c>
      <c r="C146" s="1">
        <f>IF(COUNT(C141:C143)=1,(SUMPRODUCT(C141:C143)),(IF(AND(C141="Satisfecho",(C142="Satisfecho"),(C143="Satisfecho")),("No corresponde"),(_xlfn.AGGREGATE(15,6,C141:C143/(C141:C143&lt;&gt;C145),1)))))</f>
        <v>19</v>
      </c>
      <c r="D146" s="1">
        <f t="shared" ref="D146:F146" si="44">IF(COUNT(D141:D143)=1,(SUMPRODUCT(D141:D143)),(IF(AND(D141="Satisfecho",(D142="Satisfecho"),(D143="Satisfecho")),("No corresponde"),(_xlfn.AGGREGATE(15,6,D141:D143/(D141:D143&lt;&gt;D145),1)))))</f>
        <v>14</v>
      </c>
      <c r="E146" s="1" t="str">
        <f t="shared" si="44"/>
        <v>No corresponde</v>
      </c>
      <c r="F146" s="1" t="str">
        <f t="shared" si="44"/>
        <v>No corresponde</v>
      </c>
      <c r="G146" s="1"/>
      <c r="H146" s="1"/>
      <c r="I146" s="1"/>
      <c r="J146" s="60"/>
    </row>
    <row r="147" spans="1:10" x14ac:dyDescent="0.25">
      <c r="A147" s="59"/>
      <c r="B147" s="44" t="s">
        <v>16</v>
      </c>
      <c r="C147" s="41">
        <f>IF(C146="No corresponde",(""),(C146-C145))</f>
        <v>7</v>
      </c>
      <c r="D147" s="41">
        <f t="shared" ref="D147" si="45">IF(D146="No corresponde",(""),(D146-D145))</f>
        <v>7</v>
      </c>
      <c r="E147" s="41" t="str">
        <f t="shared" ref="E147" si="46">IF(E146="No corresponde",(""),(E146-E145))</f>
        <v/>
      </c>
      <c r="F147" s="41" t="str">
        <f t="shared" ref="F147" si="47">IF(F146="No corresponde",(""),(F146-F145))</f>
        <v/>
      </c>
      <c r="G147" s="1"/>
      <c r="H147" s="1"/>
      <c r="I147" s="1"/>
      <c r="J147" s="60"/>
    </row>
    <row r="148" spans="1:10" x14ac:dyDescent="0.25">
      <c r="A148" s="59"/>
      <c r="B148" s="1"/>
      <c r="C148" s="1"/>
      <c r="D148" s="1"/>
      <c r="E148" s="1"/>
      <c r="F148" s="1"/>
      <c r="G148" s="1"/>
      <c r="H148" s="1"/>
      <c r="I148" s="1"/>
      <c r="J148" s="60"/>
    </row>
    <row r="149" spans="1:10" x14ac:dyDescent="0.25">
      <c r="A149" s="59"/>
      <c r="B149" s="1"/>
      <c r="C149" s="1"/>
      <c r="D149" s="1"/>
      <c r="E149" s="1"/>
      <c r="F149" s="1"/>
      <c r="G149" s="1"/>
      <c r="H149" s="1"/>
      <c r="I149" s="1"/>
      <c r="J149" s="60"/>
    </row>
    <row r="150" spans="1:10" x14ac:dyDescent="0.25">
      <c r="A150" s="59"/>
      <c r="B150" s="45" t="s">
        <v>17</v>
      </c>
      <c r="C150" s="46"/>
      <c r="D150" s="46"/>
      <c r="E150" s="20">
        <f>MAX(J129:J133)</f>
        <v>5</v>
      </c>
      <c r="F150" s="1"/>
      <c r="G150" s="1"/>
      <c r="H150" s="1"/>
      <c r="I150" s="1"/>
      <c r="J150" s="60"/>
    </row>
    <row r="151" spans="1:10" x14ac:dyDescent="0.25">
      <c r="A151" s="59"/>
      <c r="B151" s="30" t="s">
        <v>18</v>
      </c>
      <c r="C151" s="47"/>
      <c r="D151" s="47"/>
      <c r="E151" s="25">
        <f>MAX(C147:F147)</f>
        <v>7</v>
      </c>
      <c r="F151" s="1"/>
      <c r="G151" s="1"/>
      <c r="H151" s="1"/>
      <c r="I151" s="1"/>
      <c r="J151" s="60"/>
    </row>
    <row r="152" spans="1:10" x14ac:dyDescent="0.25">
      <c r="A152" s="59"/>
      <c r="B152" s="48" t="s">
        <v>19</v>
      </c>
      <c r="C152" s="49"/>
      <c r="D152" s="42">
        <f>MAX(E150:E151)</f>
        <v>7</v>
      </c>
      <c r="E152" s="47"/>
      <c r="F152" s="1"/>
      <c r="G152" s="1"/>
      <c r="H152" s="1"/>
      <c r="I152" s="1"/>
      <c r="J152" s="60"/>
    </row>
    <row r="153" spans="1:10" ht="15.75" thickBot="1" x14ac:dyDescent="0.3">
      <c r="A153" s="59"/>
      <c r="B153" s="1"/>
      <c r="C153" s="1"/>
      <c r="D153" s="1"/>
      <c r="E153" s="1"/>
      <c r="F153" s="1"/>
      <c r="G153" s="1"/>
      <c r="H153" s="1"/>
      <c r="I153" s="1"/>
      <c r="J153" s="60"/>
    </row>
    <row r="154" spans="1:10" ht="46.5" customHeight="1" thickTop="1" thickBot="1" x14ac:dyDescent="0.3">
      <c r="A154" s="88" t="s">
        <v>21</v>
      </c>
      <c r="B154" s="89"/>
      <c r="C154" s="89"/>
      <c r="D154" s="89"/>
      <c r="E154" s="89"/>
      <c r="F154" s="89"/>
      <c r="G154" s="89"/>
      <c r="H154" s="89"/>
      <c r="I154" s="89"/>
      <c r="J154" s="90"/>
    </row>
    <row r="155" spans="1:10" ht="15.75" thickTop="1" x14ac:dyDescent="0.25">
      <c r="A155" s="59"/>
      <c r="B155" s="1" t="s">
        <v>4</v>
      </c>
      <c r="C155" s="61" t="s">
        <v>6</v>
      </c>
      <c r="D155" s="61" t="s">
        <v>7</v>
      </c>
      <c r="E155" s="61" t="s">
        <v>8</v>
      </c>
      <c r="F155" s="61" t="s">
        <v>10</v>
      </c>
      <c r="G155" s="33" t="s">
        <v>9</v>
      </c>
      <c r="H155" s="1"/>
      <c r="I155" s="1"/>
      <c r="J155" s="60"/>
    </row>
    <row r="156" spans="1:10" x14ac:dyDescent="0.25">
      <c r="A156" s="59"/>
      <c r="B156" s="86" t="s">
        <v>0</v>
      </c>
      <c r="C156" s="63" t="str">
        <f>C141</f>
        <v>Satisfecho</v>
      </c>
      <c r="D156" s="63" t="str">
        <f t="shared" ref="D156:F156" si="48">D141</f>
        <v>Satisfecho</v>
      </c>
      <c r="E156" s="63" t="str">
        <f t="shared" si="48"/>
        <v>Satisfecho</v>
      </c>
      <c r="F156" s="63" t="str">
        <f t="shared" si="48"/>
        <v>Satisfecho</v>
      </c>
      <c r="G156" s="26" t="str">
        <f>G141</f>
        <v>Listo</v>
      </c>
      <c r="H156" s="53" t="str">
        <f>J129</f>
        <v/>
      </c>
      <c r="I156" s="91" t="s">
        <v>34</v>
      </c>
      <c r="J156" s="92"/>
    </row>
    <row r="157" spans="1:10" x14ac:dyDescent="0.25">
      <c r="A157" s="59"/>
      <c r="B157" s="86"/>
      <c r="C157" s="18"/>
      <c r="D157" s="18"/>
      <c r="E157" s="18"/>
      <c r="F157" s="18"/>
      <c r="G157" s="26"/>
      <c r="H157" s="54"/>
      <c r="I157" s="91"/>
      <c r="J157" s="92"/>
    </row>
    <row r="158" spans="1:10" x14ac:dyDescent="0.25">
      <c r="A158" s="59"/>
      <c r="B158" s="86" t="s">
        <v>1</v>
      </c>
      <c r="C158" s="63">
        <f t="shared" ref="C158:G158" si="49">C142</f>
        <v>12</v>
      </c>
      <c r="D158" s="63">
        <f t="shared" si="49"/>
        <v>7</v>
      </c>
      <c r="E158" s="63" t="str">
        <f t="shared" si="49"/>
        <v>Satisfecho</v>
      </c>
      <c r="F158" s="63" t="str">
        <f t="shared" si="49"/>
        <v>Satisfecho</v>
      </c>
      <c r="G158" s="26">
        <f t="shared" si="49"/>
        <v>3</v>
      </c>
      <c r="H158" s="54">
        <f>J131</f>
        <v>5</v>
      </c>
      <c r="I158" s="91"/>
      <c r="J158" s="92"/>
    </row>
    <row r="159" spans="1:10" x14ac:dyDescent="0.25">
      <c r="A159" s="59"/>
      <c r="B159" s="86"/>
      <c r="C159" s="18"/>
      <c r="D159" s="18">
        <v>3</v>
      </c>
      <c r="E159" s="18"/>
      <c r="F159" s="18"/>
      <c r="G159" s="26"/>
      <c r="H159" s="54"/>
      <c r="I159" s="91"/>
      <c r="J159" s="92"/>
    </row>
    <row r="160" spans="1:10" x14ac:dyDescent="0.25">
      <c r="A160" s="59"/>
      <c r="B160" s="86" t="s">
        <v>2</v>
      </c>
      <c r="C160" s="63">
        <f>C143</f>
        <v>19</v>
      </c>
      <c r="D160" s="63">
        <f>D143</f>
        <v>14</v>
      </c>
      <c r="E160" s="63" t="str">
        <f>E143</f>
        <v>Satisfecho</v>
      </c>
      <c r="F160" s="63" t="str">
        <f>F143</f>
        <v>Satisfecho</v>
      </c>
      <c r="G160" s="27">
        <f t="shared" ref="G160" si="50">G143</f>
        <v>27</v>
      </c>
      <c r="H160" s="54">
        <f>J133</f>
        <v>5</v>
      </c>
      <c r="I160" s="91"/>
      <c r="J160" s="92"/>
    </row>
    <row r="161" spans="1:10" x14ac:dyDescent="0.25">
      <c r="A161" s="59"/>
      <c r="B161" s="87"/>
      <c r="C161" s="18">
        <v>10</v>
      </c>
      <c r="D161" s="18">
        <v>17</v>
      </c>
      <c r="E161" s="18"/>
      <c r="F161" s="18"/>
      <c r="G161" s="27"/>
      <c r="H161" s="54"/>
      <c r="I161" s="91"/>
      <c r="J161" s="92"/>
    </row>
    <row r="162" spans="1:10" x14ac:dyDescent="0.25">
      <c r="A162" s="59"/>
      <c r="B162" s="35" t="s">
        <v>5</v>
      </c>
      <c r="C162" s="26">
        <f>C144</f>
        <v>10</v>
      </c>
      <c r="D162" s="26">
        <f>D144</f>
        <v>20</v>
      </c>
      <c r="E162" s="26" t="str">
        <f>E144</f>
        <v>Listo</v>
      </c>
      <c r="F162" s="26" t="str">
        <f>F144</f>
        <v>Listo</v>
      </c>
      <c r="G162" s="26">
        <f>SUM(C162:F162)</f>
        <v>30</v>
      </c>
      <c r="H162" s="55"/>
      <c r="I162" s="91"/>
      <c r="J162" s="92"/>
    </row>
    <row r="163" spans="1:10" x14ac:dyDescent="0.25">
      <c r="A163" s="59"/>
      <c r="B163" s="1"/>
      <c r="C163" s="50">
        <f>C147</f>
        <v>7</v>
      </c>
      <c r="D163" s="51">
        <f t="shared" ref="D163:F163" si="51">D147</f>
        <v>7</v>
      </c>
      <c r="E163" s="51" t="str">
        <f t="shared" si="51"/>
        <v/>
      </c>
      <c r="F163" s="51" t="str">
        <f t="shared" si="51"/>
        <v/>
      </c>
      <c r="G163" s="51"/>
      <c r="H163" s="52"/>
      <c r="I163" s="1"/>
      <c r="J163" s="60"/>
    </row>
    <row r="164" spans="1:10" x14ac:dyDescent="0.25">
      <c r="A164" s="30"/>
      <c r="B164" s="47"/>
      <c r="C164" s="47"/>
      <c r="D164" s="47"/>
      <c r="E164" s="47"/>
      <c r="F164" s="47"/>
      <c r="G164" s="47"/>
      <c r="H164" s="47"/>
      <c r="I164" s="47"/>
      <c r="J164" s="62"/>
    </row>
    <row r="165" spans="1:10" ht="21" x14ac:dyDescent="0.35">
      <c r="A165" s="57" t="s">
        <v>30</v>
      </c>
      <c r="B165" s="46"/>
      <c r="C165" s="46"/>
      <c r="D165" s="46"/>
      <c r="E165" s="46"/>
      <c r="F165" s="46"/>
      <c r="G165" s="46"/>
      <c r="H165" s="46"/>
      <c r="I165" s="46"/>
      <c r="J165" s="58"/>
    </row>
    <row r="166" spans="1:10" ht="15.75" x14ac:dyDescent="0.25">
      <c r="A166" s="59"/>
      <c r="B166" s="65" t="s">
        <v>13</v>
      </c>
      <c r="C166" s="1"/>
      <c r="D166" s="1"/>
      <c r="E166" s="1"/>
      <c r="F166" s="1"/>
      <c r="G166" s="46"/>
      <c r="H166" s="1"/>
      <c r="I166" s="46"/>
      <c r="J166" s="58"/>
    </row>
    <row r="167" spans="1:10" x14ac:dyDescent="0.25">
      <c r="A167" s="59"/>
      <c r="B167" s="1" t="s">
        <v>4</v>
      </c>
      <c r="C167" s="61" t="s">
        <v>6</v>
      </c>
      <c r="D167" s="61" t="s">
        <v>7</v>
      </c>
      <c r="E167" s="61" t="s">
        <v>8</v>
      </c>
      <c r="F167" s="61" t="s">
        <v>10</v>
      </c>
      <c r="G167" s="33" t="s">
        <v>9</v>
      </c>
      <c r="H167" s="31" t="s">
        <v>11</v>
      </c>
      <c r="I167" s="32" t="s">
        <v>12</v>
      </c>
      <c r="J167" s="39" t="s">
        <v>16</v>
      </c>
    </row>
    <row r="168" spans="1:10" x14ac:dyDescent="0.25">
      <c r="A168" s="59"/>
      <c r="B168" s="86" t="s">
        <v>0</v>
      </c>
      <c r="C168" s="56" t="str">
        <f>IF($C$174="Listo",("Satisfecho"),(IF($G$168="Listo",("Satisfecho"),(C156))))</f>
        <v>Satisfecho</v>
      </c>
      <c r="D168" s="56" t="str">
        <f>IF($D$174="Listo",("Satisfecho"),(IF($G$168="Listo",("Satisfecho"),(D156))))</f>
        <v>Satisfecho</v>
      </c>
      <c r="E168" s="56" t="str">
        <f>IF($E$174="Listo",("Satisfecho"),(IF($G$168="Listo",("Satisfecho"),(E156))))</f>
        <v>Satisfecho</v>
      </c>
      <c r="F168" s="56" t="str">
        <f>IF($F$174="Listo",("Satisfecho"),(IF($G$168="Listo",("Satisfecho"),(F156))))</f>
        <v>Satisfecho</v>
      </c>
      <c r="G168" s="26" t="str">
        <f>IF(G129="Listo",(G129),(IF(AND(G156=F157),("Listo"),(IF(G156=E157,("Listo"),(IF(G156=D157,("Listo"),(IF(G156=C157,("Listo"),(IF((G156-C157-D157-E157-F157)=0,("Listo"),(G156-C157-D157-E157-F157))))))))))))</f>
        <v>Listo</v>
      </c>
      <c r="H168" s="30" t="str">
        <f>IF(AND(C168="Satisfecho",(D168="Satisfecho"),(E168="Satisfecho"),(F168="Satisfecho")),("No corresponde"),(MIN(C168:F168)))</f>
        <v>No corresponde</v>
      </c>
      <c r="I168" s="25" t="str">
        <f>IF(COUNT(C168:F168)=1,(SUMPRODUCT(C168:F168)),(IF(AND(C168="Satisfecho",(D168="Satisfecho"),(E168="Satisfecho"),(F168="Satisfecho")),("No corresponde"),(_xlfn.AGGREGATE(15,6,C168:F168/(C168:F168&lt;&gt;H168),1)))))</f>
        <v>No corresponde</v>
      </c>
      <c r="J168" s="64" t="str">
        <f>IF(H168="No corresponde",(""),(I168-H168))</f>
        <v/>
      </c>
    </row>
    <row r="169" spans="1:10" x14ac:dyDescent="0.25">
      <c r="A169" s="59"/>
      <c r="B169" s="86"/>
      <c r="C169" s="56" t="str">
        <f>IF($C$174="Listo",("Satisfecho"),(IF($G$168="Listo",("Satisfecho"),(C157))))</f>
        <v>Satisfecho</v>
      </c>
      <c r="D169" s="56" t="str">
        <f>IF($D$174="Listo",("Satisfecho"),(IF($G$168="Listo",("Satisfecho"),(D157))))</f>
        <v>Satisfecho</v>
      </c>
      <c r="E169" s="56" t="str">
        <f>IF($E$174="Listo",("Satisfecho"),(IF($G$168="Listo",("Satisfecho"),(E157))))</f>
        <v>Satisfecho</v>
      </c>
      <c r="F169" s="56" t="str">
        <f>IF($F$174="Listo",("Satisfecho"),(IF($G$168="Listo",("Satisfecho"),(F157))))</f>
        <v>Satisfecho</v>
      </c>
      <c r="G169" s="26"/>
      <c r="H169" s="59"/>
      <c r="I169" s="23"/>
      <c r="J169" s="43"/>
    </row>
    <row r="170" spans="1:10" x14ac:dyDescent="0.25">
      <c r="A170" s="59"/>
      <c r="B170" s="86" t="s">
        <v>1</v>
      </c>
      <c r="C170" s="56" t="str">
        <f>IF($C$174="Listo",("Satisfecho"),(IF($G$170="Listo",("Satisfecho"),(C158))))</f>
        <v>Satisfecho</v>
      </c>
      <c r="D170" s="56" t="str">
        <f>IF($D$174="Listo",("Satisfecho"),(IF($G$170="Listo",("Satisfecho"),(D158))))</f>
        <v>Satisfecho</v>
      </c>
      <c r="E170" s="56" t="str">
        <f>IF($E$174="Listo",("Satisfecho"),(IF($G$170="Listo",("Satisfecho"),(E158))))</f>
        <v>Satisfecho</v>
      </c>
      <c r="F170" s="56" t="str">
        <f>IF($F$174="Listo",("Satisfecho"),(IF($G$170="Listo",("Satisfecho"),(F158))))</f>
        <v>Satisfecho</v>
      </c>
      <c r="G170" s="26" t="str">
        <f>IF(G131="Listo",(G131),(IF(AND(G158=F159),("Listo"),(IF(G158=E159,("Listo"),(IF(G158=D159,("Listo"),(IF(G158=C159,("Listo"),(IF((G158-C159-D159-E159-F159)=0,("Listo"),(G158-C159-D159-E159-F159))))))))))))</f>
        <v>Listo</v>
      </c>
      <c r="H170" s="30" t="str">
        <f>IF(AND(C170="Satisfecho",(D170="Satisfecho"),(E170="Satisfecho"),(F170="Satisfecho")),("No corresponde"),(MIN(C170:F170)))</f>
        <v>No corresponde</v>
      </c>
      <c r="I170" s="25" t="str">
        <f>IF(COUNT(C170:F170)=1,(SUMPRODUCT(C170:F170)),(IF(AND(C170="Satisfecho",(D170="Satisfecho"),(E170="Satisfecho"),(F170="Satisfecho")),("No corresponde"),(_xlfn.AGGREGATE(15,6,C170:F170/(C170:F170&lt;&gt;H170),1)))))</f>
        <v>No corresponde</v>
      </c>
      <c r="J170" s="64" t="str">
        <f>IF(H170="No corresponde",(""),(I170-H170))</f>
        <v/>
      </c>
    </row>
    <row r="171" spans="1:10" x14ac:dyDescent="0.25">
      <c r="A171" s="59"/>
      <c r="B171" s="86"/>
      <c r="C171" s="56" t="str">
        <f>IF($C$174="Listo",("Satisfecho"),(IF($G$170="Listo",("Satisfecho"),(C159))))</f>
        <v>Satisfecho</v>
      </c>
      <c r="D171" s="56" t="str">
        <f>IF($D$174="Listo",("Satisfecho"),(IF($G$170="Listo",("Satisfecho"),(D159))))</f>
        <v>Satisfecho</v>
      </c>
      <c r="E171" s="56" t="str">
        <f>IF($E$174="Listo",("Satisfecho"),(IF($G$170="Listo",("Satisfecho"),(E159))))</f>
        <v>Satisfecho</v>
      </c>
      <c r="F171" s="56" t="str">
        <f>IF($F$174="Listo",("Satisfecho"),(IF($G$170="Listo",("Satisfecho"),(F159))))</f>
        <v>Satisfecho</v>
      </c>
      <c r="G171" s="26"/>
      <c r="H171" s="59"/>
      <c r="I171" s="25"/>
      <c r="J171" s="43"/>
    </row>
    <row r="172" spans="1:10" x14ac:dyDescent="0.25">
      <c r="A172" s="59"/>
      <c r="B172" s="86" t="s">
        <v>2</v>
      </c>
      <c r="C172" s="56" t="str">
        <f>IF($C$174="Listo",("Satisfecho"),(IF($G$172="Listo",("Satisfecho"),(C160))))</f>
        <v>Satisfecho</v>
      </c>
      <c r="D172" s="56" t="str">
        <f>IF($D$174="Listo",("Satisfecho"),(IF($G$55="Listo",("Satisfecho"),(D160))))</f>
        <v>Satisfecho</v>
      </c>
      <c r="E172" s="56" t="str">
        <f>IF($E$174="Listo",("Satisfecho"),(IF($G$172="Listo",("Satisfecho"),(E160))))</f>
        <v>Satisfecho</v>
      </c>
      <c r="F172" s="56" t="str">
        <f>IF($F$174="Listo",("Satisfecho"),(IF($G$172="Listo",("Satisfecho"),(F160))))</f>
        <v>Satisfecho</v>
      </c>
      <c r="G172" s="26" t="str">
        <f>IF(G133="Listo",(G133),(IF(AND(G160=F161),("Listo"),(IF(G160=E161,("Listo"),(IF(G160=D161,("Listo"),(IF(G160=C161,("Listo"),(IF((G160-C161-D161-E161-F161)=0,("Listo"),(G160-C161-D161-E161-F161))))))))))))</f>
        <v>Listo</v>
      </c>
      <c r="H172" s="30" t="str">
        <f>IF(AND(C172="Satisfecho",(D172="Satisfecho"),(E172="Satisfecho"),(F172="Satisfecho")),("No corresponde"),(MIN(C172:F172)))</f>
        <v>No corresponde</v>
      </c>
      <c r="I172" s="25" t="str">
        <f>IF(COUNT(C172:F172)=1,(SUMPRODUCT(C172:F172)),(IF(AND(C172="Satisfecho",(D172="Satisfecho"),(E172="Satisfecho"),(F172="Satisfecho")),("No corresponde"),(_xlfn.AGGREGATE(15,6,C172:F172/(C172:F172&lt;&gt;H172),1)))))</f>
        <v>No corresponde</v>
      </c>
      <c r="J172" s="64" t="str">
        <f>IF(H172="No corresponde",(""),(I172-H172))</f>
        <v/>
      </c>
    </row>
    <row r="173" spans="1:10" x14ac:dyDescent="0.25">
      <c r="A173" s="59"/>
      <c r="B173" s="87"/>
      <c r="C173" s="56" t="str">
        <f>IF($C$174="Listo",("Satisfecho"),(IF($G$172="Listo",("Satisfecho"),(C172))))</f>
        <v>Satisfecho</v>
      </c>
      <c r="D173" s="56" t="str">
        <f>IF($D$174="Listo",("Satisfecho"),(IF($G$55="Listo",("Satisfecho"),(D172))))</f>
        <v>Satisfecho</v>
      </c>
      <c r="E173" s="56" t="str">
        <f>IF($E$174="Listo",("Satisfecho"),(IF($G$172="Listo",("Satisfecho"),(E161))))</f>
        <v>Satisfecho</v>
      </c>
      <c r="F173" s="56" t="str">
        <f>IF($F$174="Listo",("Satisfecho"),(IF($G$172="Listo",("Satisfecho"),(F161))))</f>
        <v>Satisfecho</v>
      </c>
      <c r="G173" s="26"/>
      <c r="H173" s="53"/>
      <c r="I173" s="1"/>
      <c r="J173" s="60"/>
    </row>
    <row r="174" spans="1:10" x14ac:dyDescent="0.25">
      <c r="A174" s="59"/>
      <c r="B174" s="35" t="s">
        <v>5</v>
      </c>
      <c r="C174" s="26" t="str">
        <f>IF(C135="Listo",(C135),(IF(AND(C162=C161),("Listo"),(IF(C162=C159,("Listo"),(IF(C162=C157,("Listo"),(IF((C162-C157-C159-C161)=0,("Listo"),(C162-C157-C159-C161))))))))))</f>
        <v>Listo</v>
      </c>
      <c r="D174" s="26" t="str">
        <f t="shared" ref="D174:F174" si="52">IF(D135="Listo",(D135),(IF(AND(D162=D161),("Listo"),(IF(D162=D159,("Listo"),(IF(D162=D157,("Listo"),(IF((D162-D157-D159-D161)=0,("Listo"),(D162-D157-D159-D161))))))))))</f>
        <v>Listo</v>
      </c>
      <c r="E174" s="26" t="str">
        <f t="shared" si="52"/>
        <v>Listo</v>
      </c>
      <c r="F174" s="26" t="str">
        <f t="shared" si="52"/>
        <v>Listo</v>
      </c>
      <c r="G174" s="26">
        <f>SUM(C174:F174)</f>
        <v>0</v>
      </c>
      <c r="H174" s="55"/>
      <c r="I174" s="1"/>
      <c r="J174" s="60"/>
    </row>
    <row r="175" spans="1:10" x14ac:dyDescent="0.25">
      <c r="A175" s="59"/>
      <c r="B175" s="1"/>
      <c r="C175" s="50" t="str">
        <f>IF(C174="Listo",(""),(C163))</f>
        <v/>
      </c>
      <c r="D175" s="50" t="str">
        <f>IF(D174="Listo",(""),(D163))</f>
        <v/>
      </c>
      <c r="E175" s="50" t="str">
        <f>IF(E174="Listo",(""),(E163))</f>
        <v/>
      </c>
      <c r="F175" s="50" t="str">
        <f>IF(F174="Listo",(""),(F163))</f>
        <v/>
      </c>
      <c r="G175" s="51"/>
      <c r="H175" s="52"/>
      <c r="I175" s="1"/>
      <c r="J175" s="60"/>
    </row>
    <row r="176" spans="1:10" x14ac:dyDescent="0.25">
      <c r="A176" s="30"/>
      <c r="B176" s="47"/>
      <c r="C176" s="47"/>
      <c r="D176" s="47"/>
      <c r="E176" s="47"/>
      <c r="F176" s="47"/>
      <c r="G176" s="47"/>
      <c r="H176" s="47"/>
      <c r="I176" s="47"/>
      <c r="J176" s="62"/>
    </row>
    <row r="177" spans="1:10" ht="21" x14ac:dyDescent="0.35">
      <c r="A177" s="57" t="s">
        <v>28</v>
      </c>
      <c r="B177" s="46"/>
      <c r="C177" s="46"/>
      <c r="D177" s="46"/>
      <c r="E177" s="46"/>
      <c r="F177" s="46"/>
      <c r="G177" s="46"/>
      <c r="H177" s="46"/>
      <c r="I177" s="46"/>
      <c r="J177" s="58"/>
    </row>
    <row r="178" spans="1:10" x14ac:dyDescent="0.25">
      <c r="A178" s="59" t="s">
        <v>25</v>
      </c>
      <c r="B178" s="1"/>
      <c r="C178" s="1"/>
      <c r="D178" s="1"/>
      <c r="E178" s="1"/>
      <c r="F178" s="1"/>
      <c r="G178" s="1"/>
      <c r="H178" s="1"/>
      <c r="I178" s="1"/>
      <c r="J178" s="60"/>
    </row>
    <row r="179" spans="1:10" x14ac:dyDescent="0.25">
      <c r="A179" s="59"/>
      <c r="B179" s="1" t="s">
        <v>4</v>
      </c>
      <c r="C179" s="61" t="s">
        <v>6</v>
      </c>
      <c r="D179" s="61" t="s">
        <v>7</v>
      </c>
      <c r="E179" s="61" t="s">
        <v>8</v>
      </c>
      <c r="F179" s="61" t="s">
        <v>10</v>
      </c>
      <c r="G179" s="33" t="s">
        <v>9</v>
      </c>
      <c r="H179" s="1"/>
      <c r="I179" s="1"/>
      <c r="J179" s="60"/>
    </row>
    <row r="180" spans="1:10" x14ac:dyDescent="0.25">
      <c r="A180" s="59"/>
      <c r="B180" s="86" t="s">
        <v>0</v>
      </c>
      <c r="C180" s="63">
        <f>C16</f>
        <v>20</v>
      </c>
      <c r="D180" s="63">
        <f t="shared" ref="D180:F180" si="53">D16</f>
        <v>10</v>
      </c>
      <c r="E180" s="63">
        <f t="shared" si="53"/>
        <v>20</v>
      </c>
      <c r="F180" s="63">
        <f t="shared" si="53"/>
        <v>24</v>
      </c>
      <c r="G180" s="26">
        <f>G16</f>
        <v>20</v>
      </c>
      <c r="H180" s="1"/>
      <c r="I180" s="1"/>
      <c r="J180" s="60"/>
    </row>
    <row r="181" spans="1:10" x14ac:dyDescent="0.25">
      <c r="A181" s="59"/>
      <c r="B181" s="86"/>
      <c r="C181" s="66" t="str">
        <f>IF(C40&gt;0,(C40),(IF(C79&gt;0,(C79),(IF(C118&gt;0,(C118),(IF(C157&gt;0,(C157),("0"))))))))</f>
        <v>0</v>
      </c>
      <c r="D181" s="66">
        <f>IF(D40&gt;0,(D40),(IF(D79&gt;0,(D79),(IF(D118&gt;0,(D118),(IF(D157&gt;0,(D157),("0"))))))))</f>
        <v>20</v>
      </c>
      <c r="E181" s="66" t="str">
        <f>IF(E40&gt;0,(E40),(IF(E79&gt;0,(E79),(IF(E118&gt;0,(E118),(IF(E157&gt;0,(E157),("0"))))))))</f>
        <v>0</v>
      </c>
      <c r="F181" s="66" t="str">
        <f>IF(F40&gt;0,(F40),(IF(F79&gt;0,(F79),(IF(F118&gt;0,(F118),(IF(F157&gt;0,(F157),("0"))))))))</f>
        <v>0</v>
      </c>
      <c r="G181" s="26"/>
      <c r="H181" s="1"/>
      <c r="I181" s="1"/>
      <c r="J181" s="60"/>
    </row>
    <row r="182" spans="1:10" x14ac:dyDescent="0.25">
      <c r="A182" s="59"/>
      <c r="B182" s="86" t="s">
        <v>1</v>
      </c>
      <c r="C182" s="63">
        <f>C17</f>
        <v>12</v>
      </c>
      <c r="D182" s="63">
        <f t="shared" ref="D182:F182" si="54">D17</f>
        <v>7</v>
      </c>
      <c r="E182" s="63">
        <f t="shared" si="54"/>
        <v>37</v>
      </c>
      <c r="F182" s="63">
        <f t="shared" si="54"/>
        <v>20</v>
      </c>
      <c r="G182" s="26">
        <f>G17</f>
        <v>40</v>
      </c>
      <c r="H182" s="1"/>
      <c r="I182" s="1"/>
      <c r="J182" s="60"/>
    </row>
    <row r="183" spans="1:10" x14ac:dyDescent="0.25">
      <c r="A183" s="59"/>
      <c r="B183" s="86"/>
      <c r="C183" s="66" t="str">
        <f>IF(C42&gt;0,(C42),(IF(C81&gt;0,(C81),(IF(C120&gt;0,(C120),(IF(C159&gt;0,(C159),("0"))))))))</f>
        <v>0</v>
      </c>
      <c r="D183" s="66">
        <f>IF(D42&gt;0,(D42),(IF(D81&gt;0,(D81),(IF(D120&gt;0,(D120),(IF(D159&gt;0,(D159),("0"))))))))</f>
        <v>3</v>
      </c>
      <c r="E183" s="66" t="str">
        <f>IF(E42&gt;0,(E42),(IF(E81&gt;0,(E81),(IF(E120&gt;0,(E120),(IF(E159&gt;0,(E159),("0"))))))))</f>
        <v>0</v>
      </c>
      <c r="F183" s="66">
        <f>IF(F42&gt;0,(F42),(IF(F81&gt;0,(F81),(IF(F120&gt;0,(F120),(IF(F159&gt;0,(F159),("0"))))))))</f>
        <v>37</v>
      </c>
      <c r="G183" s="26"/>
      <c r="H183" s="1"/>
      <c r="I183" s="1"/>
      <c r="J183" s="60"/>
    </row>
    <row r="184" spans="1:10" x14ac:dyDescent="0.25">
      <c r="A184" s="59"/>
      <c r="B184" s="86" t="s">
        <v>2</v>
      </c>
      <c r="C184" s="63">
        <f>C18</f>
        <v>19</v>
      </c>
      <c r="D184" s="63">
        <f t="shared" ref="D184:F184" si="55">D18</f>
        <v>14</v>
      </c>
      <c r="E184" s="63">
        <f t="shared" si="55"/>
        <v>16</v>
      </c>
      <c r="F184" s="63">
        <f t="shared" si="55"/>
        <v>78</v>
      </c>
      <c r="G184" s="26">
        <f>G18</f>
        <v>48</v>
      </c>
      <c r="H184" s="1"/>
      <c r="I184" s="1"/>
      <c r="J184" s="60"/>
    </row>
    <row r="185" spans="1:10" x14ac:dyDescent="0.25">
      <c r="A185" s="59"/>
      <c r="B185" s="87"/>
      <c r="C185" s="66">
        <f>IF(C44&gt;0,(C44),(IF(C83&gt;0,(C83),(IF(C122&gt;0,(C122),(IF(C161&gt;0,(C161),("0"))))))))</f>
        <v>10</v>
      </c>
      <c r="D185" s="66">
        <f>IF(D44&gt;0,(D44),(IF(D83&gt;0,(D83),(IF(D122&gt;0,(D122),(IF(D161&gt;0,(D161),("0"))))))))</f>
        <v>17</v>
      </c>
      <c r="E185" s="66">
        <f>IF(E44&gt;0,(E44),(IF(E83&gt;0,(E83),(IF(E122&gt;0,(E122),(IF(E161&gt;0,(E161),("0"))))))))</f>
        <v>21</v>
      </c>
      <c r="F185" s="66" t="str">
        <f>IF(F44&gt;0,(F44),(IF(F83&gt;0,(F83),(IF(F122&gt;0,(F122),(IF(F161&gt;0,(F161),("0"))))))))</f>
        <v>0</v>
      </c>
      <c r="G185" s="27"/>
      <c r="H185" s="1"/>
      <c r="I185" s="1"/>
      <c r="J185" s="60"/>
    </row>
    <row r="186" spans="1:10" x14ac:dyDescent="0.25">
      <c r="A186" s="59"/>
      <c r="B186" s="35" t="s">
        <v>5</v>
      </c>
      <c r="C186" s="26">
        <f t="shared" ref="C186:F186" si="56">C19</f>
        <v>10</v>
      </c>
      <c r="D186" s="26">
        <f t="shared" si="56"/>
        <v>40</v>
      </c>
      <c r="E186" s="26">
        <f t="shared" si="56"/>
        <v>21</v>
      </c>
      <c r="F186" s="26">
        <f t="shared" si="56"/>
        <v>37</v>
      </c>
      <c r="G186" s="26">
        <f>SUM(C186:F186)</f>
        <v>108</v>
      </c>
      <c r="H186" s="1"/>
      <c r="I186" s="1"/>
      <c r="J186" s="60"/>
    </row>
    <row r="187" spans="1:10" x14ac:dyDescent="0.25">
      <c r="A187" s="59"/>
      <c r="B187" s="1" t="s">
        <v>26</v>
      </c>
      <c r="C187" s="1"/>
      <c r="D187" s="1"/>
      <c r="E187" s="1"/>
      <c r="F187" s="1"/>
      <c r="G187" s="1"/>
      <c r="H187" s="1"/>
      <c r="I187" s="1"/>
      <c r="J187" s="60"/>
    </row>
    <row r="188" spans="1:10" x14ac:dyDescent="0.25">
      <c r="A188" s="30"/>
      <c r="B188" s="47"/>
      <c r="C188" s="47"/>
      <c r="D188" s="47"/>
      <c r="E188" s="47"/>
      <c r="F188" s="47"/>
      <c r="G188" s="47"/>
      <c r="H188" s="47"/>
      <c r="I188" s="47"/>
      <c r="J188" s="62"/>
    </row>
    <row r="190" spans="1:10" ht="21" x14ac:dyDescent="0.35">
      <c r="A190" s="57" t="s">
        <v>31</v>
      </c>
      <c r="B190" s="46"/>
      <c r="C190" s="46"/>
      <c r="D190" s="46"/>
      <c r="E190" s="46"/>
      <c r="F190" s="46"/>
      <c r="G190" s="46"/>
      <c r="H190" s="46"/>
      <c r="I190" s="46"/>
      <c r="J190" s="58"/>
    </row>
    <row r="191" spans="1:10" x14ac:dyDescent="0.25">
      <c r="A191" s="59"/>
      <c r="B191" s="1"/>
      <c r="C191" s="1"/>
      <c r="D191" s="1"/>
      <c r="E191" s="1"/>
      <c r="F191" s="1"/>
      <c r="G191" s="1"/>
      <c r="H191" s="1"/>
      <c r="I191" s="1"/>
      <c r="J191" s="60"/>
    </row>
    <row r="192" spans="1:10" ht="15.75" x14ac:dyDescent="0.25">
      <c r="A192" s="80" t="s">
        <v>32</v>
      </c>
      <c r="B192" s="65"/>
      <c r="C192" s="65"/>
      <c r="D192" s="65"/>
      <c r="E192" s="65"/>
      <c r="F192" s="65"/>
      <c r="G192" s="93">
        <f>(C181*C180)+(D180*D181)+(E180*E181)+(F180*F181)+(C183*C182)+(D182*D183)+(E182*E183)+(F182*F183)+(C185*C184)+(D184*D185)+(E184*E185)+(F184*F185)</f>
        <v>1725</v>
      </c>
      <c r="H192" s="1"/>
      <c r="I192" s="1"/>
      <c r="J192" s="60"/>
    </row>
    <row r="193" spans="1:10" ht="15.75" x14ac:dyDescent="0.25">
      <c r="A193" s="80"/>
      <c r="B193" s="65"/>
      <c r="C193" s="65"/>
      <c r="D193" s="65"/>
      <c r="E193" s="65"/>
      <c r="F193" s="65"/>
      <c r="G193" s="65"/>
      <c r="H193" s="1"/>
      <c r="I193" s="1"/>
      <c r="J193" s="60"/>
    </row>
    <row r="194" spans="1:10" ht="15.75" x14ac:dyDescent="0.25">
      <c r="A194" s="80"/>
      <c r="B194" s="65" t="s">
        <v>33</v>
      </c>
      <c r="C194" s="65"/>
      <c r="D194" s="65"/>
      <c r="E194" s="65"/>
      <c r="F194" s="65"/>
      <c r="G194" s="65"/>
      <c r="H194" s="1"/>
      <c r="I194" s="1"/>
      <c r="J194" s="60"/>
    </row>
    <row r="195" spans="1:10" ht="15.75" x14ac:dyDescent="0.25">
      <c r="A195" s="80"/>
      <c r="B195" s="81" t="s">
        <v>0</v>
      </c>
      <c r="C195" s="94">
        <f>(C181*C180)+(D180*D181)+(E180*E181)+(F180*F181)</f>
        <v>200</v>
      </c>
      <c r="D195" s="65"/>
      <c r="E195" s="65"/>
      <c r="F195" s="65"/>
      <c r="G195" s="65"/>
      <c r="H195" s="1"/>
      <c r="I195" s="1"/>
      <c r="J195" s="60"/>
    </row>
    <row r="196" spans="1:10" ht="15.75" x14ac:dyDescent="0.25">
      <c r="A196" s="80"/>
      <c r="B196" s="82" t="s">
        <v>1</v>
      </c>
      <c r="C196" s="95">
        <f>(C183*C182)+(D182*D183)+(E182*E183)+(F182*F183)</f>
        <v>761</v>
      </c>
      <c r="D196" s="65"/>
      <c r="E196" s="65"/>
      <c r="F196" s="65"/>
      <c r="G196" s="65"/>
      <c r="H196" s="1"/>
      <c r="I196" s="1"/>
      <c r="J196" s="60"/>
    </row>
    <row r="197" spans="1:10" ht="15.75" x14ac:dyDescent="0.25">
      <c r="A197" s="80"/>
      <c r="B197" s="83" t="s">
        <v>2</v>
      </c>
      <c r="C197" s="96">
        <f>(C185*C184)+(D184*D185)+(E184*E185)+(F184*F185)</f>
        <v>764</v>
      </c>
      <c r="D197" s="65"/>
      <c r="E197" s="65"/>
      <c r="F197" s="65"/>
      <c r="G197" s="65"/>
      <c r="H197" s="1"/>
      <c r="I197" s="1"/>
      <c r="J197" s="60"/>
    </row>
    <row r="198" spans="1:10" x14ac:dyDescent="0.25">
      <c r="A198" s="30"/>
      <c r="B198" s="47"/>
      <c r="C198" s="47"/>
      <c r="D198" s="47"/>
      <c r="E198" s="47"/>
      <c r="F198" s="47"/>
      <c r="G198" s="47"/>
      <c r="H198" s="47"/>
      <c r="I198" s="47"/>
      <c r="J198" s="62"/>
    </row>
  </sheetData>
  <mergeCells count="36">
    <mergeCell ref="I117:J123"/>
    <mergeCell ref="I156:J162"/>
    <mergeCell ref="B55:B56"/>
    <mergeCell ref="A37:J37"/>
    <mergeCell ref="B78:B79"/>
    <mergeCell ref="B80:B81"/>
    <mergeCell ref="B82:B83"/>
    <mergeCell ref="B39:B40"/>
    <mergeCell ref="B41:B42"/>
    <mergeCell ref="B43:B44"/>
    <mergeCell ref="B51:B52"/>
    <mergeCell ref="B53:B54"/>
    <mergeCell ref="I39:J45"/>
    <mergeCell ref="I78:J84"/>
    <mergeCell ref="B184:B185"/>
    <mergeCell ref="A154:J154"/>
    <mergeCell ref="B156:B157"/>
    <mergeCell ref="B158:B159"/>
    <mergeCell ref="B160:B161"/>
    <mergeCell ref="B168:B169"/>
    <mergeCell ref="A2:J2"/>
    <mergeCell ref="B170:B171"/>
    <mergeCell ref="B172:B173"/>
    <mergeCell ref="B180:B181"/>
    <mergeCell ref="B182:B183"/>
    <mergeCell ref="B121:B122"/>
    <mergeCell ref="B129:B130"/>
    <mergeCell ref="B131:B132"/>
    <mergeCell ref="B133:B134"/>
    <mergeCell ref="A76:J76"/>
    <mergeCell ref="A115:J115"/>
    <mergeCell ref="B90:B91"/>
    <mergeCell ref="B92:B93"/>
    <mergeCell ref="B94:B95"/>
    <mergeCell ref="B117:B118"/>
    <mergeCell ref="B119:B120"/>
  </mergeCells>
  <conditionalFormatting sqref="C51:F56">
    <cfRule type="cellIs" dxfId="3" priority="5" operator="equal">
      <formula>"Satisfecho"</formula>
    </cfRule>
  </conditionalFormatting>
  <conditionalFormatting sqref="C90:F95">
    <cfRule type="cellIs" dxfId="2" priority="4" operator="equal">
      <formula>"Satisfecho"</formula>
    </cfRule>
  </conditionalFormatting>
  <conditionalFormatting sqref="C129:F134">
    <cfRule type="cellIs" dxfId="1" priority="3" operator="equal">
      <formula>"Satisfecho"</formula>
    </cfRule>
  </conditionalFormatting>
  <conditionalFormatting sqref="C168:F173">
    <cfRule type="cellIs" dxfId="0" priority="2" operator="equal">
      <formula>"Satisfecho"</formula>
    </cfRule>
  </conditionalFormatting>
  <conditionalFormatting sqref="C183:F183 C185:F185 C181:F181">
    <cfRule type="expression" priority="1" stopIfTrue="1">
      <formula>""</formula>
    </cfRule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Vogel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mabeg</dc:creator>
  <cp:lastModifiedBy>Usuario</cp:lastModifiedBy>
  <dcterms:created xsi:type="dcterms:W3CDTF">2023-05-14T16:10:30Z</dcterms:created>
  <dcterms:modified xsi:type="dcterms:W3CDTF">2024-09-13T01:55:38Z</dcterms:modified>
</cp:coreProperties>
</file>