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Mis documentos\Documentos\Universidad\8vo Cuatrimestre\Metodología de la Investigación\TFG\GAP---Gestion-Accesible-para-PyMEs\archivos\"/>
    </mc:Choice>
  </mc:AlternateContent>
  <bookViews>
    <workbookView xWindow="0" yWindow="0" windowWidth="20490" windowHeight="7650"/>
  </bookViews>
  <sheets>
    <sheet name="Utilización" sheetId="6" r:id="rId1"/>
    <sheet name="Desarrollo de Redes" sheetId="7" r:id="rId2"/>
    <sheet name="Proyecto" sheetId="1" r:id="rId3"/>
    <sheet name="Precedencias" sheetId="3" r:id="rId4"/>
    <sheet name="Instructivo" sheetId="5" r:id="rId5"/>
    <sheet name="Base de Datos" sheetId="2" r:id="rId6"/>
  </sheets>
  <functionGroups builtInGroupCount="18"/>
  <externalReferences>
    <externalReference r:id="rId7"/>
  </externalReferences>
  <definedNames>
    <definedName name="_xlnm._FilterDatabase" localSheetId="0" hidden="1">Utilización!$H$2:$H$85</definedName>
  </definedNames>
  <calcPr calcId="162913"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8" i="7" l="1"/>
  <c r="A39" i="6" l="1"/>
  <c r="A40" i="6"/>
  <c r="A41" i="6"/>
  <c r="A42" i="6"/>
  <c r="A43" i="6"/>
  <c r="A44" i="6"/>
  <c r="A45" i="6"/>
  <c r="A46" i="6"/>
  <c r="A47" i="6"/>
  <c r="A48" i="6"/>
  <c r="A49" i="6"/>
  <c r="A50" i="6"/>
  <c r="A51" i="6"/>
  <c r="A52" i="6"/>
  <c r="A53" i="6"/>
  <c r="A54" i="6"/>
  <c r="A55" i="6"/>
  <c r="A56" i="6"/>
  <c r="A38" i="6"/>
  <c r="A19" i="2"/>
  <c r="G42" i="7" l="1"/>
  <c r="G41" i="7"/>
  <c r="S37" i="7" l="1"/>
  <c r="T37" i="7"/>
  <c r="U37" i="7"/>
  <c r="R37" i="7"/>
  <c r="R41" i="7"/>
  <c r="R42" i="7"/>
  <c r="R57" i="7"/>
  <c r="S57" i="7"/>
  <c r="T57" i="7"/>
  <c r="U57" i="7"/>
  <c r="G39" i="7"/>
  <c r="R39" i="7" s="1"/>
  <c r="G40" i="7"/>
  <c r="R40" i="7" s="1"/>
  <c r="G43" i="7"/>
  <c r="R43" i="7" s="1"/>
  <c r="G44" i="7"/>
  <c r="R44" i="7" s="1"/>
  <c r="G45" i="7"/>
  <c r="R45" i="7" s="1"/>
  <c r="G46" i="7"/>
  <c r="R46" i="7" s="1"/>
  <c r="G47" i="7"/>
  <c r="G48" i="7"/>
  <c r="R48" i="7" s="1"/>
  <c r="G49" i="7"/>
  <c r="R49" i="7" s="1"/>
  <c r="G50" i="7"/>
  <c r="R50" i="7" s="1"/>
  <c r="G51" i="7"/>
  <c r="R51" i="7" s="1"/>
  <c r="G52" i="7"/>
  <c r="R52" i="7" s="1"/>
  <c r="G53" i="7"/>
  <c r="R53" i="7" s="1"/>
  <c r="G54" i="7"/>
  <c r="R54" i="7" s="1"/>
  <c r="G55" i="7"/>
  <c r="R55" i="7" s="1"/>
  <c r="G56" i="7"/>
  <c r="R56" i="7" s="1"/>
  <c r="G38" i="7"/>
  <c r="M34" i="7"/>
  <c r="L34" i="7"/>
  <c r="M33" i="7"/>
  <c r="L33" i="7"/>
  <c r="M32" i="7"/>
  <c r="L32" i="7"/>
  <c r="P36" i="7"/>
  <c r="O36" i="7"/>
  <c r="P35" i="7"/>
  <c r="O35" i="7"/>
  <c r="P34" i="7"/>
  <c r="O34" i="7"/>
  <c r="P31" i="7"/>
  <c r="O31" i="7"/>
  <c r="P30" i="7"/>
  <c r="O30" i="7"/>
  <c r="P29" i="7"/>
  <c r="O29" i="7"/>
  <c r="M4" i="7"/>
  <c r="L4" i="7"/>
  <c r="M3" i="7"/>
  <c r="L3" i="7"/>
  <c r="M2" i="7"/>
  <c r="L2" i="7"/>
  <c r="R47" i="7" l="1"/>
  <c r="R38" i="7"/>
  <c r="J39" i="7"/>
  <c r="U39" i="7" s="1"/>
  <c r="J40" i="7"/>
  <c r="U40" i="7" s="1"/>
  <c r="J41" i="7"/>
  <c r="U41" i="7" s="1"/>
  <c r="J42" i="7"/>
  <c r="U42" i="7" s="1"/>
  <c r="J43" i="7"/>
  <c r="U43" i="7" s="1"/>
  <c r="J44" i="7"/>
  <c r="U44" i="7" s="1"/>
  <c r="J45" i="7"/>
  <c r="U45" i="7" s="1"/>
  <c r="J46" i="7"/>
  <c r="U46" i="7" s="1"/>
  <c r="J47" i="7"/>
  <c r="U47" i="7" s="1"/>
  <c r="J48" i="7"/>
  <c r="U48" i="7" s="1"/>
  <c r="J49" i="7"/>
  <c r="U49" i="7" s="1"/>
  <c r="J50" i="7"/>
  <c r="U50" i="7" s="1"/>
  <c r="J51" i="7"/>
  <c r="U51" i="7" s="1"/>
  <c r="J52" i="7"/>
  <c r="U52" i="7" s="1"/>
  <c r="J53" i="7"/>
  <c r="U53" i="7" s="1"/>
  <c r="J54" i="7"/>
  <c r="U54" i="7" s="1"/>
  <c r="J55" i="7"/>
  <c r="U55" i="7" s="1"/>
  <c r="J56" i="7"/>
  <c r="U56" i="7" s="1"/>
  <c r="I39" i="7"/>
  <c r="T39" i="7" s="1"/>
  <c r="I40" i="7"/>
  <c r="T40" i="7" s="1"/>
  <c r="I41" i="7"/>
  <c r="T41" i="7" s="1"/>
  <c r="I42" i="7"/>
  <c r="T42" i="7" s="1"/>
  <c r="I43" i="7"/>
  <c r="T43" i="7" s="1"/>
  <c r="I44" i="7"/>
  <c r="T44" i="7" s="1"/>
  <c r="I45" i="7"/>
  <c r="T45" i="7" s="1"/>
  <c r="I46" i="7"/>
  <c r="T46" i="7" s="1"/>
  <c r="I47" i="7"/>
  <c r="T47" i="7" s="1"/>
  <c r="I48" i="7"/>
  <c r="T48" i="7" s="1"/>
  <c r="I49" i="7"/>
  <c r="T49" i="7" s="1"/>
  <c r="I50" i="7"/>
  <c r="T50" i="7" s="1"/>
  <c r="I51" i="7"/>
  <c r="T51" i="7" s="1"/>
  <c r="I52" i="7"/>
  <c r="T52" i="7" s="1"/>
  <c r="I53" i="7"/>
  <c r="T53" i="7" s="1"/>
  <c r="I54" i="7"/>
  <c r="T54" i="7" s="1"/>
  <c r="I55" i="7"/>
  <c r="T55" i="7" s="1"/>
  <c r="I56" i="7"/>
  <c r="T56" i="7" s="1"/>
  <c r="H39" i="7"/>
  <c r="S39" i="7" s="1"/>
  <c r="H40" i="7"/>
  <c r="S40" i="7" s="1"/>
  <c r="H41" i="7"/>
  <c r="S41" i="7" s="1"/>
  <c r="H42" i="7"/>
  <c r="S42" i="7" s="1"/>
  <c r="H43" i="7"/>
  <c r="S43" i="7" s="1"/>
  <c r="H44" i="7"/>
  <c r="S44" i="7" s="1"/>
  <c r="H45" i="7"/>
  <c r="S45" i="7" s="1"/>
  <c r="H46" i="7"/>
  <c r="S46" i="7" s="1"/>
  <c r="H47" i="7"/>
  <c r="S47" i="7" s="1"/>
  <c r="H48" i="7"/>
  <c r="S48" i="7" s="1"/>
  <c r="H49" i="7"/>
  <c r="S49" i="7" s="1"/>
  <c r="H50" i="7"/>
  <c r="S50" i="7" s="1"/>
  <c r="H51" i="7"/>
  <c r="S51" i="7" s="1"/>
  <c r="H52" i="7"/>
  <c r="S52" i="7" s="1"/>
  <c r="H53" i="7"/>
  <c r="S53" i="7" s="1"/>
  <c r="H54" i="7"/>
  <c r="S54" i="7" s="1"/>
  <c r="H55" i="7"/>
  <c r="S55" i="7" s="1"/>
  <c r="H56" i="7"/>
  <c r="S56" i="7" s="1"/>
  <c r="F39" i="7"/>
  <c r="F40" i="7"/>
  <c r="F41" i="7"/>
  <c r="F42" i="7"/>
  <c r="F43" i="7"/>
  <c r="F44" i="7"/>
  <c r="F45" i="7"/>
  <c r="F46" i="7"/>
  <c r="F47" i="7"/>
  <c r="F48" i="7"/>
  <c r="F49" i="7"/>
  <c r="F50" i="7"/>
  <c r="F51" i="7"/>
  <c r="F52" i="7"/>
  <c r="F53" i="7"/>
  <c r="F54" i="7"/>
  <c r="F55" i="7"/>
  <c r="F56" i="7"/>
  <c r="E39" i="7"/>
  <c r="E40" i="7"/>
  <c r="E41" i="7"/>
  <c r="E42" i="7"/>
  <c r="E43" i="7"/>
  <c r="E44" i="7"/>
  <c r="E45" i="7"/>
  <c r="E46" i="7"/>
  <c r="E47" i="7"/>
  <c r="E48" i="7"/>
  <c r="E49" i="7"/>
  <c r="E50" i="7"/>
  <c r="E51" i="7"/>
  <c r="E52" i="7"/>
  <c r="E53" i="7"/>
  <c r="E54" i="7"/>
  <c r="E55" i="7"/>
  <c r="E56" i="7"/>
  <c r="B39" i="7"/>
  <c r="B40" i="7"/>
  <c r="B41" i="7"/>
  <c r="B42" i="7"/>
  <c r="B43" i="7"/>
  <c r="B44" i="7"/>
  <c r="B45" i="7"/>
  <c r="B46" i="7"/>
  <c r="B47" i="7"/>
  <c r="B48" i="7"/>
  <c r="B49" i="7"/>
  <c r="B50" i="7"/>
  <c r="B51" i="7"/>
  <c r="B52" i="7"/>
  <c r="B53" i="7"/>
  <c r="B54" i="7"/>
  <c r="B55" i="7"/>
  <c r="B56" i="7"/>
  <c r="J38" i="7"/>
  <c r="U38" i="7" s="1"/>
  <c r="I38" i="7"/>
  <c r="T38" i="7" s="1"/>
  <c r="H38" i="7"/>
  <c r="S38" i="7" s="1"/>
  <c r="F38" i="7"/>
  <c r="E38" i="7"/>
  <c r="B38" i="7"/>
  <c r="A39" i="7"/>
  <c r="A40" i="7"/>
  <c r="A41" i="7"/>
  <c r="A42" i="7"/>
  <c r="A43" i="7"/>
  <c r="A44" i="7"/>
  <c r="A45" i="7"/>
  <c r="A46" i="7"/>
  <c r="A47" i="7"/>
  <c r="A48" i="7"/>
  <c r="A49" i="7"/>
  <c r="A50" i="7"/>
  <c r="A51" i="7"/>
  <c r="A52" i="7"/>
  <c r="A53" i="7"/>
  <c r="A54" i="7"/>
  <c r="A55" i="7"/>
  <c r="A56" i="7"/>
  <c r="P6" i="7"/>
  <c r="O6" i="7"/>
  <c r="P5" i="7"/>
  <c r="O5" i="7"/>
  <c r="P4" i="7"/>
  <c r="O4" i="7"/>
  <c r="P26" i="7"/>
  <c r="O26" i="7"/>
  <c r="P25" i="7"/>
  <c r="O25" i="7"/>
  <c r="P24" i="7"/>
  <c r="O24" i="7"/>
  <c r="P21" i="7"/>
  <c r="O21" i="7"/>
  <c r="P20" i="7"/>
  <c r="O20" i="7"/>
  <c r="P19" i="7"/>
  <c r="O19" i="7"/>
  <c r="M29" i="7"/>
  <c r="L29" i="7"/>
  <c r="M28" i="7"/>
  <c r="L28" i="7"/>
  <c r="M27" i="7"/>
  <c r="L27" i="7"/>
  <c r="N38" i="7" l="1"/>
  <c r="N46" i="7"/>
  <c r="N54" i="7"/>
  <c r="N40" i="7"/>
  <c r="N48" i="7"/>
  <c r="N43" i="7"/>
  <c r="N51" i="7"/>
  <c r="N45" i="7"/>
  <c r="N53" i="7"/>
  <c r="N42" i="7"/>
  <c r="N50" i="7"/>
  <c r="N44" i="7"/>
  <c r="N52" i="7"/>
  <c r="N39" i="7"/>
  <c r="N47" i="7"/>
  <c r="N55" i="7"/>
  <c r="N41" i="7"/>
  <c r="N49" i="7"/>
  <c r="N56" i="7"/>
  <c r="A15" i="7"/>
  <c r="A41" i="2" l="1"/>
  <c r="A42" i="2"/>
  <c r="A38" i="2"/>
  <c r="A39" i="2"/>
  <c r="A40" i="2"/>
  <c r="A25" i="2"/>
  <c r="A26" i="2"/>
  <c r="A27" i="2"/>
  <c r="A28" i="2"/>
  <c r="A29" i="2"/>
  <c r="A30" i="2"/>
  <c r="A31" i="2"/>
  <c r="A32" i="2"/>
  <c r="A33" i="2"/>
  <c r="A34" i="2"/>
  <c r="A35" i="2"/>
  <c r="A36" i="2"/>
  <c r="A37" i="2"/>
  <c r="A24" i="2"/>
  <c r="D23" i="2"/>
  <c r="E23" i="2" s="1"/>
  <c r="E58" i="6"/>
  <c r="D32" i="6"/>
  <c r="F65" i="6"/>
  <c r="K38" i="7" s="1"/>
  <c r="E66" i="6"/>
  <c r="E67" i="6"/>
  <c r="E68" i="6"/>
  <c r="E69" i="6"/>
  <c r="E70" i="6"/>
  <c r="E71" i="6"/>
  <c r="E72" i="6"/>
  <c r="E73" i="6"/>
  <c r="E74" i="6"/>
  <c r="E75" i="6"/>
  <c r="E76" i="6"/>
  <c r="E77" i="6"/>
  <c r="E78" i="6"/>
  <c r="E79" i="6"/>
  <c r="E80" i="6"/>
  <c r="E81" i="6"/>
  <c r="E82" i="6"/>
  <c r="E83" i="6"/>
  <c r="E65" i="6"/>
  <c r="B66" i="6"/>
  <c r="B67" i="6"/>
  <c r="B68" i="6"/>
  <c r="B69" i="6"/>
  <c r="B70" i="6"/>
  <c r="B71" i="6"/>
  <c r="B72" i="6"/>
  <c r="B73" i="6"/>
  <c r="B74" i="6"/>
  <c r="B75" i="6"/>
  <c r="B76" i="6"/>
  <c r="B77" i="6"/>
  <c r="B78" i="6"/>
  <c r="B79" i="6"/>
  <c r="B80" i="6"/>
  <c r="B81" i="6"/>
  <c r="B82" i="6"/>
  <c r="B83" i="6"/>
  <c r="B65" i="6"/>
  <c r="A66" i="6"/>
  <c r="A67" i="6"/>
  <c r="A68" i="6"/>
  <c r="A69" i="6"/>
  <c r="A70" i="6"/>
  <c r="A71" i="6"/>
  <c r="A72" i="6"/>
  <c r="A73" i="6"/>
  <c r="A74" i="6"/>
  <c r="A75" i="6"/>
  <c r="A76" i="6"/>
  <c r="A77" i="6"/>
  <c r="A78" i="6"/>
  <c r="A79" i="6"/>
  <c r="A80" i="6"/>
  <c r="A81" i="6"/>
  <c r="A82" i="6"/>
  <c r="A83" i="6"/>
  <c r="A65" i="6"/>
  <c r="D5" i="1"/>
  <c r="A5" i="1"/>
  <c r="L3" i="1" s="1"/>
  <c r="A6" i="1"/>
  <c r="M3" i="1" s="1"/>
  <c r="A7" i="1"/>
  <c r="N3" i="1" s="1"/>
  <c r="A8" i="1"/>
  <c r="O3" i="1" s="1"/>
  <c r="A9" i="1"/>
  <c r="P3" i="1" s="1"/>
  <c r="A10" i="1"/>
  <c r="Q3" i="1" s="1"/>
  <c r="A11" i="1"/>
  <c r="R3" i="1" s="1"/>
  <c r="A12" i="1"/>
  <c r="S3" i="1" s="1"/>
  <c r="A13" i="1"/>
  <c r="T3" i="1" s="1"/>
  <c r="A14" i="1"/>
  <c r="U3" i="1" s="1"/>
  <c r="A15" i="1"/>
  <c r="V3" i="1" s="1"/>
  <c r="A16" i="1"/>
  <c r="W3" i="1" s="1"/>
  <c r="A17" i="1"/>
  <c r="X3" i="1" s="1"/>
  <c r="A18" i="1"/>
  <c r="Y3" i="1" s="1"/>
  <c r="A19" i="1"/>
  <c r="Z3" i="1" s="1"/>
  <c r="A20" i="1"/>
  <c r="AA3" i="1" s="1"/>
  <c r="A21" i="1"/>
  <c r="AB3" i="1" s="1"/>
  <c r="A22" i="1"/>
  <c r="AC3" i="1" s="1"/>
  <c r="A4" i="1"/>
  <c r="K3" i="1" s="1"/>
  <c r="C5" i="1"/>
  <c r="C6" i="1"/>
  <c r="C7" i="1"/>
  <c r="C8" i="1"/>
  <c r="C9" i="1"/>
  <c r="C10" i="1"/>
  <c r="C11" i="1"/>
  <c r="C12" i="1"/>
  <c r="C13" i="1"/>
  <c r="C14" i="1"/>
  <c r="C15" i="1"/>
  <c r="C16" i="1"/>
  <c r="C17" i="1"/>
  <c r="C18" i="1"/>
  <c r="C19" i="1"/>
  <c r="C20" i="1"/>
  <c r="C21" i="1"/>
  <c r="C22" i="1"/>
  <c r="C4" i="1"/>
  <c r="G5" i="1"/>
  <c r="G6" i="1"/>
  <c r="G7" i="1"/>
  <c r="G8" i="1"/>
  <c r="G9" i="1"/>
  <c r="G10" i="1"/>
  <c r="G11" i="1"/>
  <c r="G12" i="1"/>
  <c r="G13" i="1"/>
  <c r="G14" i="1"/>
  <c r="G15" i="1"/>
  <c r="G16" i="1"/>
  <c r="G17" i="1"/>
  <c r="G18" i="1"/>
  <c r="G19" i="1"/>
  <c r="G20" i="1"/>
  <c r="G21" i="1"/>
  <c r="G22" i="1"/>
  <c r="F5" i="1"/>
  <c r="F6" i="1"/>
  <c r="F7" i="1"/>
  <c r="F8" i="1"/>
  <c r="F9" i="1"/>
  <c r="F10" i="1"/>
  <c r="F11" i="1"/>
  <c r="F12" i="1"/>
  <c r="F13" i="1"/>
  <c r="F14" i="1"/>
  <c r="F15" i="1"/>
  <c r="F16" i="1"/>
  <c r="F17" i="1"/>
  <c r="F18" i="1"/>
  <c r="F19" i="1"/>
  <c r="F20" i="1"/>
  <c r="F21" i="1"/>
  <c r="F22" i="1"/>
  <c r="E5" i="1"/>
  <c r="E6" i="1"/>
  <c r="E7" i="1"/>
  <c r="E8" i="1"/>
  <c r="E9" i="1"/>
  <c r="E10" i="1"/>
  <c r="E11" i="1"/>
  <c r="E12" i="1"/>
  <c r="E13" i="1"/>
  <c r="E14" i="1"/>
  <c r="E15" i="1"/>
  <c r="E16" i="1"/>
  <c r="E17" i="1"/>
  <c r="E18" i="1"/>
  <c r="E19" i="1"/>
  <c r="E20" i="1"/>
  <c r="E21" i="1"/>
  <c r="E22" i="1"/>
  <c r="G4" i="1"/>
  <c r="F4" i="1"/>
  <c r="E4" i="1"/>
  <c r="D6" i="1"/>
  <c r="D7" i="1"/>
  <c r="D8" i="1"/>
  <c r="D9" i="1"/>
  <c r="D10" i="1"/>
  <c r="D11" i="1"/>
  <c r="D12" i="1"/>
  <c r="D13" i="1"/>
  <c r="D14" i="1"/>
  <c r="D15" i="1"/>
  <c r="D16" i="1"/>
  <c r="D17" i="1"/>
  <c r="D18" i="1"/>
  <c r="D19" i="1"/>
  <c r="D20" i="1"/>
  <c r="D21" i="1"/>
  <c r="D22" i="1"/>
  <c r="D4" i="1"/>
  <c r="B39" i="6"/>
  <c r="B40" i="6"/>
  <c r="B41" i="6"/>
  <c r="B42" i="6"/>
  <c r="B43" i="6"/>
  <c r="B44" i="6"/>
  <c r="B45" i="6"/>
  <c r="B46" i="6"/>
  <c r="B47" i="6"/>
  <c r="B48" i="6"/>
  <c r="B49" i="6"/>
  <c r="B50" i="6"/>
  <c r="B51" i="6"/>
  <c r="B52" i="6"/>
  <c r="B53" i="6"/>
  <c r="B54" i="6"/>
  <c r="B55" i="6"/>
  <c r="B56" i="6"/>
  <c r="B38" i="6"/>
  <c r="G65" i="6" l="1"/>
  <c r="L38" i="7" s="1"/>
  <c r="F23" i="2"/>
  <c r="D24" i="2"/>
  <c r="K5" i="1" a="1"/>
  <c r="K5" i="1" s="1"/>
  <c r="H37" i="6"/>
  <c r="G37" i="6"/>
  <c r="F37" i="6"/>
  <c r="E37" i="6"/>
  <c r="D37" i="6"/>
  <c r="C37" i="6"/>
  <c r="E24" i="2" l="1"/>
  <c r="F24" i="2"/>
  <c r="G23" i="2"/>
  <c r="B3" i="3"/>
  <c r="B37" i="6" s="1"/>
  <c r="A3" i="3"/>
  <c r="A37" i="6" s="1"/>
  <c r="U9" i="1"/>
  <c r="AQ9" i="1" s="1"/>
  <c r="AC8" i="1"/>
  <c r="AY8" i="1" s="1"/>
  <c r="AB21" i="1"/>
  <c r="AX21" i="1" s="1"/>
  <c r="AA7" i="1"/>
  <c r="AW7" i="1" s="1"/>
  <c r="Z18" i="1"/>
  <c r="AV18" i="1" s="1"/>
  <c r="Y8" i="1"/>
  <c r="AU8" i="1" s="1"/>
  <c r="X14" i="1"/>
  <c r="AT14" i="1" s="1"/>
  <c r="W7" i="1"/>
  <c r="AS7" i="1" s="1"/>
  <c r="V20" i="1"/>
  <c r="AR20" i="1" s="1"/>
  <c r="U8" i="1"/>
  <c r="AQ8" i="1" s="1"/>
  <c r="T14" i="1"/>
  <c r="AP14" i="1" s="1"/>
  <c r="S10" i="1"/>
  <c r="AO10" i="1" s="1"/>
  <c r="R21" i="1"/>
  <c r="AN21" i="1" s="1"/>
  <c r="AM3" i="1"/>
  <c r="J10" i="1"/>
  <c r="AF10" i="1" s="1"/>
  <c r="J11" i="1"/>
  <c r="AF11" i="1" s="1"/>
  <c r="J12" i="1"/>
  <c r="AF12" i="1" s="1"/>
  <c r="J13" i="1"/>
  <c r="AF13" i="1" s="1"/>
  <c r="J14" i="1"/>
  <c r="AF14" i="1" s="1"/>
  <c r="J15" i="1"/>
  <c r="AF15" i="1" s="1"/>
  <c r="J16" i="1"/>
  <c r="AF16" i="1" s="1"/>
  <c r="J17" i="1"/>
  <c r="AF17" i="1" s="1"/>
  <c r="J18" i="1"/>
  <c r="AF18" i="1" s="1"/>
  <c r="J19" i="1"/>
  <c r="AF19" i="1" s="1"/>
  <c r="J20" i="1"/>
  <c r="AF20" i="1" s="1"/>
  <c r="J21" i="1"/>
  <c r="AF21" i="1" s="1"/>
  <c r="J22" i="1"/>
  <c r="AF22" i="1" s="1"/>
  <c r="J5" i="1"/>
  <c r="AF5" i="1" s="1"/>
  <c r="H23" i="2" l="1"/>
  <c r="G24" i="2"/>
  <c r="AC7" i="1"/>
  <c r="AY7" i="1" s="1"/>
  <c r="J9" i="1"/>
  <c r="AF9" i="1" s="1"/>
  <c r="V4" i="1"/>
  <c r="AR4" i="1" s="1"/>
  <c r="Z4" i="1"/>
  <c r="AV4" i="1" s="1"/>
  <c r="T5" i="1"/>
  <c r="AP5" i="1" s="1"/>
  <c r="X5" i="1"/>
  <c r="AT5" i="1" s="1"/>
  <c r="AB5" i="1"/>
  <c r="AX5" i="1" s="1"/>
  <c r="V6" i="1"/>
  <c r="AR6" i="1" s="1"/>
  <c r="Z6" i="1"/>
  <c r="AV6" i="1" s="1"/>
  <c r="T10" i="1"/>
  <c r="AP10" i="1" s="1"/>
  <c r="X10" i="1"/>
  <c r="AT10" i="1" s="1"/>
  <c r="AB10" i="1"/>
  <c r="AX10" i="1" s="1"/>
  <c r="V11" i="1"/>
  <c r="AR11" i="1" s="1"/>
  <c r="Z11" i="1"/>
  <c r="AV11" i="1" s="1"/>
  <c r="V14" i="1"/>
  <c r="AR14" i="1" s="1"/>
  <c r="Z14" i="1"/>
  <c r="AV14" i="1" s="1"/>
  <c r="X15" i="1"/>
  <c r="AT15" i="1" s="1"/>
  <c r="AB15" i="1"/>
  <c r="AX15" i="1" s="1"/>
  <c r="T18" i="1"/>
  <c r="AP18" i="1" s="1"/>
  <c r="X18" i="1"/>
  <c r="AT18" i="1" s="1"/>
  <c r="AB18" i="1"/>
  <c r="AX18" i="1" s="1"/>
  <c r="Z20" i="1"/>
  <c r="AV20" i="1" s="1"/>
  <c r="X21" i="1"/>
  <c r="AT21" i="1" s="1"/>
  <c r="M22" i="1"/>
  <c r="AI22" i="1" s="1"/>
  <c r="T4" i="1"/>
  <c r="AP4" i="1" s="1"/>
  <c r="X4" i="1"/>
  <c r="AT4" i="1" s="1"/>
  <c r="AB4" i="1"/>
  <c r="AX4" i="1" s="1"/>
  <c r="V5" i="1"/>
  <c r="AR5" i="1" s="1"/>
  <c r="Z5" i="1"/>
  <c r="AV5" i="1" s="1"/>
  <c r="X6" i="1"/>
  <c r="AT6" i="1" s="1"/>
  <c r="AB6" i="1"/>
  <c r="AX6" i="1" s="1"/>
  <c r="V10" i="1"/>
  <c r="AR10" i="1" s="1"/>
  <c r="Z10" i="1"/>
  <c r="AV10" i="1" s="1"/>
  <c r="X11" i="1"/>
  <c r="AT11" i="1" s="1"/>
  <c r="AB11" i="1"/>
  <c r="AX11" i="1" s="1"/>
  <c r="AB14" i="1"/>
  <c r="AX14" i="1" s="1"/>
  <c r="V15" i="1"/>
  <c r="AR15" i="1" s="1"/>
  <c r="Z15" i="1"/>
  <c r="AV15" i="1" s="1"/>
  <c r="V18" i="1"/>
  <c r="AR18" i="1" s="1"/>
  <c r="U21" i="1"/>
  <c r="AQ21" i="1" s="1"/>
  <c r="U20" i="1"/>
  <c r="AQ20" i="1" s="1"/>
  <c r="U19" i="1"/>
  <c r="AQ19" i="1" s="1"/>
  <c r="U18" i="1"/>
  <c r="AQ18" i="1" s="1"/>
  <c r="U15" i="1"/>
  <c r="AQ15" i="1" s="1"/>
  <c r="U14" i="1"/>
  <c r="AQ14" i="1" s="1"/>
  <c r="U11" i="1"/>
  <c r="AQ11" i="1" s="1"/>
  <c r="U10" i="1"/>
  <c r="AQ10" i="1" s="1"/>
  <c r="U6" i="1"/>
  <c r="AQ6" i="1" s="1"/>
  <c r="U5" i="1"/>
  <c r="AQ5" i="1" s="1"/>
  <c r="U4" i="1"/>
  <c r="AQ4" i="1" s="1"/>
  <c r="AQ3" i="1"/>
  <c r="U22" i="1"/>
  <c r="AQ22" i="1" s="1"/>
  <c r="U17" i="1"/>
  <c r="AQ17" i="1" s="1"/>
  <c r="U16" i="1"/>
  <c r="AQ16" i="1" s="1"/>
  <c r="U13" i="1"/>
  <c r="AQ13" i="1" s="1"/>
  <c r="U12" i="1"/>
  <c r="AQ12" i="1" s="1"/>
  <c r="W21" i="1"/>
  <c r="AS21" i="1" s="1"/>
  <c r="W20" i="1"/>
  <c r="AS20" i="1" s="1"/>
  <c r="AS3" i="1"/>
  <c r="W22" i="1"/>
  <c r="AS22" i="1" s="1"/>
  <c r="W18" i="1"/>
  <c r="AS18" i="1" s="1"/>
  <c r="W15" i="1"/>
  <c r="AS15" i="1" s="1"/>
  <c r="W14" i="1"/>
  <c r="AS14" i="1" s="1"/>
  <c r="W11" i="1"/>
  <c r="AS11" i="1" s="1"/>
  <c r="W10" i="1"/>
  <c r="AS10" i="1" s="1"/>
  <c r="W6" i="1"/>
  <c r="AS6" i="1" s="1"/>
  <c r="W5" i="1"/>
  <c r="AS5" i="1" s="1"/>
  <c r="W4" i="1"/>
  <c r="AS4" i="1" s="1"/>
  <c r="W19" i="1"/>
  <c r="AS19" i="1" s="1"/>
  <c r="W17" i="1"/>
  <c r="AS17" i="1" s="1"/>
  <c r="W16" i="1"/>
  <c r="AS16" i="1" s="1"/>
  <c r="W13" i="1"/>
  <c r="AS13" i="1" s="1"/>
  <c r="W12" i="1"/>
  <c r="AS12" i="1" s="1"/>
  <c r="Y21" i="1"/>
  <c r="AU21" i="1" s="1"/>
  <c r="Y20" i="1"/>
  <c r="AU20" i="1" s="1"/>
  <c r="Y19" i="1"/>
  <c r="AU19" i="1" s="1"/>
  <c r="Y18" i="1"/>
  <c r="AU18" i="1" s="1"/>
  <c r="Y15" i="1"/>
  <c r="AU15" i="1" s="1"/>
  <c r="Y14" i="1"/>
  <c r="AU14" i="1" s="1"/>
  <c r="Y11" i="1"/>
  <c r="AU11" i="1" s="1"/>
  <c r="Y10" i="1"/>
  <c r="AU10" i="1" s="1"/>
  <c r="Y6" i="1"/>
  <c r="AU6" i="1" s="1"/>
  <c r="Y5" i="1"/>
  <c r="AU5" i="1" s="1"/>
  <c r="Y4" i="1"/>
  <c r="AU4" i="1" s="1"/>
  <c r="AU3" i="1"/>
  <c r="Y22" i="1"/>
  <c r="AU22" i="1" s="1"/>
  <c r="Y17" i="1"/>
  <c r="AU17" i="1" s="1"/>
  <c r="Y16" i="1"/>
  <c r="AU16" i="1" s="1"/>
  <c r="Y13" i="1"/>
  <c r="AU13" i="1" s="1"/>
  <c r="Y12" i="1"/>
  <c r="AU12" i="1" s="1"/>
  <c r="Y9" i="1"/>
  <c r="AU9" i="1" s="1"/>
  <c r="AA21" i="1"/>
  <c r="AW21" i="1" s="1"/>
  <c r="AA20" i="1"/>
  <c r="AW20" i="1" s="1"/>
  <c r="AW3" i="1"/>
  <c r="AA22" i="1"/>
  <c r="AW22" i="1" s="1"/>
  <c r="AA18" i="1"/>
  <c r="AW18" i="1" s="1"/>
  <c r="AA15" i="1"/>
  <c r="AW15" i="1" s="1"/>
  <c r="AA14" i="1"/>
  <c r="AW14" i="1" s="1"/>
  <c r="AA11" i="1"/>
  <c r="AW11" i="1" s="1"/>
  <c r="AA10" i="1"/>
  <c r="AW10" i="1" s="1"/>
  <c r="AA6" i="1"/>
  <c r="AW6" i="1" s="1"/>
  <c r="AA5" i="1"/>
  <c r="AW5" i="1" s="1"/>
  <c r="AA4" i="1"/>
  <c r="AW4" i="1" s="1"/>
  <c r="AA19" i="1"/>
  <c r="AW19" i="1" s="1"/>
  <c r="AA17" i="1"/>
  <c r="AW17" i="1" s="1"/>
  <c r="AA16" i="1"/>
  <c r="AW16" i="1" s="1"/>
  <c r="AA13" i="1"/>
  <c r="AW13" i="1" s="1"/>
  <c r="AA12" i="1"/>
  <c r="AW12" i="1" s="1"/>
  <c r="AA9" i="1"/>
  <c r="AW9" i="1" s="1"/>
  <c r="AC21" i="1"/>
  <c r="AY21" i="1" s="1"/>
  <c r="AC20" i="1"/>
  <c r="AY20" i="1" s="1"/>
  <c r="AC19" i="1"/>
  <c r="AY19" i="1" s="1"/>
  <c r="AC18" i="1"/>
  <c r="AY18" i="1" s="1"/>
  <c r="AC15" i="1"/>
  <c r="AY15" i="1" s="1"/>
  <c r="AC14" i="1"/>
  <c r="AY14" i="1" s="1"/>
  <c r="AC11" i="1"/>
  <c r="AY11" i="1" s="1"/>
  <c r="AC10" i="1"/>
  <c r="AY10" i="1" s="1"/>
  <c r="AC6" i="1"/>
  <c r="AY6" i="1" s="1"/>
  <c r="AC5" i="1"/>
  <c r="AY5" i="1" s="1"/>
  <c r="AC4" i="1"/>
  <c r="AY4" i="1" s="1"/>
  <c r="AY3" i="1"/>
  <c r="AC22" i="1"/>
  <c r="AY22" i="1" s="1"/>
  <c r="E22" i="3" s="1" a="1"/>
  <c r="E22" i="3" s="1"/>
  <c r="AC17" i="1"/>
  <c r="AY17" i="1" s="1"/>
  <c r="AC16" i="1"/>
  <c r="AY16" i="1" s="1"/>
  <c r="AC13" i="1"/>
  <c r="AY13" i="1" s="1"/>
  <c r="AC12" i="1"/>
  <c r="AY12" i="1" s="1"/>
  <c r="AC9" i="1"/>
  <c r="AY9" i="1" s="1"/>
  <c r="U7" i="1"/>
  <c r="AQ7" i="1" s="1"/>
  <c r="Y7" i="1"/>
  <c r="AU7" i="1" s="1"/>
  <c r="W8" i="1"/>
  <c r="AS8" i="1" s="1"/>
  <c r="AA8" i="1"/>
  <c r="AW8" i="1" s="1"/>
  <c r="W9" i="1"/>
  <c r="AS9" i="1" s="1"/>
  <c r="AP3" i="1"/>
  <c r="T22" i="1"/>
  <c r="AP22" i="1" s="1"/>
  <c r="AR3" i="1"/>
  <c r="V22" i="1"/>
  <c r="AR22" i="1" s="1"/>
  <c r="V19" i="1"/>
  <c r="AR19" i="1" s="1"/>
  <c r="AT3" i="1"/>
  <c r="X22" i="1"/>
  <c r="AT22" i="1" s="1"/>
  <c r="X19" i="1"/>
  <c r="AT19" i="1" s="1"/>
  <c r="AV3" i="1"/>
  <c r="Z22" i="1"/>
  <c r="AV22" i="1" s="1"/>
  <c r="Z19" i="1"/>
  <c r="AV19" i="1" s="1"/>
  <c r="AX3" i="1"/>
  <c r="AB22" i="1"/>
  <c r="AX22" i="1" s="1"/>
  <c r="E21" i="3" s="1" a="1"/>
  <c r="E21" i="3" s="1"/>
  <c r="AB19" i="1"/>
  <c r="AX19" i="1" s="1"/>
  <c r="T7" i="1"/>
  <c r="AP7" i="1" s="1"/>
  <c r="V7" i="1"/>
  <c r="AR7" i="1" s="1"/>
  <c r="X7" i="1"/>
  <c r="AT7" i="1" s="1"/>
  <c r="Z7" i="1"/>
  <c r="AV7" i="1" s="1"/>
  <c r="AB7" i="1"/>
  <c r="AX7" i="1" s="1"/>
  <c r="T8" i="1"/>
  <c r="AP8" i="1" s="1"/>
  <c r="V8" i="1"/>
  <c r="AR8" i="1" s="1"/>
  <c r="X8" i="1"/>
  <c r="AT8" i="1" s="1"/>
  <c r="Z8" i="1"/>
  <c r="AV8" i="1" s="1"/>
  <c r="AB8" i="1"/>
  <c r="AX8" i="1" s="1"/>
  <c r="V9" i="1"/>
  <c r="AR9" i="1" s="1"/>
  <c r="X9" i="1"/>
  <c r="AT9" i="1" s="1"/>
  <c r="Z9" i="1"/>
  <c r="AV9" i="1" s="1"/>
  <c r="AB9" i="1"/>
  <c r="AX9" i="1" s="1"/>
  <c r="T12" i="1"/>
  <c r="AP12" i="1" s="1"/>
  <c r="V12" i="1"/>
  <c r="AR12" i="1" s="1"/>
  <c r="X12" i="1"/>
  <c r="AT12" i="1" s="1"/>
  <c r="Z12" i="1"/>
  <c r="AV12" i="1" s="1"/>
  <c r="AB12" i="1"/>
  <c r="AX12" i="1" s="1"/>
  <c r="V13" i="1"/>
  <c r="AR13" i="1" s="1"/>
  <c r="X13" i="1"/>
  <c r="AT13" i="1" s="1"/>
  <c r="Z13" i="1"/>
  <c r="AV13" i="1" s="1"/>
  <c r="AB13" i="1"/>
  <c r="AX13" i="1" s="1"/>
  <c r="T16" i="1"/>
  <c r="AP16" i="1" s="1"/>
  <c r="V16" i="1"/>
  <c r="AR16" i="1" s="1"/>
  <c r="X16" i="1"/>
  <c r="AT16" i="1" s="1"/>
  <c r="Z16" i="1"/>
  <c r="AV16" i="1" s="1"/>
  <c r="AB16" i="1"/>
  <c r="AX16" i="1" s="1"/>
  <c r="V17" i="1"/>
  <c r="AR17" i="1" s="1"/>
  <c r="X17" i="1"/>
  <c r="AT17" i="1" s="1"/>
  <c r="Z17" i="1"/>
  <c r="AV17" i="1" s="1"/>
  <c r="AB17" i="1"/>
  <c r="AX17" i="1" s="1"/>
  <c r="T20" i="1"/>
  <c r="AP20" i="1" s="1"/>
  <c r="X20" i="1"/>
  <c r="AT20" i="1" s="1"/>
  <c r="AB20" i="1"/>
  <c r="AX20" i="1" s="1"/>
  <c r="V21" i="1"/>
  <c r="AR21" i="1" s="1"/>
  <c r="Z21" i="1"/>
  <c r="AV21" i="1" s="1"/>
  <c r="T6" i="1"/>
  <c r="AP6" i="1" s="1"/>
  <c r="T9" i="1"/>
  <c r="AP9" i="1" s="1"/>
  <c r="T11" i="1"/>
  <c r="AP11" i="1" s="1"/>
  <c r="T13" i="1"/>
  <c r="AP13" i="1" s="1"/>
  <c r="T15" i="1"/>
  <c r="AP15" i="1" s="1"/>
  <c r="T17" i="1"/>
  <c r="AP17" i="1" s="1"/>
  <c r="T19" i="1"/>
  <c r="AP19" i="1" s="1"/>
  <c r="T21" i="1"/>
  <c r="AP21" i="1" s="1"/>
  <c r="S4" i="1"/>
  <c r="AO4" i="1" s="1"/>
  <c r="S11" i="1"/>
  <c r="AO11" i="1" s="1"/>
  <c r="S12" i="1"/>
  <c r="AO12" i="1" s="1"/>
  <c r="S13" i="1"/>
  <c r="AO13" i="1" s="1"/>
  <c r="S14" i="1"/>
  <c r="AO14" i="1" s="1"/>
  <c r="S15" i="1"/>
  <c r="AO15" i="1" s="1"/>
  <c r="S16" i="1"/>
  <c r="AO16" i="1" s="1"/>
  <c r="S17" i="1"/>
  <c r="AO17" i="1" s="1"/>
  <c r="S18" i="1"/>
  <c r="AO18" i="1" s="1"/>
  <c r="S19" i="1"/>
  <c r="AO19" i="1" s="1"/>
  <c r="S20" i="1"/>
  <c r="AO20" i="1" s="1"/>
  <c r="S21" i="1"/>
  <c r="AO21" i="1" s="1"/>
  <c r="S22" i="1"/>
  <c r="AO22" i="1" s="1"/>
  <c r="AO3" i="1"/>
  <c r="AK3" i="1"/>
  <c r="O21" i="1"/>
  <c r="AK21" i="1" s="1"/>
  <c r="O19" i="1"/>
  <c r="AK19" i="1" s="1"/>
  <c r="O17" i="1"/>
  <c r="AK17" i="1" s="1"/>
  <c r="O15" i="1"/>
  <c r="AK15" i="1" s="1"/>
  <c r="O13" i="1"/>
  <c r="AK13" i="1" s="1"/>
  <c r="O11" i="1"/>
  <c r="AK11" i="1" s="1"/>
  <c r="O10" i="1"/>
  <c r="AK10" i="1" s="1"/>
  <c r="O9" i="1"/>
  <c r="AK9" i="1" s="1"/>
  <c r="O8" i="1"/>
  <c r="AK8" i="1" s="1"/>
  <c r="O22" i="1"/>
  <c r="AK22" i="1" s="1"/>
  <c r="O20" i="1"/>
  <c r="AK20" i="1" s="1"/>
  <c r="O18" i="1"/>
  <c r="AK18" i="1" s="1"/>
  <c r="O16" i="1"/>
  <c r="AK16" i="1" s="1"/>
  <c r="O14" i="1"/>
  <c r="AK14" i="1" s="1"/>
  <c r="O12" i="1"/>
  <c r="AK12" i="1" s="1"/>
  <c r="O7" i="1"/>
  <c r="AK7" i="1" s="1"/>
  <c r="O6" i="1"/>
  <c r="AK6" i="1" s="1"/>
  <c r="O5" i="1"/>
  <c r="AK5" i="1" s="1"/>
  <c r="O4" i="1"/>
  <c r="AK4" i="1" s="1"/>
  <c r="J8" i="1"/>
  <c r="AF8" i="1" s="1"/>
  <c r="J7" i="1"/>
  <c r="AF7" i="1" s="1"/>
  <c r="AI3" i="1"/>
  <c r="J6" i="1"/>
  <c r="AF6" i="1" s="1"/>
  <c r="M4" i="1"/>
  <c r="AI4" i="1" s="1"/>
  <c r="M14" i="1"/>
  <c r="AI14" i="1" s="1"/>
  <c r="J4" i="1"/>
  <c r="AF4" i="1" s="1"/>
  <c r="S5" i="1"/>
  <c r="AO5" i="1" s="1"/>
  <c r="S6" i="1"/>
  <c r="AO6" i="1" s="1"/>
  <c r="S7" i="1"/>
  <c r="AO7" i="1" s="1"/>
  <c r="S8" i="1"/>
  <c r="AO8" i="1" s="1"/>
  <c r="S9" i="1"/>
  <c r="AO9" i="1" s="1"/>
  <c r="R4" i="1"/>
  <c r="AN4" i="1" s="1"/>
  <c r="R5" i="1"/>
  <c r="AN5" i="1" s="1"/>
  <c r="R7" i="1"/>
  <c r="AN7" i="1" s="1"/>
  <c r="R9" i="1"/>
  <c r="AN9" i="1" s="1"/>
  <c r="R12" i="1"/>
  <c r="AN12" i="1" s="1"/>
  <c r="R14" i="1"/>
  <c r="AN14" i="1" s="1"/>
  <c r="R16" i="1"/>
  <c r="AN16" i="1" s="1"/>
  <c r="R18" i="1"/>
  <c r="AN18" i="1" s="1"/>
  <c r="R20" i="1"/>
  <c r="AN20" i="1" s="1"/>
  <c r="R22" i="1"/>
  <c r="AN22" i="1" s="1"/>
  <c r="AN3" i="1"/>
  <c r="R6" i="1"/>
  <c r="AN6" i="1" s="1"/>
  <c r="R8" i="1"/>
  <c r="AN8" i="1" s="1"/>
  <c r="R10" i="1"/>
  <c r="AN10" i="1" s="1"/>
  <c r="R11" i="1"/>
  <c r="AN11" i="1" s="1"/>
  <c r="R13" i="1"/>
  <c r="AN13" i="1" s="1"/>
  <c r="R15" i="1"/>
  <c r="AN15" i="1" s="1"/>
  <c r="R17" i="1"/>
  <c r="AN17" i="1" s="1"/>
  <c r="R19" i="1"/>
  <c r="AN19" i="1" s="1"/>
  <c r="Q5" i="1"/>
  <c r="AM5" i="1" s="1"/>
  <c r="Q6" i="1"/>
  <c r="AM6" i="1" s="1"/>
  <c r="Q7" i="1"/>
  <c r="AM7" i="1" s="1"/>
  <c r="Q8" i="1"/>
  <c r="AM8" i="1" s="1"/>
  <c r="Q9" i="1"/>
  <c r="AM9" i="1" s="1"/>
  <c r="Q10" i="1"/>
  <c r="AM10" i="1" s="1"/>
  <c r="Q4" i="1"/>
  <c r="AM4" i="1" s="1"/>
  <c r="Q11" i="1"/>
  <c r="AM11" i="1" s="1"/>
  <c r="Q12" i="1"/>
  <c r="AM12" i="1" s="1"/>
  <c r="Q13" i="1"/>
  <c r="AM13" i="1" s="1"/>
  <c r="Q14" i="1"/>
  <c r="AM14" i="1" s="1"/>
  <c r="Q15" i="1"/>
  <c r="AM15" i="1" s="1"/>
  <c r="Q16" i="1"/>
  <c r="AM16" i="1" s="1"/>
  <c r="Q17" i="1"/>
  <c r="AM17" i="1" s="1"/>
  <c r="Q18" i="1"/>
  <c r="AM18" i="1" s="1"/>
  <c r="Q19" i="1"/>
  <c r="AM19" i="1" s="1"/>
  <c r="Q20" i="1"/>
  <c r="AM20" i="1" s="1"/>
  <c r="Q21" i="1"/>
  <c r="AM21" i="1" s="1"/>
  <c r="Q22" i="1"/>
  <c r="AM22" i="1" s="1"/>
  <c r="I23" i="2" l="1"/>
  <c r="H24" i="2"/>
  <c r="E20" i="3" a="1"/>
  <c r="E20" i="3" s="1"/>
  <c r="E19" i="3" a="1"/>
  <c r="E19" i="3" s="1"/>
  <c r="E18" i="3" a="1"/>
  <c r="E18" i="3" s="1"/>
  <c r="E16" i="3" a="1"/>
  <c r="E16" i="3" s="1"/>
  <c r="E17" i="3" a="1"/>
  <c r="E17" i="3" s="1"/>
  <c r="E15" i="3" a="1"/>
  <c r="E15" i="3" s="1"/>
  <c r="E14" i="3" a="1"/>
  <c r="E14" i="3" s="1"/>
  <c r="E13" i="3" a="1"/>
  <c r="E13" i="3" s="1"/>
  <c r="E12" i="3" a="1"/>
  <c r="E12" i="3" s="1"/>
  <c r="E11" i="3" a="1"/>
  <c r="E11" i="3" s="1"/>
  <c r="E10" i="3" a="1"/>
  <c r="E10" i="3" s="1"/>
  <c r="E8" i="3" a="1"/>
  <c r="E8" i="3" s="1"/>
  <c r="M9" i="1"/>
  <c r="AI9" i="1" s="1"/>
  <c r="M15" i="1"/>
  <c r="AI15" i="1" s="1"/>
  <c r="M18" i="1"/>
  <c r="AI18" i="1" s="1"/>
  <c r="M8" i="1"/>
  <c r="AI8" i="1" s="1"/>
  <c r="M6" i="1"/>
  <c r="AI6" i="1" s="1"/>
  <c r="M19" i="1"/>
  <c r="AI19" i="1" s="1"/>
  <c r="M11" i="1"/>
  <c r="AI11" i="1" s="1"/>
  <c r="P21" i="1"/>
  <c r="AL21" i="1" s="1"/>
  <c r="P19" i="1"/>
  <c r="AL19" i="1" s="1"/>
  <c r="P18" i="1"/>
  <c r="AL18" i="1" s="1"/>
  <c r="P16" i="1"/>
  <c r="AL16" i="1" s="1"/>
  <c r="P13" i="1"/>
  <c r="AL13" i="1" s="1"/>
  <c r="P11" i="1"/>
  <c r="AL11" i="1" s="1"/>
  <c r="P10" i="1"/>
  <c r="AL10" i="1" s="1"/>
  <c r="P9" i="1"/>
  <c r="AL9" i="1" s="1"/>
  <c r="P8" i="1"/>
  <c r="AL8" i="1" s="1"/>
  <c r="P6" i="1"/>
  <c r="AL6" i="1" s="1"/>
  <c r="P5" i="1"/>
  <c r="AL5" i="1" s="1"/>
  <c r="AL3" i="1"/>
  <c r="P22" i="1"/>
  <c r="AL22" i="1" s="1"/>
  <c r="P20" i="1"/>
  <c r="AL20" i="1" s="1"/>
  <c r="P17" i="1"/>
  <c r="AL17" i="1" s="1"/>
  <c r="P15" i="1"/>
  <c r="AL15" i="1" s="1"/>
  <c r="P14" i="1"/>
  <c r="AL14" i="1" s="1"/>
  <c r="P12" i="1"/>
  <c r="AL12" i="1" s="1"/>
  <c r="P7" i="1"/>
  <c r="AL7" i="1" s="1"/>
  <c r="P4" i="1"/>
  <c r="AL4" i="1" s="1"/>
  <c r="M20" i="1"/>
  <c r="AI20" i="1" s="1"/>
  <c r="M16" i="1"/>
  <c r="AI16" i="1" s="1"/>
  <c r="M12" i="1"/>
  <c r="AI12" i="1" s="1"/>
  <c r="M10" i="1"/>
  <c r="AI10" i="1" s="1"/>
  <c r="M7" i="1"/>
  <c r="AI7" i="1" s="1"/>
  <c r="M5" i="1"/>
  <c r="AI5" i="1" s="1"/>
  <c r="M21" i="1"/>
  <c r="AI21" i="1" s="1"/>
  <c r="M17" i="1"/>
  <c r="AI17" i="1" s="1"/>
  <c r="M13" i="1"/>
  <c r="AI13" i="1" s="1"/>
  <c r="N10" i="1"/>
  <c r="AJ10" i="1" s="1"/>
  <c r="N8" i="1"/>
  <c r="AJ8" i="1" s="1"/>
  <c r="N7" i="1"/>
  <c r="AJ7" i="1" s="1"/>
  <c r="N5" i="1"/>
  <c r="AJ5" i="1" s="1"/>
  <c r="AJ3" i="1"/>
  <c r="N22" i="1"/>
  <c r="AJ22" i="1" s="1"/>
  <c r="N21" i="1"/>
  <c r="AJ21" i="1" s="1"/>
  <c r="N20" i="1"/>
  <c r="AJ20" i="1" s="1"/>
  <c r="N19" i="1"/>
  <c r="AJ19" i="1" s="1"/>
  <c r="N18" i="1"/>
  <c r="AJ18" i="1" s="1"/>
  <c r="N17" i="1"/>
  <c r="AJ17" i="1" s="1"/>
  <c r="N16" i="1"/>
  <c r="AJ16" i="1" s="1"/>
  <c r="N15" i="1"/>
  <c r="AJ15" i="1" s="1"/>
  <c r="N14" i="1"/>
  <c r="AJ14" i="1" s="1"/>
  <c r="N13" i="1"/>
  <c r="AJ13" i="1" s="1"/>
  <c r="N12" i="1"/>
  <c r="AJ12" i="1" s="1"/>
  <c r="N11" i="1"/>
  <c r="AJ11" i="1" s="1"/>
  <c r="N9" i="1"/>
  <c r="AJ9" i="1" s="1"/>
  <c r="N6" i="1"/>
  <c r="AJ6" i="1" s="1"/>
  <c r="N4" i="1"/>
  <c r="AJ4" i="1" s="1"/>
  <c r="L9" i="1"/>
  <c r="AH9" i="1" s="1"/>
  <c r="L8" i="1"/>
  <c r="AH8" i="1" s="1"/>
  <c r="L5" i="1"/>
  <c r="AH5" i="1" s="1"/>
  <c r="AH3" i="1"/>
  <c r="L22" i="1"/>
  <c r="AH22" i="1" s="1"/>
  <c r="L21" i="1"/>
  <c r="AH21" i="1" s="1"/>
  <c r="L20" i="1"/>
  <c r="AH20" i="1" s="1"/>
  <c r="L19" i="1"/>
  <c r="AH19" i="1" s="1"/>
  <c r="L18" i="1"/>
  <c r="AH18" i="1" s="1"/>
  <c r="L17" i="1"/>
  <c r="AH17" i="1" s="1"/>
  <c r="L16" i="1"/>
  <c r="AH16" i="1" s="1"/>
  <c r="L15" i="1"/>
  <c r="AH15" i="1" s="1"/>
  <c r="L14" i="1"/>
  <c r="AH14" i="1" s="1"/>
  <c r="L13" i="1"/>
  <c r="AH13" i="1" s="1"/>
  <c r="L12" i="1"/>
  <c r="AH12" i="1" s="1"/>
  <c r="L11" i="1"/>
  <c r="AH11" i="1" s="1"/>
  <c r="L10" i="1"/>
  <c r="AH10" i="1" s="1"/>
  <c r="L6" i="1"/>
  <c r="AH6" i="1" s="1"/>
  <c r="L4" i="1"/>
  <c r="AH4" i="1" s="1"/>
  <c r="L7" i="1"/>
  <c r="AH7" i="1" s="1"/>
  <c r="AG3" i="1"/>
  <c r="AG5" i="1"/>
  <c r="K7" i="1"/>
  <c r="AG7" i="1" s="1"/>
  <c r="K9" i="1"/>
  <c r="AG9" i="1" s="1"/>
  <c r="K11" i="1"/>
  <c r="AG11" i="1" s="1"/>
  <c r="K13" i="1"/>
  <c r="AG13" i="1" s="1"/>
  <c r="K15" i="1"/>
  <c r="AG15" i="1" s="1"/>
  <c r="K17" i="1"/>
  <c r="AG17" i="1" s="1"/>
  <c r="K19" i="1"/>
  <c r="AG19" i="1" s="1"/>
  <c r="K21" i="1"/>
  <c r="AG21" i="1" s="1"/>
  <c r="K4" i="1"/>
  <c r="AG4" i="1" s="1"/>
  <c r="K6" i="1"/>
  <c r="AG6" i="1" s="1"/>
  <c r="K8" i="1"/>
  <c r="AG8" i="1" s="1"/>
  <c r="K10" i="1"/>
  <c r="AG10" i="1" s="1"/>
  <c r="K12" i="1"/>
  <c r="AG12" i="1" s="1"/>
  <c r="K14" i="1"/>
  <c r="AG14" i="1" s="1"/>
  <c r="K16" i="1"/>
  <c r="AG16" i="1" s="1"/>
  <c r="K18" i="1"/>
  <c r="AG18" i="1" s="1"/>
  <c r="K20" i="1"/>
  <c r="AG20" i="1" s="1"/>
  <c r="K22" i="1"/>
  <c r="AG22" i="1" s="1"/>
  <c r="D22" i="3" l="1" a="1"/>
  <c r="D22" i="3" s="1"/>
  <c r="D18" i="3" a="1"/>
  <c r="D18" i="3" s="1"/>
  <c r="D14" i="3" a="1"/>
  <c r="D14" i="3" s="1"/>
  <c r="J23" i="2"/>
  <c r="I24" i="2"/>
  <c r="D10" i="3" a="1"/>
  <c r="D10" i="3" s="1"/>
  <c r="D21" i="3" a="1"/>
  <c r="D21" i="3" s="1"/>
  <c r="D17" i="3" a="1"/>
  <c r="D17" i="3" s="1"/>
  <c r="D13" i="3" a="1"/>
  <c r="D13" i="3" s="1"/>
  <c r="E9" i="3" a="1"/>
  <c r="E9" i="3" s="1"/>
  <c r="D6" i="3" a="1"/>
  <c r="D6" i="3" s="1"/>
  <c r="D9" i="3" a="1"/>
  <c r="D9" i="3" s="1"/>
  <c r="D16" i="3" a="1"/>
  <c r="D16" i="3" s="1"/>
  <c r="D4" i="3" a="1"/>
  <c r="D4" i="3" s="1"/>
  <c r="E7" i="3" a="1"/>
  <c r="E7" i="3" s="1"/>
  <c r="D20" i="3" a="1"/>
  <c r="D20" i="3" s="1"/>
  <c r="D12" i="3" a="1"/>
  <c r="D12" i="3" s="1"/>
  <c r="E6" i="3" a="1"/>
  <c r="E6" i="3" s="1"/>
  <c r="D8" i="3" a="1"/>
  <c r="D8" i="3" s="1"/>
  <c r="D19" i="3" a="1"/>
  <c r="D19" i="3" s="1"/>
  <c r="D15" i="3" a="1"/>
  <c r="D15" i="3" s="1"/>
  <c r="D11" i="3" a="1"/>
  <c r="D11" i="3" s="1"/>
  <c r="D7" i="3" a="1"/>
  <c r="D7" i="3" s="1"/>
  <c r="E5" i="3" a="1"/>
  <c r="E5" i="3" s="1"/>
  <c r="E4" i="3" a="1"/>
  <c r="E4" i="3" s="1"/>
  <c r="D5" i="3" a="1"/>
  <c r="D5" i="3" s="1"/>
  <c r="K23" i="2" l="1"/>
  <c r="J24" i="2"/>
  <c r="L23" i="2" l="1"/>
  <c r="K24" i="2"/>
  <c r="M23" i="2" l="1"/>
  <c r="L24" i="2"/>
  <c r="N23" i="2" l="1"/>
  <c r="M24" i="2"/>
  <c r="O23" i="2" l="1"/>
  <c r="N24" i="2"/>
  <c r="P23" i="2" l="1"/>
  <c r="O24" i="2"/>
  <c r="Q23" i="2" l="1"/>
  <c r="P24" i="2"/>
  <c r="R23" i="2" l="1"/>
  <c r="Q24" i="2"/>
  <c r="S23" i="2" l="1"/>
  <c r="R24" i="2"/>
  <c r="T23" i="2" l="1"/>
  <c r="S24" i="2"/>
  <c r="U23" i="2" l="1"/>
  <c r="T24" i="2"/>
  <c r="V23" i="2" l="1"/>
  <c r="U24" i="2"/>
  <c r="W23" i="2" l="1"/>
  <c r="V24" i="2"/>
  <c r="X23" i="2" l="1"/>
  <c r="W24" i="2"/>
  <c r="Y23" i="2" l="1"/>
  <c r="X24" i="2"/>
  <c r="Z23" i="2" l="1"/>
  <c r="Y24" i="2"/>
  <c r="Z24" i="2" l="1"/>
  <c r="AA23" i="2"/>
  <c r="AB23" i="2" l="1"/>
  <c r="AA24" i="2"/>
  <c r="AB24" i="2" l="1"/>
  <c r="AC23" i="2"/>
  <c r="AC24" i="2" l="1"/>
  <c r="AD23" i="2"/>
  <c r="AE23" i="2" l="1"/>
  <c r="AD24" i="2"/>
  <c r="AE24" i="2" l="1"/>
  <c r="AF23" i="2"/>
  <c r="AG23" i="2" l="1"/>
  <c r="AF24" i="2"/>
  <c r="AG24" i="2" l="1"/>
  <c r="AH23" i="2"/>
  <c r="AI23" i="2" l="1"/>
  <c r="AH24" i="2"/>
  <c r="AI24" i="2" l="1"/>
  <c r="AJ23" i="2"/>
  <c r="AK23" i="2" l="1"/>
  <c r="AJ24" i="2"/>
  <c r="AK24" i="2" l="1"/>
  <c r="AL23" i="2"/>
  <c r="AM23" i="2" l="1"/>
  <c r="AL24" i="2"/>
  <c r="AM24" i="2" l="1"/>
  <c r="AN23" i="2"/>
  <c r="AO23" i="2" l="1"/>
  <c r="AN24" i="2"/>
  <c r="AO24" i="2" l="1"/>
  <c r="AP23" i="2"/>
  <c r="AQ23" i="2" l="1"/>
  <c r="AP24" i="2"/>
  <c r="AQ24" i="2" l="1"/>
  <c r="AR23" i="2"/>
  <c r="AS23" i="2" l="1"/>
  <c r="AR24" i="2"/>
  <c r="AS24" i="2" l="1"/>
  <c r="AT23" i="2"/>
  <c r="AU23" i="2" l="1"/>
  <c r="AT24" i="2"/>
  <c r="AU24" i="2" l="1"/>
  <c r="AV23" i="2"/>
  <c r="AV24" i="2" l="1"/>
  <c r="O14" i="7" l="1"/>
  <c r="P14" i="7"/>
  <c r="O15" i="7"/>
  <c r="P15" i="7"/>
  <c r="O16" i="7"/>
  <c r="P16" i="7"/>
  <c r="O9" i="7"/>
  <c r="P9" i="7"/>
  <c r="O10" i="7"/>
  <c r="P10" i="7"/>
  <c r="O11" i="7"/>
  <c r="P11" i="7"/>
  <c r="F22" i="7" l="1"/>
  <c r="G22" i="7"/>
  <c r="F23" i="7"/>
  <c r="G23" i="7"/>
  <c r="F24" i="7"/>
  <c r="G24" i="7"/>
  <c r="L3" i="2" l="1"/>
  <c r="N3" i="2"/>
  <c r="O3" i="2"/>
  <c r="P3" i="2"/>
  <c r="Q38" i="7"/>
  <c r="A4" i="3"/>
  <c r="B4" i="3" l="1"/>
  <c r="F4" i="3"/>
  <c r="M60" i="7" s="1"/>
  <c r="M3" i="2"/>
  <c r="L62" i="7" l="1"/>
  <c r="K62" i="7" s="1"/>
  <c r="L63" i="7"/>
  <c r="K63" i="7" s="1"/>
  <c r="L61" i="7"/>
  <c r="K61" i="7" s="1"/>
  <c r="L60" i="7"/>
  <c r="K60" i="7" s="1"/>
  <c r="L4" i="2"/>
  <c r="M4" i="2" s="1"/>
  <c r="L5" i="2"/>
  <c r="L6" i="2"/>
  <c r="M6" i="2" s="1"/>
  <c r="L7" i="2"/>
  <c r="M7" i="2" s="1"/>
  <c r="L8" i="2"/>
  <c r="L9" i="2"/>
  <c r="M9" i="2" s="1"/>
  <c r="L10" i="2"/>
  <c r="M10" i="2" s="1"/>
  <c r="L11" i="2"/>
  <c r="M11" i="2" s="1"/>
  <c r="L12" i="2"/>
  <c r="M12" i="2" s="1"/>
  <c r="L13" i="2"/>
  <c r="R13" i="2" s="1"/>
  <c r="N13" i="2"/>
  <c r="O13" i="2"/>
  <c r="P13" i="2"/>
  <c r="Q13" i="2"/>
  <c r="L14" i="2"/>
  <c r="R14" i="2" s="1"/>
  <c r="N14" i="2"/>
  <c r="O14" i="2"/>
  <c r="P14" i="2"/>
  <c r="T14" i="2"/>
  <c r="L15" i="2"/>
  <c r="Q15" i="2" s="1"/>
  <c r="N15" i="2"/>
  <c r="O15" i="2"/>
  <c r="P15" i="2"/>
  <c r="L16" i="2"/>
  <c r="Q16" i="2" s="1"/>
  <c r="N16" i="2"/>
  <c r="O16" i="2"/>
  <c r="P16" i="2"/>
  <c r="L17" i="2"/>
  <c r="Q17" i="2" s="1"/>
  <c r="N17" i="2"/>
  <c r="O17" i="2"/>
  <c r="P17" i="2"/>
  <c r="T17" i="2"/>
  <c r="L18" i="2"/>
  <c r="M18" i="2" s="1"/>
  <c r="N18" i="2"/>
  <c r="O18" i="2"/>
  <c r="P18" i="2"/>
  <c r="Q18" i="2"/>
  <c r="L19" i="2"/>
  <c r="Q19" i="2" s="1"/>
  <c r="N19" i="2"/>
  <c r="O19" i="2"/>
  <c r="P19" i="2"/>
  <c r="L20" i="2"/>
  <c r="Q20" i="2" s="1"/>
  <c r="N20" i="2"/>
  <c r="O20" i="2"/>
  <c r="P20" i="2"/>
  <c r="L21" i="2"/>
  <c r="M21" i="2" s="1"/>
  <c r="N21" i="2"/>
  <c r="O21" i="2"/>
  <c r="P21" i="2"/>
  <c r="Q39" i="7"/>
  <c r="Q40" i="7"/>
  <c r="Q41" i="7"/>
  <c r="Q42" i="7"/>
  <c r="Q43" i="7"/>
  <c r="Q44" i="7"/>
  <c r="Q45" i="7"/>
  <c r="Q46" i="7"/>
  <c r="Q47" i="7"/>
  <c r="Q48" i="7"/>
  <c r="Q49" i="7"/>
  <c r="Q50" i="7"/>
  <c r="Q51" i="7"/>
  <c r="Q52" i="7"/>
  <c r="Q53" i="7"/>
  <c r="Q54" i="7"/>
  <c r="Q55" i="7"/>
  <c r="Q56" i="7"/>
  <c r="A5" i="3"/>
  <c r="B5" i="3" s="1"/>
  <c r="A6" i="3"/>
  <c r="B6" i="3" s="1"/>
  <c r="A7" i="3"/>
  <c r="B7" i="3" s="1"/>
  <c r="A8" i="3"/>
  <c r="B8" i="3" s="1"/>
  <c r="A9" i="3"/>
  <c r="A10" i="3"/>
  <c r="F10" i="3" s="1"/>
  <c r="M84" i="7" s="1"/>
  <c r="A11" i="3"/>
  <c r="A12" i="3"/>
  <c r="A13" i="3"/>
  <c r="A14" i="3"/>
  <c r="Q14" i="3" s="1"/>
  <c r="A15" i="3"/>
  <c r="S15" i="3" s="1" a="1"/>
  <c r="S15" i="3" s="1"/>
  <c r="A16" i="3"/>
  <c r="A17" i="3"/>
  <c r="Q17" i="3" s="1"/>
  <c r="A18" i="3"/>
  <c r="A19" i="3"/>
  <c r="Q19" i="3" s="1"/>
  <c r="A20" i="3"/>
  <c r="L20" i="3" s="1"/>
  <c r="G54" i="6" s="1"/>
  <c r="A21" i="3"/>
  <c r="A22" i="3"/>
  <c r="F22" i="3"/>
  <c r="L22" i="3"/>
  <c r="G56" i="6" s="1"/>
  <c r="F75" i="6"/>
  <c r="G75" i="6" s="1"/>
  <c r="L48" i="7" s="1"/>
  <c r="F76" i="6"/>
  <c r="F77" i="6"/>
  <c r="G77" i="6" s="1"/>
  <c r="L50" i="7" s="1"/>
  <c r="F78" i="6"/>
  <c r="G78" i="6" s="1"/>
  <c r="L51" i="7" s="1"/>
  <c r="F79" i="6"/>
  <c r="G79" i="6" s="1"/>
  <c r="L52" i="7" s="1"/>
  <c r="F80" i="6"/>
  <c r="F81" i="6"/>
  <c r="G81" i="6" s="1"/>
  <c r="L54" i="7" s="1"/>
  <c r="F82" i="6"/>
  <c r="G82" i="6" s="1"/>
  <c r="L55" i="7" s="1"/>
  <c r="F83" i="6"/>
  <c r="G83" i="6" s="1"/>
  <c r="L56" i="7" s="1"/>
  <c r="J63" i="7" l="1"/>
  <c r="I63" i="7" s="1"/>
  <c r="J62" i="7"/>
  <c r="I62" i="7" s="1"/>
  <c r="J61" i="7"/>
  <c r="I61" i="7" s="1"/>
  <c r="J60" i="7"/>
  <c r="I60" i="7" s="1"/>
  <c r="L87" i="7"/>
  <c r="K87" i="7" s="1"/>
  <c r="L85" i="7"/>
  <c r="K85" i="7" s="1"/>
  <c r="L86" i="7"/>
  <c r="K86" i="7" s="1"/>
  <c r="L84" i="7"/>
  <c r="K84" i="7" s="1"/>
  <c r="J14" i="3"/>
  <c r="E48" i="6" s="1"/>
  <c r="M20" i="2"/>
  <c r="M13" i="2"/>
  <c r="S17" i="3" a="1"/>
  <c r="S17" i="3" s="1"/>
  <c r="M17" i="3" a="1"/>
  <c r="M17" i="3" s="1"/>
  <c r="H51" i="6" s="1"/>
  <c r="F11" i="3"/>
  <c r="M88" i="7" s="1"/>
  <c r="T20" i="2"/>
  <c r="B10" i="3"/>
  <c r="T18" i="2"/>
  <c r="Q21" i="2"/>
  <c r="R18" i="2"/>
  <c r="S18" i="2" s="1"/>
  <c r="J22" i="3"/>
  <c r="E56" i="6" s="1"/>
  <c r="Q22" i="3"/>
  <c r="L19" i="3"/>
  <c r="G53" i="6" s="1"/>
  <c r="B11" i="3"/>
  <c r="R17" i="2"/>
  <c r="S17" i="2" s="1"/>
  <c r="R16" i="3"/>
  <c r="Q16" i="3"/>
  <c r="J21" i="3"/>
  <c r="E55" i="6" s="1"/>
  <c r="Q21" i="3"/>
  <c r="U20" i="3"/>
  <c r="K54" i="6" s="1"/>
  <c r="U18" i="3"/>
  <c r="K52" i="6" s="1"/>
  <c r="Q18" i="3"/>
  <c r="M14" i="3" a="1"/>
  <c r="M14" i="3" s="1"/>
  <c r="H48" i="6" s="1"/>
  <c r="T15" i="2"/>
  <c r="B13" i="3"/>
  <c r="S20" i="3" a="1"/>
  <c r="S20" i="3" s="1"/>
  <c r="T19" i="2"/>
  <c r="M20" i="3" a="1"/>
  <c r="M20" i="3" s="1"/>
  <c r="H54" i="6" s="1"/>
  <c r="J15" i="3"/>
  <c r="Q15" i="3"/>
  <c r="B17" i="3"/>
  <c r="T21" i="2"/>
  <c r="R20" i="2"/>
  <c r="S20" i="2" s="1"/>
  <c r="T16" i="2"/>
  <c r="T13" i="2"/>
  <c r="R20" i="3"/>
  <c r="Q20" i="3"/>
  <c r="J20" i="3"/>
  <c r="E54" i="6" s="1"/>
  <c r="R21" i="2"/>
  <c r="S21" i="2" s="1"/>
  <c r="M15" i="2"/>
  <c r="M5" i="2"/>
  <c r="N22" i="3"/>
  <c r="I56" i="6" s="1"/>
  <c r="E49" i="6"/>
  <c r="U17" i="3"/>
  <c r="K51" i="6" s="1"/>
  <c r="R17" i="3"/>
  <c r="F13" i="3"/>
  <c r="M96" i="7" s="1"/>
  <c r="U19" i="3"/>
  <c r="K53" i="6" s="1"/>
  <c r="R19" i="3"/>
  <c r="L16" i="3"/>
  <c r="G50" i="6" s="1"/>
  <c r="B14" i="3"/>
  <c r="R14" i="3"/>
  <c r="S13" i="2"/>
  <c r="R18" i="3"/>
  <c r="L21" i="3"/>
  <c r="G55" i="6" s="1"/>
  <c r="F20" i="3"/>
  <c r="L18" i="3"/>
  <c r="G52" i="6" s="1"/>
  <c r="K17" i="3" a="1"/>
  <c r="K17" i="3" s="1"/>
  <c r="F51" i="6" s="1"/>
  <c r="L15" i="3"/>
  <c r="G49" i="6" s="1"/>
  <c r="L17" i="3"/>
  <c r="G51" i="6" s="1"/>
  <c r="B20" i="3"/>
  <c r="F18" i="3"/>
  <c r="M116" i="7" s="1"/>
  <c r="J17" i="3"/>
  <c r="B12" i="3"/>
  <c r="F9" i="3"/>
  <c r="M80" i="7" s="1"/>
  <c r="B22" i="3"/>
  <c r="R22" i="3"/>
  <c r="M18" i="3" a="1"/>
  <c r="M18" i="3" s="1"/>
  <c r="H52" i="6" s="1"/>
  <c r="S22" i="3" a="1"/>
  <c r="S22" i="3" s="1"/>
  <c r="U21" i="3"/>
  <c r="K55" i="6" s="1"/>
  <c r="R21" i="3"/>
  <c r="B18" i="3"/>
  <c r="F17" i="3"/>
  <c r="M112" i="7" s="1"/>
  <c r="U15" i="3"/>
  <c r="K49" i="6" s="1"/>
  <c r="R15" i="3"/>
  <c r="B9" i="3"/>
  <c r="F8" i="3"/>
  <c r="M76" i="7" s="1"/>
  <c r="F7" i="3"/>
  <c r="M72" i="7" s="1"/>
  <c r="F6" i="3"/>
  <c r="M68" i="7" s="1"/>
  <c r="K53" i="7"/>
  <c r="K49" i="7"/>
  <c r="K16" i="3" a="1"/>
  <c r="K16" i="3" s="1"/>
  <c r="F50" i="6" s="1"/>
  <c r="M15" i="3" a="1"/>
  <c r="M15" i="3" s="1"/>
  <c r="H49" i="6" s="1"/>
  <c r="B15" i="3"/>
  <c r="F19" i="3"/>
  <c r="M120" i="7" s="1"/>
  <c r="K14" i="3" a="1"/>
  <c r="K14" i="3" s="1"/>
  <c r="F48" i="6" s="1"/>
  <c r="G42" i="2"/>
  <c r="O42" i="2"/>
  <c r="W42" i="2"/>
  <c r="AE42" i="2"/>
  <c r="AM42" i="2"/>
  <c r="AU42" i="2"/>
  <c r="H42" i="2"/>
  <c r="P42" i="2"/>
  <c r="X42" i="2"/>
  <c r="AF42" i="2"/>
  <c r="AN42" i="2"/>
  <c r="AV42" i="2"/>
  <c r="K56" i="7"/>
  <c r="I42" i="2"/>
  <c r="Q42" i="2"/>
  <c r="Y42" i="2"/>
  <c r="AG42" i="2"/>
  <c r="AO42" i="2"/>
  <c r="J42" i="2"/>
  <c r="R42" i="2"/>
  <c r="Z42" i="2"/>
  <c r="AH42" i="2"/>
  <c r="AP42" i="2"/>
  <c r="K42" i="2"/>
  <c r="S42" i="2"/>
  <c r="AA42" i="2"/>
  <c r="AI42" i="2"/>
  <c r="AQ42" i="2"/>
  <c r="D42" i="2"/>
  <c r="L42" i="2"/>
  <c r="T42" i="2"/>
  <c r="AB42" i="2"/>
  <c r="AJ42" i="2"/>
  <c r="AR42" i="2"/>
  <c r="E42" i="2"/>
  <c r="M42" i="2"/>
  <c r="U42" i="2"/>
  <c r="AC42" i="2"/>
  <c r="AK42" i="2"/>
  <c r="AS42" i="2"/>
  <c r="F42" i="2"/>
  <c r="N42" i="2"/>
  <c r="V42" i="2"/>
  <c r="AD42" i="2"/>
  <c r="AL42" i="2"/>
  <c r="AT42" i="2"/>
  <c r="D38" i="2"/>
  <c r="L38" i="2"/>
  <c r="T38" i="2"/>
  <c r="I38" i="2"/>
  <c r="R38" i="2"/>
  <c r="AA38" i="2"/>
  <c r="AI38" i="2"/>
  <c r="AQ38" i="2"/>
  <c r="J38" i="2"/>
  <c r="S38" i="2"/>
  <c r="AB38" i="2"/>
  <c r="AJ38" i="2"/>
  <c r="AR38" i="2"/>
  <c r="K52" i="7"/>
  <c r="K38" i="2"/>
  <c r="U38" i="2"/>
  <c r="AC38" i="2"/>
  <c r="AK38" i="2"/>
  <c r="AS38" i="2"/>
  <c r="M38" i="2"/>
  <c r="V38" i="2"/>
  <c r="AD38" i="2"/>
  <c r="AL38" i="2"/>
  <c r="AT38" i="2"/>
  <c r="E38" i="2"/>
  <c r="N38" i="2"/>
  <c r="W38" i="2"/>
  <c r="AE38" i="2"/>
  <c r="AM38" i="2"/>
  <c r="AU38" i="2"/>
  <c r="F38" i="2"/>
  <c r="O38" i="2"/>
  <c r="X38" i="2"/>
  <c r="AF38" i="2"/>
  <c r="AN38" i="2"/>
  <c r="AV38" i="2"/>
  <c r="G38" i="2"/>
  <c r="P38" i="2"/>
  <c r="Y38" i="2"/>
  <c r="AG38" i="2"/>
  <c r="AO38" i="2"/>
  <c r="H38" i="2"/>
  <c r="Q38" i="2"/>
  <c r="Z38" i="2"/>
  <c r="AH38" i="2"/>
  <c r="AP38" i="2"/>
  <c r="H34" i="2"/>
  <c r="P34" i="2"/>
  <c r="X34" i="2"/>
  <c r="AF34" i="2"/>
  <c r="AN34" i="2"/>
  <c r="AV34" i="2"/>
  <c r="I34" i="2"/>
  <c r="Q34" i="2"/>
  <c r="Y34" i="2"/>
  <c r="AG34" i="2"/>
  <c r="AO34" i="2"/>
  <c r="J34" i="2"/>
  <c r="R34" i="2"/>
  <c r="Z34" i="2"/>
  <c r="AH34" i="2"/>
  <c r="AP34" i="2"/>
  <c r="G34" i="2"/>
  <c r="O34" i="2"/>
  <c r="W34" i="2"/>
  <c r="AE34" i="2"/>
  <c r="AM34" i="2"/>
  <c r="AU34" i="2"/>
  <c r="F34" i="2"/>
  <c r="V34" i="2"/>
  <c r="AL34" i="2"/>
  <c r="K34" i="2"/>
  <c r="AA34" i="2"/>
  <c r="AQ34" i="2"/>
  <c r="K48" i="7"/>
  <c r="L34" i="2"/>
  <c r="AB34" i="2"/>
  <c r="AR34" i="2"/>
  <c r="M34" i="2"/>
  <c r="AC34" i="2"/>
  <c r="AS34" i="2"/>
  <c r="N34" i="2"/>
  <c r="AD34" i="2"/>
  <c r="AT34" i="2"/>
  <c r="S34" i="2"/>
  <c r="AI34" i="2"/>
  <c r="D34" i="2"/>
  <c r="T34" i="2"/>
  <c r="AJ34" i="2"/>
  <c r="E34" i="2"/>
  <c r="U34" i="2"/>
  <c r="AK34" i="2"/>
  <c r="S21" i="3" a="1"/>
  <c r="S21" i="3" s="1"/>
  <c r="K21" i="3" a="1"/>
  <c r="K21" i="3" s="1"/>
  <c r="F55" i="6" s="1"/>
  <c r="K20" i="3" a="1"/>
  <c r="K20" i="3" s="1"/>
  <c r="F54" i="6" s="1"/>
  <c r="M19" i="3" a="1"/>
  <c r="M19" i="3" s="1"/>
  <c r="H53" i="6" s="1"/>
  <c r="B19" i="3"/>
  <c r="S16" i="3" a="1"/>
  <c r="S16" i="3" s="1"/>
  <c r="J16" i="3"/>
  <c r="U14" i="3"/>
  <c r="K48" i="6" s="1"/>
  <c r="L14" i="3"/>
  <c r="G48" i="6" s="1"/>
  <c r="K15" i="3" a="1"/>
  <c r="K15" i="3" s="1"/>
  <c r="F49" i="6" s="1"/>
  <c r="D41" i="2"/>
  <c r="L41" i="2"/>
  <c r="T41" i="2"/>
  <c r="AB41" i="2"/>
  <c r="AJ41" i="2"/>
  <c r="AR41" i="2"/>
  <c r="E41" i="2"/>
  <c r="M41" i="2"/>
  <c r="U41" i="2"/>
  <c r="AC41" i="2"/>
  <c r="AK41" i="2"/>
  <c r="AS41" i="2"/>
  <c r="F41" i="2"/>
  <c r="N41" i="2"/>
  <c r="V41" i="2"/>
  <c r="AD41" i="2"/>
  <c r="AL41" i="2"/>
  <c r="AT41" i="2"/>
  <c r="G41" i="2"/>
  <c r="O41" i="2"/>
  <c r="W41" i="2"/>
  <c r="AE41" i="2"/>
  <c r="AM41" i="2"/>
  <c r="AU41" i="2"/>
  <c r="H41" i="2"/>
  <c r="P41" i="2"/>
  <c r="X41" i="2"/>
  <c r="AF41" i="2"/>
  <c r="AN41" i="2"/>
  <c r="AV41" i="2"/>
  <c r="I41" i="2"/>
  <c r="Q41" i="2"/>
  <c r="Y41" i="2"/>
  <c r="AG41" i="2"/>
  <c r="AO41" i="2"/>
  <c r="K55" i="7"/>
  <c r="J41" i="2"/>
  <c r="R41" i="2"/>
  <c r="Z41" i="2"/>
  <c r="AH41" i="2"/>
  <c r="AP41" i="2"/>
  <c r="K41" i="2"/>
  <c r="S41" i="2"/>
  <c r="AA41" i="2"/>
  <c r="AI41" i="2"/>
  <c r="AQ41" i="2"/>
  <c r="S19" i="3" a="1"/>
  <c r="S19" i="3" s="1"/>
  <c r="K18" i="3" a="1"/>
  <c r="K18" i="3" s="1"/>
  <c r="F52" i="6" s="1"/>
  <c r="S14" i="3" a="1"/>
  <c r="S14" i="3" s="1"/>
  <c r="K19" i="3" a="1"/>
  <c r="K19" i="3" s="1"/>
  <c r="F53" i="6" s="1"/>
  <c r="I40" i="2"/>
  <c r="Q40" i="2"/>
  <c r="Y40" i="2"/>
  <c r="AG40" i="2"/>
  <c r="AO40" i="2"/>
  <c r="J40" i="2"/>
  <c r="R40" i="2"/>
  <c r="Z40" i="2"/>
  <c r="AH40" i="2"/>
  <c r="AP40" i="2"/>
  <c r="K54" i="7"/>
  <c r="K40" i="2"/>
  <c r="S40" i="2"/>
  <c r="AA40" i="2"/>
  <c r="AI40" i="2"/>
  <c r="AQ40" i="2"/>
  <c r="D40" i="2"/>
  <c r="L40" i="2"/>
  <c r="T40" i="2"/>
  <c r="AB40" i="2"/>
  <c r="AJ40" i="2"/>
  <c r="AR40" i="2"/>
  <c r="E40" i="2"/>
  <c r="M40" i="2"/>
  <c r="U40" i="2"/>
  <c r="AC40" i="2"/>
  <c r="AK40" i="2"/>
  <c r="AS40" i="2"/>
  <c r="F40" i="2"/>
  <c r="N40" i="2"/>
  <c r="V40" i="2"/>
  <c r="AD40" i="2"/>
  <c r="AL40" i="2"/>
  <c r="AT40" i="2"/>
  <c r="G40" i="2"/>
  <c r="O40" i="2"/>
  <c r="W40" i="2"/>
  <c r="AE40" i="2"/>
  <c r="AM40" i="2"/>
  <c r="AU40" i="2"/>
  <c r="H40" i="2"/>
  <c r="P40" i="2"/>
  <c r="X40" i="2"/>
  <c r="AF40" i="2"/>
  <c r="AN40" i="2"/>
  <c r="AV40" i="2"/>
  <c r="F36" i="2"/>
  <c r="N36" i="2"/>
  <c r="V36" i="2"/>
  <c r="AD36" i="2"/>
  <c r="AL36" i="2"/>
  <c r="AT36" i="2"/>
  <c r="G36" i="2"/>
  <c r="H36" i="2"/>
  <c r="P36" i="2"/>
  <c r="D36" i="2"/>
  <c r="Q36" i="2"/>
  <c r="Z36" i="2"/>
  <c r="AI36" i="2"/>
  <c r="AR36" i="2"/>
  <c r="E36" i="2"/>
  <c r="R36" i="2"/>
  <c r="AA36" i="2"/>
  <c r="AJ36" i="2"/>
  <c r="AS36" i="2"/>
  <c r="K50" i="7"/>
  <c r="I36" i="2"/>
  <c r="S36" i="2"/>
  <c r="AB36" i="2"/>
  <c r="AK36" i="2"/>
  <c r="AU36" i="2"/>
  <c r="J36" i="2"/>
  <c r="T36" i="2"/>
  <c r="AC36" i="2"/>
  <c r="AM36" i="2"/>
  <c r="AV36" i="2"/>
  <c r="K36" i="2"/>
  <c r="U36" i="2"/>
  <c r="AE36" i="2"/>
  <c r="AN36" i="2"/>
  <c r="L36" i="2"/>
  <c r="W36" i="2"/>
  <c r="AF36" i="2"/>
  <c r="AO36" i="2"/>
  <c r="M36" i="2"/>
  <c r="X36" i="2"/>
  <c r="AG36" i="2"/>
  <c r="AP36" i="2"/>
  <c r="O36" i="2"/>
  <c r="Y36" i="2"/>
  <c r="AH36" i="2"/>
  <c r="AQ36" i="2"/>
  <c r="U22" i="3"/>
  <c r="K56" i="6" s="1"/>
  <c r="M22" i="3" a="1"/>
  <c r="M22" i="3" s="1"/>
  <c r="H56" i="6" s="1"/>
  <c r="F21" i="3"/>
  <c r="J19" i="3"/>
  <c r="F16" i="3"/>
  <c r="M108" i="7" s="1"/>
  <c r="F5" i="3"/>
  <c r="M64" i="7" s="1"/>
  <c r="I37" i="2"/>
  <c r="Q37" i="2"/>
  <c r="Y37" i="2"/>
  <c r="AG37" i="2"/>
  <c r="AO37" i="2"/>
  <c r="H37" i="2"/>
  <c r="R37" i="2"/>
  <c r="AA37" i="2"/>
  <c r="AJ37" i="2"/>
  <c r="AS37" i="2"/>
  <c r="J37" i="2"/>
  <c r="S37" i="2"/>
  <c r="AB37" i="2"/>
  <c r="AK37" i="2"/>
  <c r="AT37" i="2"/>
  <c r="K37" i="2"/>
  <c r="T37" i="2"/>
  <c r="AC37" i="2"/>
  <c r="AL37" i="2"/>
  <c r="AU37" i="2"/>
  <c r="L37" i="2"/>
  <c r="U37" i="2"/>
  <c r="AD37" i="2"/>
  <c r="AM37" i="2"/>
  <c r="AV37" i="2"/>
  <c r="D37" i="2"/>
  <c r="M37" i="2"/>
  <c r="V37" i="2"/>
  <c r="AE37" i="2"/>
  <c r="AN37" i="2"/>
  <c r="E37" i="2"/>
  <c r="N37" i="2"/>
  <c r="W37" i="2"/>
  <c r="AF37" i="2"/>
  <c r="AP37" i="2"/>
  <c r="K51" i="7"/>
  <c r="F37" i="2"/>
  <c r="O37" i="2"/>
  <c r="X37" i="2"/>
  <c r="AH37" i="2"/>
  <c r="AQ37" i="2"/>
  <c r="G37" i="2"/>
  <c r="P37" i="2"/>
  <c r="Z37" i="2"/>
  <c r="AI37" i="2"/>
  <c r="AR37" i="2"/>
  <c r="G80" i="6"/>
  <c r="L53" i="7" s="1"/>
  <c r="G76" i="6"/>
  <c r="L49" i="7" s="1"/>
  <c r="K22" i="3" a="1"/>
  <c r="K22" i="3" s="1"/>
  <c r="F56" i="6" s="1"/>
  <c r="M21" i="3" a="1"/>
  <c r="M21" i="3" s="1"/>
  <c r="H55" i="6" s="1"/>
  <c r="B21" i="3"/>
  <c r="N20" i="3"/>
  <c r="I54" i="6" s="1"/>
  <c r="S18" i="3" a="1"/>
  <c r="S18" i="3" s="1"/>
  <c r="J18" i="3"/>
  <c r="U16" i="3"/>
  <c r="K50" i="6" s="1"/>
  <c r="M16" i="3" a="1"/>
  <c r="M16" i="3" s="1"/>
  <c r="H50" i="6" s="1"/>
  <c r="B16" i="3"/>
  <c r="F15" i="3"/>
  <c r="M104" i="7" s="1"/>
  <c r="F14" i="3"/>
  <c r="M100" i="7" s="1"/>
  <c r="F12" i="3"/>
  <c r="M92" i="7" s="1"/>
  <c r="Q14" i="2"/>
  <c r="S14" i="2" s="1"/>
  <c r="M17" i="2"/>
  <c r="M19" i="2"/>
  <c r="M16" i="2"/>
  <c r="M8" i="2"/>
  <c r="M14" i="2"/>
  <c r="R19" i="2"/>
  <c r="S19" i="2" s="1"/>
  <c r="R16" i="2"/>
  <c r="S16" i="2" s="1"/>
  <c r="R15" i="2"/>
  <c r="S15" i="2" s="1"/>
  <c r="L107" i="7" l="1"/>
  <c r="K107" i="7" s="1"/>
  <c r="L104" i="7"/>
  <c r="K104" i="7" s="1"/>
  <c r="L106" i="7"/>
  <c r="K106" i="7" s="1"/>
  <c r="L105" i="7"/>
  <c r="K105" i="7" s="1"/>
  <c r="L66" i="7"/>
  <c r="K66" i="7" s="1"/>
  <c r="L65" i="7"/>
  <c r="K65" i="7" s="1"/>
  <c r="L64" i="7"/>
  <c r="K64" i="7" s="1"/>
  <c r="L67" i="7"/>
  <c r="K67" i="7" s="1"/>
  <c r="L74" i="7"/>
  <c r="K74" i="7" s="1"/>
  <c r="L73" i="7"/>
  <c r="K73" i="7" s="1"/>
  <c r="L72" i="7"/>
  <c r="K72" i="7" s="1"/>
  <c r="L75" i="7"/>
  <c r="K75" i="7" s="1"/>
  <c r="L119" i="7"/>
  <c r="K119" i="7" s="1"/>
  <c r="L117" i="7"/>
  <c r="K117" i="7" s="1"/>
  <c r="L118" i="7"/>
  <c r="K118" i="7" s="1"/>
  <c r="L116" i="7"/>
  <c r="K116" i="7" s="1"/>
  <c r="L91" i="7"/>
  <c r="K91" i="7" s="1"/>
  <c r="L88" i="7"/>
  <c r="K88" i="7" s="1"/>
  <c r="L90" i="7"/>
  <c r="K90" i="7" s="1"/>
  <c r="L89" i="7"/>
  <c r="K89" i="7" s="1"/>
  <c r="J86" i="7"/>
  <c r="I86" i="7" s="1"/>
  <c r="J87" i="7"/>
  <c r="I87" i="7" s="1"/>
  <c r="J85" i="7"/>
  <c r="I85" i="7" s="1"/>
  <c r="J84" i="7"/>
  <c r="I84" i="7" s="1"/>
  <c r="H63" i="7"/>
  <c r="G63" i="7" s="1"/>
  <c r="H61" i="7"/>
  <c r="G61" i="7" s="1"/>
  <c r="H62" i="7"/>
  <c r="G62" i="7" s="1"/>
  <c r="H60" i="7"/>
  <c r="G60" i="7" s="1"/>
  <c r="L95" i="7"/>
  <c r="K95" i="7" s="1"/>
  <c r="L93" i="7"/>
  <c r="K93" i="7" s="1"/>
  <c r="L94" i="7"/>
  <c r="K94" i="7" s="1"/>
  <c r="L92" i="7"/>
  <c r="K92" i="7" s="1"/>
  <c r="L103" i="7"/>
  <c r="K103" i="7" s="1"/>
  <c r="L101" i="7"/>
  <c r="K101" i="7" s="1"/>
  <c r="L102" i="7"/>
  <c r="K102" i="7" s="1"/>
  <c r="L100" i="7"/>
  <c r="K100" i="7" s="1"/>
  <c r="L111" i="7"/>
  <c r="K111" i="7" s="1"/>
  <c r="L109" i="7"/>
  <c r="K109" i="7" s="1"/>
  <c r="L110" i="7"/>
  <c r="K110" i="7" s="1"/>
  <c r="L108" i="7"/>
  <c r="K108" i="7" s="1"/>
  <c r="L123" i="7"/>
  <c r="K123" i="7" s="1"/>
  <c r="L120" i="7"/>
  <c r="K120" i="7" s="1"/>
  <c r="L122" i="7"/>
  <c r="K122" i="7" s="1"/>
  <c r="L121" i="7"/>
  <c r="K121" i="7" s="1"/>
  <c r="L70" i="7"/>
  <c r="K70" i="7" s="1"/>
  <c r="L71" i="7"/>
  <c r="K71" i="7" s="1"/>
  <c r="L69" i="7"/>
  <c r="K69" i="7" s="1"/>
  <c r="L68" i="7"/>
  <c r="K68" i="7" s="1"/>
  <c r="L78" i="7"/>
  <c r="K78" i="7" s="1"/>
  <c r="L79" i="7"/>
  <c r="K79" i="7" s="1"/>
  <c r="L77" i="7"/>
  <c r="K77" i="7" s="1"/>
  <c r="L76" i="7"/>
  <c r="K76" i="7" s="1"/>
  <c r="L115" i="7"/>
  <c r="K115" i="7" s="1"/>
  <c r="L112" i="7"/>
  <c r="K112" i="7" s="1"/>
  <c r="L114" i="7"/>
  <c r="K114" i="7" s="1"/>
  <c r="L113" i="7"/>
  <c r="K113" i="7" s="1"/>
  <c r="L82" i="7"/>
  <c r="K82" i="7" s="1"/>
  <c r="L81" i="7"/>
  <c r="K81" i="7" s="1"/>
  <c r="L80" i="7"/>
  <c r="K80" i="7" s="1"/>
  <c r="L83" i="7"/>
  <c r="K83" i="7" s="1"/>
  <c r="L99" i="7"/>
  <c r="K99" i="7" s="1"/>
  <c r="L96" i="7"/>
  <c r="K96" i="7" s="1"/>
  <c r="L98" i="7"/>
  <c r="K98" i="7" s="1"/>
  <c r="L97" i="7"/>
  <c r="K97" i="7" s="1"/>
  <c r="N19" i="3"/>
  <c r="I53" i="6" s="1"/>
  <c r="N15" i="3"/>
  <c r="I49" i="6" s="1"/>
  <c r="N16" i="3"/>
  <c r="I50" i="6" s="1"/>
  <c r="N21" i="3"/>
  <c r="I55" i="6" s="1"/>
  <c r="C8" i="7"/>
  <c r="E39" i="2"/>
  <c r="H35" i="2"/>
  <c r="N18" i="3"/>
  <c r="I52" i="6" s="1"/>
  <c r="AQ39" i="2"/>
  <c r="E53" i="6"/>
  <c r="R35" i="2"/>
  <c r="R39" i="2"/>
  <c r="E51" i="6"/>
  <c r="N17" i="3"/>
  <c r="I51" i="6" s="1"/>
  <c r="AN35" i="2"/>
  <c r="AN39" i="2"/>
  <c r="I35" i="2"/>
  <c r="W39" i="2"/>
  <c r="E50" i="6"/>
  <c r="AR35" i="2"/>
  <c r="F39" i="2"/>
  <c r="E52" i="6"/>
  <c r="AA35" i="2"/>
  <c r="AU35" i="2"/>
  <c r="F35" i="2"/>
  <c r="Z35" i="2"/>
  <c r="J35" i="2"/>
  <c r="AJ35" i="2"/>
  <c r="S35" i="2"/>
  <c r="AR39" i="2"/>
  <c r="AI39" i="2"/>
  <c r="J39" i="2"/>
  <c r="AF39" i="2"/>
  <c r="O39" i="2"/>
  <c r="AG35" i="2"/>
  <c r="AP35" i="2"/>
  <c r="O35" i="2"/>
  <c r="AS35" i="2"/>
  <c r="AB35" i="2"/>
  <c r="K35" i="2"/>
  <c r="AJ39" i="2"/>
  <c r="AA39" i="2"/>
  <c r="AO39" i="2"/>
  <c r="X39" i="2"/>
  <c r="G39" i="2"/>
  <c r="V35" i="2"/>
  <c r="AE35" i="2"/>
  <c r="AM35" i="2"/>
  <c r="AK35" i="2"/>
  <c r="T35" i="2"/>
  <c r="AS39" i="2"/>
  <c r="AB39" i="2"/>
  <c r="S39" i="2"/>
  <c r="AG39" i="2"/>
  <c r="P39" i="2"/>
  <c r="AT39" i="2"/>
  <c r="N14" i="3"/>
  <c r="I48" i="6" s="1"/>
  <c r="G35" i="2"/>
  <c r="Q35" i="2"/>
  <c r="Y35" i="2"/>
  <c r="AC35" i="2"/>
  <c r="L35" i="2"/>
  <c r="AK39" i="2"/>
  <c r="T39" i="2"/>
  <c r="K39" i="2"/>
  <c r="Y39" i="2"/>
  <c r="H39" i="2"/>
  <c r="AL39" i="2"/>
  <c r="AV35" i="2"/>
  <c r="AO35" i="2"/>
  <c r="N35" i="2"/>
  <c r="U35" i="2"/>
  <c r="D35" i="2"/>
  <c r="AC39" i="2"/>
  <c r="L39" i="2"/>
  <c r="AP39" i="2"/>
  <c r="Q39" i="2"/>
  <c r="AU39" i="2"/>
  <c r="AD39" i="2"/>
  <c r="AH35" i="2"/>
  <c r="AT35" i="2"/>
  <c r="AD35" i="2"/>
  <c r="AL35" i="2"/>
  <c r="M35" i="2"/>
  <c r="AQ35" i="2"/>
  <c r="U39" i="2"/>
  <c r="D39" i="2"/>
  <c r="AH39" i="2"/>
  <c r="I39" i="2"/>
  <c r="AM39" i="2"/>
  <c r="V39" i="2"/>
  <c r="W35" i="2"/>
  <c r="AF35" i="2"/>
  <c r="P35" i="2"/>
  <c r="X35" i="2"/>
  <c r="E35" i="2"/>
  <c r="AI35" i="2"/>
  <c r="M39" i="2"/>
  <c r="Z39" i="2"/>
  <c r="AV39" i="2"/>
  <c r="AE39" i="2"/>
  <c r="N39" i="2"/>
  <c r="J99" i="7" l="1"/>
  <c r="I99" i="7" s="1"/>
  <c r="J96" i="7"/>
  <c r="I96" i="7" s="1"/>
  <c r="J98" i="7"/>
  <c r="I98" i="7" s="1"/>
  <c r="J97" i="7"/>
  <c r="I97" i="7" s="1"/>
  <c r="J115" i="7"/>
  <c r="I115" i="7" s="1"/>
  <c r="J112" i="7"/>
  <c r="I112" i="7" s="1"/>
  <c r="J114" i="7"/>
  <c r="I114" i="7" s="1"/>
  <c r="J113" i="7"/>
  <c r="I113" i="7" s="1"/>
  <c r="J78" i="7"/>
  <c r="I78" i="7" s="1"/>
  <c r="J79" i="7"/>
  <c r="I79" i="7" s="1"/>
  <c r="J77" i="7"/>
  <c r="I77" i="7" s="1"/>
  <c r="J76" i="7"/>
  <c r="I76" i="7" s="1"/>
  <c r="J70" i="7"/>
  <c r="I70" i="7" s="1"/>
  <c r="J71" i="7"/>
  <c r="I71" i="7" s="1"/>
  <c r="J69" i="7"/>
  <c r="I69" i="7" s="1"/>
  <c r="J68" i="7"/>
  <c r="I68" i="7" s="1"/>
  <c r="J123" i="7"/>
  <c r="I123" i="7" s="1"/>
  <c r="J122" i="7"/>
  <c r="I122" i="7" s="1"/>
  <c r="J120" i="7"/>
  <c r="I120" i="7" s="1"/>
  <c r="J121" i="7"/>
  <c r="I121" i="7" s="1"/>
  <c r="J110" i="7"/>
  <c r="I110" i="7" s="1"/>
  <c r="J111" i="7"/>
  <c r="I111" i="7" s="1"/>
  <c r="J109" i="7"/>
  <c r="I109" i="7" s="1"/>
  <c r="J108" i="7"/>
  <c r="I108" i="7" s="1"/>
  <c r="J102" i="7"/>
  <c r="I102" i="7" s="1"/>
  <c r="J103" i="7"/>
  <c r="I103" i="7" s="1"/>
  <c r="J101" i="7"/>
  <c r="I101" i="7" s="1"/>
  <c r="J100" i="7"/>
  <c r="I100" i="7" s="1"/>
  <c r="J94" i="7"/>
  <c r="I94" i="7" s="1"/>
  <c r="J95" i="7"/>
  <c r="I95" i="7" s="1"/>
  <c r="J93" i="7"/>
  <c r="I93" i="7" s="1"/>
  <c r="J92" i="7"/>
  <c r="I92" i="7" s="1"/>
  <c r="F63" i="7"/>
  <c r="E63" i="7" s="1"/>
  <c r="F60" i="7"/>
  <c r="E60" i="7" s="1"/>
  <c r="F61" i="7"/>
  <c r="E61" i="7" s="1"/>
  <c r="F62" i="7"/>
  <c r="E62" i="7" s="1"/>
  <c r="H87" i="7"/>
  <c r="G87" i="7" s="1"/>
  <c r="H85" i="7"/>
  <c r="G85" i="7" s="1"/>
  <c r="H86" i="7"/>
  <c r="G86" i="7" s="1"/>
  <c r="H84" i="7"/>
  <c r="G84" i="7" s="1"/>
  <c r="J91" i="7"/>
  <c r="I91" i="7" s="1"/>
  <c r="J90" i="7"/>
  <c r="I90" i="7" s="1"/>
  <c r="J88" i="7"/>
  <c r="I88" i="7" s="1"/>
  <c r="J89" i="7"/>
  <c r="I89" i="7" s="1"/>
  <c r="J118" i="7"/>
  <c r="I118" i="7" s="1"/>
  <c r="J119" i="7"/>
  <c r="I119" i="7" s="1"/>
  <c r="J117" i="7"/>
  <c r="I117" i="7" s="1"/>
  <c r="J116" i="7"/>
  <c r="I116" i="7" s="1"/>
  <c r="J107" i="7"/>
  <c r="I107" i="7" s="1"/>
  <c r="J106" i="7"/>
  <c r="I106" i="7" s="1"/>
  <c r="J104" i="7"/>
  <c r="I104" i="7" s="1"/>
  <c r="J105" i="7"/>
  <c r="I105" i="7" s="1"/>
  <c r="J83" i="7"/>
  <c r="I83" i="7" s="1"/>
  <c r="J80" i="7"/>
  <c r="I80" i="7" s="1"/>
  <c r="J82" i="7"/>
  <c r="I82" i="7" s="1"/>
  <c r="J81" i="7"/>
  <c r="I81" i="7" s="1"/>
  <c r="J75" i="7"/>
  <c r="I75" i="7" s="1"/>
  <c r="J74" i="7"/>
  <c r="I74" i="7" s="1"/>
  <c r="J72" i="7"/>
  <c r="I72" i="7" s="1"/>
  <c r="J73" i="7"/>
  <c r="I73" i="7" s="1"/>
  <c r="J67" i="7"/>
  <c r="I67" i="7" s="1"/>
  <c r="J64" i="7"/>
  <c r="I64" i="7" s="1"/>
  <c r="J66" i="7"/>
  <c r="I66" i="7" s="1"/>
  <c r="J65" i="7"/>
  <c r="I65" i="7" s="1"/>
  <c r="C9" i="7"/>
  <c r="D9" i="7"/>
  <c r="F6" i="7"/>
  <c r="C13" i="7"/>
  <c r="H67" i="7" l="1"/>
  <c r="G67" i="7" s="1"/>
  <c r="H65" i="7"/>
  <c r="G65" i="7" s="1"/>
  <c r="H66" i="7"/>
  <c r="G66" i="7" s="1"/>
  <c r="H64" i="7"/>
  <c r="G64" i="7" s="1"/>
  <c r="H83" i="7"/>
  <c r="G83" i="7" s="1"/>
  <c r="H81" i="7"/>
  <c r="G81" i="7" s="1"/>
  <c r="H82" i="7"/>
  <c r="G82" i="7" s="1"/>
  <c r="H80" i="7"/>
  <c r="G80" i="7" s="1"/>
  <c r="H119" i="7"/>
  <c r="G119" i="7" s="1"/>
  <c r="H117" i="7"/>
  <c r="G117" i="7" s="1"/>
  <c r="H118" i="7"/>
  <c r="G118" i="7" s="1"/>
  <c r="H116" i="7"/>
  <c r="G116" i="7" s="1"/>
  <c r="F87" i="7"/>
  <c r="E87" i="7" s="1"/>
  <c r="F84" i="7"/>
  <c r="E84" i="7" s="1"/>
  <c r="F85" i="7"/>
  <c r="E85" i="7" s="1"/>
  <c r="F86" i="7"/>
  <c r="E86" i="7" s="1"/>
  <c r="D63" i="7"/>
  <c r="C63" i="7" s="1"/>
  <c r="D60" i="7"/>
  <c r="C60" i="7" s="1"/>
  <c r="D61" i="7"/>
  <c r="C61" i="7" s="1"/>
  <c r="D62" i="7"/>
  <c r="C62" i="7" s="1"/>
  <c r="H95" i="7"/>
  <c r="G95" i="7" s="1"/>
  <c r="H93" i="7"/>
  <c r="G93" i="7" s="1"/>
  <c r="H94" i="7"/>
  <c r="G94" i="7" s="1"/>
  <c r="H92" i="7"/>
  <c r="G92" i="7" s="1"/>
  <c r="H103" i="7"/>
  <c r="G103" i="7" s="1"/>
  <c r="H101" i="7"/>
  <c r="G101" i="7" s="1"/>
  <c r="H102" i="7"/>
  <c r="G102" i="7" s="1"/>
  <c r="H100" i="7"/>
  <c r="G100" i="7" s="1"/>
  <c r="H111" i="7"/>
  <c r="G111" i="7" s="1"/>
  <c r="H109" i="7"/>
  <c r="G109" i="7" s="1"/>
  <c r="H110" i="7"/>
  <c r="G110" i="7" s="1"/>
  <c r="H108" i="7"/>
  <c r="G108" i="7" s="1"/>
  <c r="H71" i="7"/>
  <c r="G71" i="7" s="1"/>
  <c r="H69" i="7"/>
  <c r="G69" i="7" s="1"/>
  <c r="H70" i="7"/>
  <c r="G70" i="7" s="1"/>
  <c r="H68" i="7"/>
  <c r="G68" i="7" s="1"/>
  <c r="H79" i="7"/>
  <c r="G79" i="7" s="1"/>
  <c r="H77" i="7"/>
  <c r="G77" i="7" s="1"/>
  <c r="H78" i="7"/>
  <c r="G78" i="7" s="1"/>
  <c r="H76" i="7"/>
  <c r="G76" i="7" s="1"/>
  <c r="H115" i="7"/>
  <c r="G115" i="7" s="1"/>
  <c r="H113" i="7"/>
  <c r="G113" i="7" s="1"/>
  <c r="H114" i="7"/>
  <c r="G114" i="7" s="1"/>
  <c r="H112" i="7"/>
  <c r="G112" i="7" s="1"/>
  <c r="H99" i="7"/>
  <c r="G99" i="7" s="1"/>
  <c r="H97" i="7"/>
  <c r="G97" i="7" s="1"/>
  <c r="H98" i="7"/>
  <c r="G98" i="7" s="1"/>
  <c r="H96" i="7"/>
  <c r="G96" i="7" s="1"/>
  <c r="H75" i="7"/>
  <c r="G75" i="7" s="1"/>
  <c r="H73" i="7"/>
  <c r="G73" i="7" s="1"/>
  <c r="H74" i="7"/>
  <c r="G74" i="7" s="1"/>
  <c r="H72" i="7"/>
  <c r="G72" i="7" s="1"/>
  <c r="H107" i="7"/>
  <c r="G107" i="7" s="1"/>
  <c r="H105" i="7"/>
  <c r="G105" i="7" s="1"/>
  <c r="H106" i="7"/>
  <c r="G106" i="7" s="1"/>
  <c r="H104" i="7"/>
  <c r="G104" i="7" s="1"/>
  <c r="H91" i="7"/>
  <c r="G91" i="7" s="1"/>
  <c r="H89" i="7"/>
  <c r="G89" i="7" s="1"/>
  <c r="H90" i="7"/>
  <c r="G90" i="7" s="1"/>
  <c r="H88" i="7"/>
  <c r="G88" i="7" s="1"/>
  <c r="H123" i="7"/>
  <c r="G123" i="7" s="1"/>
  <c r="H121" i="7"/>
  <c r="G121" i="7" s="1"/>
  <c r="H122" i="7"/>
  <c r="G122" i="7" s="1"/>
  <c r="H120" i="7"/>
  <c r="G120" i="7" s="1"/>
  <c r="C14" i="7"/>
  <c r="D14" i="7"/>
  <c r="C18" i="7"/>
  <c r="F16" i="7" s="1"/>
  <c r="F11" i="7"/>
  <c r="I9" i="7" s="1"/>
  <c r="I4" i="7"/>
  <c r="G7" i="7"/>
  <c r="F7" i="7"/>
  <c r="F123" i="7" l="1"/>
  <c r="E123" i="7" s="1"/>
  <c r="F122" i="7"/>
  <c r="E122" i="7" s="1"/>
  <c r="F120" i="7"/>
  <c r="E120" i="7" s="1"/>
  <c r="F121" i="7"/>
  <c r="E121" i="7" s="1"/>
  <c r="F91" i="7"/>
  <c r="E91" i="7" s="1"/>
  <c r="F90" i="7"/>
  <c r="E90" i="7" s="1"/>
  <c r="F88" i="7"/>
  <c r="E88" i="7" s="1"/>
  <c r="F89" i="7"/>
  <c r="E89" i="7" s="1"/>
  <c r="F107" i="7"/>
  <c r="E107" i="7" s="1"/>
  <c r="F106" i="7"/>
  <c r="E106" i="7" s="1"/>
  <c r="F104" i="7"/>
  <c r="E104" i="7" s="1"/>
  <c r="F105" i="7"/>
  <c r="E105" i="7" s="1"/>
  <c r="F75" i="7"/>
  <c r="E75" i="7" s="1"/>
  <c r="F74" i="7"/>
  <c r="E74" i="7" s="1"/>
  <c r="F72" i="7"/>
  <c r="E72" i="7" s="1"/>
  <c r="F73" i="7"/>
  <c r="E73" i="7" s="1"/>
  <c r="F99" i="7"/>
  <c r="E99" i="7" s="1"/>
  <c r="F98" i="7"/>
  <c r="E98" i="7" s="1"/>
  <c r="F96" i="7"/>
  <c r="E96" i="7" s="1"/>
  <c r="F97" i="7"/>
  <c r="E97" i="7" s="1"/>
  <c r="F115" i="7"/>
  <c r="E115" i="7" s="1"/>
  <c r="F114" i="7"/>
  <c r="E114" i="7" s="1"/>
  <c r="F112" i="7"/>
  <c r="E112" i="7" s="1"/>
  <c r="F113" i="7"/>
  <c r="E113" i="7" s="1"/>
  <c r="F79" i="7"/>
  <c r="E79" i="7" s="1"/>
  <c r="F76" i="7"/>
  <c r="E76" i="7" s="1"/>
  <c r="F77" i="7"/>
  <c r="E77" i="7" s="1"/>
  <c r="F78" i="7"/>
  <c r="E78" i="7" s="1"/>
  <c r="F71" i="7"/>
  <c r="E71" i="7" s="1"/>
  <c r="F68" i="7"/>
  <c r="E68" i="7" s="1"/>
  <c r="F69" i="7"/>
  <c r="E69" i="7" s="1"/>
  <c r="F70" i="7"/>
  <c r="E70" i="7" s="1"/>
  <c r="F111" i="7"/>
  <c r="E111" i="7" s="1"/>
  <c r="F108" i="7"/>
  <c r="E108" i="7" s="1"/>
  <c r="F109" i="7"/>
  <c r="E109" i="7" s="1"/>
  <c r="F110" i="7"/>
  <c r="E110" i="7" s="1"/>
  <c r="F103" i="7"/>
  <c r="E103" i="7" s="1"/>
  <c r="F100" i="7"/>
  <c r="E100" i="7" s="1"/>
  <c r="F101" i="7"/>
  <c r="E101" i="7" s="1"/>
  <c r="F102" i="7"/>
  <c r="E102" i="7" s="1"/>
  <c r="F95" i="7"/>
  <c r="E95" i="7" s="1"/>
  <c r="F92" i="7"/>
  <c r="E92" i="7" s="1"/>
  <c r="F93" i="7"/>
  <c r="E93" i="7" s="1"/>
  <c r="F94" i="7"/>
  <c r="E94" i="7" s="1"/>
  <c r="B63" i="7"/>
  <c r="B61" i="7"/>
  <c r="B62" i="7"/>
  <c r="B60" i="7"/>
  <c r="D87" i="7"/>
  <c r="C87" i="7" s="1"/>
  <c r="D84" i="7"/>
  <c r="C84" i="7" s="1"/>
  <c r="D85" i="7"/>
  <c r="C85" i="7" s="1"/>
  <c r="D86" i="7"/>
  <c r="C86" i="7" s="1"/>
  <c r="F119" i="7"/>
  <c r="E119" i="7" s="1"/>
  <c r="F116" i="7"/>
  <c r="E116" i="7" s="1"/>
  <c r="F117" i="7"/>
  <c r="E117" i="7" s="1"/>
  <c r="F118" i="7"/>
  <c r="E118" i="7" s="1"/>
  <c r="F83" i="7"/>
  <c r="E83" i="7" s="1"/>
  <c r="F82" i="7"/>
  <c r="E82" i="7" s="1"/>
  <c r="F80" i="7"/>
  <c r="E80" i="7" s="1"/>
  <c r="F81" i="7"/>
  <c r="E81" i="7" s="1"/>
  <c r="F67" i="7"/>
  <c r="E67" i="7" s="1"/>
  <c r="F66" i="7"/>
  <c r="E66" i="7" s="1"/>
  <c r="F64" i="7"/>
  <c r="E64" i="7" s="1"/>
  <c r="F65" i="7"/>
  <c r="E65" i="7" s="1"/>
  <c r="I14" i="7"/>
  <c r="I19" i="7" s="1"/>
  <c r="C19" i="7"/>
  <c r="F26" i="7"/>
  <c r="D19" i="7"/>
  <c r="J10" i="7"/>
  <c r="I10" i="7"/>
  <c r="F17" i="7"/>
  <c r="G17" i="7"/>
  <c r="I5" i="7"/>
  <c r="J5" i="7"/>
  <c r="L6" i="7"/>
  <c r="L11" i="7"/>
  <c r="F12" i="7"/>
  <c r="G12" i="7"/>
  <c r="D67" i="7" l="1"/>
  <c r="C67" i="7" s="1"/>
  <c r="D66" i="7"/>
  <c r="C66" i="7" s="1"/>
  <c r="D64" i="7"/>
  <c r="C64" i="7" s="1"/>
  <c r="D65" i="7"/>
  <c r="C65" i="7" s="1"/>
  <c r="D83" i="7"/>
  <c r="C83" i="7" s="1"/>
  <c r="D82" i="7"/>
  <c r="C82" i="7" s="1"/>
  <c r="D80" i="7"/>
  <c r="C80" i="7" s="1"/>
  <c r="D81" i="7"/>
  <c r="C81" i="7" s="1"/>
  <c r="D119" i="7"/>
  <c r="C119" i="7" s="1"/>
  <c r="D116" i="7"/>
  <c r="C116" i="7" s="1"/>
  <c r="D117" i="7"/>
  <c r="C117" i="7" s="1"/>
  <c r="D118" i="7"/>
  <c r="C118" i="7" s="1"/>
  <c r="B87" i="7"/>
  <c r="B85" i="7"/>
  <c r="B86" i="7"/>
  <c r="B84" i="7"/>
  <c r="D95" i="7"/>
  <c r="C95" i="7" s="1"/>
  <c r="D92" i="7"/>
  <c r="C92" i="7" s="1"/>
  <c r="D93" i="7"/>
  <c r="C93" i="7" s="1"/>
  <c r="D94" i="7"/>
  <c r="C94" i="7" s="1"/>
  <c r="D103" i="7"/>
  <c r="C103" i="7" s="1"/>
  <c r="D100" i="7"/>
  <c r="C100" i="7" s="1"/>
  <c r="D101" i="7"/>
  <c r="C101" i="7" s="1"/>
  <c r="D102" i="7"/>
  <c r="C102" i="7" s="1"/>
  <c r="D111" i="7"/>
  <c r="C111" i="7" s="1"/>
  <c r="D108" i="7"/>
  <c r="C108" i="7" s="1"/>
  <c r="D109" i="7"/>
  <c r="C109" i="7" s="1"/>
  <c r="D110" i="7"/>
  <c r="C110" i="7" s="1"/>
  <c r="D71" i="7"/>
  <c r="C71" i="7" s="1"/>
  <c r="D68" i="7"/>
  <c r="C68" i="7" s="1"/>
  <c r="D69" i="7"/>
  <c r="C69" i="7" s="1"/>
  <c r="D70" i="7"/>
  <c r="C70" i="7" s="1"/>
  <c r="D79" i="7"/>
  <c r="C79" i="7" s="1"/>
  <c r="D76" i="7"/>
  <c r="C76" i="7" s="1"/>
  <c r="D77" i="7"/>
  <c r="C77" i="7" s="1"/>
  <c r="D78" i="7"/>
  <c r="C78" i="7" s="1"/>
  <c r="D115" i="7"/>
  <c r="C115" i="7" s="1"/>
  <c r="D114" i="7"/>
  <c r="C114" i="7" s="1"/>
  <c r="D112" i="7"/>
  <c r="C112" i="7" s="1"/>
  <c r="D113" i="7"/>
  <c r="C113" i="7" s="1"/>
  <c r="D99" i="7"/>
  <c r="C99" i="7" s="1"/>
  <c r="D98" i="7"/>
  <c r="C98" i="7" s="1"/>
  <c r="D96" i="7"/>
  <c r="C96" i="7" s="1"/>
  <c r="D97" i="7"/>
  <c r="C97" i="7" s="1"/>
  <c r="D75" i="7"/>
  <c r="C75" i="7" s="1"/>
  <c r="D74" i="7"/>
  <c r="C74" i="7" s="1"/>
  <c r="D72" i="7"/>
  <c r="C72" i="7" s="1"/>
  <c r="D73" i="7"/>
  <c r="C73" i="7" s="1"/>
  <c r="D107" i="7"/>
  <c r="C107" i="7" s="1"/>
  <c r="D106" i="7"/>
  <c r="C106" i="7" s="1"/>
  <c r="D104" i="7"/>
  <c r="C104" i="7" s="1"/>
  <c r="D105" i="7"/>
  <c r="C105" i="7" s="1"/>
  <c r="D91" i="7"/>
  <c r="C91" i="7" s="1"/>
  <c r="D90" i="7"/>
  <c r="C90" i="7" s="1"/>
  <c r="D88" i="7"/>
  <c r="C88" i="7" s="1"/>
  <c r="D89" i="7"/>
  <c r="C89" i="7" s="1"/>
  <c r="D123" i="7"/>
  <c r="C123" i="7" s="1"/>
  <c r="D122" i="7"/>
  <c r="C122" i="7" s="1"/>
  <c r="D120" i="7"/>
  <c r="C120" i="7" s="1"/>
  <c r="D121" i="7"/>
  <c r="C121" i="7" s="1"/>
  <c r="L21" i="7"/>
  <c r="L22" i="7" s="1"/>
  <c r="L16" i="7"/>
  <c r="M17" i="7" s="1"/>
  <c r="J20" i="7"/>
  <c r="J15" i="7"/>
  <c r="I15" i="7"/>
  <c r="I20" i="7"/>
  <c r="L12" i="7"/>
  <c r="M12" i="7"/>
  <c r="L7" i="7"/>
  <c r="M7" i="7"/>
  <c r="F28" i="7"/>
  <c r="G28" i="7"/>
  <c r="G29" i="7"/>
  <c r="F29" i="7"/>
  <c r="F27" i="7"/>
  <c r="G27" i="7"/>
  <c r="I24" i="7"/>
  <c r="B123" i="7" l="1"/>
  <c r="B121" i="7"/>
  <c r="B122" i="7"/>
  <c r="B120" i="7"/>
  <c r="B91" i="7"/>
  <c r="B89" i="7"/>
  <c r="B90" i="7"/>
  <c r="B88" i="7"/>
  <c r="B107" i="7"/>
  <c r="B105" i="7"/>
  <c r="B106" i="7"/>
  <c r="B104" i="7"/>
  <c r="B75" i="7"/>
  <c r="B73" i="7"/>
  <c r="B74" i="7"/>
  <c r="B72" i="7"/>
  <c r="B99" i="7"/>
  <c r="B97" i="7"/>
  <c r="B98" i="7"/>
  <c r="B96" i="7"/>
  <c r="B115" i="7"/>
  <c r="B113" i="7"/>
  <c r="B114" i="7"/>
  <c r="B112" i="7"/>
  <c r="B79" i="7"/>
  <c r="B77" i="7"/>
  <c r="B78" i="7"/>
  <c r="B76" i="7"/>
  <c r="B71" i="7"/>
  <c r="B69" i="7"/>
  <c r="B70" i="7"/>
  <c r="B68" i="7"/>
  <c r="B111" i="7"/>
  <c r="B109" i="7"/>
  <c r="B110" i="7"/>
  <c r="B108" i="7"/>
  <c r="B103" i="7"/>
  <c r="B101" i="7"/>
  <c r="B102" i="7"/>
  <c r="B100" i="7"/>
  <c r="B95" i="7"/>
  <c r="B93" i="7"/>
  <c r="B94" i="7"/>
  <c r="B92" i="7"/>
  <c r="B119" i="7"/>
  <c r="B117" i="7"/>
  <c r="B118" i="7"/>
  <c r="B116" i="7"/>
  <c r="B83" i="7"/>
  <c r="B81" i="7"/>
  <c r="B82" i="7"/>
  <c r="B80" i="7"/>
  <c r="B67" i="7"/>
  <c r="B65" i="7"/>
  <c r="B66" i="7"/>
  <c r="B64" i="7"/>
  <c r="M22" i="7"/>
  <c r="L17" i="7"/>
  <c r="J25" i="7"/>
  <c r="I25" i="7"/>
  <c r="I29" i="7"/>
  <c r="J30" i="7" l="1"/>
  <c r="I30" i="7"/>
  <c r="C20" i="7" l="1"/>
  <c r="D20" i="7"/>
  <c r="C21" i="7"/>
  <c r="D21" i="7"/>
  <c r="Q3" i="2"/>
  <c r="R3" i="2"/>
  <c r="S3" i="2" s="1"/>
  <c r="T3" i="2"/>
  <c r="J4" i="3"/>
  <c r="K4" i="3" a="1"/>
  <c r="K4" i="3" s="1"/>
  <c r="L4" i="3"/>
  <c r="N4" i="3" s="1"/>
  <c r="M4" i="3" a="1"/>
  <c r="M4" i="3" s="1"/>
  <c r="H38" i="6" s="1"/>
  <c r="Q4" i="3"/>
  <c r="R4" i="3"/>
  <c r="S4" i="3" a="1"/>
  <c r="S4" i="3" s="1"/>
  <c r="U4" i="3"/>
  <c r="E38" i="6"/>
  <c r="F38" i="6"/>
  <c r="G38" i="6"/>
  <c r="I38" i="6"/>
  <c r="K38" i="6"/>
  <c r="N4" i="2"/>
  <c r="S4" i="2" s="1"/>
  <c r="O4" i="2"/>
  <c r="P4" i="2"/>
  <c r="Q4" i="2"/>
  <c r="R4" i="2"/>
  <c r="T4" i="2"/>
  <c r="C15" i="7"/>
  <c r="D15" i="7"/>
  <c r="C16" i="7"/>
  <c r="D16" i="7"/>
  <c r="I16" i="7"/>
  <c r="J16" i="7"/>
  <c r="I17" i="7"/>
  <c r="J17" i="7"/>
  <c r="F18" i="7"/>
  <c r="G18" i="7"/>
  <c r="L18" i="7"/>
  <c r="M18" i="7"/>
  <c r="F19" i="7"/>
  <c r="G19" i="7"/>
  <c r="L19" i="7"/>
  <c r="M19" i="7"/>
  <c r="I21" i="7"/>
  <c r="J21" i="7"/>
  <c r="I22" i="7"/>
  <c r="J22" i="7"/>
  <c r="L23" i="7"/>
  <c r="M23" i="7"/>
  <c r="L24" i="7"/>
  <c r="M24" i="7"/>
  <c r="I26" i="7"/>
  <c r="J26" i="7"/>
  <c r="I27" i="7"/>
  <c r="J27" i="7"/>
  <c r="I31" i="7"/>
  <c r="J31" i="7"/>
  <c r="I32" i="7"/>
  <c r="J32" i="7"/>
  <c r="J5" i="3"/>
  <c r="E39" i="6" s="1"/>
  <c r="K5" i="3" a="1"/>
  <c r="K5" i="3" s="1"/>
  <c r="L5" i="3"/>
  <c r="N5" i="3" s="1"/>
  <c r="I39" i="6" s="1"/>
  <c r="M5" i="3" a="1"/>
  <c r="M5" i="3" s="1"/>
  <c r="H39" i="6" s="1"/>
  <c r="Q5" i="3"/>
  <c r="R5" i="3"/>
  <c r="S5" i="3" a="1"/>
  <c r="S5" i="3" s="1"/>
  <c r="U5" i="3"/>
  <c r="F39" i="6"/>
  <c r="K39" i="6"/>
  <c r="F66" i="6"/>
  <c r="G66" i="6"/>
  <c r="G39" i="6" l="1"/>
  <c r="L39" i="7"/>
  <c r="D25" i="2"/>
  <c r="F25" i="2"/>
  <c r="H25" i="2"/>
  <c r="J25" i="2"/>
  <c r="L25" i="2"/>
  <c r="N25" i="2"/>
  <c r="P25" i="2"/>
  <c r="R25" i="2"/>
  <c r="T25" i="2"/>
  <c r="V25" i="2"/>
  <c r="X25" i="2"/>
  <c r="Z25" i="2"/>
  <c r="AB25" i="2"/>
  <c r="AD25" i="2"/>
  <c r="AF25" i="2"/>
  <c r="AH25" i="2"/>
  <c r="AJ25" i="2"/>
  <c r="AL25" i="2"/>
  <c r="AN25" i="2"/>
  <c r="AP25" i="2"/>
  <c r="AR25" i="2"/>
  <c r="AT25" i="2"/>
  <c r="AV25" i="2"/>
  <c r="E25" i="2"/>
  <c r="G25" i="2"/>
  <c r="I25" i="2"/>
  <c r="K25" i="2"/>
  <c r="M25" i="2"/>
  <c r="O25" i="2"/>
  <c r="Q25" i="2"/>
  <c r="S25" i="2"/>
  <c r="U25" i="2"/>
  <c r="W25" i="2"/>
  <c r="Y25" i="2"/>
  <c r="AA25" i="2"/>
  <c r="AC25" i="2"/>
  <c r="AE25" i="2"/>
  <c r="AG25" i="2"/>
  <c r="AI25" i="2"/>
  <c r="AK25" i="2"/>
  <c r="AM25" i="2"/>
  <c r="AO25" i="2"/>
  <c r="AQ25" i="2"/>
  <c r="AS25" i="2"/>
  <c r="AU25" i="2"/>
  <c r="K39" i="7"/>
  <c r="N5" i="2"/>
  <c r="O5" i="2"/>
  <c r="P5" i="2"/>
  <c r="Q5" i="2"/>
  <c r="R5" i="2"/>
  <c r="S5" i="2"/>
  <c r="T5" i="2"/>
  <c r="J6" i="3"/>
  <c r="K6" i="3" a="1"/>
  <c r="K6" i="3" s="1"/>
  <c r="F40" i="6" s="1"/>
  <c r="L6" i="3"/>
  <c r="N6" i="3" s="1"/>
  <c r="M6" i="3" a="1"/>
  <c r="M6" i="3" s="1"/>
  <c r="H40" i="6" s="1"/>
  <c r="Q6" i="3"/>
  <c r="R6" i="3"/>
  <c r="S6" i="3" a="1"/>
  <c r="S6" i="3" s="1"/>
  <c r="U6" i="3"/>
  <c r="E40" i="6"/>
  <c r="G40" i="6"/>
  <c r="I40" i="6"/>
  <c r="K40" i="6"/>
  <c r="F67" i="6"/>
  <c r="K40" i="7" l="1"/>
  <c r="G67" i="6"/>
  <c r="L40" i="7" l="1"/>
  <c r="AS26" i="2"/>
  <c r="AO26" i="2"/>
  <c r="AK26" i="2"/>
  <c r="AG26" i="2"/>
  <c r="AC26" i="2"/>
  <c r="Y26" i="2"/>
  <c r="U26" i="2"/>
  <c r="Q26" i="2"/>
  <c r="M26" i="2"/>
  <c r="I26" i="2"/>
  <c r="E26" i="2"/>
  <c r="AT26" i="2"/>
  <c r="AP26" i="2"/>
  <c r="AL26" i="2"/>
  <c r="AH26" i="2"/>
  <c r="AD26" i="2"/>
  <c r="Z26" i="2"/>
  <c r="V26" i="2"/>
  <c r="R26" i="2"/>
  <c r="N26" i="2"/>
  <c r="J26" i="2"/>
  <c r="F26" i="2"/>
  <c r="AU26" i="2"/>
  <c r="AQ26" i="2"/>
  <c r="AM26" i="2"/>
  <c r="AI26" i="2"/>
  <c r="AE26" i="2"/>
  <c r="AA26" i="2"/>
  <c r="W26" i="2"/>
  <c r="S26" i="2"/>
  <c r="O26" i="2"/>
  <c r="K26" i="2"/>
  <c r="G26" i="2"/>
  <c r="AV26" i="2"/>
  <c r="AR26" i="2"/>
  <c r="AN26" i="2"/>
  <c r="AJ26" i="2"/>
  <c r="AF26" i="2"/>
  <c r="AB26" i="2"/>
  <c r="X26" i="2"/>
  <c r="T26" i="2"/>
  <c r="P26" i="2"/>
  <c r="L26" i="2"/>
  <c r="H26" i="2"/>
  <c r="D26" i="2"/>
  <c r="N6" i="2"/>
  <c r="O6" i="2"/>
  <c r="P6" i="2"/>
  <c r="Q6" i="2"/>
  <c r="R6" i="2"/>
  <c r="S6" i="2"/>
  <c r="T6" i="2"/>
  <c r="L8" i="7"/>
  <c r="M8" i="7"/>
  <c r="L9" i="7"/>
  <c r="M9" i="7"/>
  <c r="L13" i="7"/>
  <c r="M13" i="7"/>
  <c r="L14" i="7"/>
  <c r="M14" i="7"/>
  <c r="J7" i="3"/>
  <c r="K7" i="3" a="1"/>
  <c r="K7" i="3" s="1"/>
  <c r="L7" i="3"/>
  <c r="N7" i="3" s="1"/>
  <c r="M7" i="3" a="1"/>
  <c r="M7" i="3" s="1"/>
  <c r="H41" i="6" s="1"/>
  <c r="Q7" i="3"/>
  <c r="R7" i="3"/>
  <c r="S7" i="3" a="1"/>
  <c r="S7" i="3" s="1"/>
  <c r="U7" i="3"/>
  <c r="E41" i="6"/>
  <c r="F41" i="6"/>
  <c r="G41" i="6"/>
  <c r="I41" i="6"/>
  <c r="K41" i="6"/>
  <c r="F68" i="6"/>
  <c r="K41" i="7" l="1"/>
  <c r="G68" i="6"/>
  <c r="O27" i="2"/>
  <c r="L41" i="7" l="1"/>
  <c r="AM27" i="2"/>
  <c r="G27" i="2"/>
  <c r="AI27" i="2"/>
  <c r="S27" i="2"/>
  <c r="AS27" i="2"/>
  <c r="AK27" i="2"/>
  <c r="AC27" i="2"/>
  <c r="U27" i="2"/>
  <c r="M27" i="2"/>
  <c r="E27" i="2"/>
  <c r="AT27" i="2"/>
  <c r="AP27" i="2"/>
  <c r="AL27" i="2"/>
  <c r="AH27" i="2"/>
  <c r="AD27" i="2"/>
  <c r="Z27" i="2"/>
  <c r="V27" i="2"/>
  <c r="R27" i="2"/>
  <c r="N27" i="2"/>
  <c r="J27" i="2"/>
  <c r="F27" i="2"/>
  <c r="AU27" i="2"/>
  <c r="AE27" i="2"/>
  <c r="W27" i="2"/>
  <c r="AQ27" i="2"/>
  <c r="AA27" i="2"/>
  <c r="K27" i="2"/>
  <c r="AO27" i="2"/>
  <c r="AG27" i="2"/>
  <c r="Y27" i="2"/>
  <c r="Q27" i="2"/>
  <c r="I27" i="2"/>
  <c r="AV27" i="2"/>
  <c r="AR27" i="2"/>
  <c r="AN27" i="2"/>
  <c r="AJ27" i="2"/>
  <c r="AF27" i="2"/>
  <c r="AB27" i="2"/>
  <c r="X27" i="2"/>
  <c r="T27" i="2"/>
  <c r="P27" i="2"/>
  <c r="L27" i="2"/>
  <c r="H27" i="2"/>
  <c r="D27" i="2"/>
  <c r="N7" i="2"/>
  <c r="O7" i="2"/>
  <c r="P7" i="2"/>
  <c r="Q7" i="2"/>
  <c r="R7" i="2"/>
  <c r="S7" i="2"/>
  <c r="T7" i="2"/>
  <c r="I6" i="7"/>
  <c r="J6" i="7"/>
  <c r="I7" i="7"/>
  <c r="J7" i="7"/>
  <c r="F8" i="7"/>
  <c r="G8" i="7"/>
  <c r="F9" i="7"/>
  <c r="G9" i="7"/>
  <c r="C10" i="7"/>
  <c r="D10" i="7"/>
  <c r="D11" i="7"/>
  <c r="I11" i="7"/>
  <c r="J11" i="7"/>
  <c r="I12" i="7"/>
  <c r="J12" i="7"/>
  <c r="F13" i="7"/>
  <c r="G13" i="7"/>
  <c r="F14" i="7"/>
  <c r="G14" i="7"/>
  <c r="J8" i="3"/>
  <c r="K8" i="3" a="1"/>
  <c r="K8" i="3" s="1"/>
  <c r="L8" i="3"/>
  <c r="N8" i="3" s="1"/>
  <c r="M8" i="3" a="1"/>
  <c r="M8" i="3" s="1"/>
  <c r="H42" i="6" s="1"/>
  <c r="Q8" i="3"/>
  <c r="R8" i="3"/>
  <c r="S8" i="3" a="1"/>
  <c r="S8" i="3" s="1"/>
  <c r="U8" i="3"/>
  <c r="E42" i="6"/>
  <c r="G42" i="6"/>
  <c r="I42" i="6"/>
  <c r="K42" i="6"/>
  <c r="F69" i="6"/>
  <c r="K42" i="7" l="1"/>
  <c r="G69" i="6"/>
  <c r="F28" i="2" s="1"/>
  <c r="F42" i="6"/>
  <c r="AU28" i="2" l="1"/>
  <c r="AS28" i="2"/>
  <c r="AO28" i="2"/>
  <c r="AK28" i="2"/>
  <c r="AG28" i="2"/>
  <c r="AC28" i="2"/>
  <c r="Y28" i="2"/>
  <c r="U28" i="2"/>
  <c r="Q28" i="2"/>
  <c r="M28" i="2"/>
  <c r="I28" i="2"/>
  <c r="E28" i="2"/>
  <c r="AT28" i="2"/>
  <c r="AP28" i="2"/>
  <c r="AL28" i="2"/>
  <c r="AH28" i="2"/>
  <c r="AD28" i="2"/>
  <c r="Z28" i="2"/>
  <c r="V28" i="2"/>
  <c r="R28" i="2"/>
  <c r="N28" i="2"/>
  <c r="J28" i="2"/>
  <c r="L42" i="7"/>
  <c r="AQ28" i="2"/>
  <c r="AM28" i="2"/>
  <c r="AI28" i="2"/>
  <c r="AE28" i="2"/>
  <c r="AA28" i="2"/>
  <c r="W28" i="2"/>
  <c r="S28" i="2"/>
  <c r="O28" i="2"/>
  <c r="K28" i="2"/>
  <c r="G28" i="2"/>
  <c r="AV28" i="2"/>
  <c r="AR28" i="2"/>
  <c r="AN28" i="2"/>
  <c r="AJ28" i="2"/>
  <c r="AF28" i="2"/>
  <c r="AB28" i="2"/>
  <c r="X28" i="2"/>
  <c r="T28" i="2"/>
  <c r="P28" i="2"/>
  <c r="L28" i="2"/>
  <c r="H28" i="2"/>
  <c r="D28" i="2"/>
  <c r="N8" i="2"/>
  <c r="O8" i="2"/>
  <c r="P8" i="2"/>
  <c r="Q8" i="2"/>
  <c r="R8" i="2"/>
  <c r="S8" i="2"/>
  <c r="T8" i="2"/>
  <c r="J9" i="3"/>
  <c r="E43" i="6" s="1"/>
  <c r="K9" i="3" a="1"/>
  <c r="K9" i="3" s="1"/>
  <c r="L9" i="3"/>
  <c r="N9" i="3" s="1"/>
  <c r="I43" i="6" s="1"/>
  <c r="M9" i="3" a="1"/>
  <c r="M9" i="3" s="1"/>
  <c r="H43" i="6" s="1"/>
  <c r="Q9" i="3"/>
  <c r="R9" i="3"/>
  <c r="S9" i="3" a="1"/>
  <c r="S9" i="3" s="1"/>
  <c r="U9" i="3"/>
  <c r="F43" i="6"/>
  <c r="K43" i="6"/>
  <c r="F70" i="6"/>
  <c r="G70" i="6"/>
  <c r="G43" i="6" l="1"/>
  <c r="L43" i="7"/>
  <c r="E29" i="2"/>
  <c r="G29" i="2"/>
  <c r="I29" i="2"/>
  <c r="K29" i="2"/>
  <c r="M29" i="2"/>
  <c r="O29" i="2"/>
  <c r="Q29" i="2"/>
  <c r="S29" i="2"/>
  <c r="U29" i="2"/>
  <c r="W29" i="2"/>
  <c r="Y29" i="2"/>
  <c r="AA29" i="2"/>
  <c r="AC29" i="2"/>
  <c r="AE29" i="2"/>
  <c r="AG29" i="2"/>
  <c r="AI29" i="2"/>
  <c r="AK29" i="2"/>
  <c r="AM29" i="2"/>
  <c r="AO29" i="2"/>
  <c r="AQ29" i="2"/>
  <c r="AS29" i="2"/>
  <c r="AU29" i="2"/>
  <c r="D29" i="2"/>
  <c r="F29" i="2"/>
  <c r="H29" i="2"/>
  <c r="J29" i="2"/>
  <c r="L29" i="2"/>
  <c r="N29" i="2"/>
  <c r="P29" i="2"/>
  <c r="R29" i="2"/>
  <c r="T29" i="2"/>
  <c r="V29" i="2"/>
  <c r="X29" i="2"/>
  <c r="Z29" i="2"/>
  <c r="AB29" i="2"/>
  <c r="AD29" i="2"/>
  <c r="AF29" i="2"/>
  <c r="AH29" i="2"/>
  <c r="AJ29" i="2"/>
  <c r="AL29" i="2"/>
  <c r="AN29" i="2"/>
  <c r="AP29" i="2"/>
  <c r="AR29" i="2"/>
  <c r="AT29" i="2"/>
  <c r="AV29" i="2"/>
  <c r="K43" i="7"/>
  <c r="N9" i="2"/>
  <c r="S9" i="2" s="1"/>
  <c r="O9" i="2"/>
  <c r="P9" i="2"/>
  <c r="Q9" i="2"/>
  <c r="R9" i="2"/>
  <c r="T9" i="2"/>
  <c r="J10" i="3"/>
  <c r="K10" i="3" a="1"/>
  <c r="K10" i="3" s="1"/>
  <c r="L10" i="3"/>
  <c r="N10" i="3" s="1"/>
  <c r="M10" i="3" a="1"/>
  <c r="M10" i="3" s="1"/>
  <c r="H44" i="6" s="1"/>
  <c r="Q10" i="3"/>
  <c r="R10" i="3"/>
  <c r="S10" i="3" a="1"/>
  <c r="S10" i="3" s="1"/>
  <c r="U10" i="3"/>
  <c r="E44" i="6"/>
  <c r="I44" i="6"/>
  <c r="K44" i="6"/>
  <c r="F71" i="6"/>
  <c r="G44" i="6" l="1"/>
  <c r="F44" i="6"/>
  <c r="K44" i="7"/>
  <c r="G71" i="6"/>
  <c r="G30" i="2" s="1"/>
  <c r="AV30" i="2" l="1"/>
  <c r="AJ30" i="2"/>
  <c r="AT30" i="2"/>
  <c r="AP30" i="2"/>
  <c r="AL30" i="2"/>
  <c r="AH30" i="2"/>
  <c r="AD30" i="2"/>
  <c r="Z30" i="2"/>
  <c r="V30" i="2"/>
  <c r="R30" i="2"/>
  <c r="N30" i="2"/>
  <c r="J30" i="2"/>
  <c r="F30" i="2"/>
  <c r="AU30" i="2"/>
  <c r="AQ30" i="2"/>
  <c r="AM30" i="2"/>
  <c r="AI30" i="2"/>
  <c r="AE30" i="2"/>
  <c r="AA30" i="2"/>
  <c r="W30" i="2"/>
  <c r="S30" i="2"/>
  <c r="O30" i="2"/>
  <c r="K30" i="2"/>
  <c r="L44" i="7"/>
  <c r="AR30" i="2"/>
  <c r="AN30" i="2"/>
  <c r="AF30" i="2"/>
  <c r="AB30" i="2"/>
  <c r="X30" i="2"/>
  <c r="T30" i="2"/>
  <c r="P30" i="2"/>
  <c r="L30" i="2"/>
  <c r="H30" i="2"/>
  <c r="D30" i="2"/>
  <c r="AS30" i="2"/>
  <c r="AO30" i="2"/>
  <c r="AK30" i="2"/>
  <c r="AG30" i="2"/>
  <c r="AC30" i="2"/>
  <c r="Y30" i="2"/>
  <c r="U30" i="2"/>
  <c r="Q30" i="2"/>
  <c r="M30" i="2"/>
  <c r="I30" i="2"/>
  <c r="E30" i="2"/>
  <c r="N10" i="2"/>
  <c r="O10" i="2"/>
  <c r="P10" i="2"/>
  <c r="S10" i="2" s="1"/>
  <c r="Q10" i="2"/>
  <c r="R10" i="2"/>
  <c r="T10" i="2"/>
  <c r="J11" i="3"/>
  <c r="K11" i="3" a="1"/>
  <c r="K11" i="3" s="1"/>
  <c r="L11" i="3"/>
  <c r="N11" i="3" s="1"/>
  <c r="I45" i="6" s="1"/>
  <c r="M11" i="3" a="1"/>
  <c r="M11" i="3" s="1"/>
  <c r="H45" i="6" s="1"/>
  <c r="Q11" i="3"/>
  <c r="R11" i="3"/>
  <c r="S11" i="3" a="1"/>
  <c r="S11" i="3" s="1"/>
  <c r="U11" i="3"/>
  <c r="E45" i="6"/>
  <c r="G45" i="6"/>
  <c r="K45" i="6"/>
  <c r="F72" i="6"/>
  <c r="F45" i="6" l="1"/>
  <c r="AT31" i="2"/>
  <c r="K45" i="7"/>
  <c r="G72" i="6"/>
  <c r="G31" i="2" s="1"/>
  <c r="AP31" i="2" l="1"/>
  <c r="AL31" i="2"/>
  <c r="AH31" i="2"/>
  <c r="AD31" i="2"/>
  <c r="Z31" i="2"/>
  <c r="V31" i="2"/>
  <c r="R31" i="2"/>
  <c r="N31" i="2"/>
  <c r="J31" i="2"/>
  <c r="F31" i="2"/>
  <c r="AU31" i="2"/>
  <c r="AQ31" i="2"/>
  <c r="AM31" i="2"/>
  <c r="AI31" i="2"/>
  <c r="AE31" i="2"/>
  <c r="AA31" i="2"/>
  <c r="W31" i="2"/>
  <c r="S31" i="2"/>
  <c r="O31" i="2"/>
  <c r="K31" i="2"/>
  <c r="L45" i="7"/>
  <c r="AV31" i="2"/>
  <c r="AR31" i="2"/>
  <c r="AN31" i="2"/>
  <c r="AJ31" i="2"/>
  <c r="AF31" i="2"/>
  <c r="AB31" i="2"/>
  <c r="X31" i="2"/>
  <c r="T31" i="2"/>
  <c r="P31" i="2"/>
  <c r="L31" i="2"/>
  <c r="H31" i="2"/>
  <c r="D31" i="2"/>
  <c r="AS31" i="2"/>
  <c r="AO31" i="2"/>
  <c r="AK31" i="2"/>
  <c r="AG31" i="2"/>
  <c r="AC31" i="2"/>
  <c r="Y31" i="2"/>
  <c r="U31" i="2"/>
  <c r="Q31" i="2"/>
  <c r="M31" i="2"/>
  <c r="I31" i="2"/>
  <c r="E31" i="2"/>
  <c r="N11" i="2"/>
  <c r="O11" i="2"/>
  <c r="P11" i="2"/>
  <c r="Q11" i="2"/>
  <c r="R11" i="2"/>
  <c r="S11" i="2"/>
  <c r="T11" i="2"/>
  <c r="J12" i="3"/>
  <c r="K12" i="3" a="1"/>
  <c r="K12" i="3" s="1"/>
  <c r="F46" i="6" s="1"/>
  <c r="L12" i="3"/>
  <c r="M12" i="3" a="1"/>
  <c r="M12" i="3" s="1"/>
  <c r="H46" i="6" s="1"/>
  <c r="N12" i="3"/>
  <c r="I46" i="6" s="1"/>
  <c r="Q12" i="3"/>
  <c r="R12" i="3"/>
  <c r="S12" i="3" a="1"/>
  <c r="S12" i="3" s="1"/>
  <c r="U12" i="3"/>
  <c r="E46" i="6"/>
  <c r="G46" i="6"/>
  <c r="K46" i="6"/>
  <c r="F73" i="6"/>
  <c r="K46" i="7" l="1"/>
  <c r="G73" i="6"/>
  <c r="G32" i="2" s="1"/>
  <c r="AT32" i="2" l="1"/>
  <c r="AP32" i="2"/>
  <c r="AL32" i="2"/>
  <c r="AH32" i="2"/>
  <c r="AD32" i="2"/>
  <c r="Z32" i="2"/>
  <c r="V32" i="2"/>
  <c r="R32" i="2"/>
  <c r="N32" i="2"/>
  <c r="J32" i="2"/>
  <c r="F32" i="2"/>
  <c r="AU32" i="2"/>
  <c r="AQ32" i="2"/>
  <c r="AM32" i="2"/>
  <c r="AI32" i="2"/>
  <c r="AE32" i="2"/>
  <c r="AA32" i="2"/>
  <c r="W32" i="2"/>
  <c r="S32" i="2"/>
  <c r="O32" i="2"/>
  <c r="K32" i="2"/>
  <c r="L46" i="7"/>
  <c r="AV32" i="2"/>
  <c r="AR32" i="2"/>
  <c r="AN32" i="2"/>
  <c r="AJ32" i="2"/>
  <c r="AF32" i="2"/>
  <c r="AB32" i="2"/>
  <c r="X32" i="2"/>
  <c r="T32" i="2"/>
  <c r="P32" i="2"/>
  <c r="L32" i="2"/>
  <c r="H32" i="2"/>
  <c r="D32" i="2"/>
  <c r="AS32" i="2"/>
  <c r="AO32" i="2"/>
  <c r="AK32" i="2"/>
  <c r="AG32" i="2"/>
  <c r="AC32" i="2"/>
  <c r="Y32" i="2"/>
  <c r="U32" i="2"/>
  <c r="Q32" i="2"/>
  <c r="M32" i="2"/>
  <c r="I32" i="2"/>
  <c r="E32" i="2"/>
  <c r="N12" i="2"/>
  <c r="O12" i="2"/>
  <c r="P12" i="2"/>
  <c r="Q12" i="2"/>
  <c r="R12" i="2"/>
  <c r="S12" i="2"/>
  <c r="T12" i="2"/>
  <c r="J13" i="3"/>
  <c r="K13" i="3" a="1"/>
  <c r="K13" i="3"/>
  <c r="L13" i="3"/>
  <c r="M13" i="3" a="1"/>
  <c r="M13" i="3" s="1"/>
  <c r="N13" i="3"/>
  <c r="Q13" i="3"/>
  <c r="R13" i="3"/>
  <c r="S13" i="3" a="1"/>
  <c r="S13" i="3"/>
  <c r="U13" i="3"/>
  <c r="B24" i="3"/>
  <c r="C32" i="6"/>
  <c r="E47" i="6"/>
  <c r="F47" i="6"/>
  <c r="G47" i="6"/>
  <c r="H47" i="6"/>
  <c r="I47" i="6"/>
  <c r="K47" i="6"/>
  <c r="D58" i="6"/>
  <c r="F74" i="6"/>
  <c r="G74" i="6"/>
  <c r="E33" i="2" l="1"/>
  <c r="G33" i="2"/>
  <c r="I33" i="2"/>
  <c r="K33" i="2"/>
  <c r="M33" i="2"/>
  <c r="O33" i="2"/>
  <c r="Q33" i="2"/>
  <c r="S33" i="2"/>
  <c r="U33" i="2"/>
  <c r="W33" i="2"/>
  <c r="Y33" i="2"/>
  <c r="AA33" i="2"/>
  <c r="AC33" i="2"/>
  <c r="AE33" i="2"/>
  <c r="AG33" i="2"/>
  <c r="AI33" i="2"/>
  <c r="AK33" i="2"/>
  <c r="AM33" i="2"/>
  <c r="AO33" i="2"/>
  <c r="AQ33" i="2"/>
  <c r="AS33" i="2"/>
  <c r="AU33" i="2"/>
  <c r="D33" i="2"/>
  <c r="F33" i="2"/>
  <c r="H33" i="2"/>
  <c r="J33" i="2"/>
  <c r="L33" i="2"/>
  <c r="N33" i="2"/>
  <c r="P33" i="2"/>
  <c r="R33" i="2"/>
  <c r="T33" i="2"/>
  <c r="V33" i="2"/>
  <c r="X33" i="2"/>
  <c r="Z33" i="2"/>
  <c r="AB33" i="2"/>
  <c r="AD33" i="2"/>
  <c r="AF33" i="2"/>
  <c r="AH33" i="2"/>
  <c r="AJ33" i="2"/>
  <c r="AL33" i="2"/>
  <c r="AN33" i="2"/>
  <c r="AP33" i="2"/>
  <c r="AR33" i="2"/>
  <c r="AT33" i="2"/>
  <c r="AV33" i="2"/>
  <c r="K47" i="7"/>
  <c r="F19" i="2"/>
  <c r="L47" i="7"/>
  <c r="B19" i="2" l="1"/>
  <c r="C19" i="2"/>
  <c r="D19" i="2" s="1"/>
  <c r="E19" i="2" s="1"/>
  <c r="M38" i="7"/>
  <c r="M39" i="7"/>
  <c r="M40" i="7"/>
  <c r="M41" i="7"/>
  <c r="M42" i="7"/>
  <c r="M43" i="7"/>
  <c r="M44" i="7"/>
  <c r="M45" i="7"/>
  <c r="M46" i="7"/>
  <c r="M47" i="7"/>
  <c r="M48" i="7"/>
  <c r="M49" i="7"/>
  <c r="M50" i="7"/>
  <c r="M51" i="7"/>
  <c r="M52" i="7"/>
  <c r="M53" i="7"/>
  <c r="M54" i="7"/>
  <c r="M55" i="7"/>
  <c r="M56" i="7"/>
  <c r="H4" i="3" a="1"/>
  <c r="H4" i="3"/>
  <c r="I4" i="3"/>
  <c r="P4" i="3" a="1"/>
  <c r="P4" i="3"/>
  <c r="T4" i="3"/>
  <c r="H5" i="3" a="1"/>
  <c r="H5" i="3"/>
  <c r="I5" i="3"/>
  <c r="P5" i="3" a="1"/>
  <c r="P5" i="3"/>
  <c r="T5" i="3"/>
  <c r="H6" i="3" a="1"/>
  <c r="H6" i="3"/>
  <c r="I6" i="3"/>
  <c r="P6" i="3" a="1"/>
  <c r="P6" i="3"/>
  <c r="T6" i="3"/>
  <c r="H7" i="3" a="1"/>
  <c r="H7" i="3"/>
  <c r="I7" i="3"/>
  <c r="P7" i="3" a="1"/>
  <c r="P7" i="3"/>
  <c r="T7" i="3"/>
  <c r="H8" i="3" a="1"/>
  <c r="H8" i="3"/>
  <c r="I8" i="3"/>
  <c r="P8" i="3" a="1"/>
  <c r="P8" i="3"/>
  <c r="T8" i="3"/>
  <c r="H9" i="3" a="1"/>
  <c r="H9" i="3"/>
  <c r="I9" i="3"/>
  <c r="P9" i="3" a="1"/>
  <c r="P9" i="3"/>
  <c r="T9" i="3"/>
  <c r="H10" i="3" a="1"/>
  <c r="H10" i="3"/>
  <c r="I10" i="3"/>
  <c r="P10" i="3" a="1"/>
  <c r="P10" i="3"/>
  <c r="T10" i="3"/>
  <c r="H11" i="3" a="1"/>
  <c r="H11" i="3"/>
  <c r="I11" i="3"/>
  <c r="P11" i="3" a="1"/>
  <c r="P11" i="3"/>
  <c r="T11" i="3"/>
  <c r="H12" i="3" a="1"/>
  <c r="H12" i="3"/>
  <c r="I12" i="3"/>
  <c r="P12" i="3" a="1"/>
  <c r="P12" i="3"/>
  <c r="T12" i="3"/>
  <c r="H13" i="3" a="1"/>
  <c r="H13" i="3"/>
  <c r="I13" i="3"/>
  <c r="P13" i="3" a="1"/>
  <c r="P13" i="3"/>
  <c r="T13" i="3"/>
  <c r="H14" i="3" a="1"/>
  <c r="H14" i="3"/>
  <c r="I14" i="3"/>
  <c r="P14" i="3" a="1"/>
  <c r="P14" i="3"/>
  <c r="T14" i="3"/>
  <c r="H15" i="3" a="1"/>
  <c r="H15" i="3"/>
  <c r="I15" i="3"/>
  <c r="P15" i="3" a="1"/>
  <c r="P15" i="3"/>
  <c r="T15" i="3"/>
  <c r="H16" i="3" a="1"/>
  <c r="H16" i="3"/>
  <c r="I16" i="3"/>
  <c r="P16" i="3" a="1"/>
  <c r="P16" i="3"/>
  <c r="T16" i="3"/>
  <c r="H17" i="3" a="1"/>
  <c r="H17" i="3"/>
  <c r="I17" i="3"/>
  <c r="P17" i="3" a="1"/>
  <c r="P17" i="3"/>
  <c r="T17" i="3"/>
  <c r="H18" i="3" a="1"/>
  <c r="H18" i="3"/>
  <c r="I18" i="3"/>
  <c r="P18" i="3" a="1"/>
  <c r="P18" i="3"/>
  <c r="T18" i="3"/>
  <c r="H19" i="3" a="1"/>
  <c r="H19" i="3"/>
  <c r="I19" i="3"/>
  <c r="P19" i="3" a="1"/>
  <c r="P19" i="3"/>
  <c r="T19" i="3"/>
  <c r="H20" i="3" a="1"/>
  <c r="H20" i="3"/>
  <c r="I20" i="3"/>
  <c r="P20" i="3" a="1"/>
  <c r="P20" i="3"/>
  <c r="T20" i="3"/>
  <c r="H21" i="3" a="1"/>
  <c r="H21" i="3"/>
  <c r="I21" i="3"/>
  <c r="P21" i="3" a="1"/>
  <c r="P21" i="3"/>
  <c r="T21" i="3"/>
  <c r="H22" i="3" a="1"/>
  <c r="H22" i="3"/>
  <c r="I22" i="3"/>
  <c r="P22" i="3" a="1"/>
  <c r="P22" i="3"/>
  <c r="T22" i="3"/>
  <c r="C38" i="6"/>
  <c r="D38" i="6"/>
  <c r="J38" i="6"/>
  <c r="C39" i="6"/>
  <c r="D39" i="6"/>
  <c r="J39" i="6"/>
  <c r="C40" i="6"/>
  <c r="D40" i="6"/>
  <c r="J40" i="6"/>
  <c r="C41" i="6"/>
  <c r="D41" i="6"/>
  <c r="J41" i="6"/>
  <c r="C42" i="6"/>
  <c r="D42" i="6"/>
  <c r="J42" i="6"/>
  <c r="C43" i="6"/>
  <c r="D43" i="6"/>
  <c r="J43" i="6"/>
  <c r="C44" i="6"/>
  <c r="D44" i="6"/>
  <c r="J44" i="6"/>
  <c r="C45" i="6"/>
  <c r="D45" i="6"/>
  <c r="J45" i="6"/>
  <c r="C46" i="6"/>
  <c r="D46" i="6"/>
  <c r="J46" i="6"/>
  <c r="C47" i="6"/>
  <c r="D47" i="6"/>
  <c r="J47" i="6"/>
  <c r="C48" i="6"/>
  <c r="D48" i="6"/>
  <c r="J48" i="6"/>
  <c r="C49" i="6"/>
  <c r="D49" i="6"/>
  <c r="J49" i="6"/>
  <c r="C50" i="6"/>
  <c r="D50" i="6"/>
  <c r="J50" i="6"/>
  <c r="C51" i="6"/>
  <c r="D51" i="6"/>
  <c r="J51" i="6"/>
  <c r="C52" i="6"/>
  <c r="D52" i="6"/>
  <c r="J52" i="6"/>
  <c r="C53" i="6"/>
  <c r="D53" i="6"/>
  <c r="J53" i="6"/>
  <c r="C54" i="6"/>
  <c r="D54" i="6"/>
  <c r="J54" i="6"/>
  <c r="C55" i="6"/>
  <c r="D55" i="6"/>
  <c r="J55" i="6"/>
  <c r="C56" i="6"/>
  <c r="D56" i="6"/>
  <c r="J56" i="6"/>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<sst xmlns="http://schemas.openxmlformats.org/spreadsheetml/2006/main" count="132" uniqueCount="99">
  <si>
    <t>Actividades</t>
  </si>
  <si>
    <t>Duraciones</t>
  </si>
  <si>
    <t>B</t>
  </si>
  <si>
    <t>C</t>
  </si>
  <si>
    <t>D</t>
  </si>
  <si>
    <t>Tabla de Actividades</t>
  </si>
  <si>
    <t>Descripción</t>
  </si>
  <si>
    <t>Frecuencia para las duraciones</t>
  </si>
  <si>
    <t>Opciones para control</t>
  </si>
  <si>
    <t>Semana</t>
  </si>
  <si>
    <t>Precedencia 1</t>
  </si>
  <si>
    <t>Precedencia 2</t>
  </si>
  <si>
    <t>Precedencia 3</t>
  </si>
  <si>
    <t>Precedencia 4</t>
  </si>
  <si>
    <t>SUCESORA</t>
  </si>
  <si>
    <t>P R E C E D E N T E</t>
  </si>
  <si>
    <t>Nro de Pred.</t>
  </si>
  <si>
    <t>Nro Suce.</t>
  </si>
  <si>
    <t>Tipo</t>
  </si>
  <si>
    <t>Inicio Temprano</t>
  </si>
  <si>
    <t>Final Temprano</t>
  </si>
  <si>
    <t>Inicio Tardío</t>
  </si>
  <si>
    <t>Proyecto=</t>
  </si>
  <si>
    <t>Holgura Total</t>
  </si>
  <si>
    <t>CC</t>
  </si>
  <si>
    <t>Holgura libre</t>
  </si>
  <si>
    <t>Final Tardío</t>
  </si>
  <si>
    <t>H</t>
  </si>
  <si>
    <t>I</t>
  </si>
  <si>
    <t>J</t>
  </si>
  <si>
    <t>G</t>
  </si>
  <si>
    <t>E</t>
  </si>
  <si>
    <t>F</t>
  </si>
  <si>
    <t>Programación</t>
  </si>
  <si>
    <t>Errores</t>
  </si>
  <si>
    <t>Actividad pendiente de programación.</t>
  </si>
  <si>
    <t>Actividad programada antes del inicio temprano.</t>
  </si>
  <si>
    <t>Inicio temprano (corregido)</t>
  </si>
  <si>
    <t>Holgura total (corregida)</t>
  </si>
  <si>
    <t>Holgura libre (corregida)</t>
  </si>
  <si>
    <t>La idea de esta planilla excel es que en primer lugar se registren en el primer cuadro de la hoja proyectos, las duraciones de cada tarea y las sucesoras de cada una. Luego en la hoja "Utilizable" la idea es visualizar la detección de errores, y el tiempo total del proyecto. En caso de que la programación varíe, nos encontraremos con una serie de errores que forzarán cambiar el tiempo de programación. el tiempo de programación es la unidad (que se utilice) en que comenzará tal actividad. De modo que una actividad que comienza superior a su tiempo de inicio tardío, producirá errores en las demás tareas que deberán corregirse, especialmente en su programación de inicio.</t>
  </si>
  <si>
    <t>Idea General</t>
  </si>
  <si>
    <t>Indicaciones</t>
  </si>
  <si>
    <t>Su utilización no tendrá ningún tipo de beneficio ni sentido si se desconoce el significado de lo que son los inicios tempranos y tardíos, así como las finalizaciones y las holguras.</t>
  </si>
  <si>
    <t>Actualización de algunos parámetros (corregidos en hoja precedencias)</t>
  </si>
  <si>
    <t>Se realizó un cálculo exacto de algunos puntos, especialmente en los inicios y las holguras. Quedan marcados como corregidos para que se visualice como estaban normalmente. Los cambios refieren a que se automatice la relación entre los inicios y las programaciones, de modo que ahora los inicios corregidos reaccionan en relación a atrasos en la programación de actividades.</t>
  </si>
  <si>
    <t>Lista de errores (para solucionar programación)</t>
  </si>
  <si>
    <t>Bienvenido al programa de clasificación de actividades, CPM, PERT y diagrama de Gantt</t>
  </si>
  <si>
    <t>Por favor, lea atentamente las instrucciones marcadas en amarillo:</t>
  </si>
  <si>
    <t>Lo primero que corresponde hacer, es completar la siguiente Tabla</t>
  </si>
  <si>
    <t>Descripción de la actividad</t>
  </si>
  <si>
    <t>Duración estimada</t>
  </si>
  <si>
    <t>Horas</t>
  </si>
  <si>
    <t>Semanas</t>
  </si>
  <si>
    <t>Quincenas</t>
  </si>
  <si>
    <t>Meses</t>
  </si>
  <si>
    <t>Años</t>
  </si>
  <si>
    <t>Décadas</t>
  </si>
  <si>
    <t>Indique la unidad de medición que desea utilizar</t>
  </si>
  <si>
    <t xml:space="preserve">A </t>
  </si>
  <si>
    <t>K</t>
  </si>
  <si>
    <t>L</t>
  </si>
  <si>
    <t>M</t>
  </si>
  <si>
    <t>N</t>
  </si>
  <si>
    <t>O</t>
  </si>
  <si>
    <t>P</t>
  </si>
  <si>
    <t>Q</t>
  </si>
  <si>
    <t>R</t>
  </si>
  <si>
    <t>S</t>
  </si>
  <si>
    <t>*Las precedencias son las actividades que deben ejecutarse justo antes y que ya permite que la actividad en cuestión pueda realizarse.</t>
  </si>
  <si>
    <t>**La programación es la fecha final en que se realiza la tarea. Refiere a un cambio en la planificación inicial, un retraso o cambio no previsto</t>
  </si>
  <si>
    <t>Precedencias (indique con letras)</t>
  </si>
  <si>
    <t>Una vez completada observe el cuadro de los tiempos tal como lo planificó. Por favor inserte en programación, el inicio de las tareas, si efectivamente iniciaron como se planificó, debe ingresar el mismo número. Si por alguna razón este se retrasó, coloqué el periodo de inicio (considerando que el inicio temprano es lo que usted dispuso según el cuadro anterior)</t>
  </si>
  <si>
    <t>Fecha de Inicio (opcional)</t>
  </si>
  <si>
    <t>Tiempo Estimado del proyecto</t>
  </si>
  <si>
    <t>Duración del proyecto</t>
  </si>
  <si>
    <t>Act. Críticas</t>
  </si>
  <si>
    <t>***Las actividades críticas son aquellas que si su tiempo es modificado, alteran directamente al tiempo total del proyecto.</t>
  </si>
  <si>
    <t>Concluimos entonces en que las actividades se desarrollarán de la siguiente manera</t>
  </si>
  <si>
    <t>Fecha de finalización</t>
  </si>
  <si>
    <t>Fecha Inicio de Proyecto</t>
  </si>
  <si>
    <t>Días</t>
  </si>
  <si>
    <t>Actividad</t>
  </si>
  <si>
    <t>En blanco</t>
  </si>
  <si>
    <t>Inicio</t>
  </si>
  <si>
    <t>En progreso</t>
  </si>
  <si>
    <t>Finalizado</t>
  </si>
  <si>
    <t>Solo p formula</t>
  </si>
  <si>
    <t>Blanco</t>
  </si>
  <si>
    <t>Minimo</t>
  </si>
  <si>
    <t>Observe el diagrama de Gantt</t>
  </si>
  <si>
    <t>Inicio del proyecto</t>
  </si>
  <si>
    <t>Para fórmula</t>
  </si>
  <si>
    <t>Tabla para macro</t>
  </si>
  <si>
    <t>Actividades Iniciales</t>
  </si>
  <si>
    <t>Tabla de Fechas Proyecto</t>
  </si>
  <si>
    <t>Final</t>
  </si>
  <si>
    <t>Fecha de Inicio</t>
  </si>
  <si>
    <t>Actidad 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</si>
</sst>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Calibri"/>
      <family val="2"/>
      <scheme val="minor"/>
    </font>
    <font>
      <sz val="11"/>
      <color rgb="FF3F3F76"/>
      <name val="Calibri"/>
      <family val="2"/>
      <scheme val="minor"/>
    </font>
    <font>
      <b/>
      <i/>
      <sz val="11"/>
      <color theme="1"/>
      <name val="Calibri"/>
      <family val="2"/>
      <scheme val="minor"/>
    </font>
    <font>
      <b/>
      <i/>
      <sz val="12"/>
      <color theme="1"/>
      <name val="Calibri"/>
      <family val="2"/>
      <scheme val="minor"/>
    </font>
    <font>
      <b/>
      <i/>
      <sz val="14"/>
      <color theme="1"/>
      <name val="Calibri"/>
      <family val="2"/>
      <scheme val="minor"/>
    </font>
    <font>
      <sz val="16"/>
      <color theme="1"/>
      <name val="Calibri"/>
      <family val="2"/>
      <scheme val="minor"/>
    </font>
    <font>
      <b/>
      <i/>
      <sz val="11"/>
      <color theme="0"/>
      <name val="Calibri"/>
      <family val="2"/>
      <scheme val="minor"/>
    </font>
    <font>
      <b/>
      <i/>
      <sz val="11"/>
      <name val="Calibri"/>
      <family val="2"/>
      <scheme val="minor"/>
    </font>
    <font>
      <b/>
      <sz val="11"/>
      <color theme="1"/>
      <name val="Calibri"/>
      <family val="2"/>
      <scheme val="minor"/>
    </font>
    <font>
      <b/>
      <i/>
      <sz val="16"/>
      <color theme="1"/>
      <name val="Calibri"/>
      <family val="2"/>
      <scheme val="minor"/>
    </font>
    <font>
      <i/>
      <sz val="11"/>
      <color theme="1"/>
      <name val="Calibri"/>
      <family val="2"/>
      <scheme val="minor"/>
    </font>
    <font>
      <sz val="12"/>
      <color rgb="FF3F3F76"/>
      <name val="Calibri"/>
      <family val="2"/>
      <scheme val="minor"/>
    </font>
    <font>
      <i/>
      <sz val="12"/>
      <color theme="1"/>
      <name val="Calibri"/>
      <family val="2"/>
      <scheme val="minor"/>
    </font>
    <font>
      <i/>
      <sz val="14"/>
      <color theme="1"/>
      <name val="Calibri"/>
      <family val="2"/>
      <scheme val="minor"/>
    </font>
    <font>
      <b/>
      <sz val="12"/>
      <color theme="1"/>
      <name val="Calibri"/>
      <family val="2"/>
      <scheme val="minor"/>
    </font>
    <font>
      <sz val="12"/>
      <color theme="1"/>
      <name val="Calibri"/>
      <family val="2"/>
      <scheme val="minor"/>
    </font>
    <font>
      <b/>
      <sz val="13"/>
      <color theme="1"/>
      <name val="Calibri"/>
      <family val="2"/>
      <scheme val="minor"/>
    </font>
  </fonts>
  <fills count="11">
    <fill>
      <patternFill patternType="none"/>
    </fill>
    <fill>
      <patternFill patternType="gray125"/>
    </fill>
    <fill>
      <patternFill patternType="solid">
        <fgColor rgb="FFFFCC99"/>
      </patternFill>
    </fill>
    <fill>
      <patternFill patternType="solid">
        <fgColor theme="9"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249977111117893"/>
        <bgColor indexed="64"/>
      </patternFill>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rgb="FFFFC000"/>
        <bgColor indexed="64"/>
      </patternFill>
    </fill>
  </fills>
  <borders count="31">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3C6F23"/>
      </left>
      <right style="thin">
        <color rgb="FF3C6F23"/>
      </right>
      <top style="thin">
        <color rgb="FF3C6F23"/>
      </top>
      <bottom/>
      <diagonal/>
    </border>
    <border>
      <left style="thin">
        <color rgb="FF3C6F23"/>
      </left>
      <right style="thin">
        <color rgb="FF3C6F23"/>
      </right>
      <top/>
      <bottom/>
      <diagonal/>
    </border>
    <border>
      <left style="thin">
        <color rgb="FF3C6F23"/>
      </left>
      <right style="thin">
        <color rgb="FF3C6F23"/>
      </right>
      <top/>
      <bottom style="thin">
        <color rgb="FF3C6F23"/>
      </bottom>
      <diagonal/>
    </border>
    <border>
      <left style="thin">
        <color rgb="FF3C6F23"/>
      </left>
      <right/>
      <top style="thin">
        <color rgb="FF3C6F23"/>
      </top>
      <bottom style="thin">
        <color rgb="FF3C6F23"/>
      </bottom>
      <diagonal/>
    </border>
    <border>
      <left/>
      <right/>
      <top style="thin">
        <color rgb="FF3C6F23"/>
      </top>
      <bottom style="thin">
        <color rgb="FF3C6F23"/>
      </bottom>
      <diagonal/>
    </border>
    <border>
      <left/>
      <right style="thin">
        <color rgb="FF3C6F23"/>
      </right>
      <top style="thin">
        <color rgb="FF3C6F23"/>
      </top>
      <bottom style="thin">
        <color rgb="FF3C6F23"/>
      </bottom>
      <diagonal/>
    </border>
  </borders>
  <cellStyleXfs count="2">
    <xf numFmtId="0" fontId="0" fillId="0" borderId="0"/>
    <xf numFmtId="0" fontId="1" fillId="2" borderId="1" applyNumberFormat="0" applyAlignment="0" applyProtection="0"/>
  </cellStyleXfs>
  <cellXfs count="131">
    <xf numFmtId="0" fontId="0" fillId="0" borderId="0" xfId="0"/>
    <xf numFmtId="0" fontId="2" fillId="3" borderId="4" xfId="0" applyFont="1" applyFill="1"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6" xfId="0" applyBorder="1"/>
    <xf numFmtId="0" fontId="0" fillId="0" borderId="8" xfId="0" applyBorder="1"/>
    <xf numFmtId="0" fontId="0" fillId="0" borderId="3" xfId="0" applyBorder="1" applyAlignment="1">
      <alignment horizontal="center"/>
    </xf>
    <xf numFmtId="0" fontId="0" fillId="0" borderId="4" xfId="0" applyBorder="1" applyAlignment="1">
      <alignment horizontal="center"/>
    </xf>
    <xf numFmtId="0" fontId="0" fillId="0" borderId="0" xfId="0" applyAlignment="1">
      <alignment horizontal="center"/>
    </xf>
    <xf numFmtId="0" fontId="0" fillId="0" borderId="7" xfId="0" applyBorder="1" applyAlignment="1">
      <alignment horizontal="center"/>
    </xf>
    <xf numFmtId="0" fontId="2" fillId="3" borderId="10" xfId="0" applyFont="1" applyFill="1" applyBorder="1" applyAlignment="1">
      <alignment horizontal="center"/>
    </xf>
    <xf numFmtId="0" fontId="0" fillId="0" borderId="10" xfId="0" applyBorder="1" applyAlignment="1">
      <alignment horizontal="center"/>
    </xf>
    <xf numFmtId="0" fontId="0" fillId="0" borderId="9" xfId="0" applyBorder="1" applyAlignment="1">
      <alignment horizontal="center"/>
    </xf>
    <xf numFmtId="0" fontId="0" fillId="0" borderId="0" xfId="0" applyAlignment="1">
      <alignment horizontal="left"/>
    </xf>
    <xf numFmtId="0" fontId="1" fillId="2" borderId="1" xfId="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4" borderId="13" xfId="0" applyFill="1" applyBorder="1" applyAlignment="1">
      <alignment horizontal="center"/>
    </xf>
    <xf numFmtId="0" fontId="0" fillId="5" borderId="11" xfId="0" applyFill="1" applyBorder="1" applyAlignment="1">
      <alignment horizontal="center"/>
    </xf>
    <xf numFmtId="0" fontId="0" fillId="5" borderId="12" xfId="0" applyFill="1" applyBorder="1" applyAlignment="1">
      <alignment horizontal="center"/>
    </xf>
    <xf numFmtId="0" fontId="0" fillId="5" borderId="13" xfId="0" applyFill="1" applyBorder="1" applyAlignment="1">
      <alignment horizontal="center"/>
    </xf>
    <xf numFmtId="0" fontId="0" fillId="5" borderId="2" xfId="0" applyFill="1" applyBorder="1" applyAlignment="1">
      <alignment horizontal="center"/>
    </xf>
    <xf numFmtId="0" fontId="7" fillId="3" borderId="0" xfId="0" applyFont="1" applyFill="1" applyAlignment="1">
      <alignment horizontal="center"/>
    </xf>
    <xf numFmtId="0" fontId="0" fillId="7" borderId="10" xfId="0" applyFill="1" applyBorder="1" applyAlignment="1">
      <alignment horizontal="center"/>
    </xf>
    <xf numFmtId="1" fontId="0" fillId="0" borderId="10" xfId="0" applyNumberFormat="1" applyBorder="1" applyAlignment="1">
      <alignment horizontal="center"/>
    </xf>
    <xf numFmtId="1" fontId="0" fillId="0" borderId="4" xfId="0" applyNumberFormat="1" applyBorder="1" applyAlignment="1">
      <alignment horizontal="center"/>
    </xf>
    <xf numFmtId="1" fontId="0" fillId="0" borderId="0" xfId="0" applyNumberFormat="1" applyAlignment="1">
      <alignment horizontal="center"/>
    </xf>
    <xf numFmtId="1" fontId="0" fillId="0" borderId="6" xfId="0" applyNumberFormat="1" applyBorder="1" applyAlignment="1">
      <alignment horizontal="center"/>
    </xf>
    <xf numFmtId="1" fontId="0" fillId="0" borderId="9" xfId="0" applyNumberFormat="1" applyBorder="1" applyAlignment="1">
      <alignment horizontal="center"/>
    </xf>
    <xf numFmtId="1" fontId="0" fillId="0" borderId="8" xfId="0" applyNumberFormat="1" applyBorder="1" applyAlignment="1">
      <alignment horizontal="center"/>
    </xf>
    <xf numFmtId="0" fontId="6" fillId="6" borderId="0" xfId="0" applyFont="1" applyFill="1" applyAlignment="1">
      <alignment horizontal="center" vertical="center"/>
    </xf>
    <xf numFmtId="2" fontId="0" fillId="0" borderId="0" xfId="0" applyNumberFormat="1"/>
    <xf numFmtId="0" fontId="0" fillId="0" borderId="10" xfId="0" applyBorder="1"/>
    <xf numFmtId="0" fontId="0" fillId="0" borderId="9" xfId="0" applyBorder="1"/>
    <xf numFmtId="0" fontId="2" fillId="8" borderId="14" xfId="0" applyFont="1" applyFill="1" applyBorder="1"/>
    <xf numFmtId="1" fontId="2" fillId="8" borderId="15" xfId="0" applyNumberFormat="1" applyFont="1" applyFill="1" applyBorder="1"/>
    <xf numFmtId="0" fontId="0" fillId="0" borderId="3" xfId="0" applyBorder="1"/>
    <xf numFmtId="0" fontId="0" fillId="0" borderId="5" xfId="0" applyBorder="1"/>
    <xf numFmtId="0" fontId="0" fillId="0" borderId="7" xfId="0" applyBorder="1"/>
    <xf numFmtId="0" fontId="0" fillId="0" borderId="8" xfId="0" applyBorder="1" applyAlignment="1">
      <alignment horizontal="center"/>
    </xf>
    <xf numFmtId="0" fontId="6" fillId="6" borderId="0" xfId="0" applyFont="1" applyFill="1" applyAlignment="1">
      <alignment horizontal="center" vertical="center" wrapText="1"/>
    </xf>
    <xf numFmtId="0" fontId="0" fillId="0" borderId="0" xfId="0" applyAlignment="1">
      <alignment wrapText="1"/>
    </xf>
    <xf numFmtId="0" fontId="9" fillId="0" borderId="0" xfId="0" applyFont="1"/>
    <xf numFmtId="0" fontId="0" fillId="5" borderId="10" xfId="0" applyFill="1" applyBorder="1" applyAlignment="1">
      <alignment horizontal="center"/>
    </xf>
    <xf numFmtId="0" fontId="0" fillId="5" borderId="10" xfId="0" applyFill="1" applyBorder="1"/>
    <xf numFmtId="0" fontId="0" fillId="5" borderId="4" xfId="0" applyFill="1" applyBorder="1"/>
    <xf numFmtId="0" fontId="2" fillId="5" borderId="3" xfId="0" applyFont="1" applyFill="1" applyBorder="1"/>
    <xf numFmtId="0" fontId="0" fillId="0" borderId="11" xfId="0" applyBorder="1"/>
    <xf numFmtId="0" fontId="0" fillId="0" borderId="12" xfId="0" applyBorder="1"/>
    <xf numFmtId="0" fontId="0" fillId="0" borderId="13" xfId="0" applyBorder="1"/>
    <xf numFmtId="0" fontId="0" fillId="5" borderId="11" xfId="0" applyFill="1" applyBorder="1"/>
    <xf numFmtId="0" fontId="11" fillId="2" borderId="1" xfId="1" applyFont="1" applyAlignment="1">
      <alignment horizontal="center"/>
    </xf>
    <xf numFmtId="0" fontId="12" fillId="0" borderId="0" xfId="0" applyFont="1" applyAlignment="1">
      <alignment horizontal="left"/>
    </xf>
    <xf numFmtId="0" fontId="10" fillId="0" borderId="0" xfId="0" applyFont="1" applyAlignment="1">
      <alignment horizontal="left"/>
    </xf>
    <xf numFmtId="0" fontId="0" fillId="5" borderId="3" xfId="0" applyFill="1" applyBorder="1" applyAlignment="1">
      <alignment horizontal="center"/>
    </xf>
    <xf numFmtId="0" fontId="0" fillId="0" borderId="4" xfId="0" applyBorder="1"/>
    <xf numFmtId="0" fontId="0" fillId="5" borderId="5" xfId="0" applyFill="1" applyBorder="1" applyAlignment="1">
      <alignment horizontal="center"/>
    </xf>
    <xf numFmtId="0" fontId="0" fillId="5" borderId="7" xfId="0" applyFill="1" applyBorder="1" applyAlignment="1">
      <alignment horizontal="center"/>
    </xf>
    <xf numFmtId="0" fontId="6" fillId="6" borderId="11" xfId="0" applyFont="1" applyFill="1" applyBorder="1" applyAlignment="1">
      <alignment horizontal="center" vertical="center" wrapText="1"/>
    </xf>
    <xf numFmtId="0" fontId="14" fillId="8" borderId="14" xfId="0" applyFont="1" applyFill="1" applyBorder="1" applyAlignment="1">
      <alignment horizontal="left"/>
    </xf>
    <xf numFmtId="0" fontId="14" fillId="8" borderId="16" xfId="0" applyFont="1" applyFill="1" applyBorder="1" applyAlignment="1">
      <alignment horizontal="left"/>
    </xf>
    <xf numFmtId="0" fontId="14" fillId="8" borderId="15" xfId="0" applyFont="1" applyFill="1" applyBorder="1" applyAlignment="1">
      <alignment horizontal="center"/>
    </xf>
    <xf numFmtId="0" fontId="3" fillId="8" borderId="14" xfId="0" applyFont="1" applyFill="1" applyBorder="1"/>
    <xf numFmtId="0" fontId="3" fillId="8" borderId="16" xfId="0" applyFont="1" applyFill="1" applyBorder="1"/>
    <xf numFmtId="1" fontId="3" fillId="8" borderId="15" xfId="0" applyNumberFormat="1" applyFont="1" applyFill="1" applyBorder="1" applyAlignment="1">
      <alignment horizontal="center"/>
    </xf>
    <xf numFmtId="14" fontId="0" fillId="0" borderId="0" xfId="0" applyNumberFormat="1"/>
    <xf numFmtId="14" fontId="0" fillId="0" borderId="10" xfId="0" applyNumberFormat="1" applyBorder="1"/>
    <xf numFmtId="14" fontId="0" fillId="0" borderId="9" xfId="0" applyNumberFormat="1" applyBorder="1"/>
    <xf numFmtId="0" fontId="15" fillId="8" borderId="2" xfId="0" applyFont="1" applyFill="1" applyBorder="1"/>
    <xf numFmtId="14" fontId="8" fillId="9" borderId="3" xfId="0" applyNumberFormat="1" applyFont="1" applyFill="1" applyBorder="1" applyAlignment="1">
      <alignment horizontal="center"/>
    </xf>
    <xf numFmtId="14" fontId="8" fillId="9" borderId="10" xfId="0" applyNumberFormat="1" applyFont="1" applyFill="1" applyBorder="1" applyAlignment="1">
      <alignment horizontal="center"/>
    </xf>
    <xf numFmtId="0" fontId="0" fillId="7" borderId="0" xfId="0" applyFill="1"/>
    <xf numFmtId="0" fontId="0" fillId="0" borderId="10" xfId="0" applyBorder="1" applyAlignment="1">
      <alignment horizontal="right"/>
    </xf>
    <xf numFmtId="0" fontId="0" fillId="0" borderId="14" xfId="0" applyBorder="1"/>
    <xf numFmtId="0" fontId="0" fillId="0" borderId="16" xfId="0" applyBorder="1"/>
    <xf numFmtId="14" fontId="0" fillId="0" borderId="16" xfId="0" applyNumberFormat="1" applyBorder="1"/>
    <xf numFmtId="14" fontId="0" fillId="0" borderId="15" xfId="0" applyNumberFormat="1" applyBorder="1"/>
    <xf numFmtId="0" fontId="0" fillId="8" borderId="0" xfId="0" applyFill="1"/>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6" fillId="6" borderId="17" xfId="0" applyFont="1" applyFill="1" applyBorder="1" applyAlignment="1">
      <alignment horizontal="center" vertical="center" wrapText="1"/>
    </xf>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14" fontId="0" fillId="0" borderId="7" xfId="0" applyNumberFormat="1" applyBorder="1"/>
    <xf numFmtId="14" fontId="0" fillId="0" borderId="8" xfId="0" applyNumberFormat="1" applyBorder="1"/>
    <xf numFmtId="0" fontId="6" fillId="6" borderId="3" xfId="0" applyFont="1" applyFill="1" applyBorder="1" applyAlignment="1">
      <alignment horizontal="center" vertical="center" wrapText="1"/>
    </xf>
    <xf numFmtId="0" fontId="6" fillId="6" borderId="25" xfId="0" applyFont="1" applyFill="1" applyBorder="1" applyAlignment="1">
      <alignment horizontal="center" vertical="center" wrapText="1"/>
    </xf>
    <xf numFmtId="0" fontId="0" fillId="0" borderId="26" xfId="0" applyBorder="1"/>
    <xf numFmtId="0" fontId="0" fillId="0" borderId="27" xfId="0" applyBorder="1"/>
    <xf numFmtId="0" fontId="16" fillId="0" borderId="28" xfId="0" applyFont="1" applyBorder="1" applyAlignment="1">
      <alignment horizontal="left"/>
    </xf>
    <xf numFmtId="0" fontId="8" fillId="0" borderId="29" xfId="0" applyFont="1" applyBorder="1" applyAlignment="1">
      <alignment horizontal="center"/>
    </xf>
    <xf numFmtId="14" fontId="14" fillId="0" borderId="30" xfId="0" applyNumberFormat="1" applyFont="1"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1" fontId="0" fillId="0" borderId="25" xfId="0" applyNumberFormat="1" applyBorder="1" applyAlignment="1">
      <alignment horizontal="center"/>
    </xf>
    <xf numFmtId="1" fontId="0" fillId="0" borderId="26" xfId="0" applyNumberFormat="1" applyBorder="1" applyAlignment="1">
      <alignment horizontal="center"/>
    </xf>
    <xf numFmtId="1" fontId="0" fillId="0" borderId="27" xfId="0" applyNumberFormat="1" applyBorder="1" applyAlignment="1">
      <alignment horizontal="center"/>
    </xf>
    <xf numFmtId="0" fontId="0" fillId="8" borderId="4" xfId="0" applyFill="1" applyBorder="1"/>
    <xf numFmtId="0" fontId="0" fillId="0" borderId="0" xfId="0" applyBorder="1"/>
    <xf numFmtId="0" fontId="0" fillId="8" borderId="6" xfId="0" applyFill="1" applyBorder="1"/>
    <xf numFmtId="0" fontId="0" fillId="10" borderId="10" xfId="0" applyFill="1" applyBorder="1"/>
    <xf numFmtId="0" fontId="0" fillId="0" borderId="0" xfId="0" applyAlignment="1">
      <alignment horizontal="center"/>
    </xf>
    <xf numFmtId="0" fontId="0" fillId="0" borderId="9" xfId="0" applyBorder="1" applyAlignment="1">
      <alignment horizontal="center"/>
    </xf>
    <xf numFmtId="0" fontId="13" fillId="0" borderId="0" xfId="0" applyFont="1" applyAlignment="1">
      <alignment horizontal="center"/>
    </xf>
    <xf numFmtId="0" fontId="8" fillId="8" borderId="14" xfId="0" applyFont="1" applyFill="1" applyBorder="1" applyAlignment="1">
      <alignment horizontal="center" wrapText="1"/>
    </xf>
    <xf numFmtId="0" fontId="8" fillId="8" borderId="16" xfId="0" applyFont="1" applyFill="1" applyBorder="1" applyAlignment="1">
      <alignment horizontal="center" wrapText="1"/>
    </xf>
    <xf numFmtId="0" fontId="8" fillId="8" borderId="15" xfId="0" applyFont="1" applyFill="1" applyBorder="1" applyAlignment="1">
      <alignment horizontal="center" wrapText="1"/>
    </xf>
    <xf numFmtId="0" fontId="8" fillId="8" borderId="14" xfId="0" applyFont="1" applyFill="1" applyBorder="1" applyAlignment="1">
      <alignment horizontal="center"/>
    </xf>
    <xf numFmtId="0" fontId="8" fillId="8" borderId="16" xfId="0" applyFont="1" applyFill="1" applyBorder="1" applyAlignment="1">
      <alignment horizontal="center"/>
    </xf>
    <xf numFmtId="0" fontId="8" fillId="8" borderId="15" xfId="0" applyFont="1" applyFill="1" applyBorder="1" applyAlignment="1">
      <alignment horizontal="center"/>
    </xf>
    <xf numFmtId="0" fontId="6" fillId="6" borderId="0" xfId="0" applyFont="1" applyFill="1" applyAlignment="1">
      <alignment horizontal="center" vertical="center" wrapText="1"/>
    </xf>
    <xf numFmtId="0" fontId="0" fillId="0" borderId="10" xfId="0" applyBorder="1" applyAlignment="1">
      <alignment horizont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4" xfId="0" applyBorder="1" applyAlignment="1">
      <alignment horizontal="center"/>
    </xf>
    <xf numFmtId="0" fontId="4" fillId="3" borderId="6" xfId="0" applyFont="1" applyFill="1" applyBorder="1" applyAlignment="1">
      <alignment horizontal="center" vertical="center" textRotation="255"/>
    </xf>
    <xf numFmtId="0" fontId="3" fillId="3" borderId="9" xfId="0" applyFont="1" applyFill="1" applyBorder="1" applyAlignment="1">
      <alignment horizontal="center"/>
    </xf>
    <xf numFmtId="0" fontId="5" fillId="0" borderId="0" xfId="0" applyFont="1" applyAlignment="1">
      <alignment horizontal="center"/>
    </xf>
    <xf numFmtId="0" fontId="4" fillId="3" borderId="0" xfId="0" applyFont="1" applyFill="1" applyAlignment="1">
      <alignment horizontal="center" vertical="center" textRotation="255"/>
    </xf>
    <xf numFmtId="0" fontId="0" fillId="0" borderId="0" xfId="0" applyAlignment="1">
      <alignment horizontal="center" wrapText="1"/>
    </xf>
  </cellXfs>
  <cellStyles count="2">
    <cellStyle name="Entrada" xfId="1" builtinId="20"/>
    <cellStyle name="Normal" xfId="0" builtinId="0"/>
  </cellStyles>
  <dxfs count="27">
    <dxf>
      <fill>
        <patternFill>
          <bgColor theme="9"/>
        </patternFill>
      </fill>
    </dxf>
    <dxf>
      <fill>
        <patternFill>
          <bgColor theme="9"/>
        </patternFill>
      </fill>
    </dxf>
    <dxf>
      <font>
        <b/>
        <i val="0"/>
        <color theme="0"/>
      </font>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5" tint="0.39994506668294322"/>
        </patternFill>
      </fill>
    </dxf>
    <dxf>
      <fill>
        <patternFill>
          <bgColor theme="0" tint="-0.14996795556505021"/>
        </patternFill>
      </fill>
    </dxf>
    <dxf>
      <fill>
        <patternFill>
          <bgColor theme="7" tint="0.59996337778862885"/>
        </patternFill>
      </fill>
    </dxf>
    <dxf>
      <fill>
        <patternFill>
          <bgColor theme="9" tint="0.59996337778862885"/>
        </patternFill>
      </fill>
    </dxf>
    <dxf>
      <fill>
        <patternFill>
          <bgColor theme="4" tint="0.39994506668294322"/>
        </patternFill>
      </fill>
    </dxf>
    <dxf>
      <font>
        <b/>
        <i val="0"/>
        <color rgb="FFFF0000"/>
      </font>
      <fill>
        <patternFill>
          <bgColor theme="5" tint="0.39994506668294322"/>
        </patternFill>
      </fill>
    </dxf>
    <dxf>
      <font>
        <b/>
        <i val="0"/>
        <color rgb="FFFF0000"/>
      </font>
      <fill>
        <patternFill>
          <bgColor theme="5" tint="0.59996337778862885"/>
        </patternFill>
      </fill>
    </dxf>
    <dxf>
      <font>
        <b/>
        <i val="0"/>
        <color rgb="FFFF0000"/>
      </font>
      <fill>
        <patternFill>
          <bgColor theme="5" tint="0.79998168889431442"/>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ill>
        <patternFill patternType="solid">
          <fgColor indexed="64"/>
          <bgColor theme="0"/>
        </patternFill>
      </fill>
      <alignment horizontal="center" vertical="bottom" textRotation="0" wrapText="0" indent="0" justifyLastLine="0" shrinkToFit="0" readingOrder="0"/>
    </dxf>
    <dxf>
      <border outline="0">
        <left style="thin">
          <color indexed="64"/>
        </lef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dxf>
    <dxf>
      <font>
        <b/>
        <i/>
        <strike val="0"/>
        <condense val="0"/>
        <extend val="0"/>
        <outline val="0"/>
        <shadow val="0"/>
        <u val="none"/>
        <vertAlign val="baseline"/>
        <sz val="11"/>
        <color auto="1"/>
        <name val="Calibri"/>
        <scheme val="minor"/>
      </font>
      <fill>
        <patternFill patternType="solid">
          <fgColor indexed="64"/>
          <bgColor theme="9" tint="0.79998168889431442"/>
        </patternFill>
      </fill>
      <alignment horizontal="center" vertical="bottom" textRotation="0" wrapText="0" indent="0" justifyLastLine="0" shrinkToFit="0" readingOrder="0"/>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i val="0"/>
        <color rgb="FFFF0000"/>
      </font>
      <fill>
        <patternFill>
          <bgColor rgb="FFFEAAA8"/>
        </patternFill>
      </fill>
    </dxf>
  </dxfs>
  <tableStyles count="0" defaultTableStyle="TableStyleMedium2" defaultPivotStyle="PivotStyleLight16"/>
  <colors>
    <mruColors>
      <color rgb="FFF39B9B"/>
      <color rgb="FFFEAAA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s-AR" sz="2400" b="1" i="1"/>
              <a:t>Diagrama de Gantt</a:t>
            </a:r>
          </a:p>
        </c:rich>
      </c:tx>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s-AR"/>
        </a:p>
      </c:txPr>
    </c:title>
    <c:autoTitleDeleted val="0"/>
    <c:plotArea>
      <c:layout/>
      <c:barChart>
        <c:barDir val="bar"/>
        <c:grouping val="stacked"/>
        <c:varyColors val="0"/>
        <c:ser>
          <c:idx val="1"/>
          <c:order val="1"/>
          <c:tx>
            <c:strRef>
              <c:f>'Base de Datos'!$N$2</c:f>
              <c:strCache>
                <c:ptCount val="1"/>
                <c:pt idx="0">
                  <c:v>Blanco</c:v>
                </c:pt>
              </c:strCache>
            </c:strRef>
          </c:tx>
          <c:spPr>
            <a:solidFill>
              <a:schemeClr val="bg1"/>
            </a:solidFill>
            <a:ln w="9525" cap="flat" cmpd="sng" algn="ctr">
              <a:solidFill>
                <a:schemeClr val="accent2">
                  <a:shade val="95000"/>
                </a:schemeClr>
              </a:solidFill>
              <a:round/>
            </a:ln>
            <a:effectLst/>
          </c:spPr>
          <c:invertIfNegative val="0"/>
          <c:val>
            <c:numRef>
              <c:f>'Base de Datos'!$N$3:$N$21</c:f>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5="http://schemas.microsoft.com/office/drawing/2012/chart" uri="{02D57815-91ED-43cb-92C2-25804820EDAC}">
              <c15:filteredCategoryTitle>
                <c15:cat>
                  <c:strRef>
                    <c:extLst>
                      <c:ext uri="{02D57815-91ED-43cb-92C2-25804820EDAC}">
                        <c15:formulaRef>
                          <c15:sqref>'Base de Datos'!$M$3:$M$21</c15:sqref>
                        </c15:formulaRef>
                      </c:ext>
                    </c:extLst>
                  </c:strRef>
                </c15:cat>
              </c15:filteredCategoryTitle>
            </c:ext>
            <c:ext xmlns:c16="http://schemas.microsoft.com/office/drawing/2014/chart" uri="{C3380CC4-5D6E-409C-BE32-E72D297353CC}">
              <c16:uniqueId val="{00000000-8CA2-4D26-B408-41F9BB26C32B}"/>
            </c:ext>
          </c:extLst>
        </c:ser>
        <c:ser>
          <c:idx val="2"/>
          <c:order val="2"/>
          <c:tx>
            <c:strRef>
              <c:f>'Base de Datos'!$O$2</c:f>
              <c:strCache>
                <c:ptCount val="1"/>
                <c:pt idx="0">
                  <c:v>Inicio</c:v>
                </c:pt>
              </c:strCache>
            </c:strRef>
          </c:tx>
          <c:spPr>
            <a:solidFill>
              <a:schemeClr val="accent1">
                <a:lumMod val="75000"/>
              </a:schemeClr>
            </a:solidFill>
            <a:ln w="9525" cap="flat" cmpd="sng" algn="ctr">
              <a:solidFill>
                <a:schemeClr val="accent1">
                  <a:lumMod val="60000"/>
                  <a:lumOff val="40000"/>
                </a:schemeClr>
              </a:solidFill>
              <a:round/>
            </a:ln>
            <a:effectLst/>
          </c:spPr>
          <c:invertIfNegative val="0"/>
          <c:val>
            <c:numRef>
              <c:f>'Base de Datos'!$O$3:$O$21</c:f>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5="http://schemas.microsoft.com/office/drawing/2012/chart" uri="{02D57815-91ED-43cb-92C2-25804820EDAC}">
              <c15:filteredCategoryTitle>
                <c15:cat>
                  <c:strRef>
                    <c:extLst>
                      <c:ext uri="{02D57815-91ED-43cb-92C2-25804820EDAC}">
                        <c15:formulaRef>
                          <c15:sqref>'Base de Datos'!$M$3:$M$21</c15:sqref>
                        </c15:formulaRef>
                      </c:ext>
                    </c:extLst>
                  </c:strRef>
                </c15:cat>
              </c15:filteredCategoryTitle>
            </c:ext>
            <c:ext xmlns:c16="http://schemas.microsoft.com/office/drawing/2014/chart" uri="{C3380CC4-5D6E-409C-BE32-E72D297353CC}">
              <c16:uniqueId val="{00000001-8CA2-4D26-B408-41F9BB26C32B}"/>
            </c:ext>
          </c:extLst>
        </c:ser>
        <c:ser>
          <c:idx val="3"/>
          <c:order val="3"/>
          <c:tx>
            <c:strRef>
              <c:f>'Base de Datos'!$P$2</c:f>
              <c:strCache>
                <c:ptCount val="1"/>
                <c:pt idx="0">
                  <c:v>En progreso</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val>
            <c:numRef>
              <c:f>'Base de Datos'!$P$3:$P$21</c:f>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5="http://schemas.microsoft.com/office/drawing/2012/chart" uri="{02D57815-91ED-43cb-92C2-25804820EDAC}">
              <c15:filteredCategoryTitle>
                <c15:cat>
                  <c:strRef>
                    <c:extLst>
                      <c:ext uri="{02D57815-91ED-43cb-92C2-25804820EDAC}">
                        <c15:formulaRef>
                          <c15:sqref>'Base de Datos'!$M$3:$M$21</c15:sqref>
                        </c15:formulaRef>
                      </c:ext>
                    </c:extLst>
                  </c:strRef>
                </c15:cat>
              </c15:filteredCategoryTitle>
            </c:ext>
            <c:ext xmlns:c16="http://schemas.microsoft.com/office/drawing/2014/chart" uri="{C3380CC4-5D6E-409C-BE32-E72D297353CC}">
              <c16:uniqueId val="{00000002-8CA2-4D26-B408-41F9BB26C32B}"/>
            </c:ext>
          </c:extLst>
        </c:ser>
        <c:ser>
          <c:idx val="4"/>
          <c:order val="4"/>
          <c:tx>
            <c:strRef>
              <c:f>'Base de Datos'!$Q$2</c:f>
              <c:strCache>
                <c:ptCount val="1"/>
                <c:pt idx="0">
                  <c:v>Finalizado</c:v>
                </c:pt>
              </c:strCache>
            </c:strRef>
          </c:tx>
          <c:spPr>
            <a:solidFill>
              <a:srgbClr val="92D050"/>
            </a:solidFill>
            <a:ln w="9525" cap="flat" cmpd="sng" algn="ctr">
              <a:solidFill>
                <a:schemeClr val="accent5">
                  <a:shade val="95000"/>
                </a:schemeClr>
              </a:solidFill>
              <a:round/>
            </a:ln>
            <a:effectLst/>
          </c:spPr>
          <c:invertIfNegative val="0"/>
          <c:val>
            <c:numRef>
              <c:f>'Base de Datos'!$Q$3:$Q$21</c:f>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5="http://schemas.microsoft.com/office/drawing/2012/chart" uri="{02D57815-91ED-43cb-92C2-25804820EDAC}">
              <c15:filteredCategoryTitle>
                <c15:cat>
                  <c:strRef>
                    <c:extLst>
                      <c:ext uri="{02D57815-91ED-43cb-92C2-25804820EDAC}">
                        <c15:formulaRef>
                          <c15:sqref>'Base de Datos'!$M$3:$M$21</c15:sqref>
                        </c15:formulaRef>
                      </c:ext>
                    </c:extLst>
                  </c:strRef>
                </c15:cat>
              </c15:filteredCategoryTitle>
            </c:ext>
            <c:ext xmlns:c16="http://schemas.microsoft.com/office/drawing/2014/chart" uri="{C3380CC4-5D6E-409C-BE32-E72D297353CC}">
              <c16:uniqueId val="{00000003-8CA2-4D26-B408-41F9BB26C32B}"/>
            </c:ext>
          </c:extLst>
        </c:ser>
        <c:ser>
          <c:idx val="5"/>
          <c:order val="5"/>
          <c:tx>
            <c:strRef>
              <c:f>'Base de Datos'!$R$2</c:f>
              <c:strCache>
                <c:ptCount val="1"/>
                <c:pt idx="0">
                  <c:v>Blanco</c:v>
                </c:pt>
              </c:strCache>
            </c:strRef>
          </c:tx>
          <c:spPr>
            <a:solidFill>
              <a:schemeClr val="bg1"/>
            </a:solidFill>
            <a:ln w="9525" cap="flat" cmpd="sng" algn="ctr">
              <a:solidFill>
                <a:schemeClr val="accent6">
                  <a:shade val="95000"/>
                </a:schemeClr>
              </a:solidFill>
              <a:round/>
            </a:ln>
            <a:effectLst/>
          </c:spPr>
          <c:invertIfNegative val="0"/>
          <c:val>
            <c:numRef>
              <c:f>'Base de Datos'!$R$3:$R$21</c:f>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5="http://schemas.microsoft.com/office/drawing/2012/chart" uri="{02D57815-91ED-43cb-92C2-25804820EDAC}">
              <c15:filteredCategoryTitle>
                <c15:cat>
                  <c:strRef>
                    <c:extLst>
                      <c:ext uri="{02D57815-91ED-43cb-92C2-25804820EDAC}">
                        <c15:formulaRef>
                          <c15:sqref>'Base de Datos'!$M$3:$M$21</c15:sqref>
                        </c15:formulaRef>
                      </c:ext>
                    </c:extLst>
                  </c:strRef>
                </c15:cat>
              </c15:filteredCategoryTitle>
            </c:ext>
            <c:ext xmlns:c16="http://schemas.microsoft.com/office/drawing/2014/chart" uri="{C3380CC4-5D6E-409C-BE32-E72D297353CC}">
              <c16:uniqueId val="{00000004-8CA2-4D26-B408-41F9BB26C32B}"/>
            </c:ext>
          </c:extLst>
        </c:ser>
        <c:dLbls>
          <c:showLegendKey val="0"/>
          <c:showVal val="0"/>
          <c:showCatName val="0"/>
          <c:showSerName val="0"/>
          <c:showPercent val="0"/>
          <c:showBubbleSize val="0"/>
        </c:dLbls>
        <c:gapWidth val="55"/>
        <c:overlap val="100"/>
        <c:axId val="808741311"/>
        <c:axId val="808733823"/>
        <c:extLst>
          <c:ext xmlns:c15="http://schemas.microsoft.com/office/drawing/2012/chart" uri="{02D57815-91ED-43cb-92C2-25804820EDAC}">
            <c15:filteredBarSeries>
              <c15:ser>
                <c:idx val="0"/>
                <c:order val="0"/>
                <c:tx>
                  <c:strRef>
                    <c:extLst>
                      <c:ext uri="{02D57815-91ED-43cb-92C2-25804820EDAC}">
                        <c15:formulaRef>
                          <c15:sqref>'Base de Datos'!$M$2</c15:sqref>
                        </c15:formulaRef>
                      </c:ext>
                    </c:extLst>
                    <c:strCache>
                      <c:ptCount val="1"/>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val>
                  <c:numRef>
                    <c:extLst>
                      <c:ext uri="{02D57815-91ED-43cb-92C2-25804820EDAC}">
                        <c15:formulaRef>
                          <c15:sqref>'Base de Datos'!$M$3:$M$21</c15:sqref>
                        </c15:formulaRef>
                      </c:ext>
                    </c:extLst>
                    <c:numCache>
                      <c:formatCode>General</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uri="{02D57815-91ED-43cb-92C2-25804820EDAC}">
                    <c15:filteredCategoryTitle>
                      <c15:cat>
                        <c:strRef>
                          <c:extLst>
                            <c:ext uri="{02D57815-91ED-43cb-92C2-25804820EDAC}">
                              <c15:formulaRef>
                                <c15:sqref>'Base de Datos'!$M$3:$M$21</c15:sqref>
                              </c15:formulaRef>
                            </c:ext>
                          </c:extLst>
                        </c:strRef>
                      </c15:cat>
                    </c15:filteredCategoryTitle>
                  </c:ext>
                  <c:ext xmlns:c16="http://schemas.microsoft.com/office/drawing/2014/chart" uri="{C3380CC4-5D6E-409C-BE32-E72D297353CC}">
                    <c16:uniqueId val="{00000005-8CA2-4D26-B408-41F9BB26C32B}"/>
                  </c:ext>
                </c:extLst>
              </c15:ser>
            </c15:filteredBarSeries>
          </c:ext>
        </c:extLst>
      </c:barChart>
      <c:catAx>
        <c:axId val="80874131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AR"/>
          </a:p>
        </c:txPr>
        <c:crossAx val="808733823"/>
        <c:crossesAt val="0"/>
        <c:auto val="1"/>
        <c:lblAlgn val="ctr"/>
        <c:lblOffset val="100"/>
        <c:noMultiLvlLbl val="0"/>
      </c:catAx>
      <c:valAx>
        <c:axId val="80873382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808741311"/>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A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209550</xdr:colOff>
      <xdr:row>86</xdr:row>
      <xdr:rowOff>0</xdr:rowOff>
    </xdr:from>
    <xdr:to>
      <xdr:col>11</xdr:col>
      <xdr:colOff>180975</xdr:colOff>
      <xdr:row>110</xdr:row>
      <xdr:rowOff>190499</xdr:rowOff>
    </xdr:to>
    <xdr:grpSp>
      <xdr:nvGrpSpPr>
        <xdr:cNvPr id="11" name="Grupo 10">
          <a:extLst>
            <a:ext uri="{FF2B5EF4-FFF2-40B4-BE49-F238E27FC236}">
              <a16:creationId xmlns:a16="http://schemas.microsoft.com/office/drawing/2014/main" id="{00000000-0008-0000-0000-00000B000000}"/>
            </a:ext>
          </a:extLst>
        </xdr:cNvPr>
        <xdr:cNvGrpSpPr/>
      </xdr:nvGrpSpPr>
      <xdr:grpSpPr>
        <a:xfrm>
          <a:off x="209550" y="17392650"/>
          <a:ext cx="9629775" cy="4762499"/>
          <a:chOff x="209550" y="17392650"/>
          <a:chExt cx="9629775" cy="4762499"/>
        </a:xfrm>
      </xdr:grpSpPr>
      <xdr:graphicFrame macro="">
        <xdr:nvGraphicFramePr>
          <xdr:cNvPr id="2" name="Gráfico 1">
            <a:extLst>
              <a:ext uri="{FF2B5EF4-FFF2-40B4-BE49-F238E27FC236}">
                <a16:creationId xmlns:a16="http://schemas.microsoft.com/office/drawing/2014/main" id="{00000000-0008-0000-0000-000002000000}"/>
              </a:ext>
            </a:extLst>
          </xdr:cNvPr>
          <xdr:cNvGraphicFramePr>
            <a:graphicFrameLocks/>
          </xdr:cNvGraphicFramePr>
        </xdr:nvGraphicFramePr>
        <xdr:xfrm>
          <a:off x="209550" y="17392650"/>
          <a:ext cx="9629775" cy="4613862"/>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10" name="Grupo 9">
            <a:extLst>
              <a:ext uri="{FF2B5EF4-FFF2-40B4-BE49-F238E27FC236}">
                <a16:creationId xmlns:a16="http://schemas.microsoft.com/office/drawing/2014/main" id="{00000000-0008-0000-0000-00000A000000}"/>
              </a:ext>
            </a:extLst>
          </xdr:cNvPr>
          <xdr:cNvGrpSpPr/>
        </xdr:nvGrpSpPr>
        <xdr:grpSpPr>
          <a:xfrm>
            <a:off x="247650" y="21850349"/>
            <a:ext cx="9486900" cy="304800"/>
            <a:chOff x="247650" y="21850349"/>
            <a:chExt cx="9486900" cy="304800"/>
          </a:xfrm>
        </xdr:grpSpPr>
        <xdr:sp macro="" textlink="">
          <xdr:nvSpPr>
            <xdr:cNvPr id="9" name="Rectángulo 8">
              <a:extLst>
                <a:ext uri="{FF2B5EF4-FFF2-40B4-BE49-F238E27FC236}">
                  <a16:creationId xmlns:a16="http://schemas.microsoft.com/office/drawing/2014/main" id="{00000000-0008-0000-0000-000009000000}"/>
                </a:ext>
              </a:extLst>
            </xdr:cNvPr>
            <xdr:cNvSpPr/>
          </xdr:nvSpPr>
          <xdr:spPr>
            <a:xfrm>
              <a:off x="247650" y="21888450"/>
              <a:ext cx="9486900" cy="247650"/>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sp macro="" textlink="'Base de Datos'!A19">
          <xdr:nvSpPr>
            <xdr:cNvPr id="3" name="Rectángulo 2">
              <a:extLst>
                <a:ext uri="{FF2B5EF4-FFF2-40B4-BE49-F238E27FC236}">
                  <a16:creationId xmlns:a16="http://schemas.microsoft.com/office/drawing/2014/main" id="{00000000-0008-0000-0000-000003000000}"/>
                </a:ext>
              </a:extLst>
            </xdr:cNvPr>
            <xdr:cNvSpPr/>
          </xdr:nvSpPr>
          <xdr:spPr>
            <a:xfrm>
              <a:off x="381001" y="21859874"/>
              <a:ext cx="847724" cy="2190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CEFB03C5-BA76-468B-B13B-EC51EB8E63BC}" type="TxLink">
                <a:rPr lang="en-US" sz="1100" b="0" i="0" u="none" strike="noStrike">
                  <a:solidFill>
                    <a:srgbClr val="000000"/>
                  </a:solidFill>
                  <a:latin typeface="Calibri"/>
                  <a:cs typeface="Calibri"/>
                </a:rPr>
                <a:pPr algn="l"/>
                <a:t>1/1/2024</a:t>
              </a:fld>
              <a:endParaRPr lang="es-AR" sz="1100"/>
            </a:p>
          </xdr:txBody>
        </xdr:sp>
        <xdr:sp macro="" textlink="'Base de Datos'!B19">
          <xdr:nvSpPr>
            <xdr:cNvPr id="4" name="Rectángulo 3">
              <a:extLst>
                <a:ext uri="{FF2B5EF4-FFF2-40B4-BE49-F238E27FC236}">
                  <a16:creationId xmlns:a16="http://schemas.microsoft.com/office/drawing/2014/main" id="{00000000-0008-0000-0000-000004000000}"/>
                </a:ext>
              </a:extLst>
            </xdr:cNvPr>
            <xdr:cNvSpPr/>
          </xdr:nvSpPr>
          <xdr:spPr>
            <a:xfrm>
              <a:off x="1819275" y="21850349"/>
              <a:ext cx="876299" cy="2381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0E8A98BD-7136-4284-BA7F-98D4D97F492E}" type="TxLink">
                <a:rPr lang="en-US" sz="1100" b="0" i="0" u="none" strike="noStrike">
                  <a:solidFill>
                    <a:srgbClr val="000000"/>
                  </a:solidFill>
                  <a:latin typeface="Calibri"/>
                  <a:cs typeface="Calibri"/>
                </a:rPr>
                <a:pPr algn="l"/>
                <a:t>1/1/2024</a:t>
              </a:fld>
              <a:endParaRPr lang="es-AR" sz="1100"/>
            </a:p>
          </xdr:txBody>
        </xdr:sp>
        <xdr:sp macro="" textlink="'Base de Datos'!C19">
          <xdr:nvSpPr>
            <xdr:cNvPr id="5" name="Rectángulo 4">
              <a:extLst>
                <a:ext uri="{FF2B5EF4-FFF2-40B4-BE49-F238E27FC236}">
                  <a16:creationId xmlns:a16="http://schemas.microsoft.com/office/drawing/2014/main" id="{00000000-0008-0000-0000-000005000000}"/>
                </a:ext>
              </a:extLst>
            </xdr:cNvPr>
            <xdr:cNvSpPr/>
          </xdr:nvSpPr>
          <xdr:spPr>
            <a:xfrm>
              <a:off x="3133725" y="21850350"/>
              <a:ext cx="828675"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CA6CF4E-7C36-4F85-90F8-787C4C2AFBF7}" type="TxLink">
                <a:rPr lang="en-US" sz="1100" b="0" i="0" u="none" strike="noStrike">
                  <a:solidFill>
                    <a:srgbClr val="000000"/>
                  </a:solidFill>
                  <a:latin typeface="Calibri"/>
                  <a:cs typeface="Calibri"/>
                </a:rPr>
                <a:pPr algn="l"/>
                <a:t>1/1/2024</a:t>
              </a:fld>
              <a:endParaRPr lang="es-AR" sz="1100"/>
            </a:p>
          </xdr:txBody>
        </xdr:sp>
        <xdr:sp macro="" textlink="'Base de Datos'!D19">
          <xdr:nvSpPr>
            <xdr:cNvPr id="6" name="Rectángulo 5">
              <a:extLst>
                <a:ext uri="{FF2B5EF4-FFF2-40B4-BE49-F238E27FC236}">
                  <a16:creationId xmlns:a16="http://schemas.microsoft.com/office/drawing/2014/main" id="{00000000-0008-0000-0000-000006000000}"/>
                </a:ext>
              </a:extLst>
            </xdr:cNvPr>
            <xdr:cNvSpPr/>
          </xdr:nvSpPr>
          <xdr:spPr>
            <a:xfrm>
              <a:off x="4552951" y="21859874"/>
              <a:ext cx="828674" cy="2952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CE80F427-7F81-41FF-A15B-89DEC9EF81C7}" type="TxLink">
                <a:rPr lang="en-US" sz="1100" b="0" i="0" u="none" strike="noStrike">
                  <a:solidFill>
                    <a:srgbClr val="000000"/>
                  </a:solidFill>
                  <a:latin typeface="Calibri"/>
                  <a:cs typeface="Calibri"/>
                </a:rPr>
                <a:pPr algn="l"/>
                <a:t>1/1/2024</a:t>
              </a:fld>
              <a:endParaRPr lang="es-AR" sz="1100"/>
            </a:p>
          </xdr:txBody>
        </xdr:sp>
        <xdr:sp macro="" textlink="'Base de Datos'!E19">
          <xdr:nvSpPr>
            <xdr:cNvPr id="7" name="Rectángulo 6">
              <a:extLst>
                <a:ext uri="{FF2B5EF4-FFF2-40B4-BE49-F238E27FC236}">
                  <a16:creationId xmlns:a16="http://schemas.microsoft.com/office/drawing/2014/main" id="{00000000-0008-0000-0000-000007000000}"/>
                </a:ext>
              </a:extLst>
            </xdr:cNvPr>
            <xdr:cNvSpPr/>
          </xdr:nvSpPr>
          <xdr:spPr>
            <a:xfrm>
              <a:off x="5943601" y="21850350"/>
              <a:ext cx="809624" cy="2667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3524646A-0558-4F4C-89EA-0FEE30A5CAAD}" type="TxLink">
                <a:rPr lang="en-US" sz="1100" b="0" i="0" u="none" strike="noStrike">
                  <a:solidFill>
                    <a:srgbClr val="000000"/>
                  </a:solidFill>
                  <a:latin typeface="Calibri"/>
                  <a:cs typeface="Calibri"/>
                </a:rPr>
                <a:pPr algn="l"/>
                <a:t>1/1/2024</a:t>
              </a:fld>
              <a:endParaRPr lang="es-AR" sz="1100"/>
            </a:p>
          </xdr:txBody>
        </xdr:sp>
        <xdr:sp macro="" textlink="'Base de Datos'!F19">
          <xdr:nvSpPr>
            <xdr:cNvPr id="8" name="Rectángulo 7">
              <a:extLst>
                <a:ext uri="{FF2B5EF4-FFF2-40B4-BE49-F238E27FC236}">
                  <a16:creationId xmlns:a16="http://schemas.microsoft.com/office/drawing/2014/main" id="{00000000-0008-0000-0000-000008000000}"/>
                </a:ext>
              </a:extLst>
            </xdr:cNvPr>
            <xdr:cNvSpPr/>
          </xdr:nvSpPr>
          <xdr:spPr>
            <a:xfrm>
              <a:off x="7486650" y="21850349"/>
              <a:ext cx="933450" cy="28575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A21C136-98C4-48BE-A24A-B9B6243EFAFA}" type="TxLink">
                <a:rPr lang="en-US" sz="1100" b="0" i="0" u="none" strike="noStrike">
                  <a:solidFill>
                    <a:srgbClr val="000000"/>
                  </a:solidFill>
                  <a:latin typeface="Calibri"/>
                  <a:cs typeface="Calibri"/>
                </a:rPr>
                <a:pPr algn="l"/>
                <a:t>1/1/2024</a:t>
              </a:fld>
              <a:endParaRPr lang="es-AR" sz="1100"/>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85725</xdr:colOff>
      <xdr:row>1</xdr:row>
      <xdr:rowOff>38100</xdr:rowOff>
    </xdr:from>
    <xdr:to>
      <xdr:col>2</xdr:col>
      <xdr:colOff>228600</xdr:colOff>
      <xdr:row>4</xdr:row>
      <xdr:rowOff>95250</xdr:rowOff>
    </xdr:to>
    <xdr:sp macro="[0]!CrearFlechasDePrecedencia" textlink="">
      <xdr:nvSpPr>
        <xdr:cNvPr id="2" name="Rectángulo 1">
          <a:extLst>
            <a:ext uri="{FF2B5EF4-FFF2-40B4-BE49-F238E27FC236}">
              <a16:creationId xmlns:a16="http://schemas.microsoft.com/office/drawing/2014/main" id="{00000000-0008-0000-0100-000002000000}"/>
            </a:ext>
          </a:extLst>
        </xdr:cNvPr>
        <xdr:cNvSpPr/>
      </xdr:nvSpPr>
      <xdr:spPr>
        <a:xfrm>
          <a:off x="85725" y="228600"/>
          <a:ext cx="2028825" cy="6286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800" b="1" i="1"/>
            <a:t>Ejecutar</a:t>
          </a:r>
          <a:r>
            <a:rPr lang="es-AR" sz="1800" b="1" i="1" baseline="0"/>
            <a:t> </a:t>
          </a:r>
          <a:r>
            <a:rPr lang="es-AR" sz="1800" b="1" i="1"/>
            <a:t>Macro</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os/Universidad/6to%20Cuatrimestre/T&#233;cnicas%20Cuantitativas/Diagrama%20de%20Gant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 de Datos"/>
    </sheetNames>
    <sheetDataSet>
      <sheetData sheetId="0" refreshError="1"/>
    </sheetDataSet>
  </externalBook>
</externalLink>
</file>

<file path=xl/tables/table1.xml><?xml version="1.0" encoding="utf-8"?>
<table xmlns="http://schemas.openxmlformats.org/spreadsheetml/2006/main" id="1" name="Actividades" displayName="Actividades" ref="A3:A22" totalsRowShown="0" headerRowDxfId="20" dataDxfId="19" tableBorderDxfId="18">
  <autoFilter ref="A3:A22"/>
  <tableColumns count="1">
    <tableColumn id="1" name="Actividades" dataDxfId="17">
      <calculatedColumnFormula>IF(Utilización!E12&gt;0,(Utilización!A12),(""))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K85"/>
  <sheetViews>
    <sheetView tabSelected="1" workbookViewId="0">
      <selection activeCell="A3" sqref="A3"/>
    </sheetView>
  </sheetViews>
  <sheetFormatPr baseColWidth="10" defaultRowHeight="15" x14ac:dyDescent="0.25"/>
  <cols>
    <col min="3" max="3" width="14.85546875" customWidth="1"/>
    <col min="4" max="4" width="13.85546875" customWidth="1"/>
    <col min="5" max="5" width="12.140625" customWidth="1"/>
    <col min="6" max="6" width="14.85546875" customWidth="1"/>
    <col min="7" max="7" width="14" customWidth="1"/>
    <col min="8" max="8" width="13.42578125" customWidth="1"/>
    <col min="9" max="9" width="13" customWidth="1"/>
    <col min="10" max="10" width="14.42578125" customWidth="1"/>
  </cols>
  <sheetData>
    <row r="2" spans="1:10" ht="21" x14ac:dyDescent="0.35">
      <c r="A2" s="45" t="s">
        <v>47</v>
      </c>
    </row>
    <row r="5" spans="1:10" x14ac:dyDescent="0.25">
      <c r="A5" t="s">
        <v>48</v>
      </c>
    </row>
    <row r="7" spans="1:10" x14ac:dyDescent="0.25">
      <c r="A7" s="118" t="s">
        <v>49</v>
      </c>
      <c r="B7" s="119"/>
      <c r="C7" s="119"/>
      <c r="D7" s="119"/>
      <c r="E7" s="119"/>
      <c r="F7" s="119"/>
      <c r="G7" s="119"/>
      <c r="H7" s="119"/>
      <c r="I7" s="119"/>
      <c r="J7" s="120"/>
    </row>
    <row r="8" spans="1:10" x14ac:dyDescent="0.25">
      <c r="A8" s="8"/>
      <c r="B8" s="8"/>
      <c r="C8" s="8"/>
      <c r="D8" s="8"/>
      <c r="E8" s="8"/>
      <c r="F8" s="8"/>
      <c r="G8" s="8"/>
      <c r="H8" s="8"/>
      <c r="I8" s="8"/>
      <c r="J8" s="8"/>
    </row>
    <row r="9" spans="1:10" ht="17.25" x14ac:dyDescent="0.3">
      <c r="A9" s="55" t="s">
        <v>58</v>
      </c>
      <c r="B9" s="8"/>
      <c r="C9" s="8"/>
      <c r="D9" s="8"/>
      <c r="E9" s="54" t="s">
        <v>81</v>
      </c>
      <c r="F9" s="8"/>
      <c r="G9" s="8"/>
      <c r="H9" s="99" t="s">
        <v>80</v>
      </c>
      <c r="I9" s="100"/>
      <c r="J9" s="101">
        <v>45292</v>
      </c>
    </row>
    <row r="10" spans="1:10" ht="18.75" x14ac:dyDescent="0.3">
      <c r="G10" s="114" t="s">
        <v>71</v>
      </c>
      <c r="H10" s="114"/>
      <c r="I10" s="114"/>
      <c r="J10" s="114"/>
    </row>
    <row r="11" spans="1:10" ht="34.5" customHeight="1" x14ac:dyDescent="0.25">
      <c r="A11" s="43" t="s">
        <v>0</v>
      </c>
      <c r="B11" s="121" t="s">
        <v>50</v>
      </c>
      <c r="C11" s="121"/>
      <c r="D11" s="121"/>
      <c r="E11" s="61" t="s">
        <v>51</v>
      </c>
      <c r="F11" s="61" t="s">
        <v>73</v>
      </c>
      <c r="G11" s="43" t="s">
        <v>10</v>
      </c>
      <c r="H11" s="43" t="s">
        <v>11</v>
      </c>
      <c r="I11" s="43" t="s">
        <v>12</v>
      </c>
      <c r="J11" s="43" t="s">
        <v>13</v>
      </c>
    </row>
    <row r="12" spans="1:10" x14ac:dyDescent="0.25">
      <c r="A12" s="57" t="s">
        <v>59</v>
      </c>
      <c r="B12" s="122"/>
      <c r="C12" s="122"/>
      <c r="D12" s="122"/>
      <c r="E12" s="50">
        <v>0</v>
      </c>
      <c r="F12" s="50"/>
      <c r="G12" s="39"/>
      <c r="H12" s="35"/>
      <c r="I12" s="35"/>
      <c r="J12" s="58"/>
    </row>
    <row r="13" spans="1:10" x14ac:dyDescent="0.25">
      <c r="A13" s="59" t="s">
        <v>2</v>
      </c>
      <c r="B13" s="112"/>
      <c r="C13" s="112"/>
      <c r="D13" s="112"/>
      <c r="E13" s="51">
        <v>0</v>
      </c>
      <c r="F13" s="51"/>
      <c r="G13" s="40"/>
      <c r="J13" s="4"/>
    </row>
    <row r="14" spans="1:10" x14ac:dyDescent="0.25">
      <c r="A14" s="59" t="s">
        <v>3</v>
      </c>
      <c r="B14" s="112"/>
      <c r="C14" s="112"/>
      <c r="D14" s="112"/>
      <c r="E14" s="51">
        <v>0</v>
      </c>
      <c r="F14" s="51"/>
      <c r="G14" s="40"/>
      <c r="J14" s="4"/>
    </row>
    <row r="15" spans="1:10" x14ac:dyDescent="0.25">
      <c r="A15" s="59" t="s">
        <v>4</v>
      </c>
      <c r="B15" s="112"/>
      <c r="C15" s="112"/>
      <c r="D15" s="112"/>
      <c r="E15" s="51">
        <v>0</v>
      </c>
      <c r="F15" s="51"/>
      <c r="G15" s="40"/>
      <c r="J15" s="4"/>
    </row>
    <row r="16" spans="1:10" x14ac:dyDescent="0.25">
      <c r="A16" s="59" t="s">
        <v>31</v>
      </c>
      <c r="B16" s="112"/>
      <c r="C16" s="112"/>
      <c r="D16" s="112"/>
      <c r="E16" s="51">
        <v>0</v>
      </c>
      <c r="F16" s="51"/>
      <c r="G16" s="40"/>
      <c r="J16" s="4"/>
    </row>
    <row r="17" spans="1:10" x14ac:dyDescent="0.25">
      <c r="A17" s="59" t="s">
        <v>32</v>
      </c>
      <c r="B17" s="112"/>
      <c r="C17" s="112"/>
      <c r="D17" s="112"/>
      <c r="E17" s="51">
        <v>0</v>
      </c>
      <c r="F17" s="51"/>
      <c r="G17" s="40"/>
      <c r="J17" s="4"/>
    </row>
    <row r="18" spans="1:10" x14ac:dyDescent="0.25">
      <c r="A18" s="59" t="s">
        <v>30</v>
      </c>
      <c r="B18" s="112"/>
      <c r="C18" s="112"/>
      <c r="D18" s="112"/>
      <c r="E18" s="51">
        <v>0</v>
      </c>
      <c r="F18" s="51"/>
      <c r="G18" s="40"/>
      <c r="J18" s="4"/>
    </row>
    <row r="19" spans="1:10" x14ac:dyDescent="0.25">
      <c r="A19" s="59" t="s">
        <v>27</v>
      </c>
      <c r="B19" s="112"/>
      <c r="C19" s="112"/>
      <c r="D19" s="112"/>
      <c r="E19" s="51">
        <v>0</v>
      </c>
      <c r="F19" s="51"/>
      <c r="G19" s="40"/>
      <c r="J19" s="4"/>
    </row>
    <row r="20" spans="1:10" x14ac:dyDescent="0.25">
      <c r="A20" s="59" t="s">
        <v>28</v>
      </c>
      <c r="B20" s="112"/>
      <c r="C20" s="112"/>
      <c r="D20" s="112"/>
      <c r="E20" s="51">
        <v>0</v>
      </c>
      <c r="F20" s="51"/>
      <c r="G20" s="40"/>
      <c r="J20" s="4"/>
    </row>
    <row r="21" spans="1:10" x14ac:dyDescent="0.25">
      <c r="A21" s="59" t="s">
        <v>29</v>
      </c>
      <c r="B21" s="112"/>
      <c r="C21" s="112"/>
      <c r="D21" s="112"/>
      <c r="E21" s="51">
        <v>0</v>
      </c>
      <c r="F21" s="51"/>
      <c r="G21" s="40"/>
      <c r="J21" s="4"/>
    </row>
    <row r="22" spans="1:10" x14ac:dyDescent="0.25">
      <c r="A22" s="59" t="s">
        <v>60</v>
      </c>
      <c r="B22" s="112"/>
      <c r="C22" s="112"/>
      <c r="D22" s="112"/>
      <c r="E22" s="51">
        <v>0</v>
      </c>
      <c r="F22" s="51"/>
      <c r="G22" s="40"/>
      <c r="J22" s="4"/>
    </row>
    <row r="23" spans="1:10" x14ac:dyDescent="0.25">
      <c r="A23" s="59" t="s">
        <v>61</v>
      </c>
      <c r="B23" s="112"/>
      <c r="C23" s="112"/>
      <c r="D23" s="112"/>
      <c r="E23" s="51">
        <v>0</v>
      </c>
      <c r="F23" s="51"/>
      <c r="G23" s="40"/>
      <c r="J23" s="4"/>
    </row>
    <row r="24" spans="1:10" x14ac:dyDescent="0.25">
      <c r="A24" s="59" t="s">
        <v>62</v>
      </c>
      <c r="B24" s="112"/>
      <c r="C24" s="112"/>
      <c r="D24" s="112"/>
      <c r="E24" s="51">
        <v>0</v>
      </c>
      <c r="F24" s="51"/>
      <c r="G24" s="40"/>
      <c r="J24" s="4"/>
    </row>
    <row r="25" spans="1:10" x14ac:dyDescent="0.25">
      <c r="A25" s="59" t="s">
        <v>63</v>
      </c>
      <c r="B25" s="112"/>
      <c r="C25" s="112"/>
      <c r="D25" s="112"/>
      <c r="E25" s="51">
        <v>0</v>
      </c>
      <c r="F25" s="51"/>
      <c r="G25" s="40"/>
      <c r="J25" s="4"/>
    </row>
    <row r="26" spans="1:10" x14ac:dyDescent="0.25">
      <c r="A26" s="59" t="s">
        <v>64</v>
      </c>
      <c r="B26" s="112"/>
      <c r="C26" s="112"/>
      <c r="D26" s="112"/>
      <c r="E26" s="51">
        <v>0</v>
      </c>
      <c r="F26" s="51"/>
      <c r="G26" s="40"/>
      <c r="J26" s="4"/>
    </row>
    <row r="27" spans="1:10" x14ac:dyDescent="0.25">
      <c r="A27" s="59" t="s">
        <v>65</v>
      </c>
      <c r="B27" s="112"/>
      <c r="C27" s="112"/>
      <c r="D27" s="112"/>
      <c r="E27" s="51">
        <v>0</v>
      </c>
      <c r="F27" s="51"/>
      <c r="G27" s="40"/>
      <c r="J27" s="4"/>
    </row>
    <row r="28" spans="1:10" x14ac:dyDescent="0.25">
      <c r="A28" s="59" t="s">
        <v>66</v>
      </c>
      <c r="B28" s="112"/>
      <c r="C28" s="112"/>
      <c r="D28" s="112"/>
      <c r="E28" s="51">
        <v>0</v>
      </c>
      <c r="F28" s="51"/>
      <c r="G28" s="40"/>
      <c r="J28" s="4"/>
    </row>
    <row r="29" spans="1:10" x14ac:dyDescent="0.25">
      <c r="A29" s="59" t="s">
        <v>67</v>
      </c>
      <c r="B29" s="112"/>
      <c r="C29" s="112"/>
      <c r="D29" s="112"/>
      <c r="E29" s="51">
        <v>0</v>
      </c>
      <c r="F29" s="51"/>
      <c r="G29" s="40"/>
      <c r="J29" s="4"/>
    </row>
    <row r="30" spans="1:10" x14ac:dyDescent="0.25">
      <c r="A30" s="60" t="s">
        <v>68</v>
      </c>
      <c r="B30" s="113"/>
      <c r="C30" s="113"/>
      <c r="D30" s="113"/>
      <c r="E30" s="52">
        <v>0</v>
      </c>
      <c r="F30" s="52"/>
      <c r="G30" s="41"/>
      <c r="H30" s="36"/>
      <c r="I30" s="36"/>
      <c r="J30" s="5"/>
    </row>
    <row r="31" spans="1:10" x14ac:dyDescent="0.25">
      <c r="A31" s="56" t="s">
        <v>69</v>
      </c>
    </row>
    <row r="32" spans="1:10" ht="15.75" x14ac:dyDescent="0.25">
      <c r="A32" s="62" t="s">
        <v>75</v>
      </c>
      <c r="B32" s="63"/>
      <c r="C32" s="64">
        <f>MAX(Precedencias!K4:K22)</f>
        <v>0</v>
      </c>
      <c r="D32" s="71" t="str">
        <f>"(" &amp; E9 &amp; ")"</f>
        <v>(Días)</v>
      </c>
    </row>
    <row r="35" spans="1:11" ht="46.5" customHeight="1" x14ac:dyDescent="0.25">
      <c r="A35" s="115" t="s">
        <v>72</v>
      </c>
      <c r="B35" s="116"/>
      <c r="C35" s="116"/>
      <c r="D35" s="116"/>
      <c r="E35" s="116"/>
      <c r="F35" s="116"/>
      <c r="G35" s="116"/>
      <c r="H35" s="116"/>
      <c r="I35" s="116"/>
      <c r="J35" s="117"/>
    </row>
    <row r="37" spans="1:11" x14ac:dyDescent="0.25">
      <c r="A37" s="33" t="str">
        <f>Precedencias!A3</f>
        <v>Actividades</v>
      </c>
      <c r="B37" s="33" t="str">
        <f>Precedencias!B3</f>
        <v>Duraciones</v>
      </c>
      <c r="C37" s="33" t="str">
        <f>Precedencias!H3</f>
        <v>Inicio Temprano</v>
      </c>
      <c r="D37" s="33" t="str">
        <f>Precedencias!I3</f>
        <v>Final Temprano</v>
      </c>
      <c r="E37" s="33" t="str">
        <f>Precedencias!J3</f>
        <v>Inicio Tardío</v>
      </c>
      <c r="F37" s="33" t="str">
        <f>Precedencias!K3</f>
        <v>Final Tardío</v>
      </c>
      <c r="G37" s="33" t="str">
        <f>Precedencias!L3</f>
        <v>Holgura Total</v>
      </c>
      <c r="H37" s="33" t="str">
        <f>Precedencias!M3</f>
        <v>Holgura libre</v>
      </c>
      <c r="I37" s="33" t="s">
        <v>76</v>
      </c>
      <c r="J37" s="95" t="s">
        <v>33</v>
      </c>
      <c r="K37" s="96" t="s">
        <v>34</v>
      </c>
    </row>
    <row r="38" spans="1:11" x14ac:dyDescent="0.25">
      <c r="A38" s="102" t="str">
        <f>IF(E12&gt;0,(A12),(""))</f>
        <v/>
      </c>
      <c r="B38" s="7">
        <f>E12</f>
        <v>0</v>
      </c>
      <c r="C38" s="6">
        <f ca="1">Precedencias!H4</f>
        <v>0</v>
      </c>
      <c r="D38" s="7">
        <f ca="1">Precedencias!I4</f>
        <v>0</v>
      </c>
      <c r="E38" s="6" t="str">
        <f>Precedencias!J4</f>
        <v/>
      </c>
      <c r="F38" s="7" t="str">
        <f>Precedencias!K4</f>
        <v/>
      </c>
      <c r="G38" s="6" t="str">
        <f>Precedencias!L4</f>
        <v/>
      </c>
      <c r="H38" s="11" t="str">
        <f>Precedencias!M4</f>
        <v/>
      </c>
      <c r="I38" s="7" t="str">
        <f>Precedencias!N4</f>
        <v/>
      </c>
      <c r="J38" s="6">
        <f ca="1">C38</f>
        <v>0</v>
      </c>
      <c r="K38" s="97" t="str">
        <f>Precedencias!U4</f>
        <v/>
      </c>
    </row>
    <row r="39" spans="1:11" x14ac:dyDescent="0.25">
      <c r="A39" s="103" t="str">
        <f t="shared" ref="A39:A56" si="0">IF(E13&gt;0,(A13),(""))</f>
        <v/>
      </c>
      <c r="B39" s="7">
        <f t="shared" ref="B39:B56" si="1">E13</f>
        <v>0</v>
      </c>
      <c r="C39" s="2">
        <f ca="1">Precedencias!H5</f>
        <v>0</v>
      </c>
      <c r="D39" s="3">
        <f ca="1">Precedencias!I5</f>
        <v>0</v>
      </c>
      <c r="E39" s="2" t="str">
        <f>Precedencias!J5</f>
        <v/>
      </c>
      <c r="F39" s="3" t="str">
        <f>Precedencias!K5</f>
        <v/>
      </c>
      <c r="G39" s="2" t="str">
        <f>Precedencias!L5</f>
        <v/>
      </c>
      <c r="H39" s="8" t="str">
        <f>Precedencias!M5</f>
        <v/>
      </c>
      <c r="I39" s="3" t="str">
        <f>Precedencias!N5</f>
        <v/>
      </c>
      <c r="J39" s="6">
        <f t="shared" ref="J39:J56" ca="1" si="2">C39</f>
        <v>0</v>
      </c>
      <c r="K39" s="97" t="str">
        <f>Precedencias!U5</f>
        <v/>
      </c>
    </row>
    <row r="40" spans="1:11" x14ac:dyDescent="0.25">
      <c r="A40" s="103" t="str">
        <f t="shared" si="0"/>
        <v/>
      </c>
      <c r="B40" s="7">
        <f t="shared" si="1"/>
        <v>0</v>
      </c>
      <c r="C40" s="2">
        <f ca="1">Precedencias!H6</f>
        <v>0</v>
      </c>
      <c r="D40" s="3">
        <f ca="1">Precedencias!I6</f>
        <v>0</v>
      </c>
      <c r="E40" s="2" t="str">
        <f>Precedencias!J6</f>
        <v/>
      </c>
      <c r="F40" s="3" t="str">
        <f>Precedencias!K6</f>
        <v/>
      </c>
      <c r="G40" s="2" t="str">
        <f>Precedencias!L6</f>
        <v/>
      </c>
      <c r="H40" s="8" t="str">
        <f>Precedencias!M6</f>
        <v/>
      </c>
      <c r="I40" s="3" t="str">
        <f>Precedencias!N6</f>
        <v/>
      </c>
      <c r="J40" s="6">
        <f t="shared" ca="1" si="2"/>
        <v>0</v>
      </c>
      <c r="K40" s="97" t="str">
        <f>Precedencias!U6</f>
        <v/>
      </c>
    </row>
    <row r="41" spans="1:11" x14ac:dyDescent="0.25">
      <c r="A41" s="103" t="str">
        <f t="shared" si="0"/>
        <v/>
      </c>
      <c r="B41" s="7">
        <f t="shared" si="1"/>
        <v>0</v>
      </c>
      <c r="C41" s="2">
        <f ca="1">Precedencias!H7</f>
        <v>0</v>
      </c>
      <c r="D41" s="3">
        <f ca="1">Precedencias!I7</f>
        <v>0</v>
      </c>
      <c r="E41" s="2" t="str">
        <f>Precedencias!J7</f>
        <v/>
      </c>
      <c r="F41" s="3" t="str">
        <f>Precedencias!K7</f>
        <v/>
      </c>
      <c r="G41" s="2" t="str">
        <f>Precedencias!L7</f>
        <v/>
      </c>
      <c r="H41" s="8" t="str">
        <f>Precedencias!M7</f>
        <v/>
      </c>
      <c r="I41" s="3" t="str">
        <f>Precedencias!N7</f>
        <v/>
      </c>
      <c r="J41" s="6">
        <f t="shared" ca="1" si="2"/>
        <v>0</v>
      </c>
      <c r="K41" s="97" t="str">
        <f>Precedencias!U7</f>
        <v/>
      </c>
    </row>
    <row r="42" spans="1:11" x14ac:dyDescent="0.25">
      <c r="A42" s="103" t="str">
        <f t="shared" si="0"/>
        <v/>
      </c>
      <c r="B42" s="7">
        <f t="shared" si="1"/>
        <v>0</v>
      </c>
      <c r="C42" s="2">
        <f ca="1">Precedencias!H8</f>
        <v>0</v>
      </c>
      <c r="D42" s="3">
        <f ca="1">Precedencias!I8</f>
        <v>0</v>
      </c>
      <c r="E42" s="2" t="str">
        <f>Precedencias!J8</f>
        <v/>
      </c>
      <c r="F42" s="3" t="str">
        <f>Precedencias!K8</f>
        <v/>
      </c>
      <c r="G42" s="2" t="str">
        <f>Precedencias!L8</f>
        <v/>
      </c>
      <c r="H42" s="8" t="str">
        <f>Precedencias!M8</f>
        <v/>
      </c>
      <c r="I42" s="3" t="str">
        <f>Precedencias!N8</f>
        <v/>
      </c>
      <c r="J42" s="6">
        <f t="shared" ca="1" si="2"/>
        <v>0</v>
      </c>
      <c r="K42" s="97" t="str">
        <f>Precedencias!U8</f>
        <v/>
      </c>
    </row>
    <row r="43" spans="1:11" x14ac:dyDescent="0.25">
      <c r="A43" s="103" t="str">
        <f t="shared" si="0"/>
        <v/>
      </c>
      <c r="B43" s="7">
        <f t="shared" si="1"/>
        <v>0</v>
      </c>
      <c r="C43" s="2">
        <f ca="1">Precedencias!H9</f>
        <v>0</v>
      </c>
      <c r="D43" s="3">
        <f ca="1">Precedencias!I9</f>
        <v>0</v>
      </c>
      <c r="E43" s="2" t="str">
        <f>Precedencias!J9</f>
        <v/>
      </c>
      <c r="F43" s="3" t="str">
        <f>Precedencias!K9</f>
        <v/>
      </c>
      <c r="G43" s="2" t="str">
        <f>Precedencias!L9</f>
        <v/>
      </c>
      <c r="H43" s="8" t="str">
        <f>Precedencias!M9</f>
        <v/>
      </c>
      <c r="I43" s="3" t="str">
        <f>Precedencias!N9</f>
        <v/>
      </c>
      <c r="J43" s="6">
        <f t="shared" ca="1" si="2"/>
        <v>0</v>
      </c>
      <c r="K43" s="97" t="str">
        <f>Precedencias!U9</f>
        <v/>
      </c>
    </row>
    <row r="44" spans="1:11" x14ac:dyDescent="0.25">
      <c r="A44" s="103" t="str">
        <f t="shared" si="0"/>
        <v/>
      </c>
      <c r="B44" s="7">
        <f t="shared" si="1"/>
        <v>0</v>
      </c>
      <c r="C44" s="2">
        <f ca="1">Precedencias!H10</f>
        <v>0</v>
      </c>
      <c r="D44" s="3">
        <f ca="1">Precedencias!I10</f>
        <v>0</v>
      </c>
      <c r="E44" s="2" t="str">
        <f>Precedencias!J10</f>
        <v/>
      </c>
      <c r="F44" s="3" t="str">
        <f>Precedencias!K10</f>
        <v/>
      </c>
      <c r="G44" s="2" t="str">
        <f>Precedencias!L10</f>
        <v/>
      </c>
      <c r="H44" s="8" t="str">
        <f>Precedencias!M10</f>
        <v/>
      </c>
      <c r="I44" s="3" t="str">
        <f>Precedencias!N10</f>
        <v/>
      </c>
      <c r="J44" s="6">
        <f t="shared" ca="1" si="2"/>
        <v>0</v>
      </c>
      <c r="K44" s="97" t="str">
        <f>Precedencias!U10</f>
        <v/>
      </c>
    </row>
    <row r="45" spans="1:11" x14ac:dyDescent="0.25">
      <c r="A45" s="103" t="str">
        <f t="shared" si="0"/>
        <v/>
      </c>
      <c r="B45" s="7">
        <f t="shared" si="1"/>
        <v>0</v>
      </c>
      <c r="C45" s="2">
        <f ca="1">Precedencias!H11</f>
        <v>0</v>
      </c>
      <c r="D45" s="3">
        <f ca="1">Precedencias!I11</f>
        <v>0</v>
      </c>
      <c r="E45" s="2" t="str">
        <f>Precedencias!J11</f>
        <v/>
      </c>
      <c r="F45" s="3" t="str">
        <f>Precedencias!K11</f>
        <v/>
      </c>
      <c r="G45" s="2" t="str">
        <f>Precedencias!L11</f>
        <v/>
      </c>
      <c r="H45" s="8" t="str">
        <f>Precedencias!M11</f>
        <v/>
      </c>
      <c r="I45" s="3" t="str">
        <f>Precedencias!N11</f>
        <v/>
      </c>
      <c r="J45" s="6">
        <f t="shared" ca="1" si="2"/>
        <v>0</v>
      </c>
      <c r="K45" s="97" t="str">
        <f>Precedencias!U11</f>
        <v/>
      </c>
    </row>
    <row r="46" spans="1:11" x14ac:dyDescent="0.25">
      <c r="A46" s="103" t="str">
        <f t="shared" si="0"/>
        <v/>
      </c>
      <c r="B46" s="7">
        <f t="shared" si="1"/>
        <v>0</v>
      </c>
      <c r="C46" s="2">
        <f ca="1">Precedencias!H12</f>
        <v>0</v>
      </c>
      <c r="D46" s="3">
        <f ca="1">Precedencias!I12</f>
        <v>0</v>
      </c>
      <c r="E46" s="2" t="str">
        <f>Precedencias!J12</f>
        <v/>
      </c>
      <c r="F46" s="3" t="str">
        <f>Precedencias!K12</f>
        <v/>
      </c>
      <c r="G46" s="2" t="str">
        <f>Precedencias!L12</f>
        <v/>
      </c>
      <c r="H46" s="8" t="str">
        <f>Precedencias!M12</f>
        <v/>
      </c>
      <c r="I46" s="3" t="str">
        <f>Precedencias!N12</f>
        <v/>
      </c>
      <c r="J46" s="6">
        <f t="shared" ca="1" si="2"/>
        <v>0</v>
      </c>
      <c r="K46" s="97" t="str">
        <f>Precedencias!U12</f>
        <v/>
      </c>
    </row>
    <row r="47" spans="1:11" x14ac:dyDescent="0.25">
      <c r="A47" s="103" t="str">
        <f t="shared" si="0"/>
        <v/>
      </c>
      <c r="B47" s="7">
        <f t="shared" si="1"/>
        <v>0</v>
      </c>
      <c r="C47" s="2">
        <f ca="1">Precedencias!H13</f>
        <v>0</v>
      </c>
      <c r="D47" s="3">
        <f ca="1">Precedencias!I13</f>
        <v>0</v>
      </c>
      <c r="E47" s="2" t="str">
        <f>Precedencias!J13</f>
        <v/>
      </c>
      <c r="F47" s="3" t="str">
        <f>Precedencias!K13</f>
        <v/>
      </c>
      <c r="G47" s="2" t="str">
        <f>Precedencias!L13</f>
        <v/>
      </c>
      <c r="H47" s="8" t="str">
        <f>Precedencias!M13</f>
        <v/>
      </c>
      <c r="I47" s="3" t="str">
        <f>Precedencias!N13</f>
        <v/>
      </c>
      <c r="J47" s="6">
        <f t="shared" ca="1" si="2"/>
        <v>0</v>
      </c>
      <c r="K47" s="97" t="str">
        <f>Precedencias!U13</f>
        <v/>
      </c>
    </row>
    <row r="48" spans="1:11" x14ac:dyDescent="0.25">
      <c r="A48" s="103" t="str">
        <f t="shared" si="0"/>
        <v/>
      </c>
      <c r="B48" s="7">
        <f t="shared" si="1"/>
        <v>0</v>
      </c>
      <c r="C48" s="2">
        <f ca="1">Precedencias!H14</f>
        <v>0</v>
      </c>
      <c r="D48" s="3">
        <f ca="1">Precedencias!I14</f>
        <v>0</v>
      </c>
      <c r="E48" s="2" t="str">
        <f>Precedencias!J14</f>
        <v/>
      </c>
      <c r="F48" s="3" t="str">
        <f>Precedencias!K14</f>
        <v/>
      </c>
      <c r="G48" s="2" t="str">
        <f>Precedencias!L14</f>
        <v/>
      </c>
      <c r="H48" s="8" t="str">
        <f>Precedencias!M14</f>
        <v/>
      </c>
      <c r="I48" s="3" t="str">
        <f>Precedencias!N14</f>
        <v/>
      </c>
      <c r="J48" s="6">
        <f t="shared" ca="1" si="2"/>
        <v>0</v>
      </c>
      <c r="K48" s="97" t="str">
        <f>Precedencias!U14</f>
        <v/>
      </c>
    </row>
    <row r="49" spans="1:11" x14ac:dyDescent="0.25">
      <c r="A49" s="103" t="str">
        <f t="shared" si="0"/>
        <v/>
      </c>
      <c r="B49" s="7">
        <f t="shared" si="1"/>
        <v>0</v>
      </c>
      <c r="C49" s="2">
        <f ca="1">Precedencias!H15</f>
        <v>0</v>
      </c>
      <c r="D49" s="3">
        <f ca="1">Precedencias!I15</f>
        <v>0</v>
      </c>
      <c r="E49" s="2" t="str">
        <f>Precedencias!J15</f>
        <v/>
      </c>
      <c r="F49" s="3" t="str">
        <f>Precedencias!K15</f>
        <v/>
      </c>
      <c r="G49" s="2" t="str">
        <f>Precedencias!L15</f>
        <v/>
      </c>
      <c r="H49" s="8" t="str">
        <f>Precedencias!M15</f>
        <v/>
      </c>
      <c r="I49" s="3" t="str">
        <f>Precedencias!N15</f>
        <v/>
      </c>
      <c r="J49" s="6">
        <f t="shared" ca="1" si="2"/>
        <v>0</v>
      </c>
      <c r="K49" s="97" t="str">
        <f>Precedencias!U15</f>
        <v/>
      </c>
    </row>
    <row r="50" spans="1:11" x14ac:dyDescent="0.25">
      <c r="A50" s="103" t="str">
        <f t="shared" si="0"/>
        <v/>
      </c>
      <c r="B50" s="7">
        <f t="shared" si="1"/>
        <v>0</v>
      </c>
      <c r="C50" s="2">
        <f ca="1">Precedencias!H16</f>
        <v>0</v>
      </c>
      <c r="D50" s="3">
        <f ca="1">Precedencias!I16</f>
        <v>0</v>
      </c>
      <c r="E50" s="2" t="str">
        <f>Precedencias!J16</f>
        <v/>
      </c>
      <c r="F50" s="3" t="str">
        <f>Precedencias!K16</f>
        <v/>
      </c>
      <c r="G50" s="2" t="str">
        <f>Precedencias!L16</f>
        <v/>
      </c>
      <c r="H50" s="8" t="str">
        <f>Precedencias!M16</f>
        <v/>
      </c>
      <c r="I50" s="3" t="str">
        <f>Precedencias!N16</f>
        <v/>
      </c>
      <c r="J50" s="6">
        <f t="shared" ca="1" si="2"/>
        <v>0</v>
      </c>
      <c r="K50" s="97" t="str">
        <f>Precedencias!U16</f>
        <v/>
      </c>
    </row>
    <row r="51" spans="1:11" x14ac:dyDescent="0.25">
      <c r="A51" s="103" t="str">
        <f t="shared" si="0"/>
        <v/>
      </c>
      <c r="B51" s="7">
        <f t="shared" si="1"/>
        <v>0</v>
      </c>
      <c r="C51" s="2">
        <f ca="1">Precedencias!H17</f>
        <v>0</v>
      </c>
      <c r="D51" s="3">
        <f ca="1">Precedencias!I17</f>
        <v>0</v>
      </c>
      <c r="E51" s="2" t="str">
        <f>Precedencias!J17</f>
        <v/>
      </c>
      <c r="F51" s="3" t="str">
        <f>Precedencias!K17</f>
        <v/>
      </c>
      <c r="G51" s="2" t="str">
        <f>Precedencias!L17</f>
        <v/>
      </c>
      <c r="H51" s="8" t="str">
        <f>Precedencias!M17</f>
        <v/>
      </c>
      <c r="I51" s="3" t="str">
        <f>Precedencias!N17</f>
        <v/>
      </c>
      <c r="J51" s="6">
        <f t="shared" ca="1" si="2"/>
        <v>0</v>
      </c>
      <c r="K51" s="97" t="str">
        <f>Precedencias!U17</f>
        <v/>
      </c>
    </row>
    <row r="52" spans="1:11" x14ac:dyDescent="0.25">
      <c r="A52" s="103" t="str">
        <f t="shared" si="0"/>
        <v/>
      </c>
      <c r="B52" s="7">
        <f t="shared" si="1"/>
        <v>0</v>
      </c>
      <c r="C52" s="2">
        <f ca="1">Precedencias!H18</f>
        <v>0</v>
      </c>
      <c r="D52" s="3">
        <f ca="1">Precedencias!I18</f>
        <v>0</v>
      </c>
      <c r="E52" s="2" t="str">
        <f>Precedencias!J18</f>
        <v/>
      </c>
      <c r="F52" s="3" t="str">
        <f>Precedencias!K18</f>
        <v/>
      </c>
      <c r="G52" s="2" t="str">
        <f>Precedencias!L18</f>
        <v/>
      </c>
      <c r="H52" s="8" t="str">
        <f>Precedencias!M18</f>
        <v/>
      </c>
      <c r="I52" s="3" t="str">
        <f>Precedencias!N18</f>
        <v/>
      </c>
      <c r="J52" s="6">
        <f t="shared" ca="1" si="2"/>
        <v>0</v>
      </c>
      <c r="K52" s="97" t="str">
        <f>Precedencias!U18</f>
        <v/>
      </c>
    </row>
    <row r="53" spans="1:11" x14ac:dyDescent="0.25">
      <c r="A53" s="103" t="str">
        <f t="shared" si="0"/>
        <v/>
      </c>
      <c r="B53" s="7">
        <f t="shared" si="1"/>
        <v>0</v>
      </c>
      <c r="C53" s="2">
        <f ca="1">Precedencias!H19</f>
        <v>0</v>
      </c>
      <c r="D53" s="3">
        <f ca="1">Precedencias!I19</f>
        <v>0</v>
      </c>
      <c r="E53" s="2" t="str">
        <f>Precedencias!J19</f>
        <v/>
      </c>
      <c r="F53" s="3" t="str">
        <f>Precedencias!K19</f>
        <v/>
      </c>
      <c r="G53" s="2" t="str">
        <f>Precedencias!L19</f>
        <v/>
      </c>
      <c r="H53" s="8" t="str">
        <f>Precedencias!M19</f>
        <v/>
      </c>
      <c r="I53" s="3" t="str">
        <f>Precedencias!N19</f>
        <v/>
      </c>
      <c r="J53" s="6">
        <f t="shared" ca="1" si="2"/>
        <v>0</v>
      </c>
      <c r="K53" s="97" t="str">
        <f>Precedencias!U19</f>
        <v/>
      </c>
    </row>
    <row r="54" spans="1:11" x14ac:dyDescent="0.25">
      <c r="A54" s="103" t="str">
        <f t="shared" si="0"/>
        <v/>
      </c>
      <c r="B54" s="7">
        <f t="shared" si="1"/>
        <v>0</v>
      </c>
      <c r="C54" s="2">
        <f ca="1">Precedencias!H20</f>
        <v>0</v>
      </c>
      <c r="D54" s="3">
        <f ca="1">Precedencias!I20</f>
        <v>0</v>
      </c>
      <c r="E54" s="2" t="str">
        <f>Precedencias!J20</f>
        <v/>
      </c>
      <c r="F54" s="3" t="str">
        <f>Precedencias!K20</f>
        <v/>
      </c>
      <c r="G54" s="2" t="str">
        <f>Precedencias!L20</f>
        <v/>
      </c>
      <c r="H54" s="8" t="str">
        <f>Precedencias!M20</f>
        <v/>
      </c>
      <c r="I54" s="3" t="str">
        <f>Precedencias!N20</f>
        <v/>
      </c>
      <c r="J54" s="6">
        <f t="shared" ca="1" si="2"/>
        <v>0</v>
      </c>
      <c r="K54" s="97" t="str">
        <f>Precedencias!U20</f>
        <v/>
      </c>
    </row>
    <row r="55" spans="1:11" x14ac:dyDescent="0.25">
      <c r="A55" s="103" t="str">
        <f t="shared" si="0"/>
        <v/>
      </c>
      <c r="B55" s="7">
        <f t="shared" si="1"/>
        <v>0</v>
      </c>
      <c r="C55" s="2">
        <f ca="1">Precedencias!H21</f>
        <v>0</v>
      </c>
      <c r="D55" s="3">
        <f ca="1">Precedencias!I21</f>
        <v>0</v>
      </c>
      <c r="E55" s="2" t="str">
        <f>Precedencias!J21</f>
        <v/>
      </c>
      <c r="F55" s="3" t="str">
        <f>Precedencias!K21</f>
        <v/>
      </c>
      <c r="G55" s="2" t="str">
        <f>Precedencias!L21</f>
        <v/>
      </c>
      <c r="H55" s="8" t="str">
        <f>Precedencias!M21</f>
        <v/>
      </c>
      <c r="I55" s="3" t="str">
        <f>Precedencias!N21</f>
        <v/>
      </c>
      <c r="J55" s="6">
        <f t="shared" ca="1" si="2"/>
        <v>0</v>
      </c>
      <c r="K55" s="97" t="str">
        <f>Precedencias!U21</f>
        <v/>
      </c>
    </row>
    <row r="56" spans="1:11" x14ac:dyDescent="0.25">
      <c r="A56" s="104" t="str">
        <f t="shared" si="0"/>
        <v/>
      </c>
      <c r="B56" s="7">
        <f t="shared" si="1"/>
        <v>0</v>
      </c>
      <c r="C56" s="9">
        <f ca="1">Precedencias!H22</f>
        <v>0</v>
      </c>
      <c r="D56" s="42">
        <f ca="1">Precedencias!I22</f>
        <v>0</v>
      </c>
      <c r="E56" s="9" t="str">
        <f>Precedencias!J22</f>
        <v/>
      </c>
      <c r="F56" s="42" t="str">
        <f>Precedencias!K22</f>
        <v/>
      </c>
      <c r="G56" s="9" t="str">
        <f>Precedencias!L22</f>
        <v/>
      </c>
      <c r="H56" s="12" t="str">
        <f>Precedencias!M22</f>
        <v/>
      </c>
      <c r="I56" s="42" t="str">
        <f>Precedencias!N22</f>
        <v/>
      </c>
      <c r="J56" s="6">
        <f t="shared" ca="1" si="2"/>
        <v>0</v>
      </c>
      <c r="K56" s="98" t="str">
        <f>Precedencias!U22</f>
        <v/>
      </c>
    </row>
    <row r="58" spans="1:11" ht="15.75" x14ac:dyDescent="0.25">
      <c r="A58" s="65" t="s">
        <v>74</v>
      </c>
      <c r="B58" s="66"/>
      <c r="C58" s="66"/>
      <c r="D58" s="67">
        <f>Precedencias!B24</f>
        <v>0</v>
      </c>
      <c r="E58" s="71" t="str">
        <f>"(" &amp; E9 &amp; ")"</f>
        <v>(Días)</v>
      </c>
    </row>
    <row r="59" spans="1:11" x14ac:dyDescent="0.25">
      <c r="A59" s="56" t="s">
        <v>70</v>
      </c>
    </row>
    <row r="60" spans="1:11" x14ac:dyDescent="0.25">
      <c r="A60" t="s">
        <v>77</v>
      </c>
    </row>
    <row r="62" spans="1:11" x14ac:dyDescent="0.25">
      <c r="A62" s="115" t="s">
        <v>78</v>
      </c>
      <c r="B62" s="116"/>
      <c r="C62" s="116"/>
      <c r="D62" s="116"/>
      <c r="E62" s="116"/>
      <c r="F62" s="116"/>
      <c r="G62" s="116"/>
      <c r="H62" s="116"/>
      <c r="I62" s="116"/>
      <c r="J62" s="117"/>
    </row>
    <row r="64" spans="1:11" ht="30" x14ac:dyDescent="0.25">
      <c r="A64" s="43" t="s">
        <v>0</v>
      </c>
      <c r="B64" s="121" t="s">
        <v>50</v>
      </c>
      <c r="C64" s="121"/>
      <c r="D64" s="121"/>
      <c r="E64" s="61" t="s">
        <v>51</v>
      </c>
      <c r="F64" s="61" t="s">
        <v>97</v>
      </c>
      <c r="G64" s="43" t="s">
        <v>79</v>
      </c>
      <c r="H64" s="43" t="s">
        <v>11</v>
      </c>
      <c r="I64" s="43" t="s">
        <v>12</v>
      </c>
      <c r="J64" s="43" t="s">
        <v>13</v>
      </c>
    </row>
    <row r="65" spans="1:10" x14ac:dyDescent="0.25">
      <c r="A65" s="57" t="str">
        <f>A12</f>
        <v xml:space="preserve">A </v>
      </c>
      <c r="B65" s="122" t="str">
        <f>IF(B12="",(""),(B12))</f>
        <v/>
      </c>
      <c r="C65" s="122"/>
      <c r="D65" s="122"/>
      <c r="E65" s="35">
        <f>E12</f>
        <v>0</v>
      </c>
      <c r="F65" s="69">
        <f>J9</f>
        <v>45292</v>
      </c>
      <c r="G65" s="69">
        <f>IF($E$9="Días",(F65+E12),(IF($E$9="Semanas",(F65+(E12*7)),(IF($E$9="Quincenas",(F65+(E12*15)),(IF($E$9="Meses",(F65+(E12*30)),(IF($E$9="Años",(F65+(E12*365)),("Falta Registrar"))))))))))</f>
        <v>45292</v>
      </c>
      <c r="H65" s="35"/>
      <c r="I65" s="35"/>
      <c r="J65" s="58"/>
    </row>
    <row r="66" spans="1:10" x14ac:dyDescent="0.25">
      <c r="A66" s="59" t="str">
        <f t="shared" ref="A66:A83" si="3">A13</f>
        <v>B</v>
      </c>
      <c r="B66" s="112" t="str">
        <f t="shared" ref="B66:B83" si="4">IF(B13="",(""),(B13))</f>
        <v/>
      </c>
      <c r="C66" s="112"/>
      <c r="D66" s="112"/>
      <c r="E66">
        <f t="shared" ref="E66:E83" si="5">E13</f>
        <v>0</v>
      </c>
      <c r="F66" s="68" t="str">
        <f>IF(A39="",(""),(IF(Precedencias!P5="",(""),IF($E$9="Días",($F$65+Precedencias!P5),IF($E$9="Semanas",($F$65+(7*Precedencias!P5)),IF($E$9="Quincenas",($F$65+(15*Precedencias!P5)),IF($E$9="Meses",($F$65+(30*Precedencias!P5)),IF($E$9="Años",($F$65+(365*Precedencias!P5)),("Falta registrar")))))))))</f>
        <v/>
      </c>
      <c r="G66" s="68" t="str">
        <f>IF(F66="",(""),(IF($E$9="Días",(F66+E13),(IF($E$9="Semanas",(F66+(E13*7)),(IF($E$9="Quincenas",(F66+(E13*15)),(IF($E$9="Meses",(F66+(E13*30)),(IF($E$9="Años",(F66+(E13*365)),("Falta Registrar"))))))))))))</f>
        <v/>
      </c>
      <c r="J66" s="4"/>
    </row>
    <row r="67" spans="1:10" x14ac:dyDescent="0.25">
      <c r="A67" s="59" t="str">
        <f t="shared" si="3"/>
        <v>C</v>
      </c>
      <c r="B67" s="112" t="str">
        <f t="shared" si="4"/>
        <v/>
      </c>
      <c r="C67" s="112"/>
      <c r="D67" s="112"/>
      <c r="E67">
        <f t="shared" si="5"/>
        <v>0</v>
      </c>
      <c r="F67" s="68" t="str">
        <f>IF(A40="",(""),(IF(Precedencias!P6="",(""),IF($E$9="Días",($F$65+Precedencias!P6),IF($E$9="Semanas",($F$65+(7*Precedencias!P6)),IF($E$9="Quincenas",($F$65+(15*Precedencias!P6)),IF($E$9="Meses",($F$65+(30*Precedencias!P6)),IF($E$9="Años",($F$65+(365*Precedencias!P6)),("Falta registrar")))))))))</f>
        <v/>
      </c>
      <c r="G67" s="68" t="str">
        <f t="shared" ref="G67:G83" si="6">IF(F67="",(""),(IF($E$9="Días",(F67+E14),(IF($E$9="Semanas",(F67+(E14*7)),(IF($E$9="Quincenas",(F67+(E14*15)),(IF($E$9="Meses",(F67+(E14*30)),(IF($E$9="Años",(F67+(E14*365)),("Falta Registrar"))))))))))))</f>
        <v/>
      </c>
      <c r="J67" s="4"/>
    </row>
    <row r="68" spans="1:10" x14ac:dyDescent="0.25">
      <c r="A68" s="59" t="str">
        <f t="shared" si="3"/>
        <v>D</v>
      </c>
      <c r="B68" s="112" t="str">
        <f t="shared" si="4"/>
        <v/>
      </c>
      <c r="C68" s="112"/>
      <c r="D68" s="112"/>
      <c r="E68">
        <f t="shared" si="5"/>
        <v>0</v>
      </c>
      <c r="F68" s="68" t="str">
        <f>IF(A41="",(""),(IF(Precedencias!P7="",(""),IF($E$9="Días",($F$65+Precedencias!P7),IF($E$9="Semanas",($F$65+(7*Precedencias!P7)),IF($E$9="Quincenas",($F$65+(15*Precedencias!P7)),IF($E$9="Meses",($F$65+(30*Precedencias!P7)),IF($E$9="Años",($F$65+(365*Precedencias!P7)),("Falta registrar")))))))))</f>
        <v/>
      </c>
      <c r="G68" s="68" t="str">
        <f t="shared" si="6"/>
        <v/>
      </c>
      <c r="J68" s="4"/>
    </row>
    <row r="69" spans="1:10" x14ac:dyDescent="0.25">
      <c r="A69" s="59" t="str">
        <f t="shared" si="3"/>
        <v>E</v>
      </c>
      <c r="B69" s="112" t="str">
        <f t="shared" si="4"/>
        <v/>
      </c>
      <c r="C69" s="112"/>
      <c r="D69" s="112"/>
      <c r="E69">
        <f t="shared" si="5"/>
        <v>0</v>
      </c>
      <c r="F69" s="68" t="str">
        <f>IF(A42="",(""),(IF(Precedencias!P8="",(""),IF($E$9="Días",($F$65+Precedencias!P8),IF($E$9="Semanas",($F$65+(7*Precedencias!P8)),IF($E$9="Quincenas",($F$65+(15*Precedencias!P8)),IF($E$9="Meses",($F$65+(30*Precedencias!P8)),IF($E$9="Años",($F$65+(365*Precedencias!P8)),("Falta registrar")))))))))</f>
        <v/>
      </c>
      <c r="G69" s="68" t="str">
        <f t="shared" si="6"/>
        <v/>
      </c>
      <c r="J69" s="4"/>
    </row>
    <row r="70" spans="1:10" x14ac:dyDescent="0.25">
      <c r="A70" s="59" t="str">
        <f t="shared" si="3"/>
        <v>F</v>
      </c>
      <c r="B70" s="112" t="str">
        <f t="shared" si="4"/>
        <v/>
      </c>
      <c r="C70" s="112"/>
      <c r="D70" s="112"/>
      <c r="E70">
        <f t="shared" si="5"/>
        <v>0</v>
      </c>
      <c r="F70" s="68" t="str">
        <f>IF(A43="",(""),(IF(Precedencias!P9="",(""),IF($E$9="Días",($F$65+Precedencias!P9),IF($E$9="Semanas",($F$65+(7*Precedencias!P9)),IF($E$9="Quincenas",($F$65+(15*Precedencias!P9)),IF($E$9="Meses",($F$65+(30*Precedencias!P9)),IF($E$9="Años",($F$65+(365*Precedencias!P9)),("Falta registrar")))))))))</f>
        <v/>
      </c>
      <c r="G70" s="68" t="str">
        <f t="shared" si="6"/>
        <v/>
      </c>
      <c r="J70" s="4"/>
    </row>
    <row r="71" spans="1:10" x14ac:dyDescent="0.25">
      <c r="A71" s="59" t="str">
        <f t="shared" si="3"/>
        <v>G</v>
      </c>
      <c r="B71" s="112" t="str">
        <f t="shared" si="4"/>
        <v/>
      </c>
      <c r="C71" s="112"/>
      <c r="D71" s="112"/>
      <c r="E71">
        <f t="shared" si="5"/>
        <v>0</v>
      </c>
      <c r="F71" s="68" t="str">
        <f>IF(A44="",(""),(IF(Precedencias!P10="",(""),IF($E$9="Días",($F$65+Precedencias!P10),IF($E$9="Semanas",($F$65+(7*Precedencias!P10)),IF($E$9="Quincenas",($F$65+(15*Precedencias!P10)),IF($E$9="Meses",($F$65+(30*Precedencias!P10)),IF($E$9="Años",($F$65+(365*Precedencias!P10)),("Falta registrar")))))))))</f>
        <v/>
      </c>
      <c r="G71" s="68" t="str">
        <f t="shared" si="6"/>
        <v/>
      </c>
      <c r="J71" s="4"/>
    </row>
    <row r="72" spans="1:10" x14ac:dyDescent="0.25">
      <c r="A72" s="59" t="str">
        <f t="shared" si="3"/>
        <v>H</v>
      </c>
      <c r="B72" s="112" t="str">
        <f t="shared" si="4"/>
        <v/>
      </c>
      <c r="C72" s="112"/>
      <c r="D72" s="112"/>
      <c r="E72">
        <f t="shared" si="5"/>
        <v>0</v>
      </c>
      <c r="F72" s="68" t="str">
        <f>IF(A45="",(""),(IF(Precedencias!P11="",(""),IF($E$9="Días",($F$65+Precedencias!P11),IF($E$9="Semanas",($F$65+(7*Precedencias!P11)),IF($E$9="Quincenas",($F$65+(15*Precedencias!P11)),IF($E$9="Meses",($F$65+(30*Precedencias!P11)),IF($E$9="Años",($F$65+(365*Precedencias!P11)),("Falta registrar")))))))))</f>
        <v/>
      </c>
      <c r="G72" s="68" t="str">
        <f t="shared" si="6"/>
        <v/>
      </c>
      <c r="J72" s="4"/>
    </row>
    <row r="73" spans="1:10" x14ac:dyDescent="0.25">
      <c r="A73" s="59" t="str">
        <f t="shared" si="3"/>
        <v>I</v>
      </c>
      <c r="B73" s="112" t="str">
        <f t="shared" si="4"/>
        <v/>
      </c>
      <c r="C73" s="112"/>
      <c r="D73" s="112"/>
      <c r="E73">
        <f t="shared" si="5"/>
        <v>0</v>
      </c>
      <c r="F73" s="68" t="str">
        <f>IF(A46="",(""),(IF(Precedencias!P12="",(""),IF($E$9="Días",($F$65+Precedencias!P12),IF($E$9="Semanas",($F$65+(7*Precedencias!P12)),IF($E$9="Quincenas",($F$65+(15*Precedencias!P12)),IF($E$9="Meses",($F$65+(30*Precedencias!P12)),IF($E$9="Años",($F$65+(365*Precedencias!P12)),("Falta registrar")))))))))</f>
        <v/>
      </c>
      <c r="G73" s="68" t="str">
        <f t="shared" si="6"/>
        <v/>
      </c>
      <c r="J73" s="4"/>
    </row>
    <row r="74" spans="1:10" x14ac:dyDescent="0.25">
      <c r="A74" s="59" t="str">
        <f t="shared" si="3"/>
        <v>J</v>
      </c>
      <c r="B74" s="112" t="str">
        <f t="shared" si="4"/>
        <v/>
      </c>
      <c r="C74" s="112"/>
      <c r="D74" s="112"/>
      <c r="E74">
        <f t="shared" si="5"/>
        <v>0</v>
      </c>
      <c r="F74" s="68" t="str">
        <f>IF(A47="",(""),(IF(Precedencias!P13="",(""),IF($E$9="Días",($F$65+Precedencias!P13),IF($E$9="Semanas",($F$65+(7*Precedencias!P13)),IF($E$9="Quincenas",($F$65+(15*Precedencias!P13)),IF($E$9="Meses",($F$65+(30*Precedencias!P13)),IF($E$9="Años",($F$65+(365*Precedencias!P13)),("Falta registrar")))))))))</f>
        <v/>
      </c>
      <c r="G74" s="68" t="str">
        <f t="shared" si="6"/>
        <v/>
      </c>
      <c r="J74" s="4"/>
    </row>
    <row r="75" spans="1:10" x14ac:dyDescent="0.25">
      <c r="A75" s="59" t="str">
        <f t="shared" si="3"/>
        <v>K</v>
      </c>
      <c r="B75" s="112" t="str">
        <f t="shared" si="4"/>
        <v/>
      </c>
      <c r="C75" s="112"/>
      <c r="D75" s="112"/>
      <c r="E75">
        <f t="shared" si="5"/>
        <v>0</v>
      </c>
      <c r="F75" s="68" t="str">
        <f>IF(A48="",(""),(IF(Precedencias!P14="",(""),IF($E$9="Días",($F$65+Precedencias!P14),IF($E$9="Semanas",($F$65+(7*Precedencias!P14)),IF($E$9="Quincenas",($F$65+(15*Precedencias!P14)),IF($E$9="Meses",($F$65+(30*Precedencias!P14)),IF($E$9="Años",($F$65+(365*Precedencias!P14)),("Falta registrar")))))))))</f>
        <v/>
      </c>
      <c r="G75" s="68" t="str">
        <f t="shared" si="6"/>
        <v/>
      </c>
      <c r="J75" s="4"/>
    </row>
    <row r="76" spans="1:10" x14ac:dyDescent="0.25">
      <c r="A76" s="59" t="str">
        <f t="shared" si="3"/>
        <v>L</v>
      </c>
      <c r="B76" s="112" t="str">
        <f t="shared" si="4"/>
        <v/>
      </c>
      <c r="C76" s="112"/>
      <c r="D76" s="112"/>
      <c r="E76">
        <f t="shared" si="5"/>
        <v>0</v>
      </c>
      <c r="F76" s="68" t="str">
        <f>IF(A49="",(""),(IF(Precedencias!P15="",(""),IF($E$9="Días",($F$65+Precedencias!P15),IF($E$9="Semanas",($F$65+(7*Precedencias!P15)),IF($E$9="Quincenas",($F$65+(15*Precedencias!P15)),IF($E$9="Meses",($F$65+(30*Precedencias!P15)),IF($E$9="Años",($F$65+(365*Precedencias!P15)),("Falta registrar")))))))))</f>
        <v/>
      </c>
      <c r="G76" s="68" t="str">
        <f t="shared" si="6"/>
        <v/>
      </c>
      <c r="J76" s="4"/>
    </row>
    <row r="77" spans="1:10" x14ac:dyDescent="0.25">
      <c r="A77" s="59" t="str">
        <f t="shared" si="3"/>
        <v>M</v>
      </c>
      <c r="B77" s="112" t="str">
        <f t="shared" si="4"/>
        <v/>
      </c>
      <c r="C77" s="112"/>
      <c r="D77" s="112"/>
      <c r="E77">
        <f t="shared" si="5"/>
        <v>0</v>
      </c>
      <c r="F77" s="68" t="str">
        <f>IF(A50="",(""),(IF(Precedencias!P16="",(""),IF($E$9="Días",($F$65+Precedencias!P16),IF($E$9="Semanas",($F$65+(7*Precedencias!P16)),IF($E$9="Quincenas",($F$65+(15*Precedencias!P16)),IF($E$9="Meses",($F$65+(30*Precedencias!P16)),IF($E$9="Años",($F$65+(365*Precedencias!P16)),("Falta registrar")))))))))</f>
        <v/>
      </c>
      <c r="G77" s="68" t="str">
        <f t="shared" si="6"/>
        <v/>
      </c>
      <c r="J77" s="4"/>
    </row>
    <row r="78" spans="1:10" x14ac:dyDescent="0.25">
      <c r="A78" s="59" t="str">
        <f t="shared" si="3"/>
        <v>N</v>
      </c>
      <c r="B78" s="112" t="str">
        <f t="shared" si="4"/>
        <v/>
      </c>
      <c r="C78" s="112"/>
      <c r="D78" s="112"/>
      <c r="E78">
        <f t="shared" si="5"/>
        <v>0</v>
      </c>
      <c r="F78" s="68" t="str">
        <f>IF(A51="",(""),(IF(Precedencias!P17="",(""),IF($E$9="Días",($F$65+Precedencias!P17),IF($E$9="Semanas",($F$65+(7*Precedencias!P17)),IF($E$9="Quincenas",($F$65+(15*Precedencias!P17)),IF($E$9="Meses",($F$65+(30*Precedencias!P17)),IF($E$9="Años",($F$65+(365*Precedencias!P17)),("Falta registrar")))))))))</f>
        <v/>
      </c>
      <c r="G78" s="68" t="str">
        <f t="shared" si="6"/>
        <v/>
      </c>
      <c r="J78" s="4"/>
    </row>
    <row r="79" spans="1:10" x14ac:dyDescent="0.25">
      <c r="A79" s="59" t="str">
        <f t="shared" si="3"/>
        <v>O</v>
      </c>
      <c r="B79" s="112" t="str">
        <f t="shared" si="4"/>
        <v/>
      </c>
      <c r="C79" s="112"/>
      <c r="D79" s="112"/>
      <c r="E79">
        <f t="shared" si="5"/>
        <v>0</v>
      </c>
      <c r="F79" s="68" t="str">
        <f>IF(A52="",(""),(IF(Precedencias!P18="",(""),IF($E$9="Días",($F$65+Precedencias!P18),IF($E$9="Semanas",($F$65+(7*Precedencias!P18)),IF($E$9="Quincenas",($F$65+(15*Precedencias!P18)),IF($E$9="Meses",($F$65+(30*Precedencias!P18)),IF($E$9="Años",($F$65+(365*Precedencias!P18)),("Falta registrar")))))))))</f>
        <v/>
      </c>
      <c r="G79" s="68" t="str">
        <f t="shared" si="6"/>
        <v/>
      </c>
      <c r="J79" s="4"/>
    </row>
    <row r="80" spans="1:10" x14ac:dyDescent="0.25">
      <c r="A80" s="59" t="str">
        <f t="shared" si="3"/>
        <v>P</v>
      </c>
      <c r="B80" s="112" t="str">
        <f t="shared" si="4"/>
        <v/>
      </c>
      <c r="C80" s="112"/>
      <c r="D80" s="112"/>
      <c r="E80">
        <f t="shared" si="5"/>
        <v>0</v>
      </c>
      <c r="F80" s="68" t="str">
        <f>IF(A53="",(""),(IF(Precedencias!P19="",(""),IF($E$9="Días",($F$65+Precedencias!P19),IF($E$9="Semanas",($F$65+(7*Precedencias!P19)),IF($E$9="Quincenas",($F$65+(15*Precedencias!P19)),IF($E$9="Meses",($F$65+(30*Precedencias!P19)),IF($E$9="Años",($F$65+(365*Precedencias!P19)),("Falta registrar")))))))))</f>
        <v/>
      </c>
      <c r="G80" s="68" t="str">
        <f t="shared" si="6"/>
        <v/>
      </c>
      <c r="J80" s="4"/>
    </row>
    <row r="81" spans="1:10" x14ac:dyDescent="0.25">
      <c r="A81" s="59" t="str">
        <f t="shared" si="3"/>
        <v>Q</v>
      </c>
      <c r="B81" s="112" t="str">
        <f t="shared" si="4"/>
        <v/>
      </c>
      <c r="C81" s="112"/>
      <c r="D81" s="112"/>
      <c r="E81">
        <f t="shared" si="5"/>
        <v>0</v>
      </c>
      <c r="F81" s="68" t="str">
        <f>IF(A54="",(""),(IF(Precedencias!P20="",(""),IF($E$9="Días",($F$65+Precedencias!P20),IF($E$9="Semanas",($F$65+(7*Precedencias!P20)),IF($E$9="Quincenas",($F$65+(15*Precedencias!P20)),IF($E$9="Meses",($F$65+(30*Precedencias!P20)),IF($E$9="Años",($F$65+(365*Precedencias!P20)),("Falta registrar")))))))))</f>
        <v/>
      </c>
      <c r="G81" s="68" t="str">
        <f t="shared" si="6"/>
        <v/>
      </c>
      <c r="J81" s="4"/>
    </row>
    <row r="82" spans="1:10" x14ac:dyDescent="0.25">
      <c r="A82" s="59" t="str">
        <f t="shared" si="3"/>
        <v>R</v>
      </c>
      <c r="B82" s="112" t="str">
        <f t="shared" si="4"/>
        <v/>
      </c>
      <c r="C82" s="112"/>
      <c r="D82" s="112"/>
      <c r="E82">
        <f t="shared" si="5"/>
        <v>0</v>
      </c>
      <c r="F82" s="68" t="str">
        <f>IF(A55="",(""),(IF(Precedencias!P21="",(""),IF($E$9="Días",($F$65+Precedencias!P21),IF($E$9="Semanas",($F$65+(7*Precedencias!P21)),IF($E$9="Quincenas",($F$65+(15*Precedencias!P21)),IF($E$9="Meses",($F$65+(30*Precedencias!P21)),IF($E$9="Años",($F$65+(365*Precedencias!P21)),("Falta registrar")))))))))</f>
        <v/>
      </c>
      <c r="G82" s="68" t="str">
        <f t="shared" si="6"/>
        <v/>
      </c>
      <c r="J82" s="4"/>
    </row>
    <row r="83" spans="1:10" x14ac:dyDescent="0.25">
      <c r="A83" s="60" t="str">
        <f t="shared" si="3"/>
        <v>S</v>
      </c>
      <c r="B83" s="113" t="str">
        <f t="shared" si="4"/>
        <v/>
      </c>
      <c r="C83" s="113"/>
      <c r="D83" s="113"/>
      <c r="E83" s="36">
        <f t="shared" si="5"/>
        <v>0</v>
      </c>
      <c r="F83" s="70" t="str">
        <f>IF(A56="",(""),(IF(Precedencias!P22="",(""),IF($E$9="Días",($F$65+Precedencias!P22),IF($E$9="Semanas",($F$65+(7*Precedencias!P22)),IF($E$9="Quincenas",($F$65+(15*Precedencias!P22)),IF($E$9="Meses",($F$65+(30*Precedencias!P22)),IF($E$9="Años",($F$65+(365*Precedencias!P22)),("Falta registrar")))))))))</f>
        <v/>
      </c>
      <c r="G83" s="70" t="str">
        <f t="shared" si="6"/>
        <v/>
      </c>
      <c r="H83" s="36"/>
      <c r="I83" s="36"/>
      <c r="J83" s="5"/>
    </row>
    <row r="85" spans="1:10" x14ac:dyDescent="0.25">
      <c r="A85" s="115" t="s">
        <v>90</v>
      </c>
      <c r="B85" s="116"/>
      <c r="C85" s="116"/>
      <c r="D85" s="116"/>
      <c r="E85" s="116"/>
      <c r="F85" s="116"/>
      <c r="G85" s="116"/>
      <c r="H85" s="116"/>
      <c r="I85" s="116"/>
      <c r="J85" s="117"/>
    </row>
  </sheetData>
  <mergeCells count="45">
    <mergeCell ref="B83:D83"/>
    <mergeCell ref="A85:J85"/>
    <mergeCell ref="B78:D78"/>
    <mergeCell ref="B79:D79"/>
    <mergeCell ref="B80:D80"/>
    <mergeCell ref="B81:D81"/>
    <mergeCell ref="B82:D82"/>
    <mergeCell ref="B73:D73"/>
    <mergeCell ref="B74:D74"/>
    <mergeCell ref="B75:D75"/>
    <mergeCell ref="B76:D76"/>
    <mergeCell ref="B77:D77"/>
    <mergeCell ref="B68:D68"/>
    <mergeCell ref="B69:D69"/>
    <mergeCell ref="B70:D70"/>
    <mergeCell ref="B71:D71"/>
    <mergeCell ref="B72:D72"/>
    <mergeCell ref="A62:J62"/>
    <mergeCell ref="B64:D64"/>
    <mergeCell ref="B65:D65"/>
    <mergeCell ref="B66:D66"/>
    <mergeCell ref="B67:D67"/>
    <mergeCell ref="B21:D21"/>
    <mergeCell ref="A7:J7"/>
    <mergeCell ref="B11:D11"/>
    <mergeCell ref="B12:D12"/>
    <mergeCell ref="B13:D13"/>
    <mergeCell ref="B14:D14"/>
    <mergeCell ref="B15:D15"/>
    <mergeCell ref="B28:D28"/>
    <mergeCell ref="B29:D29"/>
    <mergeCell ref="B30:D30"/>
    <mergeCell ref="G10:J10"/>
    <mergeCell ref="A35:J35"/>
    <mergeCell ref="B22:D22"/>
    <mergeCell ref="B23:D23"/>
    <mergeCell ref="B24:D24"/>
    <mergeCell ref="B25:D25"/>
    <mergeCell ref="B26:D26"/>
    <mergeCell ref="B27:D27"/>
    <mergeCell ref="B16:D16"/>
    <mergeCell ref="B17:D17"/>
    <mergeCell ref="B18:D18"/>
    <mergeCell ref="B19:D19"/>
    <mergeCell ref="B20:D20"/>
  </mergeCells>
  <conditionalFormatting sqref="I38:I56">
    <cfRule type="cellIs" dxfId="26" priority="3" operator="notEqual">
      <formula>""</formula>
    </cfRule>
  </conditionalFormatting>
  <conditionalFormatting sqref="K38:K56">
    <cfRule type="containsText" dxfId="25" priority="1" operator="containsText" text="Error 2">
      <formula>NOT(ISERROR(SEARCH("Error 2",K38)))</formula>
    </cfRule>
    <cfRule type="containsText" dxfId="24" priority="2" operator="containsText" text="Error 1">
      <formula>NOT(ISERROR(SEARCH("Error 1",K38)))</formula>
    </cfRule>
  </conditionalFormatting>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'Base de Datos'!$A$3:$A$9</xm:f>
          </x14:formula1>
          <xm:sqref>E9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23"/>
  <sheetViews>
    <sheetView workbookViewId="0">
      <selection activeCell="A8" sqref="A8"/>
    </sheetView>
  </sheetViews>
  <sheetFormatPr baseColWidth="10" defaultRowHeight="15" x14ac:dyDescent="0.25"/>
  <cols>
    <col min="1" max="1" width="16.85546875" customWidth="1"/>
    <col min="3" max="3" width="9.140625" customWidth="1"/>
    <col min="4" max="4" width="12" customWidth="1"/>
  </cols>
  <sheetData>
    <row r="1" spans="1:16" x14ac:dyDescent="0.25">
      <c r="L1" s="123"/>
      <c r="M1" s="124"/>
    </row>
    <row r="2" spans="1:16" x14ac:dyDescent="0.25">
      <c r="L2" s="81" t="str">
        <f>IF(L1="",(""),("Inicio"))</f>
        <v/>
      </c>
      <c r="M2" s="82" t="str">
        <f>IF(L1="",(""),("Terminación"))</f>
        <v/>
      </c>
    </row>
    <row r="3" spans="1:16" x14ac:dyDescent="0.25">
      <c r="L3" s="81" t="str">
        <f>IF(L1="",(""),(VLOOKUP(L1,Utilización!$A$38:$J$56,3,(FALSE))))</f>
        <v/>
      </c>
      <c r="M3" s="82" t="str">
        <f>IF(L1="",(""),VLOOKUP(L1,Utilización!$A$38:$J$56,4,(FALSE)))</f>
        <v/>
      </c>
      <c r="O3" s="123"/>
      <c r="P3" s="124"/>
    </row>
    <row r="4" spans="1:16" x14ac:dyDescent="0.25">
      <c r="I4" s="123" t="e">
        <f>INDEX(A38:J56,(MATCH((TRIM(F6)),G38:G56,0)),(MATCH(A37,A37:J37,0)))</f>
        <v>#N/A</v>
      </c>
      <c r="J4" s="124"/>
      <c r="L4" s="83" t="str">
        <f>IF(L1="",(""),VLOOKUP(L1,Utilización!$A$38:$J$56,5,(FALSE)))</f>
        <v/>
      </c>
      <c r="M4" s="84" t="str">
        <f>IF(L1="",(""),VLOOKUP(L1,Utilización!$A$38:$J$56,6,(FALSE)))</f>
        <v/>
      </c>
      <c r="O4" s="81" t="str">
        <f>IF(O3="",(""),("Inicio"))</f>
        <v/>
      </c>
      <c r="P4" s="82" t="str">
        <f>IF(O3="",(""),("Terminación"))</f>
        <v/>
      </c>
    </row>
    <row r="5" spans="1:16" x14ac:dyDescent="0.25">
      <c r="I5" s="81" t="e">
        <f>IF(I4="",(""),("Inicio"))</f>
        <v>#N/A</v>
      </c>
      <c r="J5" s="82" t="e">
        <f>IF(I4="",(""),("Terminación"))</f>
        <v>#N/A</v>
      </c>
      <c r="O5" s="81" t="str">
        <f>IF(O3="",(""),(VLOOKUP(O3,Utilización!$A$38:$J$56,3,(FALSE))))</f>
        <v/>
      </c>
      <c r="P5" s="82" t="str">
        <f>IF(O3="",(""),VLOOKUP(O3,Utilización!$A$38:$J$56,4,(FALSE)))</f>
        <v/>
      </c>
    </row>
    <row r="6" spans="1:16" x14ac:dyDescent="0.25">
      <c r="F6" s="123" t="e">
        <f>INDEX(A38:J56,(MATCH((TRIM(C8)),G38:G56,0)),(MATCH(A37,A37:J37,0)))</f>
        <v>#N/A</v>
      </c>
      <c r="G6" s="124"/>
      <c r="I6" s="81" t="e">
        <f>IF(I4="",(""),(VLOOKUP(I4,Utilización!$A$38:$J$56,3,(FALSE))))</f>
        <v>#N/A</v>
      </c>
      <c r="J6" s="82" t="e">
        <f>IF(I4="",(""),VLOOKUP(I4,Utilización!$A$38:$J$56,4,(FALSE)))</f>
        <v>#N/A</v>
      </c>
      <c r="L6" s="123" t="e">
        <f>INDEX(A38:J56,(MATCH((TRIM(I4)),G38:G56,0)),(MATCH(A37,A37:J37,0)))</f>
        <v>#N/A</v>
      </c>
      <c r="M6" s="124"/>
      <c r="O6" s="83" t="str">
        <f>IF(O3="",(""),VLOOKUP(O3,Utilización!$A$38:$J$56,5,(FALSE)))</f>
        <v/>
      </c>
      <c r="P6" s="84" t="str">
        <f>IF(O3="",(""),VLOOKUP(O3,Utilización!$A$38:$J$56,6,(FALSE)))</f>
        <v/>
      </c>
    </row>
    <row r="7" spans="1:16" x14ac:dyDescent="0.25">
      <c r="F7" s="81" t="e">
        <f>IF(F6="",(""),("Inicio"))</f>
        <v>#N/A</v>
      </c>
      <c r="G7" s="82" t="e">
        <f>IF(F6="",(""),("Terminación"))</f>
        <v>#N/A</v>
      </c>
      <c r="I7" s="83" t="e">
        <f>IF(I4="",(""),VLOOKUP(I4,Utilización!$A$38:$J$56,5,(FALSE)))</f>
        <v>#N/A</v>
      </c>
      <c r="J7" s="84" t="e">
        <f>IF(I4="",(""),VLOOKUP(I4,Utilización!$A$38:$J$56,6,(FALSE)))</f>
        <v>#N/A</v>
      </c>
      <c r="L7" s="81" t="e">
        <f>IF(L6="",(""),("Inicio"))</f>
        <v>#N/A</v>
      </c>
      <c r="M7" s="82" t="e">
        <f>IF(L6="",(""),("Terminación"))</f>
        <v>#N/A</v>
      </c>
    </row>
    <row r="8" spans="1:16" x14ac:dyDescent="0.25">
      <c r="C8" s="123" t="str">
        <f>IF(Precedencias!F4="Inicial",(Precedencias!A4),IF(Precedencias!F5="Inicial",(Precedencias!A5),IF(Precedencias!F6="Inicial",(Precedencias!A6),IF(Precedencias!F7="Inicial",(Precedencias!A7),IF(Precedencias!F8="Inicial",(Precedencias!A8),(""))))))</f>
        <v/>
      </c>
      <c r="D8" s="124"/>
      <c r="F8" s="81" t="e">
        <f>IF(F6="",(""),(VLOOKUP(F6,Utilización!$A$38:$J$56,3,(FALSE))))</f>
        <v>#N/A</v>
      </c>
      <c r="G8" s="82" t="e">
        <f>IF(F6="",(""),VLOOKUP(F6,Utilización!$A$38:$J$56,4,(FALSE)))</f>
        <v>#N/A</v>
      </c>
      <c r="L8" s="81" t="e">
        <f>IF(L6="",(""),(VLOOKUP(L6,Utilización!$A$38:$J$56,3,(FALSE))))</f>
        <v>#N/A</v>
      </c>
      <c r="M8" s="82" t="e">
        <f>IF(L6="",(""),VLOOKUP(L6,Utilización!$A$38:$J$56,4,(FALSE)))</f>
        <v>#N/A</v>
      </c>
      <c r="O8" s="123"/>
      <c r="P8" s="124"/>
    </row>
    <row r="9" spans="1:16" x14ac:dyDescent="0.25">
      <c r="C9" s="81" t="str">
        <f>IF(C8="",(""),("Inicio"))</f>
        <v/>
      </c>
      <c r="D9" s="82" t="str">
        <f>IF(C8="",(""),("Terminación"))</f>
        <v/>
      </c>
      <c r="F9" s="83" t="e">
        <f>IF(F6="",(""),VLOOKUP(F6,Utilización!$A$38:$J$56,5,(FALSE)))</f>
        <v>#N/A</v>
      </c>
      <c r="G9" s="84" t="e">
        <f>IF(F6="",(""),VLOOKUP(F6,Utilización!$A$38:$J$56,6,(FALSE)))</f>
        <v>#N/A</v>
      </c>
      <c r="I9" s="123" t="e">
        <f>IFERROR(INDEX(A38:J56,_xlfn.AGGREGATE(15,6,ROW(G38:G56)/(TRIM(F6)=G38:G56),2)-MIN(ROW(G38:G56))+1,MATCH(A37,A37:J37,0)),(INDEX(A38:J56,(MATCH((TRIM(F11)),G38:G56,0)),(MATCH(A37,A37:J37,0)))))</f>
        <v>#N/A</v>
      </c>
      <c r="J9" s="124"/>
      <c r="L9" s="83" t="e">
        <f>IF(L6="",(""),VLOOKUP(L6,Utilización!$A$38:$J$56,5,(FALSE)))</f>
        <v>#N/A</v>
      </c>
      <c r="M9" s="84" t="e">
        <f>IF(L6="",(""),VLOOKUP(L6,Utilización!$A$38:$J$56,6,(FALSE)))</f>
        <v>#N/A</v>
      </c>
      <c r="O9" s="81" t="str">
        <f>IF(O8="",(""),("Inicio"))</f>
        <v/>
      </c>
      <c r="P9" s="82" t="str">
        <f>IF(O8="",(""),("Terminación"))</f>
        <v/>
      </c>
    </row>
    <row r="10" spans="1:16" x14ac:dyDescent="0.25">
      <c r="C10" s="81" t="str">
        <f>IF(C8="",(""),(VLOOKUP(C8,Utilización!$A$38:$J$56,3,(FALSE))))</f>
        <v/>
      </c>
      <c r="D10" s="82" t="str">
        <f>IF(C8="",(""),VLOOKUP(C8,Utilización!$A$38:$J$56,4,(FALSE)))</f>
        <v/>
      </c>
      <c r="I10" s="81" t="e">
        <f>IF(I9="",(""),("Inicio"))</f>
        <v>#N/A</v>
      </c>
      <c r="J10" s="82" t="e">
        <f>IF(I9="",(""),("Terminación"))</f>
        <v>#N/A</v>
      </c>
      <c r="O10" s="81" t="str">
        <f>IF(O8="",(""),(VLOOKUP(O8,Utilización!$A$38:$J$56,3,(FALSE))))</f>
        <v/>
      </c>
      <c r="P10" s="82" t="str">
        <f>IF(O8="",(""),VLOOKUP(O8,Utilización!$A$38:$J$56,4,(FALSE)))</f>
        <v/>
      </c>
    </row>
    <row r="11" spans="1:16" x14ac:dyDescent="0.25">
      <c r="C11" s="83"/>
      <c r="D11" s="84" t="str">
        <f>IF(C8="",(""),VLOOKUP(C8,Utilización!$A$38:$J$56,6,(FALSE)))</f>
        <v/>
      </c>
      <c r="F11" s="123" t="e">
        <f>IFERROR(INDEX(A38:J56,_xlfn.AGGREGATE(15,6,ROW(G38:G56)/(TRIM(C8)=G38:G56),2)-MIN(ROW(G38:G56))+1,MATCH(A37,A37:J37,0)),(INDEX(A38:J56,(MATCH((TRIM(C13)),G38:G56,0)),(MATCH(A37,A37:J37,0)))))</f>
        <v>#N/A</v>
      </c>
      <c r="G11" s="124"/>
      <c r="I11" s="81" t="e">
        <f>IF(I9="",(""),(VLOOKUP(I9,Utilización!$A$38:$J$56,3,(FALSE))))</f>
        <v>#N/A</v>
      </c>
      <c r="J11" s="82" t="e">
        <f>IF(I9="",(""),VLOOKUP(I9,Utilización!$A$38:$J$56,4,(FALSE)))</f>
        <v>#N/A</v>
      </c>
      <c r="L11" s="123" t="e">
        <f>IFERROR(INDEX(A38:J56,_xlfn.AGGREGATE(15,6,ROW(G38:G56)/(TRIM(I4)=G38:G56),2)-MIN(ROW(G38:G56))+1,MATCH(A37,A37:J37,0)),(INDEX(A38:J56,(MATCH((TRIM(C9)),G38:G56,0)),(MATCH(A37,A37:J37,0)))))</f>
        <v>#N/A</v>
      </c>
      <c r="M11" s="124"/>
      <c r="O11" s="83" t="str">
        <f>IF(O8="",(""),VLOOKUP(O8,Utilización!$A$38:$J$56,5,(FALSE)))</f>
        <v/>
      </c>
      <c r="P11" s="84" t="str">
        <f>IF(O8="",(""),VLOOKUP(O8,Utilización!$A$38:$J$56,6,(FALSE)))</f>
        <v/>
      </c>
    </row>
    <row r="12" spans="1:16" x14ac:dyDescent="0.25">
      <c r="F12" s="81" t="e">
        <f>IF(F11="",(""),("Inicio"))</f>
        <v>#N/A</v>
      </c>
      <c r="G12" s="82" t="e">
        <f>IF(F11="",(""),("Terminación"))</f>
        <v>#N/A</v>
      </c>
      <c r="I12" s="83" t="e">
        <f>IF(I9="",(""),VLOOKUP(I9,Utilización!$A$38:$J$56,5,(FALSE)))</f>
        <v>#N/A</v>
      </c>
      <c r="J12" s="84" t="e">
        <f>IF(I9="",(""),VLOOKUP(I9,Utilización!$A$38:$J$56,6,(FALSE)))</f>
        <v>#N/A</v>
      </c>
      <c r="L12" s="81" t="e">
        <f>IF(L11="",(""),("Inicio"))</f>
        <v>#N/A</v>
      </c>
      <c r="M12" s="82" t="e">
        <f>IF(L11="",(""),("Terminación"))</f>
        <v>#N/A</v>
      </c>
    </row>
    <row r="13" spans="1:16" x14ac:dyDescent="0.25">
      <c r="C13" s="123" t="str">
        <f>IF(AND(Precedencias!F4="Inicial", Precedencias!A4&lt;&gt;C8), Precedencias!A4,
IF(AND(Precedencias!F5="Inicial", Precedencias!A5&lt;&gt;C8), Precedencias!A5,
IF(AND(Precedencias!F6="Inicial", Precedencias!A6&lt;&gt;C8), Precedencias!A6,
IF(AND(Precedencias!F7="Inicial", Precedencias!A7&lt;&gt;C8), Precedencias!A7,
""))))</f>
        <v/>
      </c>
      <c r="D13" s="124"/>
      <c r="F13" s="81" t="e">
        <f>IF(F11="",(""),(VLOOKUP(F11,Utilización!$A$38:$J$56,3,(FALSE))))</f>
        <v>#N/A</v>
      </c>
      <c r="G13" s="82" t="e">
        <f>IF(F11="",(""),VLOOKUP(F11,Utilización!$A$38:$J$56,4,(FALSE)))</f>
        <v>#N/A</v>
      </c>
      <c r="L13" s="81" t="e">
        <f>IF(L11="",(""),(VLOOKUP(L11,Utilización!$A$38:$J$56,3,(FALSE))))</f>
        <v>#N/A</v>
      </c>
      <c r="M13" s="82" t="e">
        <f>IF(L11="",(""),VLOOKUP(L11,Utilización!$A$38:$J$56,4,(FALSE)))</f>
        <v>#N/A</v>
      </c>
      <c r="O13" s="123"/>
      <c r="P13" s="124"/>
    </row>
    <row r="14" spans="1:16" x14ac:dyDescent="0.25">
      <c r="A14" s="80" t="s">
        <v>91</v>
      </c>
      <c r="C14" s="81" t="str">
        <f>IF(C13="",(""),("Inicio"))</f>
        <v/>
      </c>
      <c r="D14" s="82" t="str">
        <f>IF(C13="",(""),("Terminación"))</f>
        <v/>
      </c>
      <c r="F14" s="83" t="e">
        <f>IF(F11="",(""),VLOOKUP(F11,Utilización!$A$38:$J$56,5,(FALSE)))</f>
        <v>#N/A</v>
      </c>
      <c r="G14" s="84" t="e">
        <f>IF(F11="",(""),VLOOKUP(F11,Utilización!$A$38:$J$56,6,(FALSE)))</f>
        <v>#N/A</v>
      </c>
      <c r="I14" s="123" t="e">
        <f>IFERROR(IF(OR(INDEX(A38:J56,_xlfn.AGGREGATE(15,6,ROW(G38:G56)/(TRIM(F6)=G38:G56),3)-MIN(ROW(G38:G56))+1,MATCH(A37,A37:J37,0))=I4,INDEX(A38:J56,_xlfn.AGGREGATE(15,6,ROW(G38:G56)/(TRIM(F6)=G38:G56),3)-MIN(ROW(G38:G56))+1,MATCH(A37,A37:J37,0))=I9),"",INDEX(A38:J56,_xlfn.AGGREGATE(15,6,ROW(G38:G56)/(TRIM(F6)=G38:G56),3)-MIN(ROW(G38:G56))+1,MATCH(A37,A37:J37,0))),IFERROR(IF(OR(INDEX(A38:J56,MATCH(TRIM(F11),G38:G56,0),MATCH(A37,A37:J37,0))=I4,INDEX(A38:J56,MATCH(TRIM(F11),G38:G56,0),MATCH(A37,A37:J37,0))=I9),"",INDEX(A38:J56,MATCH(TRIM(F11),G38:G56,0),MATCH(A37,A37:J37,0))),INDEX(A38:J56,MATCH(TRIM(F16),G38:G56,0),MATCH(A37,A37:J37,0))))</f>
        <v>#N/A</v>
      </c>
      <c r="J14" s="124"/>
      <c r="L14" s="83" t="e">
        <f>IF(L11="",(""),VLOOKUP(L11,Utilización!$A$38:$J$56,5,(FALSE)))</f>
        <v>#N/A</v>
      </c>
      <c r="M14" s="84" t="e">
        <f>IF(L11="",(""),VLOOKUP(L11,Utilización!$A$38:$J$56,6,(FALSE)))</f>
        <v>#N/A</v>
      </c>
      <c r="O14" s="81" t="str">
        <f>IF(O13="",(""),("Inicio"))</f>
        <v/>
      </c>
      <c r="P14" s="82" t="str">
        <f>IF(O13="",(""),("Terminación"))</f>
        <v/>
      </c>
    </row>
    <row r="15" spans="1:16" x14ac:dyDescent="0.25">
      <c r="A15" s="68">
        <f>Utilización!J9</f>
        <v>45292</v>
      </c>
      <c r="C15" s="81" t="str">
        <f>IF(C13="",(""),(VLOOKUP(C13,Utilización!$A$38:$J$56,3,(FALSE))))</f>
        <v/>
      </c>
      <c r="D15" s="82" t="str">
        <f>IF(C13="",(""),VLOOKUP(C13,Utilización!$A$38:$J$56,4,(FALSE)))</f>
        <v/>
      </c>
      <c r="I15" s="81" t="e">
        <f>IF(I14="",(""),("Inicio"))</f>
        <v>#N/A</v>
      </c>
      <c r="J15" s="82" t="e">
        <f>IF(I14="",(""),("Terminación"))</f>
        <v>#N/A</v>
      </c>
      <c r="O15" s="81" t="str">
        <f>IF(O13="",(""),(VLOOKUP(O13,Utilización!$A$38:$J$56,3,(FALSE))))</f>
        <v/>
      </c>
      <c r="P15" s="82" t="str">
        <f>IF(O13="",(""),VLOOKUP(O13,Utilización!$A$38:$J$56,4,(FALSE)))</f>
        <v/>
      </c>
    </row>
    <row r="16" spans="1:16" x14ac:dyDescent="0.25">
      <c r="C16" s="83" t="str">
        <f>IF(C13="",(""),VLOOKUP(C13,Utilización!$A$38:$J$56,5,(FALSE)))</f>
        <v/>
      </c>
      <c r="D16" s="84" t="str">
        <f>IF(C13="",(""),VLOOKUP(C13,Utilización!$A$38:$J$56,6,(FALSE)))</f>
        <v/>
      </c>
      <c r="F16" s="123" t="e">
        <f>IFERROR(INDEX(A38:J56,_xlfn.AGGREGATE(15,6,ROW(G38:G56)/(TRIM(C8)=G38:G56),3)-MIN(ROW(G38:G56))+1,MATCH(A37,A37:J37,0)),IFERROR(INDEX(A38:J56,MATCH(TRIM(C13),G38:G56,0),MATCH(A37,A37:J37,0)),INDEX(A38:J56,MATCH(TRIM(C18),G38:G56,0),MATCH(A37,A37:J37,0))))</f>
        <v>#N/A</v>
      </c>
      <c r="G16" s="124"/>
      <c r="I16" s="81" t="e">
        <f>IF(I14="",(""),(VLOOKUP(I14,Utilización!$A$38:$J$56,3,(FALSE))))</f>
        <v>#N/A</v>
      </c>
      <c r="J16" s="82" t="e">
        <f>IF(I14="",(""),VLOOKUP(I14,Utilización!$A$38:$J$56,4,(FALSE)))</f>
        <v>#N/A</v>
      </c>
      <c r="L16" s="123" t="e">
        <f>IFERROR(INDEX(A38:J56,_xlfn.AGGREGATE(15,6,ROW(G38:G56)/(TRIM(I4)=G38:G56),3)-MIN(ROW(G38:G56))+1,MATCH(A37,A37:J37,0)),IFERROR(INDEX(A38:J56,MATCH(TRIM(I9),G38:G56,0),MATCH(A37,A37:J37,0)),INDEX(A38:J56,MATCH(TRIM(I14),G38:G56,0),MATCH(A37,A37:J37,0))))</f>
        <v>#N/A</v>
      </c>
      <c r="M16" s="124"/>
      <c r="O16" s="83" t="str">
        <f>IF(O13="",(""),VLOOKUP(O13,Utilización!$A$38:$J$56,5,(FALSE)))</f>
        <v/>
      </c>
      <c r="P16" s="84" t="str">
        <f>IF(O13="",(""),VLOOKUP(O13,Utilización!$A$38:$J$56,6,(FALSE)))</f>
        <v/>
      </c>
    </row>
    <row r="17" spans="3:16" x14ac:dyDescent="0.25">
      <c r="F17" s="81" t="e">
        <f>IF(F16="",(""),("Inicio"))</f>
        <v>#N/A</v>
      </c>
      <c r="G17" s="82" t="e">
        <f>IF(F16="",(""),("Terminación"))</f>
        <v>#N/A</v>
      </c>
      <c r="I17" s="83" t="e">
        <f>IF(I14="",(""),VLOOKUP(I14,Utilización!$A$38:$J$56,5,(FALSE)))</f>
        <v>#N/A</v>
      </c>
      <c r="J17" s="84" t="e">
        <f>IF(I14="",(""),VLOOKUP(I14,Utilización!$A$38:$J$56,6,(FALSE)))</f>
        <v>#N/A</v>
      </c>
      <c r="L17" s="81" t="e">
        <f>IF(L16="",(""),("Inicio"))</f>
        <v>#N/A</v>
      </c>
      <c r="M17" s="82" t="e">
        <f>IF(L16="",(""),("Terminación"))</f>
        <v>#N/A</v>
      </c>
    </row>
    <row r="18" spans="3:16" x14ac:dyDescent="0.25">
      <c r="C18" s="123" t="str">
        <f>IF(AND(Precedencias!F4="Inicial", Precedencias!A4&lt;&gt;C8, Precedencias!A4&lt;&gt;C13), Precedencias!A4,
IF(AND(Precedencias!F5="Inicial", Precedencias!A5&lt;&gt;C8, Precedencias!A5&lt;&gt;C13), Precedencias!A5,
IF(AND(Precedencias!F6="Inicial", Precedencias!A6&lt;&gt;C8, Precedencias!A6&lt;&gt;C13), Precedencias!A6,
IF(AND(Precedencias!F7="Inicial", Precedencias!A7&lt;&gt;C8, Precedencias!A7&lt;&gt;C13), Precedencias!A7,
""))))</f>
        <v/>
      </c>
      <c r="D18" s="124"/>
      <c r="F18" s="81" t="e">
        <f>IF(F16="",(""),(VLOOKUP(F16,Utilización!$A$38:$J$56,3,(FALSE))))</f>
        <v>#N/A</v>
      </c>
      <c r="G18" s="82" t="e">
        <f>IF(F16="",(""),VLOOKUP(F16,Utilización!$A$38:$J$56,4,(FALSE)))</f>
        <v>#N/A</v>
      </c>
      <c r="L18" s="81" t="e">
        <f>IF(L16="",(""),(VLOOKUP(L16,Utilización!$A$38:$J$56,3,(FALSE))))</f>
        <v>#N/A</v>
      </c>
      <c r="M18" s="82" t="e">
        <f>IF(L16="",(""),VLOOKUP(L16,Utilización!$A$38:$J$56,4,(FALSE)))</f>
        <v>#N/A</v>
      </c>
      <c r="O18" s="123"/>
      <c r="P18" s="124"/>
    </row>
    <row r="19" spans="3:16" x14ac:dyDescent="0.25">
      <c r="C19" s="81" t="str">
        <f>IF(C18="",(""),("Inicio"))</f>
        <v/>
      </c>
      <c r="D19" s="82" t="str">
        <f>IF(C18="",(""),("Terminación"))</f>
        <v/>
      </c>
      <c r="F19" s="83" t="e">
        <f>IF(F16="",(""),VLOOKUP(F16,Utilización!$A$38:$J$56,5,(FALSE)))</f>
        <v>#N/A</v>
      </c>
      <c r="G19" s="84" t="e">
        <f>IF(F16="",(""),VLOOKUP(F16,Utilización!$A$38:$J$56,6,(FALSE)))</f>
        <v>#N/A</v>
      </c>
      <c r="I19" s="123" t="e">
        <f>IFERROR(IF(OR(INDEX(A38:J56,_xlfn.AGGREGATE(15,6,ROW(G38:G56)/(TRIM(F6)=G38:G56),3)-MIN(ROW(G38:G56))+1,MATCH(A37,A37:J37,0))=I4,INDEX(A38:J56,_xlfn.AGGREGATE(15,6,ROW(G38:G56)/(TRIM(F6)=G38:G56),3)-MIN(ROW(G38:G56))+1,MATCH(A37,A37:J37,0))=I9,INDEX(A38:J56,_xlfn.AGGREGATE(15,6,ROW(G38:G56)/(TRIM(F6)=G38:G56),3)-MIN(ROW(G38:G56))+1,MATCH(A37,A37:J37,0))=I14),"",INDEX(A38:J56,_xlfn.AGGREGATE(15,6,ROW(G38:G56)/(TRIM(F6)=G38:G56),3)-MIN(ROW(G38:G56))+1,MATCH(A37,A37:J37,0))),IFERROR(IF(OR(INDEX(A38:J56,MATCH(TRIM(F11),G38:G56,0),MATCH(A37,A37:J37,0))=I4,INDEX(A38:J56,MATCH(TRIM(F11),G38:G56,0),MATCH(A37,A37:J37,0))=I9,INDEX(A38:J56,MATCH(TRIM(F11),G38:G56,0),MATCH(A37,A37:J37,0))=I14),"",INDEX(A38:J56,MATCH(TRIM(F11),G38:G56,0),MATCH(A37,A37:J37,0))),INDEX(A38:J56,MATCH(TRIM(F16),G38:G56,0),MATCH(A37,A37:J37,0))))</f>
        <v>#N/A</v>
      </c>
      <c r="J19" s="124"/>
      <c r="L19" s="83" t="e">
        <f>IF(L16="",(""),VLOOKUP(L16,Utilización!$A$38:$J$56,5,(FALSE)))</f>
        <v>#N/A</v>
      </c>
      <c r="M19" s="84" t="e">
        <f>IF(L16="",(""),VLOOKUP(L16,Utilización!$A$38:$J$56,6,(FALSE)))</f>
        <v>#N/A</v>
      </c>
      <c r="O19" s="81" t="str">
        <f>IF(O18="",(""),("Inicio"))</f>
        <v/>
      </c>
      <c r="P19" s="82" t="str">
        <f>IF(O18="",(""),("Terminación"))</f>
        <v/>
      </c>
    </row>
    <row r="20" spans="3:16" x14ac:dyDescent="0.25">
      <c r="C20" s="81" t="str">
        <f>IF(C18="",(""),(VLOOKUP(C18,Utilización!$A$38:$J$56,3,(FALSE))))</f>
        <v/>
      </c>
      <c r="D20" s="82" t="str">
        <f>IF(C18="",(""),VLOOKUP(C18,Utilización!$A$38:$J$56,4,(FALSE)))</f>
        <v/>
      </c>
      <c r="I20" s="81" t="e">
        <f>IF(I19="",(""),("Inicio"))</f>
        <v>#N/A</v>
      </c>
      <c r="J20" s="82" t="e">
        <f>IF(I19="",(""),("Terminación"))</f>
        <v>#N/A</v>
      </c>
      <c r="O20" s="81" t="str">
        <f>IF(O18="",(""),(VLOOKUP(O18,Utilización!$A$38:$J$56,3,(FALSE))))</f>
        <v/>
      </c>
      <c r="P20" s="82" t="str">
        <f>IF(O18="",(""),VLOOKUP(O18,Utilización!$A$38:$J$56,4,(FALSE)))</f>
        <v/>
      </c>
    </row>
    <row r="21" spans="3:16" x14ac:dyDescent="0.25">
      <c r="C21" s="83" t="str">
        <f>IF(C18="",(""),VLOOKUP(C18,Utilización!$A$38:$J$56,5,(FALSE)))</f>
        <v/>
      </c>
      <c r="D21" s="84" t="str">
        <f>IF(C18="",(""),VLOOKUP(C18,Utilización!$A$38:$J$56,6,(FALSE)))</f>
        <v/>
      </c>
      <c r="F21" s="123"/>
      <c r="G21" s="124"/>
      <c r="I21" s="81" t="e">
        <f>IF(I19="",(""),(VLOOKUP(I19,Utilización!$A$38:$J$56,3,(FALSE))))</f>
        <v>#N/A</v>
      </c>
      <c r="J21" s="82" t="e">
        <f>IF(I19="",(""),VLOOKUP(I19,Utilización!$A$38:$J$56,4,(FALSE)))</f>
        <v>#N/A</v>
      </c>
      <c r="L21" s="123" t="str">
        <f>IFERROR(IF(INDEX(A38:J56,_xlfn.AGGREGATE(15,6,ROW(G38:G56)/(TRIM(I)=G38:G56)/(ROW(G38:G56)&lt;&gt;6)/(ROW(G38:G56)&lt;&gt;11)/(ROW(G38:G56)&lt;&gt;16),3)-MIN(ROW(G38:G56))+1,MATCH(A37,A37:J37,0))=L6,"",IF(INDEX(A38:J56,_xlfn.AGGREGATE(15,6,ROW(G38:G56)/(TRIM(I4)=G38:G56)/(ROW(G38:G56)&lt;&gt;6)/(ROW(G38:G56)&lt;&gt;11)/(ROW(G38:G56)&lt;&gt;16),3)-MIN(ROW(G38:G56))+1,MATCH(A37,A37:J37,0))=L11,"",IF(INDEX(A38:J56,_xlfn.AGGREGATE(15,6,ROW(G38:G56)/(TRIM(I4)=G38:G56)/(ROW(G38:G56)&lt;&gt;6)/(ROW(G38:G56)&lt;&gt;11)/(ROW(G38:G56)&lt;&gt;16),3)-MIN(ROW(G38:G56))+1,MATCH(A37,A37:J37,0))=L16,"",INDEX(A38:J56,_xlfn.AGGREGATE(15,6,ROW(G38:G56)/(TRIM(I4)=G38:G56)/(ROW(G38:G56)&lt;&gt;6)/(ROW(G38:G56)&lt;&gt;11)/(ROW(G38:G56)&lt;&gt;16),3)-MIN(ROW(G38:G56))+1,MATCH(A37,A37:J37,0))))),IFERROR(INDEX(A38:J56,_xlfn.AGGREGATE(15,6,ROW(G38:G56)/(TRIM(I14)=G38:G56)/(ROW(G38:G56)&lt;&gt;6)/(ROW(G38:G56)&lt;&gt;11)/(ROW(G38:G56)&lt;&gt;16),1)-MIN(ROW(G38:G56))+1,MATCH(A37,A37:J37,0)),""))</f>
        <v/>
      </c>
      <c r="M21" s="124"/>
      <c r="O21" s="83" t="str">
        <f>IF(O18="",(""),VLOOKUP(O18,Utilización!$A$38:$J$56,5,(FALSE)))</f>
        <v/>
      </c>
      <c r="P21" s="84" t="str">
        <f>IF(O18="",(""),VLOOKUP(O18,Utilización!$A$38:$J$56,6,(FALSE)))</f>
        <v/>
      </c>
    </row>
    <row r="22" spans="3:16" x14ac:dyDescent="0.25">
      <c r="F22" s="81" t="str">
        <f>IF(F21="",(""),("Inicio"))</f>
        <v/>
      </c>
      <c r="G22" s="82" t="str">
        <f>IF(F21="",(""),("Terminación"))</f>
        <v/>
      </c>
      <c r="I22" s="83" t="e">
        <f>IF(I19="",(""),VLOOKUP(I19,Utilización!$A$38:$J$56,5,(FALSE)))</f>
        <v>#N/A</v>
      </c>
      <c r="J22" s="84" t="e">
        <f>IF(I19="",(""),VLOOKUP(I19,Utilización!$A$38:$J$56,6,(FALSE)))</f>
        <v>#N/A</v>
      </c>
      <c r="L22" s="81" t="str">
        <f>IF(L21="",(""),("Inicio"))</f>
        <v/>
      </c>
      <c r="M22" s="82" t="str">
        <f>IF(L21="",(""),("Terminación"))</f>
        <v/>
      </c>
    </row>
    <row r="23" spans="3:16" x14ac:dyDescent="0.25">
      <c r="F23" s="81" t="str">
        <f>IF(F21="",(""),(VLOOKUP(F21,Utilización!$A$38:$J$56,3,(FALSE))))</f>
        <v/>
      </c>
      <c r="G23" s="82" t="str">
        <f>IF(F21="",(""),VLOOKUP(F21,Utilización!$A$38:$J$56,4,(FALSE)))</f>
        <v/>
      </c>
      <c r="L23" s="81" t="str">
        <f>IF(L21="",(""),(VLOOKUP(L21,Utilización!$A$38:$J$56,3,(FALSE))))</f>
        <v/>
      </c>
      <c r="M23" s="82" t="str">
        <f>IF(L21="",(""),VLOOKUP(L21,Utilización!$A$38:$J$56,4,(FALSE)))</f>
        <v/>
      </c>
      <c r="O23" s="123"/>
      <c r="P23" s="124"/>
    </row>
    <row r="24" spans="3:16" x14ac:dyDescent="0.25">
      <c r="F24" s="83" t="str">
        <f>IF(F21="",(""),VLOOKUP(F21,Utilización!$A$38:$J$56,5,(FALSE)))</f>
        <v/>
      </c>
      <c r="G24" s="84" t="str">
        <f>IF(F21="",(""),VLOOKUP(F21,Utilización!$A$38:$J$56,6,(FALSE)))</f>
        <v/>
      </c>
      <c r="I24" s="123" t="e">
        <f>IFERROR(IF(OR(INDEX(A38:J56,_xlfn.AGGREGATE(15,6,ROW(G38:G56)/(TRIM(F6)=G38:G56),3)-MIN(ROW(G38:G56))+1,MATCH(A37,A37:J37,0))=I4,INDEX(A38:J56,_xlfn.AGGREGATE(15,6,ROW(G38:G56)/(TRIM(F6)=G38:G56),3)-MIN(ROW(G38:G56))+1,MATCH(A37,A37:J37,0))=I9,INDEX(A38:J56,_xlfn.AGGREGATE(15,6,ROW(G38:G56)/(TRIM(F6)=G38:G56),3)-MIN(ROW(G38:G56))+1,MATCH(A37,A37:J37,0))=I14,INDEX(A38:J56,_xlfn.AGGREGATE(15,6,ROW(G38:G56)/(TRIM(F6)=G38:G56),3)-MIN(ROW(G38:G56))+1,MATCH(A37,A37:J37,0))=I19,INDEX(A38:J56,_xlfn.AGGREGATE(15,6,ROW(G38:G56)/(TRIM(F6)=G38:G56),3)-MIN(ROW(G38:G56))+1,MATCH(A37,A37:J37,0))=F21,INDEX(A38:J56,_xlfn.AGGREGATE(15,6,ROW(G38:G56)/(TRIM(F6)=G38:G56),3)-MIN(ROW(G38:G56))+1,MATCH(A37,A37:J37,0))=F26),"",INDEX(A38:J56,_xlfn.AGGREGATE(15,6,ROW(G38:G56)/(TRIM(F6)=G38:G56),3)-MIN(ROW(G38:G56))+1,MATCH(A37,A37:J37,0))),IFERROR(IF(OR(INDEX(A38:J56,MATCH(TRIM(F11),G38:G56,0),MATCH(A37,A37:J37,0))=I4,INDEX(A38:J56,MATCH(TRIM(F11),G38:G56,0),MATCH(A37,A37:J37,0))=I9,INDEX(A38:J56,MATCH(TRIM(F11),G38:G56,0),MATCH(A37,A37:J37,0))=I14,INDEX(A38:J56,MATCH(TRIM(F11),G38:G56,0),MATCH(A37,A37:J37,0))=I19,INDEX(A38:J56,MATCH(TRIM(F11),G38:G56,0),MATCH(A37,A37:J37,0))=F21,INDEX(A38:J56,MATCH(TRIM(F11),G38:G56,0),MATCH(A37,A37:J37,0))=F26),"",INDEX(A38:J56,MATCH(TRIM(F11),G38:G56,0),MATCH(A37,A37:J37,0))),INDEX(A38:J56,MATCH(TRIM(F16),G38:G56,0),MATCH(A37,A37:J37,0))))</f>
        <v>#N/A</v>
      </c>
      <c r="J24" s="124"/>
      <c r="L24" s="83" t="str">
        <f>IF(L21="",(""),VLOOKUP(L21,Utilización!$A$38:$J$56,5,(FALSE)))</f>
        <v/>
      </c>
      <c r="M24" s="84" t="str">
        <f>IF(L21="",(""),VLOOKUP(L21,Utilización!$A$38:$J$56,6,(FALSE)))</f>
        <v/>
      </c>
      <c r="O24" s="81" t="str">
        <f>IF(O23="",(""),("Inicio"))</f>
        <v/>
      </c>
      <c r="P24" s="82" t="str">
        <f>IF(O23="",(""),("Terminación"))</f>
        <v/>
      </c>
    </row>
    <row r="25" spans="3:16" x14ac:dyDescent="0.25">
      <c r="I25" s="81" t="e">
        <f>IF(I24="",(""),("Inicio"))</f>
        <v>#N/A</v>
      </c>
      <c r="J25" s="82" t="e">
        <f>IF(I24="",(""),("Terminación"))</f>
        <v>#N/A</v>
      </c>
      <c r="O25" s="81" t="str">
        <f>IF(O23="",(""),(VLOOKUP(O23,Utilización!$A$38:$J$56,3,(FALSE))))</f>
        <v/>
      </c>
      <c r="P25" s="82" t="str">
        <f>IF(O23="",(""),VLOOKUP(O23,Utilización!$A$38:$J$56,4,(FALSE)))</f>
        <v/>
      </c>
    </row>
    <row r="26" spans="3:16" x14ac:dyDescent="0.25">
      <c r="F26" s="123" t="str">
        <f>IFERROR(IF(INDEX(A38:J56,_xlfn.AGGREGATE(15,6,ROW(G38:G56)/(TRIM(C8)=G38:G56)/(ROW(G38:G56)&lt;&gt;6)/(ROW(G38:G56)&lt;&gt;11)/(ROW(G38:G56)&lt;&gt;16),3)-MIN(ROW(G38:G56))+1,MATCH(A37,A37:J37,0))=F6,"",IF(INDEX(A38:J56,_xlfn.AGGREGATE(15,6,ROW(G38:G56)/(TRIM(C8)=G38:G56)/(ROW(G38:G56)&lt;&gt;6)/(ROW(G38:G56)&lt;&gt;11)/(ROW(G38:G56)&lt;&gt;16),3)-MIN(ROW(G38:G56))+1,MATCH(A37,A37:J37,0))=F11,"",IF(INDEX(A38:J56,_xlfn.AGGREGATE(15,6,ROW(G38:G56)/(TRIM(C8)=G38:G56)/(ROW(G38:G56)&lt;&gt;6)/(ROW(G38:G56)&lt;&gt;11)/(ROW(G38:G56)&lt;&gt;16),3)-MIN(ROW(G38:G56))+1,MATCH(A37,A37:J37,0))=F16,"",INDEX(A38:J56,_xlfn.AGGREGATE(15,6,ROW(G38:G56)/(TRIM(C8)=G38:G56)/(ROW(G38:G56)&lt;&gt;6)/(ROW(G38:G56)&lt;&gt;11)/(ROW(G38:G56)&lt;&gt;16),3)-MIN(ROW(G38:G56))+1,MATCH(A37,A37:J37,0))))),IFERROR(INDEX(A38:J56,_xlfn.AGGREGATE(15,6,ROW(G38:G56)/(TRIM(C18)=G38:G56)/(ROW(G38:G56)&lt;&gt;6)/(ROW(G38:G56)&lt;&gt;11)/(ROW(G38:G56)&lt;&gt;16),1)-MIN(ROW(G38:G56))+1,MATCH(A37,A37:J37,0)),""))</f>
        <v/>
      </c>
      <c r="G26" s="124"/>
      <c r="I26" s="81" t="e">
        <f>IF(I24="",(""),(VLOOKUP(I24,Utilización!$A$38:$J$56,3,(FALSE))))</f>
        <v>#N/A</v>
      </c>
      <c r="J26" s="82" t="e">
        <f>IF(I24="",(""),VLOOKUP(I24,Utilización!$A$38:$J$56,4,(FALSE)))</f>
        <v>#N/A</v>
      </c>
      <c r="L26" s="123"/>
      <c r="M26" s="124"/>
      <c r="O26" s="83" t="str">
        <f>IF(O23="",(""),VLOOKUP(O23,Utilización!$A$38:$J$56,5,(FALSE)))</f>
        <v/>
      </c>
      <c r="P26" s="84" t="str">
        <f>IF(O23="",(""),VLOOKUP(O23,Utilización!$A$38:$J$56,6,(FALSE)))</f>
        <v/>
      </c>
    </row>
    <row r="27" spans="3:16" x14ac:dyDescent="0.25">
      <c r="F27" s="81" t="str">
        <f>IF(F26="",(""),("Inicio"))</f>
        <v/>
      </c>
      <c r="G27" s="82" t="str">
        <f>IF(F26="",(""),("Terminación"))</f>
        <v/>
      </c>
      <c r="I27" s="83" t="e">
        <f>IF(I24="",(""),VLOOKUP(I24,Utilización!$A$38:$J$56,5,(FALSE)))</f>
        <v>#N/A</v>
      </c>
      <c r="J27" s="84" t="e">
        <f>IF(I24="",(""),VLOOKUP(I24,Utilización!$A$38:$J$56,6,(FALSE)))</f>
        <v>#N/A</v>
      </c>
      <c r="L27" s="81" t="str">
        <f>IF(L26="",(""),("Inicio"))</f>
        <v/>
      </c>
      <c r="M27" s="82" t="str">
        <f>IF(L26="",(""),("Terminación"))</f>
        <v/>
      </c>
    </row>
    <row r="28" spans="3:16" x14ac:dyDescent="0.25">
      <c r="F28" s="81" t="str">
        <f>IF(F26="",(""),(VLOOKUP(F26,Utilización!$A$38:$J$56,3,(FALSE))))</f>
        <v/>
      </c>
      <c r="G28" s="82" t="str">
        <f>IF(F26="",(""),VLOOKUP(F26,Utilización!$A$38:$J$56,4,(FALSE)))</f>
        <v/>
      </c>
      <c r="L28" s="81" t="str">
        <f>IF(L26="",(""),(VLOOKUP(L26,Utilización!$A$38:$J$56,3,(FALSE))))</f>
        <v/>
      </c>
      <c r="M28" s="82" t="str">
        <f>IF(L26="",(""),VLOOKUP(L26,Utilización!$A$38:$J$56,4,(FALSE)))</f>
        <v/>
      </c>
      <c r="O28" s="123"/>
      <c r="P28" s="124"/>
    </row>
    <row r="29" spans="3:16" x14ac:dyDescent="0.25">
      <c r="F29" s="83" t="str">
        <f>IF(F26="",(""),VLOOKUP(F26,Utilización!$A$38:$J$56,5,(FALSE)))</f>
        <v/>
      </c>
      <c r="G29" s="84" t="str">
        <f>IF(F26="",(""),VLOOKUP(F26,Utilización!$A$38:$J$56,6,(FALSE)))</f>
        <v/>
      </c>
      <c r="I29" s="123" t="e">
        <f>IFERROR(IF(OR(INDEX(A38:J56,_xlfn.AGGREGATE(15,6,ROW(G38:G56)/(TRIM(F6)=G38:G56),3)-MIN(ROW(G38:G56))+1,MATCH(A37,A37:J37,0))=I4,INDEX(A38:J56,_xlfn.AGGREGATE(15,6,ROW(G38:G56)/(TRIM(F6)=G38:G56),3)-MIN(ROW(G38:G56))+1,MATCH(A37,A37:J37,0))=I9,INDEX(A38:J56,_xlfn.AGGREGATE(15,6,ROW(G38:G56)/(TRIM(F6)=G38:G56),3)-MIN(ROW(G38:G56))+1,MATCH(A37,A37:J37,0))=I14,INDEX(A38:J56,_xlfn.AGGREGATE(15,6,ROW(G38:G56)/(TRIM(F6)=G38:G56),3)-MIN(ROW(G38:G56))+1,MATCH(A37,A37:J37,0))=I19,INDEX(A38:J56,_xlfn.AGGREGATE(15,6,ROW(G38:G56)/(TRIM(F6)=G38:G56),3)-MIN(ROW(G38:G56))+1,MATCH(A37,A37:J37,0))=F21,INDEX(A38:J56,_xlfn.AGGREGATE(15,6,ROW(G38:G56)/(TRIM(F6)=G38:G56),3)-MIN(ROW(G38:G56))+1,MATCH(A37,A37:J37,0))=F26,INDEX(A38:J56,_xlfn.AGGREGATE(15,6,ROW(G38:G56)/(TRIM(F6)=G38:G56),3)-MIN(ROW(G38:G56))+1,MATCH(A37,A37:J37,0))=I24),"",INDEX(A38:J56,_xlfn.AGGREGATE(15,6,ROW(G38:G56)/(TRIM(F6)=G38:G56),3)-MIN(ROW(G38:G56))+1,MATCH(A37,A37:J37,0))),IFERROR(IF(OR(INDEX(A38:J56,MATCH(TRIM(F11),G38:G56,0),MATCH(A37,A37:J37,0))=I4,INDEX(A38:J56,MATCH(TRIM(F11),G38:G56,0),MATCH(A37,A37:J37,0))=I9,INDEX(A38:J56,MATCH(TRIM(F11),G38:G56,0),MATCH(A37,A37:J37,0))=I14,INDEX(A38:J56,MATCH(TRIM(F11),G38:G56,0),MATCH(A37,A37:J37,0))=I19,INDEX(A38:J56,MATCH(TRIM(F11),G38:G56,0),MATCH(A37,A37:J37,0))=F21,INDEX(A38:J56,MATCH(TRIM(F11),G38:G56,0),MATCH(A37,A37:J37,0))=F26,INDEX(A38:J56,MATCH(TRIM(F11),G38:G56,0),MATCH(A37,A37:J37,0))=I24),"",INDEX(A38:J56,MATCH(TRIM(F11),G38:G56,0),MATCH(A37,A37:J37,0))),INDEX(A38:J56,MATCH(TRIM(F16),G38:G56,0),MATCH(A37,A37:J37,0))))</f>
        <v>#N/A</v>
      </c>
      <c r="J29" s="124"/>
      <c r="L29" s="83" t="str">
        <f>IF(L26="",(""),VLOOKUP(L26,Utilización!$A$38:$J$56,5,(FALSE)))</f>
        <v/>
      </c>
      <c r="M29" s="84" t="str">
        <f>IF(L26="",(""),VLOOKUP(L26,Utilización!$A$38:$J$56,6,(FALSE)))</f>
        <v/>
      </c>
      <c r="O29" s="81" t="str">
        <f>IF(O28="",(""),("Inicio"))</f>
        <v/>
      </c>
      <c r="P29" s="82" t="str">
        <f>IF(O28="",(""),("Terminación"))</f>
        <v/>
      </c>
    </row>
    <row r="30" spans="3:16" x14ac:dyDescent="0.25">
      <c r="I30" s="81" t="e">
        <f>IF(I29="",(""),("Inicio"))</f>
        <v>#N/A</v>
      </c>
      <c r="J30" s="82" t="e">
        <f>IF(I29="",(""),("Terminación"))</f>
        <v>#N/A</v>
      </c>
      <c r="O30" s="81" t="str">
        <f>IF(O28="",(""),(VLOOKUP(O28,Utilización!$A$38:$J$56,3,(FALSE))))</f>
        <v/>
      </c>
      <c r="P30" s="82" t="str">
        <f>IF(O28="",(""),VLOOKUP(O28,Utilización!$A$38:$J$56,4,(FALSE)))</f>
        <v/>
      </c>
    </row>
    <row r="31" spans="3:16" x14ac:dyDescent="0.25">
      <c r="I31" s="81" t="e">
        <f>IF(I29="",(""),(VLOOKUP(I29,Utilización!$A$38:$J$56,3,(FALSE))))</f>
        <v>#N/A</v>
      </c>
      <c r="J31" s="82" t="e">
        <f>IF(I29="",(""),VLOOKUP(I29,Utilización!$A$38:$J$56,4,(FALSE)))</f>
        <v>#N/A</v>
      </c>
      <c r="L31" s="123"/>
      <c r="M31" s="124"/>
      <c r="O31" s="83" t="str">
        <f>IF(O28="",(""),VLOOKUP(O28,Utilización!$A$38:$J$56,5,(FALSE)))</f>
        <v/>
      </c>
      <c r="P31" s="84" t="str">
        <f>IF(O28="",(""),VLOOKUP(O28,Utilización!$A$38:$J$56,6,(FALSE)))</f>
        <v/>
      </c>
    </row>
    <row r="32" spans="3:16" x14ac:dyDescent="0.25">
      <c r="I32" s="83" t="e">
        <f>IF(I29="",(""),VLOOKUP(I29,Utilización!$A$38:$J$56,5,(FALSE)))</f>
        <v>#N/A</v>
      </c>
      <c r="J32" s="84" t="e">
        <f>IF(I29="",(""),VLOOKUP(I29,Utilización!$A$38:$J$56,6,(FALSE)))</f>
        <v>#N/A</v>
      </c>
      <c r="L32" s="81" t="str">
        <f>IF(L31="",(""),("Inicio"))</f>
        <v/>
      </c>
      <c r="M32" s="82" t="str">
        <f>IF(L31="",(""),("Terminación"))</f>
        <v/>
      </c>
    </row>
    <row r="33" spans="1:21" x14ac:dyDescent="0.25">
      <c r="L33" s="81" t="str">
        <f>IF(L31="",(""),(VLOOKUP(L31,Utilización!$A$38:$J$56,3,(FALSE))))</f>
        <v/>
      </c>
      <c r="M33" s="82" t="str">
        <f>IF(L31="",(""),VLOOKUP(L31,Utilización!$A$38:$J$56,4,(FALSE)))</f>
        <v/>
      </c>
      <c r="O33" s="123"/>
      <c r="P33" s="124"/>
    </row>
    <row r="34" spans="1:21" x14ac:dyDescent="0.25">
      <c r="L34" s="83" t="str">
        <f>IF(L31="",(""),VLOOKUP(L31,Utilización!$A$38:$J$56,5,(FALSE)))</f>
        <v/>
      </c>
      <c r="M34" s="84" t="str">
        <f>IF(L31="",(""),VLOOKUP(L31,Utilización!$A$38:$J$56,6,(FALSE)))</f>
        <v/>
      </c>
      <c r="O34" s="81" t="str">
        <f>IF(O33="",(""),("Inicio"))</f>
        <v/>
      </c>
      <c r="P34" s="82" t="str">
        <f>IF(O33="",(""),("Terminación"))</f>
        <v/>
      </c>
    </row>
    <row r="35" spans="1:21" x14ac:dyDescent="0.25">
      <c r="O35" s="81" t="str">
        <f>IF(O33="",(""),(VLOOKUP(O33,Utilización!$A$38:$J$56,3,(FALSE))))</f>
        <v/>
      </c>
      <c r="P35" s="82" t="str">
        <f>IF(O33="",(""),VLOOKUP(O33,Utilización!$A$38:$J$56,4,(FALSE)))</f>
        <v/>
      </c>
    </row>
    <row r="36" spans="1:21" ht="15.75" thickBot="1" x14ac:dyDescent="0.3">
      <c r="O36" s="83" t="str">
        <f>IF(O33="",(""),VLOOKUP(O33,Utilización!$A$38:$J$56,5,(FALSE)))</f>
        <v/>
      </c>
      <c r="P36" s="84" t="str">
        <f>IF(O33="",(""),VLOOKUP(O33,Utilización!$A$38:$J$56,6,(FALSE)))</f>
        <v/>
      </c>
    </row>
    <row r="37" spans="1:21" ht="45" x14ac:dyDescent="0.25">
      <c r="A37" s="43" t="s">
        <v>0</v>
      </c>
      <c r="B37" s="121" t="s">
        <v>50</v>
      </c>
      <c r="C37" s="121"/>
      <c r="D37" s="121"/>
      <c r="E37" s="61" t="s">
        <v>51</v>
      </c>
      <c r="F37" s="61" t="s">
        <v>73</v>
      </c>
      <c r="G37" s="43" t="s">
        <v>10</v>
      </c>
      <c r="H37" s="43" t="s">
        <v>11</v>
      </c>
      <c r="I37" s="43" t="s">
        <v>12</v>
      </c>
      <c r="J37" s="43" t="s">
        <v>13</v>
      </c>
      <c r="K37" s="61" t="s">
        <v>73</v>
      </c>
      <c r="L37" s="43" t="s">
        <v>79</v>
      </c>
      <c r="M37" s="61" t="s">
        <v>33</v>
      </c>
      <c r="N37" s="43" t="s">
        <v>92</v>
      </c>
      <c r="Q37" s="85" t="s">
        <v>93</v>
      </c>
      <c r="R37" s="86" t="str">
        <f>G37</f>
        <v>Precedencia 1</v>
      </c>
      <c r="S37" s="86" t="str">
        <f t="shared" ref="S37:U37" si="0">H37</f>
        <v>Precedencia 2</v>
      </c>
      <c r="T37" s="86" t="str">
        <f t="shared" si="0"/>
        <v>Precedencia 3</v>
      </c>
      <c r="U37" s="87" t="str">
        <f t="shared" si="0"/>
        <v>Precedencia 4</v>
      </c>
    </row>
    <row r="38" spans="1:21" x14ac:dyDescent="0.25">
      <c r="A38" s="57" t="str">
        <f>Utilización!A12</f>
        <v xml:space="preserve">A </v>
      </c>
      <c r="B38" s="122">
        <f>Utilización!B12</f>
        <v>0</v>
      </c>
      <c r="C38" s="122"/>
      <c r="D38" s="125"/>
      <c r="E38" s="50">
        <f>Utilización!E12</f>
        <v>0</v>
      </c>
      <c r="F38" s="50">
        <f>Utilización!F12</f>
        <v>0</v>
      </c>
      <c r="G38" s="35">
        <f>Utilización!G12</f>
        <v>0</v>
      </c>
      <c r="H38" s="35">
        <f>Utilización!H12</f>
        <v>0</v>
      </c>
      <c r="I38" s="35">
        <f>Utilización!I12</f>
        <v>0</v>
      </c>
      <c r="J38" s="58">
        <f>Utilización!J12</f>
        <v>0</v>
      </c>
      <c r="K38" s="69">
        <f>Utilización!F65</f>
        <v>45292</v>
      </c>
      <c r="L38" s="69">
        <f>Utilización!G65</f>
        <v>45292</v>
      </c>
      <c r="M38">
        <f ca="1">Utilización!J38</f>
        <v>0</v>
      </c>
      <c r="N38">
        <f>COUNTIF($G$38:$J$56,"A")</f>
        <v>0</v>
      </c>
      <c r="Q38" s="88" t="str">
        <f>Utilización!A38</f>
        <v/>
      </c>
      <c r="R38">
        <f>IF(G38="0",(""),(G38))</f>
        <v>0</v>
      </c>
      <c r="S38">
        <f t="shared" ref="S38:T38" si="1">IF(H38="0",(""),(H38))</f>
        <v>0</v>
      </c>
      <c r="T38">
        <f t="shared" si="1"/>
        <v>0</v>
      </c>
      <c r="U38" s="89">
        <f>IF(J38="0",(""),(J38))</f>
        <v>0</v>
      </c>
    </row>
    <row r="39" spans="1:21" x14ac:dyDescent="0.25">
      <c r="A39" s="57" t="str">
        <f>Utilización!A13</f>
        <v>B</v>
      </c>
      <c r="B39" s="122">
        <f>Utilización!B13</f>
        <v>0</v>
      </c>
      <c r="C39" s="122"/>
      <c r="D39" s="125"/>
      <c r="E39" s="50">
        <f>Utilización!E13</f>
        <v>0</v>
      </c>
      <c r="F39" s="50">
        <f>Utilización!F13</f>
        <v>0</v>
      </c>
      <c r="G39" s="35">
        <f>Utilización!G13</f>
        <v>0</v>
      </c>
      <c r="H39" s="35">
        <f>Utilización!H13</f>
        <v>0</v>
      </c>
      <c r="I39" s="35">
        <f>Utilización!I13</f>
        <v>0</v>
      </c>
      <c r="J39" s="58">
        <f>Utilización!J13</f>
        <v>0</v>
      </c>
      <c r="K39" s="69" t="str">
        <f>Utilización!F66</f>
        <v/>
      </c>
      <c r="L39" s="69" t="str">
        <f>Utilización!G66</f>
        <v/>
      </c>
      <c r="M39">
        <f ca="1">Utilización!J39</f>
        <v>0</v>
      </c>
      <c r="N39">
        <f>COUNTIF($G$38:$J$56,"B")</f>
        <v>0</v>
      </c>
      <c r="Q39" s="88" t="str">
        <f>Utilización!A39</f>
        <v/>
      </c>
      <c r="R39">
        <f t="shared" ref="R39:R57" si="2">IF(G39="0",(""),(G39))</f>
        <v>0</v>
      </c>
      <c r="S39">
        <f t="shared" ref="S39:S57" si="3">IF(H39="0",(""),(H39))</f>
        <v>0</v>
      </c>
      <c r="T39">
        <f t="shared" ref="T39:T57" si="4">IF(I39="0",(""),(I39))</f>
        <v>0</v>
      </c>
      <c r="U39" s="89">
        <f t="shared" ref="U39:U57" si="5">IF(J39="0",(""),(J39))</f>
        <v>0</v>
      </c>
    </row>
    <row r="40" spans="1:21" x14ac:dyDescent="0.25">
      <c r="A40" s="57" t="str">
        <f>Utilización!A14</f>
        <v>C</v>
      </c>
      <c r="B40" s="122">
        <f>Utilización!B14</f>
        <v>0</v>
      </c>
      <c r="C40" s="122"/>
      <c r="D40" s="125"/>
      <c r="E40" s="50">
        <f>Utilización!E14</f>
        <v>0</v>
      </c>
      <c r="F40" s="50">
        <f>Utilización!F14</f>
        <v>0</v>
      </c>
      <c r="G40" s="35">
        <f>Utilización!G14</f>
        <v>0</v>
      </c>
      <c r="H40" s="35">
        <f>Utilización!H14</f>
        <v>0</v>
      </c>
      <c r="I40" s="35">
        <f>Utilización!I14</f>
        <v>0</v>
      </c>
      <c r="J40" s="58">
        <f>Utilización!J14</f>
        <v>0</v>
      </c>
      <c r="K40" s="69" t="str">
        <f>Utilización!F67</f>
        <v/>
      </c>
      <c r="L40" s="69" t="str">
        <f>Utilización!G67</f>
        <v/>
      </c>
      <c r="M40">
        <f ca="1">Utilización!J40</f>
        <v>0</v>
      </c>
      <c r="N40">
        <f>COUNTIF($G$38:$J$56,"C")</f>
        <v>0</v>
      </c>
      <c r="Q40" s="88" t="str">
        <f>Utilización!A40</f>
        <v/>
      </c>
      <c r="R40">
        <f t="shared" si="2"/>
        <v>0</v>
      </c>
      <c r="S40">
        <f t="shared" si="3"/>
        <v>0</v>
      </c>
      <c r="T40">
        <f t="shared" si="4"/>
        <v>0</v>
      </c>
      <c r="U40" s="89">
        <f t="shared" si="5"/>
        <v>0</v>
      </c>
    </row>
    <row r="41" spans="1:21" x14ac:dyDescent="0.25">
      <c r="A41" s="57" t="str">
        <f>Utilización!A15</f>
        <v>D</v>
      </c>
      <c r="B41" s="122">
        <f>Utilización!B15</f>
        <v>0</v>
      </c>
      <c r="C41" s="122"/>
      <c r="D41" s="125"/>
      <c r="E41" s="50">
        <f>Utilización!E15</f>
        <v>0</v>
      </c>
      <c r="F41" s="50">
        <f>Utilización!F15</f>
        <v>0</v>
      </c>
      <c r="G41" s="35">
        <f>Utilización!G15</f>
        <v>0</v>
      </c>
      <c r="H41" s="35">
        <f>Utilización!H15</f>
        <v>0</v>
      </c>
      <c r="I41" s="35">
        <f>Utilización!I15</f>
        <v>0</v>
      </c>
      <c r="J41" s="58">
        <f>Utilización!J15</f>
        <v>0</v>
      </c>
      <c r="K41" s="69" t="str">
        <f>Utilización!F68</f>
        <v/>
      </c>
      <c r="L41" s="69" t="str">
        <f>Utilización!G68</f>
        <v/>
      </c>
      <c r="M41">
        <f ca="1">Utilización!J41</f>
        <v>0</v>
      </c>
      <c r="N41">
        <f>COUNTIF($G$38:$J$56,"D")</f>
        <v>0</v>
      </c>
      <c r="Q41" s="88" t="str">
        <f>Utilización!A41</f>
        <v/>
      </c>
      <c r="R41">
        <f t="shared" si="2"/>
        <v>0</v>
      </c>
      <c r="S41">
        <f t="shared" si="3"/>
        <v>0</v>
      </c>
      <c r="T41">
        <f t="shared" si="4"/>
        <v>0</v>
      </c>
      <c r="U41" s="89">
        <f t="shared" si="5"/>
        <v>0</v>
      </c>
    </row>
    <row r="42" spans="1:21" x14ac:dyDescent="0.25">
      <c r="A42" s="57" t="str">
        <f>Utilización!A16</f>
        <v>E</v>
      </c>
      <c r="B42" s="122">
        <f>Utilización!B16</f>
        <v>0</v>
      </c>
      <c r="C42" s="122"/>
      <c r="D42" s="125"/>
      <c r="E42" s="50">
        <f>Utilización!E16</f>
        <v>0</v>
      </c>
      <c r="F42" s="50">
        <f>Utilización!F16</f>
        <v>0</v>
      </c>
      <c r="G42" s="35">
        <f>Utilización!G16</f>
        <v>0</v>
      </c>
      <c r="H42" s="35">
        <f>Utilización!H16</f>
        <v>0</v>
      </c>
      <c r="I42" s="35">
        <f>Utilización!I16</f>
        <v>0</v>
      </c>
      <c r="J42" s="58">
        <f>Utilización!J16</f>
        <v>0</v>
      </c>
      <c r="K42" s="69" t="str">
        <f>Utilización!F69</f>
        <v/>
      </c>
      <c r="L42" s="69" t="str">
        <f>Utilización!G69</f>
        <v/>
      </c>
      <c r="M42">
        <f ca="1">Utilización!J42</f>
        <v>0</v>
      </c>
      <c r="N42">
        <f>COUNTIF($G$38:$J$56,"E")</f>
        <v>0</v>
      </c>
      <c r="Q42" s="88" t="str">
        <f>Utilización!A42</f>
        <v/>
      </c>
      <c r="R42">
        <f t="shared" si="2"/>
        <v>0</v>
      </c>
      <c r="S42">
        <f t="shared" si="3"/>
        <v>0</v>
      </c>
      <c r="T42">
        <f t="shared" si="4"/>
        <v>0</v>
      </c>
      <c r="U42" s="89">
        <f t="shared" si="5"/>
        <v>0</v>
      </c>
    </row>
    <row r="43" spans="1:21" x14ac:dyDescent="0.25">
      <c r="A43" s="57" t="str">
        <f>Utilización!A17</f>
        <v>F</v>
      </c>
      <c r="B43" s="122">
        <f>Utilización!B17</f>
        <v>0</v>
      </c>
      <c r="C43" s="122"/>
      <c r="D43" s="125"/>
      <c r="E43" s="50">
        <f>Utilización!E17</f>
        <v>0</v>
      </c>
      <c r="F43" s="50">
        <f>Utilización!F17</f>
        <v>0</v>
      </c>
      <c r="G43" s="35">
        <f>Utilización!G17</f>
        <v>0</v>
      </c>
      <c r="H43" s="35">
        <f>Utilización!H17</f>
        <v>0</v>
      </c>
      <c r="I43" s="35">
        <f>Utilización!I17</f>
        <v>0</v>
      </c>
      <c r="J43" s="58">
        <f>Utilización!J17</f>
        <v>0</v>
      </c>
      <c r="K43" s="69" t="str">
        <f>Utilización!F70</f>
        <v/>
      </c>
      <c r="L43" s="69" t="str">
        <f>Utilización!G70</f>
        <v/>
      </c>
      <c r="M43">
        <f ca="1">Utilización!J43</f>
        <v>0</v>
      </c>
      <c r="N43">
        <f>COUNTIF($G$38:$J$56,"F")</f>
        <v>0</v>
      </c>
      <c r="Q43" s="88" t="str">
        <f>Utilización!A43</f>
        <v/>
      </c>
      <c r="R43">
        <f t="shared" si="2"/>
        <v>0</v>
      </c>
      <c r="S43">
        <f t="shared" si="3"/>
        <v>0</v>
      </c>
      <c r="T43">
        <f t="shared" si="4"/>
        <v>0</v>
      </c>
      <c r="U43" s="89">
        <f t="shared" si="5"/>
        <v>0</v>
      </c>
    </row>
    <row r="44" spans="1:21" x14ac:dyDescent="0.25">
      <c r="A44" s="57" t="str">
        <f>Utilización!A18</f>
        <v>G</v>
      </c>
      <c r="B44" s="122">
        <f>Utilización!B18</f>
        <v>0</v>
      </c>
      <c r="C44" s="122"/>
      <c r="D44" s="125"/>
      <c r="E44" s="50">
        <f>Utilización!E18</f>
        <v>0</v>
      </c>
      <c r="F44" s="50">
        <f>Utilización!F18</f>
        <v>0</v>
      </c>
      <c r="G44" s="35">
        <f>Utilización!G18</f>
        <v>0</v>
      </c>
      <c r="H44" s="35">
        <f>Utilización!H18</f>
        <v>0</v>
      </c>
      <c r="I44" s="35">
        <f>Utilización!I18</f>
        <v>0</v>
      </c>
      <c r="J44" s="58">
        <f>Utilización!J18</f>
        <v>0</v>
      </c>
      <c r="K44" s="69" t="str">
        <f>Utilización!F71</f>
        <v/>
      </c>
      <c r="L44" s="69" t="str">
        <f>Utilización!G71</f>
        <v/>
      </c>
      <c r="M44">
        <f ca="1">Utilización!J44</f>
        <v>0</v>
      </c>
      <c r="N44">
        <f>COUNTIF($G$38:$J$56,"G")</f>
        <v>0</v>
      </c>
      <c r="Q44" s="88" t="str">
        <f>Utilización!A44</f>
        <v/>
      </c>
      <c r="R44">
        <f t="shared" si="2"/>
        <v>0</v>
      </c>
      <c r="S44">
        <f t="shared" si="3"/>
        <v>0</v>
      </c>
      <c r="T44">
        <f t="shared" si="4"/>
        <v>0</v>
      </c>
      <c r="U44" s="89">
        <f t="shared" si="5"/>
        <v>0</v>
      </c>
    </row>
    <row r="45" spans="1:21" x14ac:dyDescent="0.25">
      <c r="A45" s="57" t="str">
        <f>Utilización!A19</f>
        <v>H</v>
      </c>
      <c r="B45" s="122">
        <f>Utilización!B19</f>
        <v>0</v>
      </c>
      <c r="C45" s="122"/>
      <c r="D45" s="125"/>
      <c r="E45" s="50">
        <f>Utilización!E19</f>
        <v>0</v>
      </c>
      <c r="F45" s="50">
        <f>Utilización!F19</f>
        <v>0</v>
      </c>
      <c r="G45" s="35">
        <f>Utilización!G19</f>
        <v>0</v>
      </c>
      <c r="H45" s="35">
        <f>Utilización!H19</f>
        <v>0</v>
      </c>
      <c r="I45" s="35">
        <f>Utilización!I19</f>
        <v>0</v>
      </c>
      <c r="J45" s="58">
        <f>Utilización!J19</f>
        <v>0</v>
      </c>
      <c r="K45" s="69" t="str">
        <f>Utilización!F72</f>
        <v/>
      </c>
      <c r="L45" s="69" t="str">
        <f>Utilización!G72</f>
        <v/>
      </c>
      <c r="M45">
        <f ca="1">Utilización!J45</f>
        <v>0</v>
      </c>
      <c r="N45">
        <f>COUNTIF($G$38:$J$56,"H")</f>
        <v>0</v>
      </c>
      <c r="Q45" s="88" t="str">
        <f>Utilización!A45</f>
        <v/>
      </c>
      <c r="R45">
        <f t="shared" si="2"/>
        <v>0</v>
      </c>
      <c r="S45">
        <f t="shared" si="3"/>
        <v>0</v>
      </c>
      <c r="T45">
        <f t="shared" si="4"/>
        <v>0</v>
      </c>
      <c r="U45" s="89">
        <f t="shared" si="5"/>
        <v>0</v>
      </c>
    </row>
    <row r="46" spans="1:21" x14ac:dyDescent="0.25">
      <c r="A46" s="57" t="str">
        <f>Utilización!A20</f>
        <v>I</v>
      </c>
      <c r="B46" s="122">
        <f>Utilización!B20</f>
        <v>0</v>
      </c>
      <c r="C46" s="122"/>
      <c r="D46" s="125"/>
      <c r="E46" s="50">
        <f>Utilización!E20</f>
        <v>0</v>
      </c>
      <c r="F46" s="50">
        <f>Utilización!F20</f>
        <v>0</v>
      </c>
      <c r="G46" s="35">
        <f>Utilización!G20</f>
        <v>0</v>
      </c>
      <c r="H46" s="35">
        <f>Utilización!H20</f>
        <v>0</v>
      </c>
      <c r="I46" s="35">
        <f>Utilización!I20</f>
        <v>0</v>
      </c>
      <c r="J46" s="58">
        <f>Utilización!J20</f>
        <v>0</v>
      </c>
      <c r="K46" s="69" t="str">
        <f>Utilización!F73</f>
        <v/>
      </c>
      <c r="L46" s="69" t="str">
        <f>Utilización!G73</f>
        <v/>
      </c>
      <c r="M46">
        <f ca="1">Utilización!J46</f>
        <v>0</v>
      </c>
      <c r="N46">
        <f>COUNTIF($G$38:$J$56,"I")</f>
        <v>0</v>
      </c>
      <c r="Q46" s="88" t="str">
        <f>Utilización!A46</f>
        <v/>
      </c>
      <c r="R46">
        <f t="shared" si="2"/>
        <v>0</v>
      </c>
      <c r="S46">
        <f t="shared" si="3"/>
        <v>0</v>
      </c>
      <c r="T46">
        <f t="shared" si="4"/>
        <v>0</v>
      </c>
      <c r="U46" s="89">
        <f t="shared" si="5"/>
        <v>0</v>
      </c>
    </row>
    <row r="47" spans="1:21" x14ac:dyDescent="0.25">
      <c r="A47" s="57" t="str">
        <f>Utilización!A21</f>
        <v>J</v>
      </c>
      <c r="B47" s="122">
        <f>Utilización!B21</f>
        <v>0</v>
      </c>
      <c r="C47" s="122"/>
      <c r="D47" s="125"/>
      <c r="E47" s="50">
        <f>Utilización!E21</f>
        <v>0</v>
      </c>
      <c r="F47" s="50">
        <f>Utilización!F21</f>
        <v>0</v>
      </c>
      <c r="G47" s="35">
        <f>Utilización!G21</f>
        <v>0</v>
      </c>
      <c r="H47" s="35">
        <f>Utilización!H21</f>
        <v>0</v>
      </c>
      <c r="I47" s="35">
        <f>Utilización!I21</f>
        <v>0</v>
      </c>
      <c r="J47" s="58">
        <f>Utilización!J21</f>
        <v>0</v>
      </c>
      <c r="K47" s="69" t="str">
        <f>Utilización!F74</f>
        <v/>
      </c>
      <c r="L47" s="69" t="str">
        <f>Utilización!G74</f>
        <v/>
      </c>
      <c r="M47">
        <f ca="1">Utilización!J47</f>
        <v>0</v>
      </c>
      <c r="N47">
        <f>COUNTIF($G$38:$J$56,"J")</f>
        <v>0</v>
      </c>
      <c r="Q47" s="88" t="str">
        <f>Utilización!A47</f>
        <v/>
      </c>
      <c r="R47">
        <f t="shared" si="2"/>
        <v>0</v>
      </c>
      <c r="S47">
        <f t="shared" si="3"/>
        <v>0</v>
      </c>
      <c r="T47">
        <f t="shared" si="4"/>
        <v>0</v>
      </c>
      <c r="U47" s="89">
        <f t="shared" si="5"/>
        <v>0</v>
      </c>
    </row>
    <row r="48" spans="1:21" x14ac:dyDescent="0.25">
      <c r="A48" s="57" t="str">
        <f>Utilización!A22</f>
        <v>K</v>
      </c>
      <c r="B48" s="122">
        <f>Utilización!B22</f>
        <v>0</v>
      </c>
      <c r="C48" s="122"/>
      <c r="D48" s="125"/>
      <c r="E48" s="50">
        <f>Utilización!E22</f>
        <v>0</v>
      </c>
      <c r="F48" s="50">
        <f>Utilización!F22</f>
        <v>0</v>
      </c>
      <c r="G48" s="35">
        <f>Utilización!G22</f>
        <v>0</v>
      </c>
      <c r="H48" s="35">
        <f>Utilización!H22</f>
        <v>0</v>
      </c>
      <c r="I48" s="35">
        <f>Utilización!I22</f>
        <v>0</v>
      </c>
      <c r="J48" s="58">
        <f>Utilización!J22</f>
        <v>0</v>
      </c>
      <c r="K48" s="69" t="str">
        <f>Utilización!F75</f>
        <v/>
      </c>
      <c r="L48" s="69" t="str">
        <f>Utilización!G75</f>
        <v/>
      </c>
      <c r="M48">
        <f ca="1">Utilización!J48</f>
        <v>0</v>
      </c>
      <c r="N48">
        <f>COUNTIF($G$38:$J$56,"K")</f>
        <v>0</v>
      </c>
      <c r="Q48" s="88" t="str">
        <f>Utilización!A48</f>
        <v/>
      </c>
      <c r="R48">
        <f t="shared" si="2"/>
        <v>0</v>
      </c>
      <c r="S48">
        <f t="shared" si="3"/>
        <v>0</v>
      </c>
      <c r="T48">
        <f t="shared" si="4"/>
        <v>0</v>
      </c>
      <c r="U48" s="89">
        <f t="shared" si="5"/>
        <v>0</v>
      </c>
    </row>
    <row r="49" spans="1:21" x14ac:dyDescent="0.25">
      <c r="A49" s="57" t="str">
        <f>Utilización!A23</f>
        <v>L</v>
      </c>
      <c r="B49" s="122">
        <f>Utilización!B23</f>
        <v>0</v>
      </c>
      <c r="C49" s="122"/>
      <c r="D49" s="125"/>
      <c r="E49" s="50">
        <f>Utilización!E23</f>
        <v>0</v>
      </c>
      <c r="F49" s="50">
        <f>Utilización!F23</f>
        <v>0</v>
      </c>
      <c r="G49" s="35">
        <f>Utilización!G23</f>
        <v>0</v>
      </c>
      <c r="H49" s="35">
        <f>Utilización!H23</f>
        <v>0</v>
      </c>
      <c r="I49" s="35">
        <f>Utilización!I23</f>
        <v>0</v>
      </c>
      <c r="J49" s="58">
        <f>Utilización!J23</f>
        <v>0</v>
      </c>
      <c r="K49" s="69" t="str">
        <f>Utilización!F76</f>
        <v/>
      </c>
      <c r="L49" s="69" t="str">
        <f>Utilización!G76</f>
        <v/>
      </c>
      <c r="M49">
        <f ca="1">Utilización!J49</f>
        <v>0</v>
      </c>
      <c r="N49">
        <f>COUNTIF($G$38:$J$56,"L")</f>
        <v>0</v>
      </c>
      <c r="Q49" s="88" t="str">
        <f>Utilización!A49</f>
        <v/>
      </c>
      <c r="R49">
        <f t="shared" si="2"/>
        <v>0</v>
      </c>
      <c r="S49">
        <f t="shared" si="3"/>
        <v>0</v>
      </c>
      <c r="T49">
        <f t="shared" si="4"/>
        <v>0</v>
      </c>
      <c r="U49" s="89">
        <f t="shared" si="5"/>
        <v>0</v>
      </c>
    </row>
    <row r="50" spans="1:21" x14ac:dyDescent="0.25">
      <c r="A50" s="57" t="str">
        <f>Utilización!A24</f>
        <v>M</v>
      </c>
      <c r="B50" s="122">
        <f>Utilización!B24</f>
        <v>0</v>
      </c>
      <c r="C50" s="122"/>
      <c r="D50" s="125"/>
      <c r="E50" s="50">
        <f>Utilización!E24</f>
        <v>0</v>
      </c>
      <c r="F50" s="50">
        <f>Utilización!F24</f>
        <v>0</v>
      </c>
      <c r="G50" s="35">
        <f>Utilización!G24</f>
        <v>0</v>
      </c>
      <c r="H50" s="35">
        <f>Utilización!H24</f>
        <v>0</v>
      </c>
      <c r="I50" s="35">
        <f>Utilización!I24</f>
        <v>0</v>
      </c>
      <c r="J50" s="58">
        <f>Utilización!J24</f>
        <v>0</v>
      </c>
      <c r="K50" s="69" t="str">
        <f>Utilización!F77</f>
        <v/>
      </c>
      <c r="L50" s="69" t="str">
        <f>Utilización!G77</f>
        <v/>
      </c>
      <c r="M50">
        <f ca="1">Utilización!J50</f>
        <v>0</v>
      </c>
      <c r="N50">
        <f>COUNTIF($G$38:$J$56,"M")</f>
        <v>0</v>
      </c>
      <c r="Q50" s="88" t="str">
        <f>Utilización!A50</f>
        <v/>
      </c>
      <c r="R50">
        <f t="shared" si="2"/>
        <v>0</v>
      </c>
      <c r="S50">
        <f t="shared" si="3"/>
        <v>0</v>
      </c>
      <c r="T50">
        <f t="shared" si="4"/>
        <v>0</v>
      </c>
      <c r="U50" s="89">
        <f t="shared" si="5"/>
        <v>0</v>
      </c>
    </row>
    <row r="51" spans="1:21" x14ac:dyDescent="0.25">
      <c r="A51" s="57" t="str">
        <f>Utilización!A25</f>
        <v>N</v>
      </c>
      <c r="B51" s="122">
        <f>Utilización!B25</f>
        <v>0</v>
      </c>
      <c r="C51" s="122"/>
      <c r="D51" s="125"/>
      <c r="E51" s="50">
        <f>Utilización!E25</f>
        <v>0</v>
      </c>
      <c r="F51" s="50">
        <f>Utilización!F25</f>
        <v>0</v>
      </c>
      <c r="G51" s="35">
        <f>Utilización!G25</f>
        <v>0</v>
      </c>
      <c r="H51" s="35">
        <f>Utilización!H25</f>
        <v>0</v>
      </c>
      <c r="I51" s="35">
        <f>Utilización!I25</f>
        <v>0</v>
      </c>
      <c r="J51" s="58">
        <f>Utilización!J25</f>
        <v>0</v>
      </c>
      <c r="K51" s="69" t="str">
        <f>Utilización!F78</f>
        <v/>
      </c>
      <c r="L51" s="69" t="str">
        <f>Utilización!G78</f>
        <v/>
      </c>
      <c r="M51">
        <f ca="1">Utilización!J51</f>
        <v>0</v>
      </c>
      <c r="N51">
        <f>COUNTIF($G$38:$J$56,"N")</f>
        <v>0</v>
      </c>
      <c r="Q51" s="88" t="str">
        <f>Utilización!A51</f>
        <v/>
      </c>
      <c r="R51">
        <f t="shared" si="2"/>
        <v>0</v>
      </c>
      <c r="S51">
        <f t="shared" si="3"/>
        <v>0</v>
      </c>
      <c r="T51">
        <f t="shared" si="4"/>
        <v>0</v>
      </c>
      <c r="U51" s="89">
        <f t="shared" si="5"/>
        <v>0</v>
      </c>
    </row>
    <row r="52" spans="1:21" x14ac:dyDescent="0.25">
      <c r="A52" s="57" t="str">
        <f>Utilización!A26</f>
        <v>O</v>
      </c>
      <c r="B52" s="122">
        <f>Utilización!B26</f>
        <v>0</v>
      </c>
      <c r="C52" s="122"/>
      <c r="D52" s="125"/>
      <c r="E52" s="50">
        <f>Utilización!E26</f>
        <v>0</v>
      </c>
      <c r="F52" s="50">
        <f>Utilización!F26</f>
        <v>0</v>
      </c>
      <c r="G52" s="35">
        <f>Utilización!G26</f>
        <v>0</v>
      </c>
      <c r="H52" s="35">
        <f>Utilización!H26</f>
        <v>0</v>
      </c>
      <c r="I52" s="35">
        <f>Utilización!I26</f>
        <v>0</v>
      </c>
      <c r="J52" s="58">
        <f>Utilización!J26</f>
        <v>0</v>
      </c>
      <c r="K52" s="69" t="str">
        <f>Utilización!F79</f>
        <v/>
      </c>
      <c r="L52" s="69" t="str">
        <f>Utilización!G79</f>
        <v/>
      </c>
      <c r="M52">
        <f ca="1">Utilización!J52</f>
        <v>0</v>
      </c>
      <c r="N52">
        <f>COUNTIF($G$38:$J$56,"O")</f>
        <v>0</v>
      </c>
      <c r="Q52" s="88" t="str">
        <f>Utilización!A52</f>
        <v/>
      </c>
      <c r="R52">
        <f t="shared" si="2"/>
        <v>0</v>
      </c>
      <c r="S52">
        <f t="shared" si="3"/>
        <v>0</v>
      </c>
      <c r="T52">
        <f t="shared" si="4"/>
        <v>0</v>
      </c>
      <c r="U52" s="89">
        <f t="shared" si="5"/>
        <v>0</v>
      </c>
    </row>
    <row r="53" spans="1:21" x14ac:dyDescent="0.25">
      <c r="A53" s="57" t="str">
        <f>Utilización!A27</f>
        <v>P</v>
      </c>
      <c r="B53" s="122">
        <f>Utilización!B27</f>
        <v>0</v>
      </c>
      <c r="C53" s="122"/>
      <c r="D53" s="125"/>
      <c r="E53" s="50">
        <f>Utilización!E27</f>
        <v>0</v>
      </c>
      <c r="F53" s="50">
        <f>Utilización!F27</f>
        <v>0</v>
      </c>
      <c r="G53" s="35">
        <f>Utilización!G27</f>
        <v>0</v>
      </c>
      <c r="H53" s="35">
        <f>Utilización!H27</f>
        <v>0</v>
      </c>
      <c r="I53" s="35">
        <f>Utilización!I27</f>
        <v>0</v>
      </c>
      <c r="J53" s="58">
        <f>Utilización!J27</f>
        <v>0</v>
      </c>
      <c r="K53" s="69" t="str">
        <f>Utilización!F80</f>
        <v/>
      </c>
      <c r="L53" s="69" t="str">
        <f>Utilización!G80</f>
        <v/>
      </c>
      <c r="M53">
        <f ca="1">Utilización!J53</f>
        <v>0</v>
      </c>
      <c r="N53">
        <f>COUNTIF($G$38:$J$56,"P")</f>
        <v>0</v>
      </c>
      <c r="Q53" s="88" t="str">
        <f>Utilización!A53</f>
        <v/>
      </c>
      <c r="R53">
        <f t="shared" si="2"/>
        <v>0</v>
      </c>
      <c r="S53">
        <f t="shared" si="3"/>
        <v>0</v>
      </c>
      <c r="T53">
        <f t="shared" si="4"/>
        <v>0</v>
      </c>
      <c r="U53" s="89">
        <f t="shared" si="5"/>
        <v>0</v>
      </c>
    </row>
    <row r="54" spans="1:21" x14ac:dyDescent="0.25">
      <c r="A54" s="57" t="str">
        <f>Utilización!A28</f>
        <v>Q</v>
      </c>
      <c r="B54" s="122">
        <f>Utilización!B28</f>
        <v>0</v>
      </c>
      <c r="C54" s="122"/>
      <c r="D54" s="125"/>
      <c r="E54" s="50">
        <f>Utilización!E28</f>
        <v>0</v>
      </c>
      <c r="F54" s="50">
        <f>Utilización!F28</f>
        <v>0</v>
      </c>
      <c r="G54" s="35">
        <f>Utilización!G28</f>
        <v>0</v>
      </c>
      <c r="H54" s="35">
        <f>Utilización!H28</f>
        <v>0</v>
      </c>
      <c r="I54" s="35">
        <f>Utilización!I28</f>
        <v>0</v>
      </c>
      <c r="J54" s="58">
        <f>Utilización!J28</f>
        <v>0</v>
      </c>
      <c r="K54" s="69" t="str">
        <f>Utilización!F81</f>
        <v/>
      </c>
      <c r="L54" s="69" t="str">
        <f>Utilización!G81</f>
        <v/>
      </c>
      <c r="M54">
        <f ca="1">Utilización!J54</f>
        <v>0</v>
      </c>
      <c r="N54">
        <f>COUNTIF($G$38:$J$56,"Q")</f>
        <v>0</v>
      </c>
      <c r="Q54" s="88" t="str">
        <f>Utilización!A54</f>
        <v/>
      </c>
      <c r="R54">
        <f t="shared" si="2"/>
        <v>0</v>
      </c>
      <c r="S54">
        <f t="shared" si="3"/>
        <v>0</v>
      </c>
      <c r="T54">
        <f t="shared" si="4"/>
        <v>0</v>
      </c>
      <c r="U54" s="89">
        <f t="shared" si="5"/>
        <v>0</v>
      </c>
    </row>
    <row r="55" spans="1:21" x14ac:dyDescent="0.25">
      <c r="A55" s="57" t="str">
        <f>Utilización!A29</f>
        <v>R</v>
      </c>
      <c r="B55" s="122">
        <f>Utilización!B29</f>
        <v>0</v>
      </c>
      <c r="C55" s="122"/>
      <c r="D55" s="125"/>
      <c r="E55" s="50">
        <f>Utilización!E29</f>
        <v>0</v>
      </c>
      <c r="F55" s="50">
        <f>Utilización!F29</f>
        <v>0</v>
      </c>
      <c r="G55" s="35">
        <f>Utilización!G29</f>
        <v>0</v>
      </c>
      <c r="H55" s="35">
        <f>Utilización!H29</f>
        <v>0</v>
      </c>
      <c r="I55" s="35">
        <f>Utilización!I29</f>
        <v>0</v>
      </c>
      <c r="J55" s="58">
        <f>Utilización!J29</f>
        <v>0</v>
      </c>
      <c r="K55" s="69" t="str">
        <f>Utilización!F82</f>
        <v/>
      </c>
      <c r="L55" s="69" t="str">
        <f>Utilización!G82</f>
        <v/>
      </c>
      <c r="M55">
        <f ca="1">Utilización!J55</f>
        <v>0</v>
      </c>
      <c r="N55">
        <f>COUNTIF($G$38:$J$56,"R")</f>
        <v>0</v>
      </c>
      <c r="Q55" s="88" t="str">
        <f>Utilización!A55</f>
        <v/>
      </c>
      <c r="R55">
        <f t="shared" si="2"/>
        <v>0</v>
      </c>
      <c r="S55">
        <f t="shared" si="3"/>
        <v>0</v>
      </c>
      <c r="T55">
        <f t="shared" si="4"/>
        <v>0</v>
      </c>
      <c r="U55" s="89">
        <f t="shared" si="5"/>
        <v>0</v>
      </c>
    </row>
    <row r="56" spans="1:21" x14ac:dyDescent="0.25">
      <c r="A56" s="57" t="str">
        <f>Utilización!A30</f>
        <v>S</v>
      </c>
      <c r="B56" s="122">
        <f>Utilización!B30</f>
        <v>0</v>
      </c>
      <c r="C56" s="122"/>
      <c r="D56" s="125"/>
      <c r="E56" s="50">
        <f>Utilización!E30</f>
        <v>0</v>
      </c>
      <c r="F56" s="50">
        <f>Utilización!F30</f>
        <v>0</v>
      </c>
      <c r="G56" s="35">
        <f>Utilización!G30</f>
        <v>0</v>
      </c>
      <c r="H56" s="35">
        <f>Utilización!H30</f>
        <v>0</v>
      </c>
      <c r="I56" s="35">
        <f>Utilización!I30</f>
        <v>0</v>
      </c>
      <c r="J56" s="58">
        <f>Utilización!J30</f>
        <v>0</v>
      </c>
      <c r="K56" s="69" t="str">
        <f>Utilización!F83</f>
        <v/>
      </c>
      <c r="L56" s="69" t="str">
        <f>Utilización!G83</f>
        <v/>
      </c>
      <c r="M56">
        <f ca="1">Utilización!J56</f>
        <v>0</v>
      </c>
      <c r="N56">
        <f>COUNTIF($G$38:$J$56,"S")</f>
        <v>0</v>
      </c>
      <c r="Q56" s="88" t="str">
        <f>Utilización!A56</f>
        <v/>
      </c>
      <c r="R56">
        <f t="shared" si="2"/>
        <v>0</v>
      </c>
      <c r="S56">
        <f t="shared" si="3"/>
        <v>0</v>
      </c>
      <c r="T56">
        <f t="shared" si="4"/>
        <v>0</v>
      </c>
      <c r="U56" s="89">
        <f t="shared" si="5"/>
        <v>0</v>
      </c>
    </row>
    <row r="57" spans="1:21" ht="15.75" thickBot="1" x14ac:dyDescent="0.3">
      <c r="Q57" s="90"/>
      <c r="R57" s="91">
        <f t="shared" si="2"/>
        <v>0</v>
      </c>
      <c r="S57" s="91">
        <f t="shared" si="3"/>
        <v>0</v>
      </c>
      <c r="T57" s="91">
        <f t="shared" si="4"/>
        <v>0</v>
      </c>
      <c r="U57" s="92">
        <f t="shared" si="5"/>
        <v>0</v>
      </c>
    </row>
    <row r="59" spans="1:21" x14ac:dyDescent="0.25">
      <c r="A59" t="s">
        <v>94</v>
      </c>
      <c r="M59" t="s">
        <v>98</v>
      </c>
    </row>
    <row r="60" spans="1:21" x14ac:dyDescent="0.25">
      <c r="A60" s="39"/>
      <c r="B60" s="35" t="str">
        <f>IF(C60="",(""),(INDEX('Desarrollo de Redes'!$A$37:$J$56,(MATCH('Desarrollo de Redes'!C60,'Desarrollo de Redes'!$A$37:$A$56,0)),(7))))</f>
        <v/>
      </c>
      <c r="C60" s="111" t="str">
        <f>D60</f>
        <v/>
      </c>
      <c r="D60" s="35" t="str">
        <f>IF(E60="",(""),(INDEX('Desarrollo de Redes'!$A$37:$J$56,(MATCH('Desarrollo de Redes'!E60,'Desarrollo de Redes'!$A$37:$A$56,0)),(7))))</f>
        <v/>
      </c>
      <c r="E60" s="111" t="str">
        <f>F60</f>
        <v/>
      </c>
      <c r="F60" s="35" t="str">
        <f>IF(G60="",(""),(INDEX('Desarrollo de Redes'!$A$37:$J$56,(MATCH('Desarrollo de Redes'!G60,'Desarrollo de Redes'!$A$37:$A$56,0)),(7))))</f>
        <v/>
      </c>
      <c r="G60" s="111" t="str">
        <f>H60</f>
        <v/>
      </c>
      <c r="H60" s="35" t="str">
        <f>IF(I60="",(""),(INDEX('Desarrollo de Redes'!$A$37:$J$56,(MATCH('Desarrollo de Redes'!I60,'Desarrollo de Redes'!$A$37:$A$56,0)),(7))))</f>
        <v/>
      </c>
      <c r="I60" s="111" t="str">
        <f>J60</f>
        <v/>
      </c>
      <c r="J60" s="35" t="str">
        <f>IF(K60="",(""),(INDEX('Desarrollo de Redes'!$A$37:$J$56,(MATCH('Desarrollo de Redes'!K60,'Desarrollo de Redes'!$A$37:$A$56,0)),(7))))</f>
        <v/>
      </c>
      <c r="K60" s="111" t="str">
        <f>L60</f>
        <v/>
      </c>
      <c r="L60" s="35" t="str">
        <f>IF(M60="",(""),(INDEX('Desarrollo de Redes'!$A$37:$J$56,(MATCH('Desarrollo de Redes'!M60,'Desarrollo de Redes'!$A$37:$A$56,0)),(7))))</f>
        <v/>
      </c>
      <c r="M60" s="108" t="str">
        <f>IF(Precedencias!F4="Final",(Precedencias!A4),(""))</f>
        <v/>
      </c>
    </row>
    <row r="61" spans="1:21" x14ac:dyDescent="0.25">
      <c r="A61" s="40"/>
      <c r="B61" s="109" t="str">
        <f>IF(C60="",(""),(INDEX('Desarrollo de Redes'!$A$37:$J$56,(MATCH('Desarrollo de Redes'!C60,'Desarrollo de Redes'!$A$37:$A$56,0)),(8))))</f>
        <v/>
      </c>
      <c r="C61" s="111" t="str">
        <f t="shared" ref="C61" si="6">D61</f>
        <v/>
      </c>
      <c r="D61" s="109" t="str">
        <f>IF(E60="",(""),(INDEX('Desarrollo de Redes'!$A$37:$J$56,(MATCH('Desarrollo de Redes'!E60,'Desarrollo de Redes'!$A$37:$A$56,0)),(8))))</f>
        <v/>
      </c>
      <c r="E61" s="111" t="str">
        <f t="shared" ref="E61:G61" si="7">F61</f>
        <v/>
      </c>
      <c r="F61" s="109" t="str">
        <f>IF(G60="",(""),(INDEX('Desarrollo de Redes'!$A$37:$J$56,(MATCH('Desarrollo de Redes'!G60,'Desarrollo de Redes'!$A$37:$A$56,0)),(8))))</f>
        <v/>
      </c>
      <c r="G61" s="111" t="str">
        <f t="shared" si="7"/>
        <v/>
      </c>
      <c r="H61" s="109" t="str">
        <f>IF(I60="",(""),(INDEX('Desarrollo de Redes'!$A$37:$J$56,(MATCH('Desarrollo de Redes'!I60,'Desarrollo de Redes'!$A$37:$A$56,0)),(8))))</f>
        <v/>
      </c>
      <c r="I61" s="111" t="str">
        <f t="shared" ref="I61:K123" si="8">J61</f>
        <v/>
      </c>
      <c r="J61" s="109" t="str">
        <f>IF(K60="",(""),(INDEX('Desarrollo de Redes'!$A$37:$J$56,(MATCH('Desarrollo de Redes'!K60,'Desarrollo de Redes'!$A$37:$A$56,0)),(8))))</f>
        <v/>
      </c>
      <c r="K61" s="111" t="str">
        <f t="shared" si="8"/>
        <v/>
      </c>
      <c r="L61" s="109" t="str">
        <f>IF(M60="",(""),(INDEX('Desarrollo de Redes'!$A$37:$J$56,(MATCH('Desarrollo de Redes'!M60,'Desarrollo de Redes'!$A$37:$A$56,0)),(8))))</f>
        <v/>
      </c>
      <c r="M61" s="4"/>
    </row>
    <row r="62" spans="1:21" x14ac:dyDescent="0.25">
      <c r="A62" s="40"/>
      <c r="B62" s="109" t="str">
        <f>IF(C60="",(""),(INDEX('Desarrollo de Redes'!$A$37:$J$56,(MATCH('Desarrollo de Redes'!C60,'Desarrollo de Redes'!$A$37:$A$56,0)),(9))))</f>
        <v/>
      </c>
      <c r="C62" s="111" t="str">
        <f t="shared" ref="C62" si="9">D62</f>
        <v/>
      </c>
      <c r="D62" s="109" t="str">
        <f>IF(E60="",(""),(INDEX('Desarrollo de Redes'!$A$37:$J$56,(MATCH('Desarrollo de Redes'!E60,'Desarrollo de Redes'!$A$37:$A$56,0)),(9))))</f>
        <v/>
      </c>
      <c r="E62" s="111" t="str">
        <f t="shared" ref="E62:G62" si="10">F62</f>
        <v/>
      </c>
      <c r="F62" s="109" t="str">
        <f>IF(G60="",(""),(INDEX('Desarrollo de Redes'!$A$37:$J$56,(MATCH('Desarrollo de Redes'!G60,'Desarrollo de Redes'!$A$37:$A$56,0)),(9))))</f>
        <v/>
      </c>
      <c r="G62" s="111" t="str">
        <f t="shared" si="10"/>
        <v/>
      </c>
      <c r="H62" s="109" t="str">
        <f>IF(I60="",(""),(INDEX('Desarrollo de Redes'!$A$37:$J$56,(MATCH('Desarrollo de Redes'!I60,'Desarrollo de Redes'!$A$37:$A$56,0)),(9))))</f>
        <v/>
      </c>
      <c r="I62" s="111" t="str">
        <f t="shared" si="8"/>
        <v/>
      </c>
      <c r="J62" s="109" t="str">
        <f>IF(K60="",(""),(INDEX('Desarrollo de Redes'!$A$37:$J$56,(MATCH('Desarrollo de Redes'!K60,'Desarrollo de Redes'!$A$37:$A$56,0)),(9))))</f>
        <v/>
      </c>
      <c r="K62" s="111" t="str">
        <f t="shared" si="8"/>
        <v/>
      </c>
      <c r="L62" s="109" t="str">
        <f>IF(M60="",(""),(INDEX('Desarrollo de Redes'!$A$37:$J$56,(MATCH('Desarrollo de Redes'!M60,'Desarrollo de Redes'!$A$37:$A$56,0)),(9))))</f>
        <v/>
      </c>
      <c r="M62" s="4"/>
    </row>
    <row r="63" spans="1:21" x14ac:dyDescent="0.25">
      <c r="A63" s="40"/>
      <c r="B63" s="109" t="str">
        <f>IF(C60="",(""),(INDEX('Desarrollo de Redes'!$A$37:$J$56,(MATCH('Desarrollo de Redes'!C60,'Desarrollo de Redes'!$A$37:$A$56,0)),(10))))</f>
        <v/>
      </c>
      <c r="C63" s="111" t="str">
        <f t="shared" ref="C63" si="11">D63</f>
        <v/>
      </c>
      <c r="D63" s="109" t="str">
        <f>IF(E60="",(""),(INDEX('Desarrollo de Redes'!$A$37:$J$56,(MATCH('Desarrollo de Redes'!E60,'Desarrollo de Redes'!$A$37:$A$56,0)),(10))))</f>
        <v/>
      </c>
      <c r="E63" s="111" t="str">
        <f t="shared" ref="E63:G63" si="12">F63</f>
        <v/>
      </c>
      <c r="F63" s="109" t="str">
        <f>IF(G60="",(""),(INDEX('Desarrollo de Redes'!$A$37:$J$56,(MATCH('Desarrollo de Redes'!G60,'Desarrollo de Redes'!$A$37:$A$56,0)),(10))))</f>
        <v/>
      </c>
      <c r="G63" s="111" t="str">
        <f t="shared" si="12"/>
        <v/>
      </c>
      <c r="H63" s="109" t="str">
        <f>IF(I60="",(""),(INDEX('Desarrollo de Redes'!$A$37:$J$56,(MATCH('Desarrollo de Redes'!I60,'Desarrollo de Redes'!$A$37:$A$56,0)),(10))))</f>
        <v/>
      </c>
      <c r="I63" s="111" t="str">
        <f t="shared" si="8"/>
        <v/>
      </c>
      <c r="J63" s="109" t="str">
        <f>IF(K60="",(""),(INDEX('Desarrollo de Redes'!$A$37:$J$56,(MATCH('Desarrollo de Redes'!K60,'Desarrollo de Redes'!$A$37:$A$56,0)),(10))))</f>
        <v/>
      </c>
      <c r="K63" s="111" t="str">
        <f t="shared" si="8"/>
        <v/>
      </c>
      <c r="L63" s="109" t="str">
        <f>IF(M60="",(""),(INDEX('Desarrollo de Redes'!$A$37:$J$56,(MATCH('Desarrollo de Redes'!M60,'Desarrollo de Redes'!$A$37:$A$56,0)),(10))))</f>
        <v/>
      </c>
      <c r="M63" s="4"/>
    </row>
    <row r="64" spans="1:21" x14ac:dyDescent="0.25">
      <c r="A64" s="39"/>
      <c r="B64" s="35" t="str">
        <f>IF(C64="",(""),(INDEX('Desarrollo de Redes'!$A$37:$J$56,(MATCH('Desarrollo de Redes'!C64,'Desarrollo de Redes'!$A$37:$A$56,0)),(7))))</f>
        <v/>
      </c>
      <c r="C64" s="111" t="str">
        <f t="shared" ref="C64" si="13">D64</f>
        <v/>
      </c>
      <c r="D64" s="35" t="str">
        <f>IF(E64="",(""),(INDEX('Desarrollo de Redes'!$A$37:$J$56,(MATCH('Desarrollo de Redes'!E64,'Desarrollo de Redes'!$A$37:$A$56,0)),(7))))</f>
        <v/>
      </c>
      <c r="E64" s="111" t="str">
        <f t="shared" ref="E64:G64" si="14">F64</f>
        <v/>
      </c>
      <c r="F64" s="35" t="str">
        <f>IF(G64="",(""),(INDEX('Desarrollo de Redes'!$A$37:$J$56,(MATCH('Desarrollo de Redes'!G64,'Desarrollo de Redes'!$A$37:$A$56,0)),(7))))</f>
        <v/>
      </c>
      <c r="G64" s="111" t="str">
        <f t="shared" si="14"/>
        <v/>
      </c>
      <c r="H64" s="35" t="str">
        <f>IF(I64="",(""),(INDEX('Desarrollo de Redes'!$A$37:$J$56,(MATCH('Desarrollo de Redes'!I64,'Desarrollo de Redes'!$A$37:$A$56,0)),(7))))</f>
        <v/>
      </c>
      <c r="I64" s="111" t="str">
        <f t="shared" si="8"/>
        <v/>
      </c>
      <c r="J64" s="35" t="str">
        <f>IF(K64="",(""),(INDEX('Desarrollo de Redes'!$A$37:$J$56,(MATCH('Desarrollo de Redes'!K64,'Desarrollo de Redes'!$A$37:$A$56,0)),(7))))</f>
        <v/>
      </c>
      <c r="K64" s="111" t="str">
        <f t="shared" si="8"/>
        <v/>
      </c>
      <c r="L64" s="35" t="str">
        <f>IF(M64="",(""),(INDEX('Desarrollo de Redes'!$A$37:$J$56,(MATCH('Desarrollo de Redes'!M64,'Desarrollo de Redes'!$A$37:$A$56,0)),(7))))</f>
        <v/>
      </c>
      <c r="M64" s="108" t="str">
        <f>IF(Precedencias!F5="Final",(Precedencias!A5),(""))</f>
        <v/>
      </c>
    </row>
    <row r="65" spans="1:13" x14ac:dyDescent="0.25">
      <c r="A65" s="40"/>
      <c r="B65" s="109" t="str">
        <f>IF(C64="",(""),(INDEX('Desarrollo de Redes'!$A$37:$J$56,(MATCH('Desarrollo de Redes'!C64,'Desarrollo de Redes'!$A$37:$A$56,0)),(8))))</f>
        <v/>
      </c>
      <c r="C65" s="111" t="str">
        <f t="shared" ref="C65" si="15">D65</f>
        <v/>
      </c>
      <c r="D65" s="109" t="str">
        <f>IF(E64="",(""),(INDEX('Desarrollo de Redes'!$A$37:$J$56,(MATCH('Desarrollo de Redes'!E64,'Desarrollo de Redes'!$A$37:$A$56,0)),(8))))</f>
        <v/>
      </c>
      <c r="E65" s="111" t="str">
        <f t="shared" ref="E65:G65" si="16">F65</f>
        <v/>
      </c>
      <c r="F65" s="109" t="str">
        <f>IF(G64="",(""),(INDEX('Desarrollo de Redes'!$A$37:$J$56,(MATCH('Desarrollo de Redes'!G64,'Desarrollo de Redes'!$A$37:$A$56,0)),(8))))</f>
        <v/>
      </c>
      <c r="G65" s="111" t="str">
        <f t="shared" si="16"/>
        <v/>
      </c>
      <c r="H65" s="109" t="str">
        <f>IF(I64="",(""),(INDEX('Desarrollo de Redes'!$A$37:$J$56,(MATCH('Desarrollo de Redes'!I64,'Desarrollo de Redes'!$A$37:$A$56,0)),(8))))</f>
        <v/>
      </c>
      <c r="I65" s="111" t="str">
        <f t="shared" si="8"/>
        <v/>
      </c>
      <c r="J65" s="109" t="str">
        <f>IF(K64="",(""),(INDEX('Desarrollo de Redes'!$A$37:$J$56,(MATCH('Desarrollo de Redes'!K64,'Desarrollo de Redes'!$A$37:$A$56,0)),(8))))</f>
        <v/>
      </c>
      <c r="K65" s="111" t="str">
        <f t="shared" si="8"/>
        <v/>
      </c>
      <c r="L65" s="109" t="str">
        <f>IF(M64="",(""),(INDEX('Desarrollo de Redes'!$A$37:$J$56,(MATCH('Desarrollo de Redes'!M64,'Desarrollo de Redes'!$A$37:$A$56,0)),(8))))</f>
        <v/>
      </c>
      <c r="M65" s="4"/>
    </row>
    <row r="66" spans="1:13" x14ac:dyDescent="0.25">
      <c r="A66" s="40"/>
      <c r="B66" s="109" t="str">
        <f>IF(C64="",(""),(INDEX('Desarrollo de Redes'!$A$37:$J$56,(MATCH('Desarrollo de Redes'!C64,'Desarrollo de Redes'!$A$37:$A$56,0)),(9))))</f>
        <v/>
      </c>
      <c r="C66" s="111" t="str">
        <f t="shared" ref="C66" si="17">D66</f>
        <v/>
      </c>
      <c r="D66" s="109" t="str">
        <f>IF(E64="",(""),(INDEX('Desarrollo de Redes'!$A$37:$J$56,(MATCH('Desarrollo de Redes'!E64,'Desarrollo de Redes'!$A$37:$A$56,0)),(9))))</f>
        <v/>
      </c>
      <c r="E66" s="111" t="str">
        <f t="shared" ref="E66:G66" si="18">F66</f>
        <v/>
      </c>
      <c r="F66" s="109" t="str">
        <f>IF(G64="",(""),(INDEX('Desarrollo de Redes'!$A$37:$J$56,(MATCH('Desarrollo de Redes'!G64,'Desarrollo de Redes'!$A$37:$A$56,0)),(9))))</f>
        <v/>
      </c>
      <c r="G66" s="111" t="str">
        <f t="shared" si="18"/>
        <v/>
      </c>
      <c r="H66" s="109" t="str">
        <f>IF(I64="",(""),(INDEX('Desarrollo de Redes'!$A$37:$J$56,(MATCH('Desarrollo de Redes'!I64,'Desarrollo de Redes'!$A$37:$A$56,0)),(9))))</f>
        <v/>
      </c>
      <c r="I66" s="111" t="str">
        <f t="shared" si="8"/>
        <v/>
      </c>
      <c r="J66" s="109" t="str">
        <f>IF(K64="",(""),(INDEX('Desarrollo de Redes'!$A$37:$J$56,(MATCH('Desarrollo de Redes'!K64,'Desarrollo de Redes'!$A$37:$A$56,0)),(9))))</f>
        <v/>
      </c>
      <c r="K66" s="111" t="str">
        <f t="shared" si="8"/>
        <v/>
      </c>
      <c r="L66" s="109" t="str">
        <f>IF(M64="",(""),(INDEX('Desarrollo de Redes'!$A$37:$J$56,(MATCH('Desarrollo de Redes'!M64,'Desarrollo de Redes'!$A$37:$A$56,0)),(9))))</f>
        <v/>
      </c>
      <c r="M66" s="4"/>
    </row>
    <row r="67" spans="1:13" x14ac:dyDescent="0.25">
      <c r="A67" s="41"/>
      <c r="B67" s="109" t="str">
        <f>IF(C64="",(""),(INDEX('Desarrollo de Redes'!$A$37:$J$56,(MATCH('Desarrollo de Redes'!C64,'Desarrollo de Redes'!$A$37:$A$56,0)),(10))))</f>
        <v/>
      </c>
      <c r="C67" s="111" t="str">
        <f t="shared" ref="C67" si="19">D67</f>
        <v/>
      </c>
      <c r="D67" s="109" t="str">
        <f>IF(E64="",(""),(INDEX('Desarrollo de Redes'!$A$37:$J$56,(MATCH('Desarrollo de Redes'!E64,'Desarrollo de Redes'!$A$37:$A$56,0)),(10))))</f>
        <v/>
      </c>
      <c r="E67" s="111" t="str">
        <f t="shared" ref="E67:G67" si="20">F67</f>
        <v/>
      </c>
      <c r="F67" s="109" t="str">
        <f>IF(G64="",(""),(INDEX('Desarrollo de Redes'!$A$37:$J$56,(MATCH('Desarrollo de Redes'!G64,'Desarrollo de Redes'!$A$37:$A$56,0)),(10))))</f>
        <v/>
      </c>
      <c r="G67" s="111" t="str">
        <f t="shared" si="20"/>
        <v/>
      </c>
      <c r="H67" s="109" t="str">
        <f>IF(I64="",(""),(INDEX('Desarrollo de Redes'!$A$37:$J$56,(MATCH('Desarrollo de Redes'!I64,'Desarrollo de Redes'!$A$37:$A$56,0)),(10))))</f>
        <v/>
      </c>
      <c r="I67" s="111" t="str">
        <f t="shared" si="8"/>
        <v/>
      </c>
      <c r="J67" s="109" t="str">
        <f>IF(K64="",(""),(INDEX('Desarrollo de Redes'!$A$37:$J$56,(MATCH('Desarrollo de Redes'!K64,'Desarrollo de Redes'!$A$37:$A$56,0)),(10))))</f>
        <v/>
      </c>
      <c r="K67" s="111" t="str">
        <f t="shared" si="8"/>
        <v/>
      </c>
      <c r="L67" s="109" t="str">
        <f>IF(M64="",(""),(INDEX('Desarrollo de Redes'!$A$37:$J$56,(MATCH('Desarrollo de Redes'!M64,'Desarrollo de Redes'!$A$37:$A$56,0)),(10))))</f>
        <v/>
      </c>
      <c r="M67" s="5"/>
    </row>
    <row r="68" spans="1:13" x14ac:dyDescent="0.25">
      <c r="A68" s="40"/>
      <c r="B68" s="35" t="str">
        <f>IF(C68="",(""),(INDEX('Desarrollo de Redes'!$A$37:$J$56,(MATCH('Desarrollo de Redes'!C68,'Desarrollo de Redes'!$A$37:$A$56,0)),(7))))</f>
        <v/>
      </c>
      <c r="C68" s="111" t="str">
        <f t="shared" ref="C68" si="21">D68</f>
        <v/>
      </c>
      <c r="D68" s="35" t="str">
        <f>IF(E68="",(""),(INDEX('Desarrollo de Redes'!$A$37:$J$56,(MATCH('Desarrollo de Redes'!E68,'Desarrollo de Redes'!$A$37:$A$56,0)),(7))))</f>
        <v/>
      </c>
      <c r="E68" s="111" t="str">
        <f t="shared" ref="E68:G68" si="22">F68</f>
        <v/>
      </c>
      <c r="F68" s="35" t="str">
        <f>IF(G68="",(""),(INDEX('Desarrollo de Redes'!$A$37:$J$56,(MATCH('Desarrollo de Redes'!G68,'Desarrollo de Redes'!$A$37:$A$56,0)),(7))))</f>
        <v/>
      </c>
      <c r="G68" s="111" t="str">
        <f t="shared" si="22"/>
        <v/>
      </c>
      <c r="H68" s="35" t="str">
        <f>IF(I68="",(""),(INDEX('Desarrollo de Redes'!$A$37:$J$56,(MATCH('Desarrollo de Redes'!I68,'Desarrollo de Redes'!$A$37:$A$56,0)),(7))))</f>
        <v/>
      </c>
      <c r="I68" s="111" t="str">
        <f t="shared" si="8"/>
        <v/>
      </c>
      <c r="J68" s="35" t="str">
        <f>IF(K68="",(""),(INDEX('Desarrollo de Redes'!$A$37:$J$56,(MATCH('Desarrollo de Redes'!K68,'Desarrollo de Redes'!$A$37:$A$56,0)),(7))))</f>
        <v/>
      </c>
      <c r="K68" s="111" t="str">
        <f t="shared" si="8"/>
        <v/>
      </c>
      <c r="L68" s="109" t="str">
        <f>IF(M68="",(""),(INDEX('Desarrollo de Redes'!$A$37:$J$56,(MATCH('Desarrollo de Redes'!M68,'Desarrollo de Redes'!$A$37:$A$56,0)),(7))))</f>
        <v/>
      </c>
      <c r="M68" s="110" t="str">
        <f>IF(Precedencias!F6="Final",(Precedencias!A6),(""))</f>
        <v/>
      </c>
    </row>
    <row r="69" spans="1:13" x14ac:dyDescent="0.25">
      <c r="A69" s="40"/>
      <c r="B69" s="109" t="str">
        <f>IF(C68="",(""),(INDEX('Desarrollo de Redes'!$A$37:$J$56,(MATCH('Desarrollo de Redes'!C68,'Desarrollo de Redes'!$A$37:$A$56,0)),(8))))</f>
        <v/>
      </c>
      <c r="C69" s="111" t="str">
        <f t="shared" ref="C69" si="23">D69</f>
        <v/>
      </c>
      <c r="D69" s="109" t="str">
        <f>IF(E68="",(""),(INDEX('Desarrollo de Redes'!$A$37:$J$56,(MATCH('Desarrollo de Redes'!E68,'Desarrollo de Redes'!$A$37:$A$56,0)),(8))))</f>
        <v/>
      </c>
      <c r="E69" s="111" t="str">
        <f t="shared" ref="E69:G69" si="24">F69</f>
        <v/>
      </c>
      <c r="F69" s="109" t="str">
        <f>IF(G68="",(""),(INDEX('Desarrollo de Redes'!$A$37:$J$56,(MATCH('Desarrollo de Redes'!G68,'Desarrollo de Redes'!$A$37:$A$56,0)),(8))))</f>
        <v/>
      </c>
      <c r="G69" s="111" t="str">
        <f t="shared" si="24"/>
        <v/>
      </c>
      <c r="H69" s="109" t="str">
        <f>IF(I68="",(""),(INDEX('Desarrollo de Redes'!$A$37:$J$56,(MATCH('Desarrollo de Redes'!I68,'Desarrollo de Redes'!$A$37:$A$56,0)),(8))))</f>
        <v/>
      </c>
      <c r="I69" s="111" t="str">
        <f t="shared" si="8"/>
        <v/>
      </c>
      <c r="J69" s="109" t="str">
        <f>IF(K68="",(""),(INDEX('Desarrollo de Redes'!$A$37:$J$56,(MATCH('Desarrollo de Redes'!K68,'Desarrollo de Redes'!$A$37:$A$56,0)),(8))))</f>
        <v/>
      </c>
      <c r="K69" s="111" t="str">
        <f t="shared" si="8"/>
        <v/>
      </c>
      <c r="L69" s="109" t="str">
        <f>IF(M68="",(""),(INDEX('Desarrollo de Redes'!$A$37:$J$56,(MATCH('Desarrollo de Redes'!M68,'Desarrollo de Redes'!$A$37:$A$56,0)),(8))))</f>
        <v/>
      </c>
      <c r="M69" s="4"/>
    </row>
    <row r="70" spans="1:13" x14ac:dyDescent="0.25">
      <c r="A70" s="40"/>
      <c r="B70" s="109" t="str">
        <f>IF(C68="",(""),(INDEX('Desarrollo de Redes'!$A$37:$J$56,(MATCH('Desarrollo de Redes'!C68,'Desarrollo de Redes'!$A$37:$A$56,0)),(9))))</f>
        <v/>
      </c>
      <c r="C70" s="111" t="str">
        <f t="shared" ref="C70" si="25">D70</f>
        <v/>
      </c>
      <c r="D70" s="109" t="str">
        <f>IF(E68="",(""),(INDEX('Desarrollo de Redes'!$A$37:$J$56,(MATCH('Desarrollo de Redes'!E68,'Desarrollo de Redes'!$A$37:$A$56,0)),(9))))</f>
        <v/>
      </c>
      <c r="E70" s="111" t="str">
        <f t="shared" ref="E70:G70" si="26">F70</f>
        <v/>
      </c>
      <c r="F70" s="109" t="str">
        <f>IF(G68="",(""),(INDEX('Desarrollo de Redes'!$A$37:$J$56,(MATCH('Desarrollo de Redes'!G68,'Desarrollo de Redes'!$A$37:$A$56,0)),(9))))</f>
        <v/>
      </c>
      <c r="G70" s="111" t="str">
        <f t="shared" si="26"/>
        <v/>
      </c>
      <c r="H70" s="109" t="str">
        <f>IF(I68="",(""),(INDEX('Desarrollo de Redes'!$A$37:$J$56,(MATCH('Desarrollo de Redes'!I68,'Desarrollo de Redes'!$A$37:$A$56,0)),(9))))</f>
        <v/>
      </c>
      <c r="I70" s="111" t="str">
        <f t="shared" si="8"/>
        <v/>
      </c>
      <c r="J70" s="109" t="str">
        <f>IF(K68="",(""),(INDEX('Desarrollo de Redes'!$A$37:$J$56,(MATCH('Desarrollo de Redes'!K68,'Desarrollo de Redes'!$A$37:$A$56,0)),(9))))</f>
        <v/>
      </c>
      <c r="K70" s="111" t="str">
        <f t="shared" si="8"/>
        <v/>
      </c>
      <c r="L70" s="109" t="str">
        <f>IF(M68="",(""),(INDEX('Desarrollo de Redes'!$A$37:$J$56,(MATCH('Desarrollo de Redes'!M68,'Desarrollo de Redes'!$A$37:$A$56,0)),(9))))</f>
        <v/>
      </c>
      <c r="M70" s="4"/>
    </row>
    <row r="71" spans="1:13" x14ac:dyDescent="0.25">
      <c r="A71" s="40"/>
      <c r="B71" s="109" t="str">
        <f>IF(C68="",(""),(INDEX('Desarrollo de Redes'!$A$37:$J$56,(MATCH('Desarrollo de Redes'!C68,'Desarrollo de Redes'!$A$37:$A$56,0)),(10))))</f>
        <v/>
      </c>
      <c r="C71" s="111" t="str">
        <f t="shared" ref="C71" si="27">D71</f>
        <v/>
      </c>
      <c r="D71" s="109" t="str">
        <f>IF(E68="",(""),(INDEX('Desarrollo de Redes'!$A$37:$J$56,(MATCH('Desarrollo de Redes'!E68,'Desarrollo de Redes'!$A$37:$A$56,0)),(10))))</f>
        <v/>
      </c>
      <c r="E71" s="111" t="str">
        <f t="shared" ref="E71:G71" si="28">F71</f>
        <v/>
      </c>
      <c r="F71" s="109" t="str">
        <f>IF(G68="",(""),(INDEX('Desarrollo de Redes'!$A$37:$J$56,(MATCH('Desarrollo de Redes'!G68,'Desarrollo de Redes'!$A$37:$A$56,0)),(10))))</f>
        <v/>
      </c>
      <c r="G71" s="111" t="str">
        <f t="shared" si="28"/>
        <v/>
      </c>
      <c r="H71" s="109" t="str">
        <f>IF(I68="",(""),(INDEX('Desarrollo de Redes'!$A$37:$J$56,(MATCH('Desarrollo de Redes'!I68,'Desarrollo de Redes'!$A$37:$A$56,0)),(10))))</f>
        <v/>
      </c>
      <c r="I71" s="111" t="str">
        <f t="shared" si="8"/>
        <v/>
      </c>
      <c r="J71" s="109" t="str">
        <f>IF(K68="",(""),(INDEX('Desarrollo de Redes'!$A$37:$J$56,(MATCH('Desarrollo de Redes'!K68,'Desarrollo de Redes'!$A$37:$A$56,0)),(10))))</f>
        <v/>
      </c>
      <c r="K71" s="111" t="str">
        <f t="shared" si="8"/>
        <v/>
      </c>
      <c r="L71" s="109" t="str">
        <f>IF(M68="",(""),(INDEX('Desarrollo de Redes'!$A$37:$J$56,(MATCH('Desarrollo de Redes'!M68,'Desarrollo de Redes'!$A$37:$A$56,0)),(10))))</f>
        <v/>
      </c>
      <c r="M71" s="4"/>
    </row>
    <row r="72" spans="1:13" x14ac:dyDescent="0.25">
      <c r="A72" s="39"/>
      <c r="B72" s="35" t="str">
        <f>IF(C72="",(""),(INDEX('Desarrollo de Redes'!$A$37:$J$56,(MATCH('Desarrollo de Redes'!C72,'Desarrollo de Redes'!$A$37:$A$56,0)),(7))))</f>
        <v/>
      </c>
      <c r="C72" s="111" t="str">
        <f t="shared" ref="C72" si="29">D72</f>
        <v/>
      </c>
      <c r="D72" s="35" t="str">
        <f>IF(E72="",(""),(INDEX('Desarrollo de Redes'!$A$37:$J$56,(MATCH('Desarrollo de Redes'!E72,'Desarrollo de Redes'!$A$37:$A$56,0)),(7))))</f>
        <v/>
      </c>
      <c r="E72" s="111" t="str">
        <f t="shared" ref="E72:G72" si="30">F72</f>
        <v/>
      </c>
      <c r="F72" s="35" t="str">
        <f>IF(G72="",(""),(INDEX('Desarrollo de Redes'!$A$37:$J$56,(MATCH('Desarrollo de Redes'!G72,'Desarrollo de Redes'!$A$37:$A$56,0)),(7))))</f>
        <v/>
      </c>
      <c r="G72" s="111" t="str">
        <f t="shared" si="30"/>
        <v/>
      </c>
      <c r="H72" s="35" t="str">
        <f>IF(I72="",(""),(INDEX('Desarrollo de Redes'!$A$37:$J$56,(MATCH('Desarrollo de Redes'!I72,'Desarrollo de Redes'!$A$37:$A$56,0)),(7))))</f>
        <v/>
      </c>
      <c r="I72" s="111" t="str">
        <f t="shared" si="8"/>
        <v/>
      </c>
      <c r="J72" s="35" t="str">
        <f>IF(K72="",(""),(INDEX('Desarrollo de Redes'!$A$37:$J$56,(MATCH('Desarrollo de Redes'!K72,'Desarrollo de Redes'!$A$37:$A$56,0)),(7))))</f>
        <v/>
      </c>
      <c r="K72" s="111" t="str">
        <f t="shared" si="8"/>
        <v/>
      </c>
      <c r="L72" s="35" t="str">
        <f>IF(M72="",(""),(INDEX('Desarrollo de Redes'!$A$37:$J$56,(MATCH('Desarrollo de Redes'!M72,'Desarrollo de Redes'!$A$37:$A$56,0)),(7))))</f>
        <v/>
      </c>
      <c r="M72" s="108" t="str">
        <f>IF(Precedencias!F7="Final",(Precedencias!A7),(""))</f>
        <v/>
      </c>
    </row>
    <row r="73" spans="1:13" x14ac:dyDescent="0.25">
      <c r="A73" s="40"/>
      <c r="B73" s="109" t="str">
        <f>IF(C72="",(""),(INDEX('Desarrollo de Redes'!$A$37:$J$56,(MATCH('Desarrollo de Redes'!C72,'Desarrollo de Redes'!$A$37:$A$56,0)),(8))))</f>
        <v/>
      </c>
      <c r="C73" s="111" t="str">
        <f t="shared" ref="C73" si="31">D73</f>
        <v/>
      </c>
      <c r="D73" s="109" t="str">
        <f>IF(E72="",(""),(INDEX('Desarrollo de Redes'!$A$37:$J$56,(MATCH('Desarrollo de Redes'!E72,'Desarrollo de Redes'!$A$37:$A$56,0)),(8))))</f>
        <v/>
      </c>
      <c r="E73" s="111" t="str">
        <f t="shared" ref="E73:G73" si="32">F73</f>
        <v/>
      </c>
      <c r="F73" s="109" t="str">
        <f>IF(G72="",(""),(INDEX('Desarrollo de Redes'!$A$37:$J$56,(MATCH('Desarrollo de Redes'!G72,'Desarrollo de Redes'!$A$37:$A$56,0)),(8))))</f>
        <v/>
      </c>
      <c r="G73" s="111" t="str">
        <f t="shared" si="32"/>
        <v/>
      </c>
      <c r="H73" s="109" t="str">
        <f>IF(I72="",(""),(INDEX('Desarrollo de Redes'!$A$37:$J$56,(MATCH('Desarrollo de Redes'!I72,'Desarrollo de Redes'!$A$37:$A$56,0)),(8))))</f>
        <v/>
      </c>
      <c r="I73" s="111" t="str">
        <f t="shared" si="8"/>
        <v/>
      </c>
      <c r="J73" s="109" t="str">
        <f>IF(K72="",(""),(INDEX('Desarrollo de Redes'!$A$37:$J$56,(MATCH('Desarrollo de Redes'!K72,'Desarrollo de Redes'!$A$37:$A$56,0)),(8))))</f>
        <v/>
      </c>
      <c r="K73" s="111" t="str">
        <f t="shared" si="8"/>
        <v/>
      </c>
      <c r="L73" s="109" t="str">
        <f>IF(M72="",(""),(INDEX('Desarrollo de Redes'!$A$37:$J$56,(MATCH('Desarrollo de Redes'!M72,'Desarrollo de Redes'!$A$37:$A$56,0)),(8))))</f>
        <v/>
      </c>
      <c r="M73" s="4"/>
    </row>
    <row r="74" spans="1:13" x14ac:dyDescent="0.25">
      <c r="A74" s="40"/>
      <c r="B74" s="109" t="str">
        <f>IF(C72="",(""),(INDEX('Desarrollo de Redes'!$A$37:$J$56,(MATCH('Desarrollo de Redes'!C72,'Desarrollo de Redes'!$A$37:$A$56,0)),(9))))</f>
        <v/>
      </c>
      <c r="C74" s="111" t="str">
        <f t="shared" ref="C74" si="33">D74</f>
        <v/>
      </c>
      <c r="D74" s="109" t="str">
        <f>IF(E72="",(""),(INDEX('Desarrollo de Redes'!$A$37:$J$56,(MATCH('Desarrollo de Redes'!E72,'Desarrollo de Redes'!$A$37:$A$56,0)),(9))))</f>
        <v/>
      </c>
      <c r="E74" s="111" t="str">
        <f t="shared" ref="E74:G74" si="34">F74</f>
        <v/>
      </c>
      <c r="F74" s="109" t="str">
        <f>IF(G72="",(""),(INDEX('Desarrollo de Redes'!$A$37:$J$56,(MATCH('Desarrollo de Redes'!G72,'Desarrollo de Redes'!$A$37:$A$56,0)),(9))))</f>
        <v/>
      </c>
      <c r="G74" s="111" t="str">
        <f t="shared" si="34"/>
        <v/>
      </c>
      <c r="H74" s="109" t="str">
        <f>IF(I72="",(""),(INDEX('Desarrollo de Redes'!$A$37:$J$56,(MATCH('Desarrollo de Redes'!I72,'Desarrollo de Redes'!$A$37:$A$56,0)),(9))))</f>
        <v/>
      </c>
      <c r="I74" s="111" t="str">
        <f t="shared" si="8"/>
        <v/>
      </c>
      <c r="J74" s="109" t="str">
        <f>IF(K72="",(""),(INDEX('Desarrollo de Redes'!$A$37:$J$56,(MATCH('Desarrollo de Redes'!K72,'Desarrollo de Redes'!$A$37:$A$56,0)),(9))))</f>
        <v/>
      </c>
      <c r="K74" s="111" t="str">
        <f t="shared" si="8"/>
        <v/>
      </c>
      <c r="L74" s="109" t="str">
        <f>IF(M72="",(""),(INDEX('Desarrollo de Redes'!$A$37:$J$56,(MATCH('Desarrollo de Redes'!M72,'Desarrollo de Redes'!$A$37:$A$56,0)),(9))))</f>
        <v/>
      </c>
      <c r="M74" s="4"/>
    </row>
    <row r="75" spans="1:13" x14ac:dyDescent="0.25">
      <c r="A75" s="41"/>
      <c r="B75" s="109" t="str">
        <f>IF(C72="",(""),(INDEX('Desarrollo de Redes'!$A$37:$J$56,(MATCH('Desarrollo de Redes'!C72,'Desarrollo de Redes'!$A$37:$A$56,0)),(10))))</f>
        <v/>
      </c>
      <c r="C75" s="111" t="str">
        <f t="shared" ref="C75" si="35">D75</f>
        <v/>
      </c>
      <c r="D75" s="109" t="str">
        <f>IF(E72="",(""),(INDEX('Desarrollo de Redes'!$A$37:$J$56,(MATCH('Desarrollo de Redes'!E72,'Desarrollo de Redes'!$A$37:$A$56,0)),(10))))</f>
        <v/>
      </c>
      <c r="E75" s="111" t="str">
        <f t="shared" ref="E75:G75" si="36">F75</f>
        <v/>
      </c>
      <c r="F75" s="109" t="str">
        <f>IF(G72="",(""),(INDEX('Desarrollo de Redes'!$A$37:$J$56,(MATCH('Desarrollo de Redes'!G72,'Desarrollo de Redes'!$A$37:$A$56,0)),(10))))</f>
        <v/>
      </c>
      <c r="G75" s="111" t="str">
        <f t="shared" si="36"/>
        <v/>
      </c>
      <c r="H75" s="109" t="str">
        <f>IF(I72="",(""),(INDEX('Desarrollo de Redes'!$A$37:$J$56,(MATCH('Desarrollo de Redes'!I72,'Desarrollo de Redes'!$A$37:$A$56,0)),(10))))</f>
        <v/>
      </c>
      <c r="I75" s="111" t="str">
        <f t="shared" si="8"/>
        <v/>
      </c>
      <c r="J75" s="109" t="str">
        <f>IF(K72="",(""),(INDEX('Desarrollo de Redes'!$A$37:$J$56,(MATCH('Desarrollo de Redes'!K72,'Desarrollo de Redes'!$A$37:$A$56,0)),(10))))</f>
        <v/>
      </c>
      <c r="K75" s="111" t="str">
        <f t="shared" si="8"/>
        <v/>
      </c>
      <c r="L75" s="109" t="str">
        <f>IF(M72="",(""),(INDEX('Desarrollo de Redes'!$A$37:$J$56,(MATCH('Desarrollo de Redes'!M72,'Desarrollo de Redes'!$A$37:$A$56,0)),(10))))</f>
        <v/>
      </c>
      <c r="M75" s="5"/>
    </row>
    <row r="76" spans="1:13" x14ac:dyDescent="0.25">
      <c r="A76" s="40"/>
      <c r="B76" s="35" t="str">
        <f>IF(C76="",(""),(INDEX('Desarrollo de Redes'!$A$37:$J$56,(MATCH('Desarrollo de Redes'!C76,'Desarrollo de Redes'!$A$37:$A$56,0)),(7))))</f>
        <v/>
      </c>
      <c r="C76" s="111" t="str">
        <f t="shared" ref="C76" si="37">D76</f>
        <v/>
      </c>
      <c r="D76" s="35" t="str">
        <f>IF(E76="",(""),(INDEX('Desarrollo de Redes'!$A$37:$J$56,(MATCH('Desarrollo de Redes'!E76,'Desarrollo de Redes'!$A$37:$A$56,0)),(7))))</f>
        <v/>
      </c>
      <c r="E76" s="111" t="str">
        <f t="shared" ref="E76:G76" si="38">F76</f>
        <v/>
      </c>
      <c r="F76" s="35" t="str">
        <f>IF(G76="",(""),(INDEX('Desarrollo de Redes'!$A$37:$J$56,(MATCH('Desarrollo de Redes'!G76,'Desarrollo de Redes'!$A$37:$A$56,0)),(7))))</f>
        <v/>
      </c>
      <c r="G76" s="111" t="str">
        <f t="shared" si="38"/>
        <v/>
      </c>
      <c r="H76" s="35" t="str">
        <f>IF(I76="",(""),(INDEX('Desarrollo de Redes'!$A$37:$J$56,(MATCH('Desarrollo de Redes'!I76,'Desarrollo de Redes'!$A$37:$A$56,0)),(7))))</f>
        <v/>
      </c>
      <c r="I76" s="111" t="str">
        <f t="shared" si="8"/>
        <v/>
      </c>
      <c r="J76" s="35" t="str">
        <f>IF(K76="",(""),(INDEX('Desarrollo de Redes'!$A$37:$J$56,(MATCH('Desarrollo de Redes'!K76,'Desarrollo de Redes'!$A$37:$A$56,0)),(7))))</f>
        <v/>
      </c>
      <c r="K76" s="111" t="str">
        <f t="shared" si="8"/>
        <v/>
      </c>
      <c r="L76" s="109" t="str">
        <f>IF(M76="",(""),(INDEX('Desarrollo de Redes'!$A$37:$J$56,(MATCH('Desarrollo de Redes'!M76,'Desarrollo de Redes'!$A$37:$A$56,0)),(7))))</f>
        <v/>
      </c>
      <c r="M76" s="110" t="str">
        <f>IF(Precedencias!F8="Final",(Precedencias!A8),(""))</f>
        <v/>
      </c>
    </row>
    <row r="77" spans="1:13" x14ac:dyDescent="0.25">
      <c r="A77" s="40"/>
      <c r="B77" s="109" t="str">
        <f>IF(C76="",(""),(INDEX('Desarrollo de Redes'!$A$37:$J$56,(MATCH('Desarrollo de Redes'!C76,'Desarrollo de Redes'!$A$37:$A$56,0)),(8))))</f>
        <v/>
      </c>
      <c r="C77" s="111" t="str">
        <f t="shared" ref="C77" si="39">D77</f>
        <v/>
      </c>
      <c r="D77" s="109" t="str">
        <f>IF(E76="",(""),(INDEX('Desarrollo de Redes'!$A$37:$J$56,(MATCH('Desarrollo de Redes'!E76,'Desarrollo de Redes'!$A$37:$A$56,0)),(8))))</f>
        <v/>
      </c>
      <c r="E77" s="111" t="str">
        <f t="shared" ref="E77:G77" si="40">F77</f>
        <v/>
      </c>
      <c r="F77" s="109" t="str">
        <f>IF(G76="",(""),(INDEX('Desarrollo de Redes'!$A$37:$J$56,(MATCH('Desarrollo de Redes'!G76,'Desarrollo de Redes'!$A$37:$A$56,0)),(8))))</f>
        <v/>
      </c>
      <c r="G77" s="111" t="str">
        <f t="shared" si="40"/>
        <v/>
      </c>
      <c r="H77" s="109" t="str">
        <f>IF(I76="",(""),(INDEX('Desarrollo de Redes'!$A$37:$J$56,(MATCH('Desarrollo de Redes'!I76,'Desarrollo de Redes'!$A$37:$A$56,0)),(8))))</f>
        <v/>
      </c>
      <c r="I77" s="111" t="str">
        <f t="shared" si="8"/>
        <v/>
      </c>
      <c r="J77" s="109" t="str">
        <f>IF(K76="",(""),(INDEX('Desarrollo de Redes'!$A$37:$J$56,(MATCH('Desarrollo de Redes'!K76,'Desarrollo de Redes'!$A$37:$A$56,0)),(8))))</f>
        <v/>
      </c>
      <c r="K77" s="111" t="str">
        <f t="shared" si="8"/>
        <v/>
      </c>
      <c r="L77" s="109" t="str">
        <f>IF(M76="",(""),(INDEX('Desarrollo de Redes'!$A$37:$J$56,(MATCH('Desarrollo de Redes'!M76,'Desarrollo de Redes'!$A$37:$A$56,0)),(8))))</f>
        <v/>
      </c>
      <c r="M77" s="4"/>
    </row>
    <row r="78" spans="1:13" x14ac:dyDescent="0.25">
      <c r="A78" s="40"/>
      <c r="B78" s="109" t="str">
        <f>IF(C76="",(""),(INDEX('Desarrollo de Redes'!$A$37:$J$56,(MATCH('Desarrollo de Redes'!C76,'Desarrollo de Redes'!$A$37:$A$56,0)),(9))))</f>
        <v/>
      </c>
      <c r="C78" s="111" t="str">
        <f t="shared" ref="C78" si="41">D78</f>
        <v/>
      </c>
      <c r="D78" s="109" t="str">
        <f>IF(E76="",(""),(INDEX('Desarrollo de Redes'!$A$37:$J$56,(MATCH('Desarrollo de Redes'!E76,'Desarrollo de Redes'!$A$37:$A$56,0)),(9))))</f>
        <v/>
      </c>
      <c r="E78" s="111" t="str">
        <f t="shared" ref="E78:G78" si="42">F78</f>
        <v/>
      </c>
      <c r="F78" s="109" t="str">
        <f>IF(G76="",(""),(INDEX('Desarrollo de Redes'!$A$37:$J$56,(MATCH('Desarrollo de Redes'!G76,'Desarrollo de Redes'!$A$37:$A$56,0)),(9))))</f>
        <v/>
      </c>
      <c r="G78" s="111" t="str">
        <f t="shared" si="42"/>
        <v/>
      </c>
      <c r="H78" s="109" t="str">
        <f>IF(I76="",(""),(INDEX('Desarrollo de Redes'!$A$37:$J$56,(MATCH('Desarrollo de Redes'!I76,'Desarrollo de Redes'!$A$37:$A$56,0)),(9))))</f>
        <v/>
      </c>
      <c r="I78" s="111" t="str">
        <f t="shared" si="8"/>
        <v/>
      </c>
      <c r="J78" s="109" t="str">
        <f>IF(K76="",(""),(INDEX('Desarrollo de Redes'!$A$37:$J$56,(MATCH('Desarrollo de Redes'!K76,'Desarrollo de Redes'!$A$37:$A$56,0)),(9))))</f>
        <v/>
      </c>
      <c r="K78" s="111" t="str">
        <f t="shared" si="8"/>
        <v/>
      </c>
      <c r="L78" s="109" t="str">
        <f>IF(M76="",(""),(INDEX('Desarrollo de Redes'!$A$37:$J$56,(MATCH('Desarrollo de Redes'!M76,'Desarrollo de Redes'!$A$37:$A$56,0)),(9))))</f>
        <v/>
      </c>
      <c r="M78" s="4"/>
    </row>
    <row r="79" spans="1:13" x14ac:dyDescent="0.25">
      <c r="A79" s="40"/>
      <c r="B79" s="109" t="str">
        <f>IF(C76="",(""),(INDEX('Desarrollo de Redes'!$A$37:$J$56,(MATCH('Desarrollo de Redes'!C76,'Desarrollo de Redes'!$A$37:$A$56,0)),(10))))</f>
        <v/>
      </c>
      <c r="C79" s="111" t="str">
        <f t="shared" ref="C79" si="43">D79</f>
        <v/>
      </c>
      <c r="D79" s="109" t="str">
        <f>IF(E76="",(""),(INDEX('Desarrollo de Redes'!$A$37:$J$56,(MATCH('Desarrollo de Redes'!E76,'Desarrollo de Redes'!$A$37:$A$56,0)),(10))))</f>
        <v/>
      </c>
      <c r="E79" s="111" t="str">
        <f t="shared" ref="E79:G79" si="44">F79</f>
        <v/>
      </c>
      <c r="F79" s="109" t="str">
        <f>IF(G76="",(""),(INDEX('Desarrollo de Redes'!$A$37:$J$56,(MATCH('Desarrollo de Redes'!G76,'Desarrollo de Redes'!$A$37:$A$56,0)),(10))))</f>
        <v/>
      </c>
      <c r="G79" s="111" t="str">
        <f t="shared" si="44"/>
        <v/>
      </c>
      <c r="H79" s="109" t="str">
        <f>IF(I76="",(""),(INDEX('Desarrollo de Redes'!$A$37:$J$56,(MATCH('Desarrollo de Redes'!I76,'Desarrollo de Redes'!$A$37:$A$56,0)),(10))))</f>
        <v/>
      </c>
      <c r="I79" s="111" t="str">
        <f t="shared" si="8"/>
        <v/>
      </c>
      <c r="J79" s="109" t="str">
        <f>IF(K76="",(""),(INDEX('Desarrollo de Redes'!$A$37:$J$56,(MATCH('Desarrollo de Redes'!K76,'Desarrollo de Redes'!$A$37:$A$56,0)),(10))))</f>
        <v/>
      </c>
      <c r="K79" s="111" t="str">
        <f t="shared" si="8"/>
        <v/>
      </c>
      <c r="L79" s="109" t="str">
        <f>IF(M76="",(""),(INDEX('Desarrollo de Redes'!$A$37:$J$56,(MATCH('Desarrollo de Redes'!M76,'Desarrollo de Redes'!$A$37:$A$56,0)),(10))))</f>
        <v/>
      </c>
      <c r="M79" s="4"/>
    </row>
    <row r="80" spans="1:13" x14ac:dyDescent="0.25">
      <c r="A80" s="39"/>
      <c r="B80" s="35" t="str">
        <f>IF(C80="",(""),(INDEX('Desarrollo de Redes'!$A$37:$J$56,(MATCH('Desarrollo de Redes'!C80,'Desarrollo de Redes'!$A$37:$A$56,0)),(7))))</f>
        <v/>
      </c>
      <c r="C80" s="111" t="str">
        <f t="shared" ref="C80" si="45">D80</f>
        <v/>
      </c>
      <c r="D80" s="35" t="str">
        <f>IF(E80="",(""),(INDEX('Desarrollo de Redes'!$A$37:$J$56,(MATCH('Desarrollo de Redes'!E80,'Desarrollo de Redes'!$A$37:$A$56,0)),(7))))</f>
        <v/>
      </c>
      <c r="E80" s="111" t="str">
        <f t="shared" ref="E80:G80" si="46">F80</f>
        <v/>
      </c>
      <c r="F80" s="35" t="str">
        <f>IF(G80="",(""),(INDEX('Desarrollo de Redes'!$A$37:$J$56,(MATCH('Desarrollo de Redes'!G80,'Desarrollo de Redes'!$A$37:$A$56,0)),(7))))</f>
        <v/>
      </c>
      <c r="G80" s="111" t="str">
        <f t="shared" si="46"/>
        <v/>
      </c>
      <c r="H80" s="35" t="str">
        <f>IF(I80="",(""),(INDEX('Desarrollo de Redes'!$A$37:$J$56,(MATCH('Desarrollo de Redes'!I80,'Desarrollo de Redes'!$A$37:$A$56,0)),(7))))</f>
        <v/>
      </c>
      <c r="I80" s="111" t="str">
        <f t="shared" si="8"/>
        <v/>
      </c>
      <c r="J80" s="35" t="str">
        <f>IF(K80="",(""),(INDEX('Desarrollo de Redes'!$A$37:$J$56,(MATCH('Desarrollo de Redes'!K80,'Desarrollo de Redes'!$A$37:$A$56,0)),(7))))</f>
        <v/>
      </c>
      <c r="K80" s="111" t="str">
        <f t="shared" si="8"/>
        <v/>
      </c>
      <c r="L80" s="35" t="str">
        <f>IF(M80="",(""),(INDEX('Desarrollo de Redes'!$A$37:$J$56,(MATCH('Desarrollo de Redes'!M80,'Desarrollo de Redes'!$A$37:$A$56,0)),(7))))</f>
        <v/>
      </c>
      <c r="M80" s="108" t="str">
        <f>IF(Precedencias!F9="Final",(Precedencias!A9),(""))</f>
        <v/>
      </c>
    </row>
    <row r="81" spans="1:13" x14ac:dyDescent="0.25">
      <c r="A81" s="40"/>
      <c r="B81" s="109" t="str">
        <f>IF(C80="",(""),(INDEX('Desarrollo de Redes'!$A$37:$J$56,(MATCH('Desarrollo de Redes'!C80,'Desarrollo de Redes'!$A$37:$A$56,0)),(8))))</f>
        <v/>
      </c>
      <c r="C81" s="111" t="str">
        <f t="shared" ref="C81" si="47">D81</f>
        <v/>
      </c>
      <c r="D81" s="109" t="str">
        <f>IF(E80="",(""),(INDEX('Desarrollo de Redes'!$A$37:$J$56,(MATCH('Desarrollo de Redes'!E80,'Desarrollo de Redes'!$A$37:$A$56,0)),(8))))</f>
        <v/>
      </c>
      <c r="E81" s="111" t="str">
        <f t="shared" ref="E81:G81" si="48">F81</f>
        <v/>
      </c>
      <c r="F81" s="109" t="str">
        <f>IF(G80="",(""),(INDEX('Desarrollo de Redes'!$A$37:$J$56,(MATCH('Desarrollo de Redes'!G80,'Desarrollo de Redes'!$A$37:$A$56,0)),(8))))</f>
        <v/>
      </c>
      <c r="G81" s="111" t="str">
        <f t="shared" si="48"/>
        <v/>
      </c>
      <c r="H81" s="109" t="str">
        <f>IF(I80="",(""),(INDEX('Desarrollo de Redes'!$A$37:$J$56,(MATCH('Desarrollo de Redes'!I80,'Desarrollo de Redes'!$A$37:$A$56,0)),(8))))</f>
        <v/>
      </c>
      <c r="I81" s="111" t="str">
        <f t="shared" si="8"/>
        <v/>
      </c>
      <c r="J81" s="109" t="str">
        <f>IF(K80="",(""),(INDEX('Desarrollo de Redes'!$A$37:$J$56,(MATCH('Desarrollo de Redes'!K80,'Desarrollo de Redes'!$A$37:$A$56,0)),(8))))</f>
        <v/>
      </c>
      <c r="K81" s="111" t="str">
        <f t="shared" si="8"/>
        <v/>
      </c>
      <c r="L81" s="109" t="str">
        <f>IF(M80="",(""),(INDEX('Desarrollo de Redes'!$A$37:$J$56,(MATCH('Desarrollo de Redes'!M80,'Desarrollo de Redes'!$A$37:$A$56,0)),(8))))</f>
        <v/>
      </c>
      <c r="M81" s="4"/>
    </row>
    <row r="82" spans="1:13" x14ac:dyDescent="0.25">
      <c r="A82" s="40"/>
      <c r="B82" s="109" t="str">
        <f>IF(C80="",(""),(INDEX('Desarrollo de Redes'!$A$37:$J$56,(MATCH('Desarrollo de Redes'!C80,'Desarrollo de Redes'!$A$37:$A$56,0)),(9))))</f>
        <v/>
      </c>
      <c r="C82" s="111" t="str">
        <f t="shared" ref="C82" si="49">D82</f>
        <v/>
      </c>
      <c r="D82" s="109" t="str">
        <f>IF(E80="",(""),(INDEX('Desarrollo de Redes'!$A$37:$J$56,(MATCH('Desarrollo de Redes'!E80,'Desarrollo de Redes'!$A$37:$A$56,0)),(9))))</f>
        <v/>
      </c>
      <c r="E82" s="111" t="str">
        <f t="shared" ref="E82:G82" si="50">F82</f>
        <v/>
      </c>
      <c r="F82" s="109" t="str">
        <f>IF(G80="",(""),(INDEX('Desarrollo de Redes'!$A$37:$J$56,(MATCH('Desarrollo de Redes'!G80,'Desarrollo de Redes'!$A$37:$A$56,0)),(9))))</f>
        <v/>
      </c>
      <c r="G82" s="111" t="str">
        <f t="shared" si="50"/>
        <v/>
      </c>
      <c r="H82" s="109" t="str">
        <f>IF(I80="",(""),(INDEX('Desarrollo de Redes'!$A$37:$J$56,(MATCH('Desarrollo de Redes'!I80,'Desarrollo de Redes'!$A$37:$A$56,0)),(9))))</f>
        <v/>
      </c>
      <c r="I82" s="111" t="str">
        <f t="shared" si="8"/>
        <v/>
      </c>
      <c r="J82" s="109" t="str">
        <f>IF(K80="",(""),(INDEX('Desarrollo de Redes'!$A$37:$J$56,(MATCH('Desarrollo de Redes'!K80,'Desarrollo de Redes'!$A$37:$A$56,0)),(9))))</f>
        <v/>
      </c>
      <c r="K82" s="111" t="str">
        <f t="shared" si="8"/>
        <v/>
      </c>
      <c r="L82" s="109" t="str">
        <f>IF(M80="",(""),(INDEX('Desarrollo de Redes'!$A$37:$J$56,(MATCH('Desarrollo de Redes'!M80,'Desarrollo de Redes'!$A$37:$A$56,0)),(9))))</f>
        <v/>
      </c>
      <c r="M82" s="4"/>
    </row>
    <row r="83" spans="1:13" x14ac:dyDescent="0.25">
      <c r="A83" s="41"/>
      <c r="B83" s="109" t="str">
        <f>IF(C80="",(""),(INDEX('Desarrollo de Redes'!$A$37:$J$56,(MATCH('Desarrollo de Redes'!C80,'Desarrollo de Redes'!$A$37:$A$56,0)),(10))))</f>
        <v/>
      </c>
      <c r="C83" s="111" t="str">
        <f t="shared" ref="C83" si="51">D83</f>
        <v/>
      </c>
      <c r="D83" s="109" t="str">
        <f>IF(E80="",(""),(INDEX('Desarrollo de Redes'!$A$37:$J$56,(MATCH('Desarrollo de Redes'!E80,'Desarrollo de Redes'!$A$37:$A$56,0)),(10))))</f>
        <v/>
      </c>
      <c r="E83" s="111" t="str">
        <f t="shared" ref="E83:G83" si="52">F83</f>
        <v/>
      </c>
      <c r="F83" s="109" t="str">
        <f>IF(G80="",(""),(INDEX('Desarrollo de Redes'!$A$37:$J$56,(MATCH('Desarrollo de Redes'!G80,'Desarrollo de Redes'!$A$37:$A$56,0)),(10))))</f>
        <v/>
      </c>
      <c r="G83" s="111" t="str">
        <f t="shared" si="52"/>
        <v/>
      </c>
      <c r="H83" s="109" t="str">
        <f>IF(I80="",(""),(INDEX('Desarrollo de Redes'!$A$37:$J$56,(MATCH('Desarrollo de Redes'!I80,'Desarrollo de Redes'!$A$37:$A$56,0)),(10))))</f>
        <v/>
      </c>
      <c r="I83" s="111" t="str">
        <f t="shared" si="8"/>
        <v/>
      </c>
      <c r="J83" s="109" t="str">
        <f>IF(K80="",(""),(INDEX('Desarrollo de Redes'!$A$37:$J$56,(MATCH('Desarrollo de Redes'!K80,'Desarrollo de Redes'!$A$37:$A$56,0)),(10))))</f>
        <v/>
      </c>
      <c r="K83" s="111" t="str">
        <f t="shared" si="8"/>
        <v/>
      </c>
      <c r="L83" s="109" t="str">
        <f>IF(M80="",(""),(INDEX('Desarrollo de Redes'!$A$37:$J$56,(MATCH('Desarrollo de Redes'!M80,'Desarrollo de Redes'!$A$37:$A$56,0)),(10))))</f>
        <v/>
      </c>
      <c r="M83" s="5"/>
    </row>
    <row r="84" spans="1:13" x14ac:dyDescent="0.25">
      <c r="A84" s="40"/>
      <c r="B84" s="35" t="str">
        <f>IF(C84="",(""),(INDEX('Desarrollo de Redes'!$A$37:$J$56,(MATCH('Desarrollo de Redes'!C84,'Desarrollo de Redes'!$A$37:$A$56,0)),(7))))</f>
        <v/>
      </c>
      <c r="C84" s="111" t="str">
        <f t="shared" ref="C84" si="53">D84</f>
        <v/>
      </c>
      <c r="D84" s="35" t="str">
        <f>IF(E84="",(""),(INDEX('Desarrollo de Redes'!$A$37:$J$56,(MATCH('Desarrollo de Redes'!E84,'Desarrollo de Redes'!$A$37:$A$56,0)),(7))))</f>
        <v/>
      </c>
      <c r="E84" s="111" t="str">
        <f t="shared" ref="E84:G84" si="54">F84</f>
        <v/>
      </c>
      <c r="F84" s="35" t="str">
        <f>IF(G84="",(""),(INDEX('Desarrollo de Redes'!$A$37:$J$56,(MATCH('Desarrollo de Redes'!G84,'Desarrollo de Redes'!$A$37:$A$56,0)),(7))))</f>
        <v/>
      </c>
      <c r="G84" s="111" t="str">
        <f t="shared" si="54"/>
        <v/>
      </c>
      <c r="H84" s="35" t="str">
        <f>IF(I84="",(""),(INDEX('Desarrollo de Redes'!$A$37:$J$56,(MATCH('Desarrollo de Redes'!I84,'Desarrollo de Redes'!$A$37:$A$56,0)),(7))))</f>
        <v/>
      </c>
      <c r="I84" s="111" t="str">
        <f t="shared" si="8"/>
        <v/>
      </c>
      <c r="J84" s="35" t="str">
        <f>IF(K84="",(""),(INDEX('Desarrollo de Redes'!$A$37:$J$56,(MATCH('Desarrollo de Redes'!K84,'Desarrollo de Redes'!$A$37:$A$56,0)),(7))))</f>
        <v/>
      </c>
      <c r="K84" s="111" t="str">
        <f t="shared" si="8"/>
        <v/>
      </c>
      <c r="L84" s="109" t="str">
        <f>IF(M84="",(""),(INDEX('Desarrollo de Redes'!$A$37:$J$56,(MATCH('Desarrollo de Redes'!M84,'Desarrollo de Redes'!$A$37:$A$56,0)),(7))))</f>
        <v/>
      </c>
      <c r="M84" s="110" t="str">
        <f>IF(Precedencias!F10="Final",(Precedencias!A10),(""))</f>
        <v/>
      </c>
    </row>
    <row r="85" spans="1:13" x14ac:dyDescent="0.25">
      <c r="A85" s="40"/>
      <c r="B85" s="109" t="str">
        <f>IF(C84="",(""),(INDEX('Desarrollo de Redes'!$A$37:$J$56,(MATCH('Desarrollo de Redes'!C84,'Desarrollo de Redes'!$A$37:$A$56,0)),(8))))</f>
        <v/>
      </c>
      <c r="C85" s="111" t="str">
        <f t="shared" ref="C85" si="55">D85</f>
        <v/>
      </c>
      <c r="D85" s="109" t="str">
        <f>IF(E84="",(""),(INDEX('Desarrollo de Redes'!$A$37:$J$56,(MATCH('Desarrollo de Redes'!E84,'Desarrollo de Redes'!$A$37:$A$56,0)),(8))))</f>
        <v/>
      </c>
      <c r="E85" s="111" t="str">
        <f t="shared" ref="E85:G85" si="56">F85</f>
        <v/>
      </c>
      <c r="F85" s="109" t="str">
        <f>IF(G84="",(""),(INDEX('Desarrollo de Redes'!$A$37:$J$56,(MATCH('Desarrollo de Redes'!G84,'Desarrollo de Redes'!$A$37:$A$56,0)),(8))))</f>
        <v/>
      </c>
      <c r="G85" s="111" t="str">
        <f t="shared" si="56"/>
        <v/>
      </c>
      <c r="H85" s="109" t="str">
        <f>IF(I84="",(""),(INDEX('Desarrollo de Redes'!$A$37:$J$56,(MATCH('Desarrollo de Redes'!I84,'Desarrollo de Redes'!$A$37:$A$56,0)),(8))))</f>
        <v/>
      </c>
      <c r="I85" s="111" t="str">
        <f t="shared" si="8"/>
        <v/>
      </c>
      <c r="J85" s="109" t="str">
        <f>IF(K84="",(""),(INDEX('Desarrollo de Redes'!$A$37:$J$56,(MATCH('Desarrollo de Redes'!K84,'Desarrollo de Redes'!$A$37:$A$56,0)),(8))))</f>
        <v/>
      </c>
      <c r="K85" s="111" t="str">
        <f t="shared" si="8"/>
        <v/>
      </c>
      <c r="L85" s="109" t="str">
        <f>IF(M84="",(""),(INDEX('Desarrollo de Redes'!$A$37:$J$56,(MATCH('Desarrollo de Redes'!M84,'Desarrollo de Redes'!$A$37:$A$56,0)),(8))))</f>
        <v/>
      </c>
      <c r="M85" s="4"/>
    </row>
    <row r="86" spans="1:13" x14ac:dyDescent="0.25">
      <c r="A86" s="40"/>
      <c r="B86" s="109" t="str">
        <f>IF(C84="",(""),(INDEX('Desarrollo de Redes'!$A$37:$J$56,(MATCH('Desarrollo de Redes'!C84,'Desarrollo de Redes'!$A$37:$A$56,0)),(9))))</f>
        <v/>
      </c>
      <c r="C86" s="111" t="str">
        <f t="shared" ref="C86" si="57">D86</f>
        <v/>
      </c>
      <c r="D86" s="109" t="str">
        <f>IF(E84="",(""),(INDEX('Desarrollo de Redes'!$A$37:$J$56,(MATCH('Desarrollo de Redes'!E84,'Desarrollo de Redes'!$A$37:$A$56,0)),(9))))</f>
        <v/>
      </c>
      <c r="E86" s="111" t="str">
        <f t="shared" ref="E86:G86" si="58">F86</f>
        <v/>
      </c>
      <c r="F86" s="109" t="str">
        <f>IF(G84="",(""),(INDEX('Desarrollo de Redes'!$A$37:$J$56,(MATCH('Desarrollo de Redes'!G84,'Desarrollo de Redes'!$A$37:$A$56,0)),(9))))</f>
        <v/>
      </c>
      <c r="G86" s="111" t="str">
        <f t="shared" si="58"/>
        <v/>
      </c>
      <c r="H86" s="109" t="str">
        <f>IF(I84="",(""),(INDEX('Desarrollo de Redes'!$A$37:$J$56,(MATCH('Desarrollo de Redes'!I84,'Desarrollo de Redes'!$A$37:$A$56,0)),(9))))</f>
        <v/>
      </c>
      <c r="I86" s="111" t="str">
        <f t="shared" si="8"/>
        <v/>
      </c>
      <c r="J86" s="109" t="str">
        <f>IF(K84="",(""),(INDEX('Desarrollo de Redes'!$A$37:$J$56,(MATCH('Desarrollo de Redes'!K84,'Desarrollo de Redes'!$A$37:$A$56,0)),(9))))</f>
        <v/>
      </c>
      <c r="K86" s="111" t="str">
        <f t="shared" si="8"/>
        <v/>
      </c>
      <c r="L86" s="109" t="str">
        <f>IF(M84="",(""),(INDEX('Desarrollo de Redes'!$A$37:$J$56,(MATCH('Desarrollo de Redes'!M84,'Desarrollo de Redes'!$A$37:$A$56,0)),(9))))</f>
        <v/>
      </c>
      <c r="M86" s="4"/>
    </row>
    <row r="87" spans="1:13" x14ac:dyDescent="0.25">
      <c r="A87" s="40"/>
      <c r="B87" s="109" t="str">
        <f>IF(C84="",(""),(INDEX('Desarrollo de Redes'!$A$37:$J$56,(MATCH('Desarrollo de Redes'!C84,'Desarrollo de Redes'!$A$37:$A$56,0)),(10))))</f>
        <v/>
      </c>
      <c r="C87" s="111" t="str">
        <f t="shared" ref="C87" si="59">D87</f>
        <v/>
      </c>
      <c r="D87" s="109" t="str">
        <f>IF(E84="",(""),(INDEX('Desarrollo de Redes'!$A$37:$J$56,(MATCH('Desarrollo de Redes'!E84,'Desarrollo de Redes'!$A$37:$A$56,0)),(10))))</f>
        <v/>
      </c>
      <c r="E87" s="111" t="str">
        <f t="shared" ref="E87:G87" si="60">F87</f>
        <v/>
      </c>
      <c r="F87" s="109" t="str">
        <f>IF(G84="",(""),(INDEX('Desarrollo de Redes'!$A$37:$J$56,(MATCH('Desarrollo de Redes'!G84,'Desarrollo de Redes'!$A$37:$A$56,0)),(10))))</f>
        <v/>
      </c>
      <c r="G87" s="111" t="str">
        <f t="shared" si="60"/>
        <v/>
      </c>
      <c r="H87" s="109" t="str">
        <f>IF(I84="",(""),(INDEX('Desarrollo de Redes'!$A$37:$J$56,(MATCH('Desarrollo de Redes'!I84,'Desarrollo de Redes'!$A$37:$A$56,0)),(10))))</f>
        <v/>
      </c>
      <c r="I87" s="111" t="str">
        <f t="shared" si="8"/>
        <v/>
      </c>
      <c r="J87" s="109" t="str">
        <f>IF(K84="",(""),(INDEX('Desarrollo de Redes'!$A$37:$J$56,(MATCH('Desarrollo de Redes'!K84,'Desarrollo de Redes'!$A$37:$A$56,0)),(10))))</f>
        <v/>
      </c>
      <c r="K87" s="111" t="str">
        <f t="shared" si="8"/>
        <v/>
      </c>
      <c r="L87" s="109" t="str">
        <f>IF(M84="",(""),(INDEX('Desarrollo de Redes'!$A$37:$J$56,(MATCH('Desarrollo de Redes'!M84,'Desarrollo de Redes'!$A$37:$A$56,0)),(10))))</f>
        <v/>
      </c>
      <c r="M87" s="4"/>
    </row>
    <row r="88" spans="1:13" x14ac:dyDescent="0.25">
      <c r="A88" s="39"/>
      <c r="B88" s="35" t="str">
        <f>IF(C88="",(""),(INDEX('Desarrollo de Redes'!$A$37:$J$56,(MATCH('Desarrollo de Redes'!C88,'Desarrollo de Redes'!$A$37:$A$56,0)),(7))))</f>
        <v/>
      </c>
      <c r="C88" s="111" t="str">
        <f t="shared" ref="C88" si="61">D88</f>
        <v/>
      </c>
      <c r="D88" s="35" t="str">
        <f>IF(E88="",(""),(INDEX('Desarrollo de Redes'!$A$37:$J$56,(MATCH('Desarrollo de Redes'!E88,'Desarrollo de Redes'!$A$37:$A$56,0)),(7))))</f>
        <v/>
      </c>
      <c r="E88" s="111" t="str">
        <f t="shared" ref="E88:G88" si="62">F88</f>
        <v/>
      </c>
      <c r="F88" s="35" t="str">
        <f>IF(G88="",(""),(INDEX('Desarrollo de Redes'!$A$37:$J$56,(MATCH('Desarrollo de Redes'!G88,'Desarrollo de Redes'!$A$37:$A$56,0)),(7))))</f>
        <v/>
      </c>
      <c r="G88" s="111" t="str">
        <f t="shared" si="62"/>
        <v/>
      </c>
      <c r="H88" s="35" t="str">
        <f>IF(I88="",(""),(INDEX('Desarrollo de Redes'!$A$37:$J$56,(MATCH('Desarrollo de Redes'!I88,'Desarrollo de Redes'!$A$37:$A$56,0)),(7))))</f>
        <v/>
      </c>
      <c r="I88" s="111" t="str">
        <f t="shared" si="8"/>
        <v/>
      </c>
      <c r="J88" s="35" t="str">
        <f>IF(K88="",(""),(INDEX('Desarrollo de Redes'!$A$37:$J$56,(MATCH('Desarrollo de Redes'!K88,'Desarrollo de Redes'!$A$37:$A$56,0)),(7))))</f>
        <v/>
      </c>
      <c r="K88" s="111" t="str">
        <f t="shared" si="8"/>
        <v/>
      </c>
      <c r="L88" s="35" t="str">
        <f>IF(M88="",(""),(INDEX('Desarrollo de Redes'!$A$37:$J$56,(MATCH('Desarrollo de Redes'!M88,'Desarrollo de Redes'!$A$37:$A$56,0)),(7))))</f>
        <v/>
      </c>
      <c r="M88" s="108" t="str">
        <f>IF(Precedencias!F11="Final",(Precedencias!A11),(""))</f>
        <v/>
      </c>
    </row>
    <row r="89" spans="1:13" x14ac:dyDescent="0.25">
      <c r="A89" s="40"/>
      <c r="B89" s="109" t="str">
        <f>IF(C88="",(""),(INDEX('Desarrollo de Redes'!$A$37:$J$56,(MATCH('Desarrollo de Redes'!C88,'Desarrollo de Redes'!$A$37:$A$56,0)),(8))))</f>
        <v/>
      </c>
      <c r="C89" s="111" t="str">
        <f t="shared" ref="C89" si="63">D89</f>
        <v/>
      </c>
      <c r="D89" s="109" t="str">
        <f>IF(E88="",(""),(INDEX('Desarrollo de Redes'!$A$37:$J$56,(MATCH('Desarrollo de Redes'!E88,'Desarrollo de Redes'!$A$37:$A$56,0)),(8))))</f>
        <v/>
      </c>
      <c r="E89" s="111" t="str">
        <f t="shared" ref="E89:G89" si="64">F89</f>
        <v/>
      </c>
      <c r="F89" s="109" t="str">
        <f>IF(G88="",(""),(INDEX('Desarrollo de Redes'!$A$37:$J$56,(MATCH('Desarrollo de Redes'!G88,'Desarrollo de Redes'!$A$37:$A$56,0)),(8))))</f>
        <v/>
      </c>
      <c r="G89" s="111" t="str">
        <f t="shared" si="64"/>
        <v/>
      </c>
      <c r="H89" s="109" t="str">
        <f>IF(I88="",(""),(INDEX('Desarrollo de Redes'!$A$37:$J$56,(MATCH('Desarrollo de Redes'!I88,'Desarrollo de Redes'!$A$37:$A$56,0)),(8))))</f>
        <v/>
      </c>
      <c r="I89" s="111" t="str">
        <f t="shared" si="8"/>
        <v/>
      </c>
      <c r="J89" s="109" t="str">
        <f>IF(K88="",(""),(INDEX('Desarrollo de Redes'!$A$37:$J$56,(MATCH('Desarrollo de Redes'!K88,'Desarrollo de Redes'!$A$37:$A$56,0)),(8))))</f>
        <v/>
      </c>
      <c r="K89" s="111" t="str">
        <f t="shared" si="8"/>
        <v/>
      </c>
      <c r="L89" s="109" t="str">
        <f>IF(M88="",(""),(INDEX('Desarrollo de Redes'!$A$37:$J$56,(MATCH('Desarrollo de Redes'!M88,'Desarrollo de Redes'!$A$37:$A$56,0)),(8))))</f>
        <v/>
      </c>
      <c r="M89" s="4"/>
    </row>
    <row r="90" spans="1:13" x14ac:dyDescent="0.25">
      <c r="A90" s="40"/>
      <c r="B90" s="109" t="str">
        <f>IF(C88="",(""),(INDEX('Desarrollo de Redes'!$A$37:$J$56,(MATCH('Desarrollo de Redes'!C88,'Desarrollo de Redes'!$A$37:$A$56,0)),(9))))</f>
        <v/>
      </c>
      <c r="C90" s="111" t="str">
        <f t="shared" ref="C90" si="65">D90</f>
        <v/>
      </c>
      <c r="D90" s="109" t="str">
        <f>IF(E88="",(""),(INDEX('Desarrollo de Redes'!$A$37:$J$56,(MATCH('Desarrollo de Redes'!E88,'Desarrollo de Redes'!$A$37:$A$56,0)),(9))))</f>
        <v/>
      </c>
      <c r="E90" s="111" t="str">
        <f t="shared" ref="E90:G90" si="66">F90</f>
        <v/>
      </c>
      <c r="F90" s="109" t="str">
        <f>IF(G88="",(""),(INDEX('Desarrollo de Redes'!$A$37:$J$56,(MATCH('Desarrollo de Redes'!G88,'Desarrollo de Redes'!$A$37:$A$56,0)),(9))))</f>
        <v/>
      </c>
      <c r="G90" s="111" t="str">
        <f t="shared" si="66"/>
        <v/>
      </c>
      <c r="H90" s="109" t="str">
        <f>IF(I88="",(""),(INDEX('Desarrollo de Redes'!$A$37:$J$56,(MATCH('Desarrollo de Redes'!I88,'Desarrollo de Redes'!$A$37:$A$56,0)),(9))))</f>
        <v/>
      </c>
      <c r="I90" s="111" t="str">
        <f t="shared" si="8"/>
        <v/>
      </c>
      <c r="J90" s="109" t="str">
        <f>IF(K88="",(""),(INDEX('Desarrollo de Redes'!$A$37:$J$56,(MATCH('Desarrollo de Redes'!K88,'Desarrollo de Redes'!$A$37:$A$56,0)),(9))))</f>
        <v/>
      </c>
      <c r="K90" s="111" t="str">
        <f t="shared" si="8"/>
        <v/>
      </c>
      <c r="L90" s="109" t="str">
        <f>IF(M88="",(""),(INDEX('Desarrollo de Redes'!$A$37:$J$56,(MATCH('Desarrollo de Redes'!M88,'Desarrollo de Redes'!$A$37:$A$56,0)),(9))))</f>
        <v/>
      </c>
      <c r="M90" s="4"/>
    </row>
    <row r="91" spans="1:13" x14ac:dyDescent="0.25">
      <c r="A91" s="41"/>
      <c r="B91" s="109" t="str">
        <f>IF(C88="",(""),(INDEX('Desarrollo de Redes'!$A$37:$J$56,(MATCH('Desarrollo de Redes'!C88,'Desarrollo de Redes'!$A$37:$A$56,0)),(10))))</f>
        <v/>
      </c>
      <c r="C91" s="111" t="str">
        <f t="shared" ref="C91" si="67">D91</f>
        <v/>
      </c>
      <c r="D91" s="109" t="str">
        <f>IF(E88="",(""),(INDEX('Desarrollo de Redes'!$A$37:$J$56,(MATCH('Desarrollo de Redes'!E88,'Desarrollo de Redes'!$A$37:$A$56,0)),(10))))</f>
        <v/>
      </c>
      <c r="E91" s="111" t="str">
        <f t="shared" ref="E91:G91" si="68">F91</f>
        <v/>
      </c>
      <c r="F91" s="109" t="str">
        <f>IF(G88="",(""),(INDEX('Desarrollo de Redes'!$A$37:$J$56,(MATCH('Desarrollo de Redes'!G88,'Desarrollo de Redes'!$A$37:$A$56,0)),(10))))</f>
        <v/>
      </c>
      <c r="G91" s="111" t="str">
        <f t="shared" si="68"/>
        <v/>
      </c>
      <c r="H91" s="109" t="str">
        <f>IF(I88="",(""),(INDEX('Desarrollo de Redes'!$A$37:$J$56,(MATCH('Desarrollo de Redes'!I88,'Desarrollo de Redes'!$A$37:$A$56,0)),(10))))</f>
        <v/>
      </c>
      <c r="I91" s="111" t="str">
        <f t="shared" si="8"/>
        <v/>
      </c>
      <c r="J91" s="109" t="str">
        <f>IF(K88="",(""),(INDEX('Desarrollo de Redes'!$A$37:$J$56,(MATCH('Desarrollo de Redes'!K88,'Desarrollo de Redes'!$A$37:$A$56,0)),(10))))</f>
        <v/>
      </c>
      <c r="K91" s="111" t="str">
        <f t="shared" si="8"/>
        <v/>
      </c>
      <c r="L91" s="109" t="str">
        <f>IF(M88="",(""),(INDEX('Desarrollo de Redes'!$A$37:$J$56,(MATCH('Desarrollo de Redes'!M88,'Desarrollo de Redes'!$A$37:$A$56,0)),(10))))</f>
        <v/>
      </c>
      <c r="M91" s="5"/>
    </row>
    <row r="92" spans="1:13" x14ac:dyDescent="0.25">
      <c r="A92" s="40"/>
      <c r="B92" s="35" t="str">
        <f>IF(C92="",(""),(INDEX('Desarrollo de Redes'!$A$37:$J$56,(MATCH('Desarrollo de Redes'!C92,'Desarrollo de Redes'!$A$37:$A$56,0)),(7))))</f>
        <v/>
      </c>
      <c r="C92" s="111" t="str">
        <f t="shared" ref="C92" si="69">D92</f>
        <v/>
      </c>
      <c r="D92" s="35" t="str">
        <f>IF(E92="",(""),(INDEX('Desarrollo de Redes'!$A$37:$J$56,(MATCH('Desarrollo de Redes'!E92,'Desarrollo de Redes'!$A$37:$A$56,0)),(7))))</f>
        <v/>
      </c>
      <c r="E92" s="111" t="str">
        <f t="shared" ref="E92:G92" si="70">F92</f>
        <v/>
      </c>
      <c r="F92" s="35" t="str">
        <f>IF(G92="",(""),(INDEX('Desarrollo de Redes'!$A$37:$J$56,(MATCH('Desarrollo de Redes'!G92,'Desarrollo de Redes'!$A$37:$A$56,0)),(7))))</f>
        <v/>
      </c>
      <c r="G92" s="111" t="str">
        <f t="shared" si="70"/>
        <v/>
      </c>
      <c r="H92" s="35" t="str">
        <f>IF(I92="",(""),(INDEX('Desarrollo de Redes'!$A$37:$J$56,(MATCH('Desarrollo de Redes'!I92,'Desarrollo de Redes'!$A$37:$A$56,0)),(7))))</f>
        <v/>
      </c>
      <c r="I92" s="111" t="str">
        <f t="shared" si="8"/>
        <v/>
      </c>
      <c r="J92" s="35" t="str">
        <f>IF(K92="",(""),(INDEX('Desarrollo de Redes'!$A$37:$J$56,(MATCH('Desarrollo de Redes'!K92,'Desarrollo de Redes'!$A$37:$A$56,0)),(7))))</f>
        <v/>
      </c>
      <c r="K92" s="111" t="str">
        <f t="shared" si="8"/>
        <v/>
      </c>
      <c r="L92" s="109" t="str">
        <f>IF(M92="",(""),(INDEX('Desarrollo de Redes'!$A$37:$J$56,(MATCH('Desarrollo de Redes'!M92,'Desarrollo de Redes'!$A$37:$A$56,0)),(7))))</f>
        <v/>
      </c>
      <c r="M92" s="110" t="str">
        <f>IF(Precedencias!F12="Final",(Precedencias!A12),(""))</f>
        <v/>
      </c>
    </row>
    <row r="93" spans="1:13" x14ac:dyDescent="0.25">
      <c r="A93" s="40"/>
      <c r="B93" s="109" t="str">
        <f>IF(C92="",(""),(INDEX('Desarrollo de Redes'!$A$37:$J$56,(MATCH('Desarrollo de Redes'!C92,'Desarrollo de Redes'!$A$37:$A$56,0)),(8))))</f>
        <v/>
      </c>
      <c r="C93" s="111" t="str">
        <f t="shared" ref="C93" si="71">D93</f>
        <v/>
      </c>
      <c r="D93" s="109" t="str">
        <f>IF(E92="",(""),(INDEX('Desarrollo de Redes'!$A$37:$J$56,(MATCH('Desarrollo de Redes'!E92,'Desarrollo de Redes'!$A$37:$A$56,0)),(8))))</f>
        <v/>
      </c>
      <c r="E93" s="111" t="str">
        <f t="shared" ref="E93:G93" si="72">F93</f>
        <v/>
      </c>
      <c r="F93" s="109" t="str">
        <f>IF(G92="",(""),(INDEX('Desarrollo de Redes'!$A$37:$J$56,(MATCH('Desarrollo de Redes'!G92,'Desarrollo de Redes'!$A$37:$A$56,0)),(8))))</f>
        <v/>
      </c>
      <c r="G93" s="111" t="str">
        <f t="shared" si="72"/>
        <v/>
      </c>
      <c r="H93" s="109" t="str">
        <f>IF(I92="",(""),(INDEX('Desarrollo de Redes'!$A$37:$J$56,(MATCH('Desarrollo de Redes'!I92,'Desarrollo de Redes'!$A$37:$A$56,0)),(8))))</f>
        <v/>
      </c>
      <c r="I93" s="111" t="str">
        <f t="shared" si="8"/>
        <v/>
      </c>
      <c r="J93" s="109" t="str">
        <f>IF(K92="",(""),(INDEX('Desarrollo de Redes'!$A$37:$J$56,(MATCH('Desarrollo de Redes'!K92,'Desarrollo de Redes'!$A$37:$A$56,0)),(8))))</f>
        <v/>
      </c>
      <c r="K93" s="111" t="str">
        <f t="shared" si="8"/>
        <v/>
      </c>
      <c r="L93" s="109" t="str">
        <f>IF(M92="",(""),(INDEX('Desarrollo de Redes'!$A$37:$J$56,(MATCH('Desarrollo de Redes'!M92,'Desarrollo de Redes'!$A$37:$A$56,0)),(8))))</f>
        <v/>
      </c>
      <c r="M93" s="4"/>
    </row>
    <row r="94" spans="1:13" x14ac:dyDescent="0.25">
      <c r="A94" s="40"/>
      <c r="B94" s="109" t="str">
        <f>IF(C92="",(""),(INDEX('Desarrollo de Redes'!$A$37:$J$56,(MATCH('Desarrollo de Redes'!C92,'Desarrollo de Redes'!$A$37:$A$56,0)),(9))))</f>
        <v/>
      </c>
      <c r="C94" s="111" t="str">
        <f t="shared" ref="C94" si="73">D94</f>
        <v/>
      </c>
      <c r="D94" s="109" t="str">
        <f>IF(E92="",(""),(INDEX('Desarrollo de Redes'!$A$37:$J$56,(MATCH('Desarrollo de Redes'!E92,'Desarrollo de Redes'!$A$37:$A$56,0)),(9))))</f>
        <v/>
      </c>
      <c r="E94" s="111" t="str">
        <f t="shared" ref="E94:G94" si="74">F94</f>
        <v/>
      </c>
      <c r="F94" s="109" t="str">
        <f>IF(G92="",(""),(INDEX('Desarrollo de Redes'!$A$37:$J$56,(MATCH('Desarrollo de Redes'!G92,'Desarrollo de Redes'!$A$37:$A$56,0)),(9))))</f>
        <v/>
      </c>
      <c r="G94" s="111" t="str">
        <f t="shared" si="74"/>
        <v/>
      </c>
      <c r="H94" s="109" t="str">
        <f>IF(I92="",(""),(INDEX('Desarrollo de Redes'!$A$37:$J$56,(MATCH('Desarrollo de Redes'!I92,'Desarrollo de Redes'!$A$37:$A$56,0)),(9))))</f>
        <v/>
      </c>
      <c r="I94" s="111" t="str">
        <f t="shared" si="8"/>
        <v/>
      </c>
      <c r="J94" s="109" t="str">
        <f>IF(K92="",(""),(INDEX('Desarrollo de Redes'!$A$37:$J$56,(MATCH('Desarrollo de Redes'!K92,'Desarrollo de Redes'!$A$37:$A$56,0)),(9))))</f>
        <v/>
      </c>
      <c r="K94" s="111" t="str">
        <f t="shared" si="8"/>
        <v/>
      </c>
      <c r="L94" s="109" t="str">
        <f>IF(M92="",(""),(INDEX('Desarrollo de Redes'!$A$37:$J$56,(MATCH('Desarrollo de Redes'!M92,'Desarrollo de Redes'!$A$37:$A$56,0)),(9))))</f>
        <v/>
      </c>
      <c r="M94" s="4"/>
    </row>
    <row r="95" spans="1:13" x14ac:dyDescent="0.25">
      <c r="A95" s="40"/>
      <c r="B95" s="109" t="str">
        <f>IF(C92="",(""),(INDEX('Desarrollo de Redes'!$A$37:$J$56,(MATCH('Desarrollo de Redes'!C92,'Desarrollo de Redes'!$A$37:$A$56,0)),(10))))</f>
        <v/>
      </c>
      <c r="C95" s="111" t="str">
        <f t="shared" ref="C95" si="75">D95</f>
        <v/>
      </c>
      <c r="D95" s="109" t="str">
        <f>IF(E92="",(""),(INDEX('Desarrollo de Redes'!$A$37:$J$56,(MATCH('Desarrollo de Redes'!E92,'Desarrollo de Redes'!$A$37:$A$56,0)),(10))))</f>
        <v/>
      </c>
      <c r="E95" s="111" t="str">
        <f t="shared" ref="E95:G95" si="76">F95</f>
        <v/>
      </c>
      <c r="F95" s="109" t="str">
        <f>IF(G92="",(""),(INDEX('Desarrollo de Redes'!$A$37:$J$56,(MATCH('Desarrollo de Redes'!G92,'Desarrollo de Redes'!$A$37:$A$56,0)),(10))))</f>
        <v/>
      </c>
      <c r="G95" s="111" t="str">
        <f t="shared" si="76"/>
        <v/>
      </c>
      <c r="H95" s="109" t="str">
        <f>IF(I92="",(""),(INDEX('Desarrollo de Redes'!$A$37:$J$56,(MATCH('Desarrollo de Redes'!I92,'Desarrollo de Redes'!$A$37:$A$56,0)),(10))))</f>
        <v/>
      </c>
      <c r="I95" s="111" t="str">
        <f t="shared" si="8"/>
        <v/>
      </c>
      <c r="J95" s="109" t="str">
        <f>IF(K92="",(""),(INDEX('Desarrollo de Redes'!$A$37:$J$56,(MATCH('Desarrollo de Redes'!K92,'Desarrollo de Redes'!$A$37:$A$56,0)),(10))))</f>
        <v/>
      </c>
      <c r="K95" s="111" t="str">
        <f t="shared" si="8"/>
        <v/>
      </c>
      <c r="L95" s="109" t="str">
        <f>IF(M92="",(""),(INDEX('Desarrollo de Redes'!$A$37:$J$56,(MATCH('Desarrollo de Redes'!M92,'Desarrollo de Redes'!$A$37:$A$56,0)),(10))))</f>
        <v/>
      </c>
      <c r="M95" s="4"/>
    </row>
    <row r="96" spans="1:13" x14ac:dyDescent="0.25">
      <c r="A96" s="39"/>
      <c r="B96" s="35" t="str">
        <f>IF(C96="",(""),(INDEX('Desarrollo de Redes'!$A$37:$J$56,(MATCH('Desarrollo de Redes'!C96,'Desarrollo de Redes'!$A$37:$A$56,0)),(7))))</f>
        <v/>
      </c>
      <c r="C96" s="111" t="str">
        <f t="shared" ref="C96" si="77">D96</f>
        <v/>
      </c>
      <c r="D96" s="35" t="str">
        <f>IF(E96="",(""),(INDEX('Desarrollo de Redes'!$A$37:$J$56,(MATCH('Desarrollo de Redes'!E96,'Desarrollo de Redes'!$A$37:$A$56,0)),(7))))</f>
        <v/>
      </c>
      <c r="E96" s="111" t="str">
        <f t="shared" ref="E96:G96" si="78">F96</f>
        <v/>
      </c>
      <c r="F96" s="35" t="str">
        <f>IF(G96="",(""),(INDEX('Desarrollo de Redes'!$A$37:$J$56,(MATCH('Desarrollo de Redes'!G96,'Desarrollo de Redes'!$A$37:$A$56,0)),(7))))</f>
        <v/>
      </c>
      <c r="G96" s="111" t="str">
        <f t="shared" si="78"/>
        <v/>
      </c>
      <c r="H96" s="35" t="str">
        <f>IF(I96="",(""),(INDEX('Desarrollo de Redes'!$A$37:$J$56,(MATCH('Desarrollo de Redes'!I96,'Desarrollo de Redes'!$A$37:$A$56,0)),(7))))</f>
        <v/>
      </c>
      <c r="I96" s="111" t="str">
        <f t="shared" si="8"/>
        <v/>
      </c>
      <c r="J96" s="35" t="str">
        <f>IF(K96="",(""),(INDEX('Desarrollo de Redes'!$A$37:$J$56,(MATCH('Desarrollo de Redes'!K96,'Desarrollo de Redes'!$A$37:$A$56,0)),(7))))</f>
        <v/>
      </c>
      <c r="K96" s="111" t="str">
        <f t="shared" si="8"/>
        <v/>
      </c>
      <c r="L96" s="35" t="str">
        <f>IF(M96="",(""),(INDEX('Desarrollo de Redes'!$A$37:$J$56,(MATCH('Desarrollo de Redes'!M96,'Desarrollo de Redes'!$A$37:$A$56,0)),(7))))</f>
        <v/>
      </c>
      <c r="M96" s="108" t="str">
        <f>IF(Precedencias!F13="Final",(Precedencias!A13),(""))</f>
        <v/>
      </c>
    </row>
    <row r="97" spans="1:13" x14ac:dyDescent="0.25">
      <c r="A97" s="40"/>
      <c r="B97" s="109" t="str">
        <f>IF(C96="",(""),(INDEX('Desarrollo de Redes'!$A$37:$J$56,(MATCH('Desarrollo de Redes'!C96,'Desarrollo de Redes'!$A$37:$A$56,0)),(8))))</f>
        <v/>
      </c>
      <c r="C97" s="111" t="str">
        <f t="shared" ref="C97" si="79">D97</f>
        <v/>
      </c>
      <c r="D97" s="109" t="str">
        <f>IF(E96="",(""),(INDEX('Desarrollo de Redes'!$A$37:$J$56,(MATCH('Desarrollo de Redes'!E96,'Desarrollo de Redes'!$A$37:$A$56,0)),(8))))</f>
        <v/>
      </c>
      <c r="E97" s="111" t="str">
        <f t="shared" ref="E97:G97" si="80">F97</f>
        <v/>
      </c>
      <c r="F97" s="109" t="str">
        <f>IF(G96="",(""),(INDEX('Desarrollo de Redes'!$A$37:$J$56,(MATCH('Desarrollo de Redes'!G96,'Desarrollo de Redes'!$A$37:$A$56,0)),(8))))</f>
        <v/>
      </c>
      <c r="G97" s="111" t="str">
        <f t="shared" si="80"/>
        <v/>
      </c>
      <c r="H97" s="109" t="str">
        <f>IF(I96="",(""),(INDEX('Desarrollo de Redes'!$A$37:$J$56,(MATCH('Desarrollo de Redes'!I96,'Desarrollo de Redes'!$A$37:$A$56,0)),(8))))</f>
        <v/>
      </c>
      <c r="I97" s="111" t="str">
        <f t="shared" si="8"/>
        <v/>
      </c>
      <c r="J97" s="109" t="str">
        <f>IF(K96="",(""),(INDEX('Desarrollo de Redes'!$A$37:$J$56,(MATCH('Desarrollo de Redes'!K96,'Desarrollo de Redes'!$A$37:$A$56,0)),(8))))</f>
        <v/>
      </c>
      <c r="K97" s="111" t="str">
        <f t="shared" si="8"/>
        <v/>
      </c>
      <c r="L97" s="109" t="str">
        <f>IF(M96="",(""),(INDEX('Desarrollo de Redes'!$A$37:$J$56,(MATCH('Desarrollo de Redes'!M96,'Desarrollo de Redes'!$A$37:$A$56,0)),(8))))</f>
        <v/>
      </c>
      <c r="M97" s="4"/>
    </row>
    <row r="98" spans="1:13" x14ac:dyDescent="0.25">
      <c r="A98" s="40"/>
      <c r="B98" s="109" t="str">
        <f>IF(C96="",(""),(INDEX('Desarrollo de Redes'!$A$37:$J$56,(MATCH('Desarrollo de Redes'!C96,'Desarrollo de Redes'!$A$37:$A$56,0)),(9))))</f>
        <v/>
      </c>
      <c r="C98" s="111" t="str">
        <f t="shared" ref="C98" si="81">D98</f>
        <v/>
      </c>
      <c r="D98" s="109" t="str">
        <f>IF(E96="",(""),(INDEX('Desarrollo de Redes'!$A$37:$J$56,(MATCH('Desarrollo de Redes'!E96,'Desarrollo de Redes'!$A$37:$A$56,0)),(9))))</f>
        <v/>
      </c>
      <c r="E98" s="111" t="str">
        <f t="shared" ref="E98:G98" si="82">F98</f>
        <v/>
      </c>
      <c r="F98" s="109" t="str">
        <f>IF(G96="",(""),(INDEX('Desarrollo de Redes'!$A$37:$J$56,(MATCH('Desarrollo de Redes'!G96,'Desarrollo de Redes'!$A$37:$A$56,0)),(9))))</f>
        <v/>
      </c>
      <c r="G98" s="111" t="str">
        <f t="shared" si="82"/>
        <v/>
      </c>
      <c r="H98" s="109" t="str">
        <f>IF(I96="",(""),(INDEX('Desarrollo de Redes'!$A$37:$J$56,(MATCH('Desarrollo de Redes'!I96,'Desarrollo de Redes'!$A$37:$A$56,0)),(9))))</f>
        <v/>
      </c>
      <c r="I98" s="111" t="str">
        <f t="shared" si="8"/>
        <v/>
      </c>
      <c r="J98" s="109" t="str">
        <f>IF(K96="",(""),(INDEX('Desarrollo de Redes'!$A$37:$J$56,(MATCH('Desarrollo de Redes'!K96,'Desarrollo de Redes'!$A$37:$A$56,0)),(9))))</f>
        <v/>
      </c>
      <c r="K98" s="111" t="str">
        <f t="shared" si="8"/>
        <v/>
      </c>
      <c r="L98" s="109" t="str">
        <f>IF(M96="",(""),(INDEX('Desarrollo de Redes'!$A$37:$J$56,(MATCH('Desarrollo de Redes'!M96,'Desarrollo de Redes'!$A$37:$A$56,0)),(9))))</f>
        <v/>
      </c>
      <c r="M98" s="4"/>
    </row>
    <row r="99" spans="1:13" x14ac:dyDescent="0.25">
      <c r="A99" s="41"/>
      <c r="B99" s="109" t="str">
        <f>IF(C96="",(""),(INDEX('Desarrollo de Redes'!$A$37:$J$56,(MATCH('Desarrollo de Redes'!C96,'Desarrollo de Redes'!$A$37:$A$56,0)),(10))))</f>
        <v/>
      </c>
      <c r="C99" s="111" t="str">
        <f t="shared" ref="C99" si="83">D99</f>
        <v/>
      </c>
      <c r="D99" s="109" t="str">
        <f>IF(E96="",(""),(INDEX('Desarrollo de Redes'!$A$37:$J$56,(MATCH('Desarrollo de Redes'!E96,'Desarrollo de Redes'!$A$37:$A$56,0)),(10))))</f>
        <v/>
      </c>
      <c r="E99" s="111" t="str">
        <f t="shared" ref="E99:G99" si="84">F99</f>
        <v/>
      </c>
      <c r="F99" s="109" t="str">
        <f>IF(G96="",(""),(INDEX('Desarrollo de Redes'!$A$37:$J$56,(MATCH('Desarrollo de Redes'!G96,'Desarrollo de Redes'!$A$37:$A$56,0)),(10))))</f>
        <v/>
      </c>
      <c r="G99" s="111" t="str">
        <f t="shared" si="84"/>
        <v/>
      </c>
      <c r="H99" s="109" t="str">
        <f>IF(I96="",(""),(INDEX('Desarrollo de Redes'!$A$37:$J$56,(MATCH('Desarrollo de Redes'!I96,'Desarrollo de Redes'!$A$37:$A$56,0)),(10))))</f>
        <v/>
      </c>
      <c r="I99" s="111" t="str">
        <f t="shared" si="8"/>
        <v/>
      </c>
      <c r="J99" s="109" t="str">
        <f>IF(K96="",(""),(INDEX('Desarrollo de Redes'!$A$37:$J$56,(MATCH('Desarrollo de Redes'!K96,'Desarrollo de Redes'!$A$37:$A$56,0)),(10))))</f>
        <v/>
      </c>
      <c r="K99" s="111" t="str">
        <f t="shared" si="8"/>
        <v/>
      </c>
      <c r="L99" s="109" t="str">
        <f>IF(M96="",(""),(INDEX('Desarrollo de Redes'!$A$37:$J$56,(MATCH('Desarrollo de Redes'!M96,'Desarrollo de Redes'!$A$37:$A$56,0)),(10))))</f>
        <v/>
      </c>
      <c r="M99" s="5"/>
    </row>
    <row r="100" spans="1:13" x14ac:dyDescent="0.25">
      <c r="A100" s="40"/>
      <c r="B100" s="35" t="str">
        <f>IF(C100="",(""),(INDEX('Desarrollo de Redes'!$A$37:$J$56,(MATCH('Desarrollo de Redes'!C100,'Desarrollo de Redes'!$A$37:$A$56,0)),(7))))</f>
        <v/>
      </c>
      <c r="C100" s="111" t="str">
        <f t="shared" ref="C100" si="85">D100</f>
        <v/>
      </c>
      <c r="D100" s="35" t="str">
        <f>IF(E100="",(""),(INDEX('Desarrollo de Redes'!$A$37:$J$56,(MATCH('Desarrollo de Redes'!E100,'Desarrollo de Redes'!$A$37:$A$56,0)),(7))))</f>
        <v/>
      </c>
      <c r="E100" s="111" t="str">
        <f t="shared" ref="E100:G100" si="86">F100</f>
        <v/>
      </c>
      <c r="F100" s="35" t="str">
        <f>IF(G100="",(""),(INDEX('Desarrollo de Redes'!$A$37:$J$56,(MATCH('Desarrollo de Redes'!G100,'Desarrollo de Redes'!$A$37:$A$56,0)),(7))))</f>
        <v/>
      </c>
      <c r="G100" s="111" t="str">
        <f t="shared" si="86"/>
        <v/>
      </c>
      <c r="H100" s="35" t="str">
        <f>IF(I100="",(""),(INDEX('Desarrollo de Redes'!$A$37:$J$56,(MATCH('Desarrollo de Redes'!I100,'Desarrollo de Redes'!$A$37:$A$56,0)),(7))))</f>
        <v/>
      </c>
      <c r="I100" s="111" t="str">
        <f t="shared" si="8"/>
        <v/>
      </c>
      <c r="J100" s="35" t="str">
        <f>IF(K100="",(""),(INDEX('Desarrollo de Redes'!$A$37:$J$56,(MATCH('Desarrollo de Redes'!K100,'Desarrollo de Redes'!$A$37:$A$56,0)),(7))))</f>
        <v/>
      </c>
      <c r="K100" s="111" t="str">
        <f t="shared" si="8"/>
        <v/>
      </c>
      <c r="L100" s="109" t="str">
        <f>IF(M100="",(""),(INDEX('Desarrollo de Redes'!$A$37:$J$56,(MATCH('Desarrollo de Redes'!M100,'Desarrollo de Redes'!$A$37:$A$56,0)),(7))))</f>
        <v/>
      </c>
      <c r="M100" s="110" t="str">
        <f>IF(Precedencias!F14="Final",(Precedencias!A14),(""))</f>
        <v/>
      </c>
    </row>
    <row r="101" spans="1:13" x14ac:dyDescent="0.25">
      <c r="A101" s="40"/>
      <c r="B101" s="109" t="str">
        <f>IF(C100="",(""),(INDEX('Desarrollo de Redes'!$A$37:$J$56,(MATCH('Desarrollo de Redes'!C100,'Desarrollo de Redes'!$A$37:$A$56,0)),(8))))</f>
        <v/>
      </c>
      <c r="C101" s="111" t="str">
        <f t="shared" ref="C101" si="87">D101</f>
        <v/>
      </c>
      <c r="D101" s="109" t="str">
        <f>IF(E100="",(""),(INDEX('Desarrollo de Redes'!$A$37:$J$56,(MATCH('Desarrollo de Redes'!E100,'Desarrollo de Redes'!$A$37:$A$56,0)),(8))))</f>
        <v/>
      </c>
      <c r="E101" s="111" t="str">
        <f t="shared" ref="E101:G101" si="88">F101</f>
        <v/>
      </c>
      <c r="F101" s="109" t="str">
        <f>IF(G100="",(""),(INDEX('Desarrollo de Redes'!$A$37:$J$56,(MATCH('Desarrollo de Redes'!G100,'Desarrollo de Redes'!$A$37:$A$56,0)),(8))))</f>
        <v/>
      </c>
      <c r="G101" s="111" t="str">
        <f t="shared" si="88"/>
        <v/>
      </c>
      <c r="H101" s="109" t="str">
        <f>IF(I100="",(""),(INDEX('Desarrollo de Redes'!$A$37:$J$56,(MATCH('Desarrollo de Redes'!I100,'Desarrollo de Redes'!$A$37:$A$56,0)),(8))))</f>
        <v/>
      </c>
      <c r="I101" s="111" t="str">
        <f t="shared" si="8"/>
        <v/>
      </c>
      <c r="J101" s="109" t="str">
        <f>IF(K100="",(""),(INDEX('Desarrollo de Redes'!$A$37:$J$56,(MATCH('Desarrollo de Redes'!K100,'Desarrollo de Redes'!$A$37:$A$56,0)),(8))))</f>
        <v/>
      </c>
      <c r="K101" s="111" t="str">
        <f t="shared" si="8"/>
        <v/>
      </c>
      <c r="L101" s="109" t="str">
        <f>IF(M100="",(""),(INDEX('Desarrollo de Redes'!$A$37:$J$56,(MATCH('Desarrollo de Redes'!M100,'Desarrollo de Redes'!$A$37:$A$56,0)),(8))))</f>
        <v/>
      </c>
      <c r="M101" s="4"/>
    </row>
    <row r="102" spans="1:13" x14ac:dyDescent="0.25">
      <c r="A102" s="40"/>
      <c r="B102" s="109" t="str">
        <f>IF(C100="",(""),(INDEX('Desarrollo de Redes'!$A$37:$J$56,(MATCH('Desarrollo de Redes'!C100,'Desarrollo de Redes'!$A$37:$A$56,0)),(9))))</f>
        <v/>
      </c>
      <c r="C102" s="111" t="str">
        <f t="shared" ref="C102" si="89">D102</f>
        <v/>
      </c>
      <c r="D102" s="109" t="str">
        <f>IF(E100="",(""),(INDEX('Desarrollo de Redes'!$A$37:$J$56,(MATCH('Desarrollo de Redes'!E100,'Desarrollo de Redes'!$A$37:$A$56,0)),(9))))</f>
        <v/>
      </c>
      <c r="E102" s="111" t="str">
        <f t="shared" ref="E102:G102" si="90">F102</f>
        <v/>
      </c>
      <c r="F102" s="109" t="str">
        <f>IF(G100="",(""),(INDEX('Desarrollo de Redes'!$A$37:$J$56,(MATCH('Desarrollo de Redes'!G100,'Desarrollo de Redes'!$A$37:$A$56,0)),(9))))</f>
        <v/>
      </c>
      <c r="G102" s="111" t="str">
        <f t="shared" si="90"/>
        <v/>
      </c>
      <c r="H102" s="109" t="str">
        <f>IF(I100="",(""),(INDEX('Desarrollo de Redes'!$A$37:$J$56,(MATCH('Desarrollo de Redes'!I100,'Desarrollo de Redes'!$A$37:$A$56,0)),(9))))</f>
        <v/>
      </c>
      <c r="I102" s="111" t="str">
        <f t="shared" si="8"/>
        <v/>
      </c>
      <c r="J102" s="109" t="str">
        <f>IF(K100="",(""),(INDEX('Desarrollo de Redes'!$A$37:$J$56,(MATCH('Desarrollo de Redes'!K100,'Desarrollo de Redes'!$A$37:$A$56,0)),(9))))</f>
        <v/>
      </c>
      <c r="K102" s="111" t="str">
        <f t="shared" si="8"/>
        <v/>
      </c>
      <c r="L102" s="109" t="str">
        <f>IF(M100="",(""),(INDEX('Desarrollo de Redes'!$A$37:$J$56,(MATCH('Desarrollo de Redes'!M100,'Desarrollo de Redes'!$A$37:$A$56,0)),(9))))</f>
        <v/>
      </c>
      <c r="M102" s="4"/>
    </row>
    <row r="103" spans="1:13" x14ac:dyDescent="0.25">
      <c r="A103" s="40"/>
      <c r="B103" s="109" t="str">
        <f>IF(C100="",(""),(INDEX('Desarrollo de Redes'!$A$37:$J$56,(MATCH('Desarrollo de Redes'!C100,'Desarrollo de Redes'!$A$37:$A$56,0)),(10))))</f>
        <v/>
      </c>
      <c r="C103" s="111" t="str">
        <f t="shared" ref="C103" si="91">D103</f>
        <v/>
      </c>
      <c r="D103" s="109" t="str">
        <f>IF(E100="",(""),(INDEX('Desarrollo de Redes'!$A$37:$J$56,(MATCH('Desarrollo de Redes'!E100,'Desarrollo de Redes'!$A$37:$A$56,0)),(10))))</f>
        <v/>
      </c>
      <c r="E103" s="111" t="str">
        <f t="shared" ref="E103:G103" si="92">F103</f>
        <v/>
      </c>
      <c r="F103" s="109" t="str">
        <f>IF(G100="",(""),(INDEX('Desarrollo de Redes'!$A$37:$J$56,(MATCH('Desarrollo de Redes'!G100,'Desarrollo de Redes'!$A$37:$A$56,0)),(10))))</f>
        <v/>
      </c>
      <c r="G103" s="111" t="str">
        <f t="shared" si="92"/>
        <v/>
      </c>
      <c r="H103" s="109" t="str">
        <f>IF(I100="",(""),(INDEX('Desarrollo de Redes'!$A$37:$J$56,(MATCH('Desarrollo de Redes'!I100,'Desarrollo de Redes'!$A$37:$A$56,0)),(10))))</f>
        <v/>
      </c>
      <c r="I103" s="111" t="str">
        <f t="shared" si="8"/>
        <v/>
      </c>
      <c r="J103" s="109" t="str">
        <f>IF(K100="",(""),(INDEX('Desarrollo de Redes'!$A$37:$J$56,(MATCH('Desarrollo de Redes'!K100,'Desarrollo de Redes'!$A$37:$A$56,0)),(10))))</f>
        <v/>
      </c>
      <c r="K103" s="111" t="str">
        <f t="shared" si="8"/>
        <v/>
      </c>
      <c r="L103" s="109" t="str">
        <f>IF(M100="",(""),(INDEX('Desarrollo de Redes'!$A$37:$J$56,(MATCH('Desarrollo de Redes'!M100,'Desarrollo de Redes'!$A$37:$A$56,0)),(10))))</f>
        <v/>
      </c>
      <c r="M103" s="4"/>
    </row>
    <row r="104" spans="1:13" x14ac:dyDescent="0.25">
      <c r="A104" s="39"/>
      <c r="B104" s="35" t="str">
        <f>IF(C104="",(""),(INDEX('Desarrollo de Redes'!$A$37:$J$56,(MATCH('Desarrollo de Redes'!C104,'Desarrollo de Redes'!$A$37:$A$56,0)),(7))))</f>
        <v/>
      </c>
      <c r="C104" s="111" t="str">
        <f t="shared" ref="C104" si="93">D104</f>
        <v/>
      </c>
      <c r="D104" s="35" t="str">
        <f>IF(E104="",(""),(INDEX('Desarrollo de Redes'!$A$37:$J$56,(MATCH('Desarrollo de Redes'!E104,'Desarrollo de Redes'!$A$37:$A$56,0)),(7))))</f>
        <v/>
      </c>
      <c r="E104" s="111" t="str">
        <f t="shared" ref="E104:G104" si="94">F104</f>
        <v/>
      </c>
      <c r="F104" s="35" t="str">
        <f>IF(G104="",(""),(INDEX('Desarrollo de Redes'!$A$37:$J$56,(MATCH('Desarrollo de Redes'!G104,'Desarrollo de Redes'!$A$37:$A$56,0)),(7))))</f>
        <v/>
      </c>
      <c r="G104" s="111" t="str">
        <f t="shared" si="94"/>
        <v/>
      </c>
      <c r="H104" s="35" t="str">
        <f>IF(I104="",(""),(INDEX('Desarrollo de Redes'!$A$37:$J$56,(MATCH('Desarrollo de Redes'!I104,'Desarrollo de Redes'!$A$37:$A$56,0)),(7))))</f>
        <v/>
      </c>
      <c r="I104" s="111" t="str">
        <f t="shared" si="8"/>
        <v/>
      </c>
      <c r="J104" s="35" t="str">
        <f>IF(K104="",(""),(INDEX('Desarrollo de Redes'!$A$37:$J$56,(MATCH('Desarrollo de Redes'!K104,'Desarrollo de Redes'!$A$37:$A$56,0)),(7))))</f>
        <v/>
      </c>
      <c r="K104" s="111" t="str">
        <f t="shared" si="8"/>
        <v/>
      </c>
      <c r="L104" s="35" t="str">
        <f>IF(M104="",(""),(INDEX('Desarrollo de Redes'!$A$37:$J$56,(MATCH('Desarrollo de Redes'!M104,'Desarrollo de Redes'!$A$37:$A$56,0)),(7))))</f>
        <v/>
      </c>
      <c r="M104" s="108" t="str">
        <f>IF(Precedencias!F15="Final",(Precedencias!A15),(""))</f>
        <v/>
      </c>
    </row>
    <row r="105" spans="1:13" x14ac:dyDescent="0.25">
      <c r="A105" s="40"/>
      <c r="B105" s="109" t="str">
        <f>IF(C104="",(""),(INDEX('Desarrollo de Redes'!$A$37:$J$56,(MATCH('Desarrollo de Redes'!C104,'Desarrollo de Redes'!$A$37:$A$56,0)),(8))))</f>
        <v/>
      </c>
      <c r="C105" s="111" t="str">
        <f t="shared" ref="C105" si="95">D105</f>
        <v/>
      </c>
      <c r="D105" s="109" t="str">
        <f>IF(E104="",(""),(INDEX('Desarrollo de Redes'!$A$37:$J$56,(MATCH('Desarrollo de Redes'!E104,'Desarrollo de Redes'!$A$37:$A$56,0)),(8))))</f>
        <v/>
      </c>
      <c r="E105" s="111" t="str">
        <f t="shared" ref="E105:G105" si="96">F105</f>
        <v/>
      </c>
      <c r="F105" s="109" t="str">
        <f>IF(G104="",(""),(INDEX('Desarrollo de Redes'!$A$37:$J$56,(MATCH('Desarrollo de Redes'!G104,'Desarrollo de Redes'!$A$37:$A$56,0)),(8))))</f>
        <v/>
      </c>
      <c r="G105" s="111" t="str">
        <f t="shared" si="96"/>
        <v/>
      </c>
      <c r="H105" s="109" t="str">
        <f>IF(I104="",(""),(INDEX('Desarrollo de Redes'!$A$37:$J$56,(MATCH('Desarrollo de Redes'!I104,'Desarrollo de Redes'!$A$37:$A$56,0)),(8))))</f>
        <v/>
      </c>
      <c r="I105" s="111" t="str">
        <f t="shared" si="8"/>
        <v/>
      </c>
      <c r="J105" s="109" t="str">
        <f>IF(K104="",(""),(INDEX('Desarrollo de Redes'!$A$37:$J$56,(MATCH('Desarrollo de Redes'!K104,'Desarrollo de Redes'!$A$37:$A$56,0)),(8))))</f>
        <v/>
      </c>
      <c r="K105" s="111" t="str">
        <f t="shared" si="8"/>
        <v/>
      </c>
      <c r="L105" s="109" t="str">
        <f>IF(M104="",(""),(INDEX('Desarrollo de Redes'!$A$37:$J$56,(MATCH('Desarrollo de Redes'!M104,'Desarrollo de Redes'!$A$37:$A$56,0)),(8))))</f>
        <v/>
      </c>
      <c r="M105" s="4"/>
    </row>
    <row r="106" spans="1:13" x14ac:dyDescent="0.25">
      <c r="A106" s="40"/>
      <c r="B106" s="109" t="str">
        <f>IF(C104="",(""),(INDEX('Desarrollo de Redes'!$A$37:$J$56,(MATCH('Desarrollo de Redes'!C104,'Desarrollo de Redes'!$A$37:$A$56,0)),(9))))</f>
        <v/>
      </c>
      <c r="C106" s="111" t="str">
        <f t="shared" ref="C106" si="97">D106</f>
        <v/>
      </c>
      <c r="D106" s="109" t="str">
        <f>IF(E104="",(""),(INDEX('Desarrollo de Redes'!$A$37:$J$56,(MATCH('Desarrollo de Redes'!E104,'Desarrollo de Redes'!$A$37:$A$56,0)),(9))))</f>
        <v/>
      </c>
      <c r="E106" s="111" t="str">
        <f t="shared" ref="E106:G106" si="98">F106</f>
        <v/>
      </c>
      <c r="F106" s="109" t="str">
        <f>IF(G104="",(""),(INDEX('Desarrollo de Redes'!$A$37:$J$56,(MATCH('Desarrollo de Redes'!G104,'Desarrollo de Redes'!$A$37:$A$56,0)),(9))))</f>
        <v/>
      </c>
      <c r="G106" s="111" t="str">
        <f t="shared" si="98"/>
        <v/>
      </c>
      <c r="H106" s="109" t="str">
        <f>IF(I104="",(""),(INDEX('Desarrollo de Redes'!$A$37:$J$56,(MATCH('Desarrollo de Redes'!I104,'Desarrollo de Redes'!$A$37:$A$56,0)),(9))))</f>
        <v/>
      </c>
      <c r="I106" s="111" t="str">
        <f t="shared" si="8"/>
        <v/>
      </c>
      <c r="J106" s="109" t="str">
        <f>IF(K104="",(""),(INDEX('Desarrollo de Redes'!$A$37:$J$56,(MATCH('Desarrollo de Redes'!K104,'Desarrollo de Redes'!$A$37:$A$56,0)),(9))))</f>
        <v/>
      </c>
      <c r="K106" s="111" t="str">
        <f t="shared" si="8"/>
        <v/>
      </c>
      <c r="L106" s="109" t="str">
        <f>IF(M104="",(""),(INDEX('Desarrollo de Redes'!$A$37:$J$56,(MATCH('Desarrollo de Redes'!M104,'Desarrollo de Redes'!$A$37:$A$56,0)),(9))))</f>
        <v/>
      </c>
      <c r="M106" s="4"/>
    </row>
    <row r="107" spans="1:13" x14ac:dyDescent="0.25">
      <c r="A107" s="41"/>
      <c r="B107" s="109" t="str">
        <f>IF(C104="",(""),(INDEX('Desarrollo de Redes'!$A$37:$J$56,(MATCH('Desarrollo de Redes'!C104,'Desarrollo de Redes'!$A$37:$A$56,0)),(10))))</f>
        <v/>
      </c>
      <c r="C107" s="111" t="str">
        <f t="shared" ref="C107" si="99">D107</f>
        <v/>
      </c>
      <c r="D107" s="109" t="str">
        <f>IF(E104="",(""),(INDEX('Desarrollo de Redes'!$A$37:$J$56,(MATCH('Desarrollo de Redes'!E104,'Desarrollo de Redes'!$A$37:$A$56,0)),(10))))</f>
        <v/>
      </c>
      <c r="E107" s="111" t="str">
        <f t="shared" ref="E107:G107" si="100">F107</f>
        <v/>
      </c>
      <c r="F107" s="109" t="str">
        <f>IF(G104="",(""),(INDEX('Desarrollo de Redes'!$A$37:$J$56,(MATCH('Desarrollo de Redes'!G104,'Desarrollo de Redes'!$A$37:$A$56,0)),(10))))</f>
        <v/>
      </c>
      <c r="G107" s="111" t="str">
        <f t="shared" si="100"/>
        <v/>
      </c>
      <c r="H107" s="109" t="str">
        <f>IF(I104="",(""),(INDEX('Desarrollo de Redes'!$A$37:$J$56,(MATCH('Desarrollo de Redes'!I104,'Desarrollo de Redes'!$A$37:$A$56,0)),(10))))</f>
        <v/>
      </c>
      <c r="I107" s="111" t="str">
        <f t="shared" si="8"/>
        <v/>
      </c>
      <c r="J107" s="109" t="str">
        <f>IF(K104="",(""),(INDEX('Desarrollo de Redes'!$A$37:$J$56,(MATCH('Desarrollo de Redes'!K104,'Desarrollo de Redes'!$A$37:$A$56,0)),(10))))</f>
        <v/>
      </c>
      <c r="K107" s="111" t="str">
        <f t="shared" si="8"/>
        <v/>
      </c>
      <c r="L107" s="109" t="str">
        <f>IF(M104="",(""),(INDEX('Desarrollo de Redes'!$A$37:$J$56,(MATCH('Desarrollo de Redes'!M104,'Desarrollo de Redes'!$A$37:$A$56,0)),(10))))</f>
        <v/>
      </c>
      <c r="M107" s="5"/>
    </row>
    <row r="108" spans="1:13" x14ac:dyDescent="0.25">
      <c r="A108" s="40"/>
      <c r="B108" s="35" t="str">
        <f>IF(C108="",(""),(INDEX('Desarrollo de Redes'!$A$37:$J$56,(MATCH('Desarrollo de Redes'!C108,'Desarrollo de Redes'!$A$37:$A$56,0)),(7))))</f>
        <v/>
      </c>
      <c r="C108" s="111" t="str">
        <f t="shared" ref="C108" si="101">D108</f>
        <v/>
      </c>
      <c r="D108" s="35" t="str">
        <f>IF(E108="",(""),(INDEX('Desarrollo de Redes'!$A$37:$J$56,(MATCH('Desarrollo de Redes'!E108,'Desarrollo de Redes'!$A$37:$A$56,0)),(7))))</f>
        <v/>
      </c>
      <c r="E108" s="111" t="str">
        <f t="shared" ref="E108:G108" si="102">F108</f>
        <v/>
      </c>
      <c r="F108" s="35" t="str">
        <f>IF(G108="",(""),(INDEX('Desarrollo de Redes'!$A$37:$J$56,(MATCH('Desarrollo de Redes'!G108,'Desarrollo de Redes'!$A$37:$A$56,0)),(7))))</f>
        <v/>
      </c>
      <c r="G108" s="111" t="str">
        <f t="shared" si="102"/>
        <v/>
      </c>
      <c r="H108" s="35" t="str">
        <f>IF(I108="",(""),(INDEX('Desarrollo de Redes'!$A$37:$J$56,(MATCH('Desarrollo de Redes'!I108,'Desarrollo de Redes'!$A$37:$A$56,0)),(7))))</f>
        <v/>
      </c>
      <c r="I108" s="111" t="str">
        <f t="shared" si="8"/>
        <v/>
      </c>
      <c r="J108" s="35" t="str">
        <f>IF(K108="",(""),(INDEX('Desarrollo de Redes'!$A$37:$J$56,(MATCH('Desarrollo de Redes'!K108,'Desarrollo de Redes'!$A$37:$A$56,0)),(7))))</f>
        <v/>
      </c>
      <c r="K108" s="111" t="str">
        <f t="shared" si="8"/>
        <v/>
      </c>
      <c r="L108" s="109" t="str">
        <f>IF(M108="",(""),(INDEX('Desarrollo de Redes'!$A$37:$J$56,(MATCH('Desarrollo de Redes'!M108,'Desarrollo de Redes'!$A$37:$A$56,0)),(7))))</f>
        <v/>
      </c>
      <c r="M108" s="110" t="str">
        <f>IF(Precedencias!F16="Final",(Precedencias!A16),(""))</f>
        <v/>
      </c>
    </row>
    <row r="109" spans="1:13" x14ac:dyDescent="0.25">
      <c r="A109" s="40"/>
      <c r="B109" s="109" t="str">
        <f>IF(C108="",(""),(INDEX('Desarrollo de Redes'!$A$37:$J$56,(MATCH('Desarrollo de Redes'!C108,'Desarrollo de Redes'!$A$37:$A$56,0)),(8))))</f>
        <v/>
      </c>
      <c r="C109" s="111" t="str">
        <f t="shared" ref="C109" si="103">D109</f>
        <v/>
      </c>
      <c r="D109" s="109" t="str">
        <f>IF(E108="",(""),(INDEX('Desarrollo de Redes'!$A$37:$J$56,(MATCH('Desarrollo de Redes'!E108,'Desarrollo de Redes'!$A$37:$A$56,0)),(8))))</f>
        <v/>
      </c>
      <c r="E109" s="111" t="str">
        <f t="shared" ref="E109:G109" si="104">F109</f>
        <v/>
      </c>
      <c r="F109" s="109" t="str">
        <f>IF(G108="",(""),(INDEX('Desarrollo de Redes'!$A$37:$J$56,(MATCH('Desarrollo de Redes'!G108,'Desarrollo de Redes'!$A$37:$A$56,0)),(8))))</f>
        <v/>
      </c>
      <c r="G109" s="111" t="str">
        <f t="shared" si="104"/>
        <v/>
      </c>
      <c r="H109" s="109" t="str">
        <f>IF(I108="",(""),(INDEX('Desarrollo de Redes'!$A$37:$J$56,(MATCH('Desarrollo de Redes'!I108,'Desarrollo de Redes'!$A$37:$A$56,0)),(8))))</f>
        <v/>
      </c>
      <c r="I109" s="111" t="str">
        <f t="shared" si="8"/>
        <v/>
      </c>
      <c r="J109" s="109" t="str">
        <f>IF(K108="",(""),(INDEX('Desarrollo de Redes'!$A$37:$J$56,(MATCH('Desarrollo de Redes'!K108,'Desarrollo de Redes'!$A$37:$A$56,0)),(8))))</f>
        <v/>
      </c>
      <c r="K109" s="111" t="str">
        <f t="shared" si="8"/>
        <v/>
      </c>
      <c r="L109" s="109" t="str">
        <f>IF(M108="",(""),(INDEX('Desarrollo de Redes'!$A$37:$J$56,(MATCH('Desarrollo de Redes'!M108,'Desarrollo de Redes'!$A$37:$A$56,0)),(8))))</f>
        <v/>
      </c>
      <c r="M109" s="4"/>
    </row>
    <row r="110" spans="1:13" x14ac:dyDescent="0.25">
      <c r="A110" s="40"/>
      <c r="B110" s="109" t="str">
        <f>IF(C108="",(""),(INDEX('Desarrollo de Redes'!$A$37:$J$56,(MATCH('Desarrollo de Redes'!C108,'Desarrollo de Redes'!$A$37:$A$56,0)),(9))))</f>
        <v/>
      </c>
      <c r="C110" s="111" t="str">
        <f t="shared" ref="C110" si="105">D110</f>
        <v/>
      </c>
      <c r="D110" s="109" t="str">
        <f>IF(E108="",(""),(INDEX('Desarrollo de Redes'!$A$37:$J$56,(MATCH('Desarrollo de Redes'!E108,'Desarrollo de Redes'!$A$37:$A$56,0)),(9))))</f>
        <v/>
      </c>
      <c r="E110" s="111" t="str">
        <f t="shared" ref="E110:G110" si="106">F110</f>
        <v/>
      </c>
      <c r="F110" s="109" t="str">
        <f>IF(G108="",(""),(INDEX('Desarrollo de Redes'!$A$37:$J$56,(MATCH('Desarrollo de Redes'!G108,'Desarrollo de Redes'!$A$37:$A$56,0)),(9))))</f>
        <v/>
      </c>
      <c r="G110" s="111" t="str">
        <f t="shared" si="106"/>
        <v/>
      </c>
      <c r="H110" s="109" t="str">
        <f>IF(I108="",(""),(INDEX('Desarrollo de Redes'!$A$37:$J$56,(MATCH('Desarrollo de Redes'!I108,'Desarrollo de Redes'!$A$37:$A$56,0)),(9))))</f>
        <v/>
      </c>
      <c r="I110" s="111" t="str">
        <f t="shared" si="8"/>
        <v/>
      </c>
      <c r="J110" s="109" t="str">
        <f>IF(K108="",(""),(INDEX('Desarrollo de Redes'!$A$37:$J$56,(MATCH('Desarrollo de Redes'!K108,'Desarrollo de Redes'!$A$37:$A$56,0)),(9))))</f>
        <v/>
      </c>
      <c r="K110" s="111" t="str">
        <f t="shared" si="8"/>
        <v/>
      </c>
      <c r="L110" s="109" t="str">
        <f>IF(M108="",(""),(INDEX('Desarrollo de Redes'!$A$37:$J$56,(MATCH('Desarrollo de Redes'!M108,'Desarrollo de Redes'!$A$37:$A$56,0)),(9))))</f>
        <v/>
      </c>
      <c r="M110" s="4"/>
    </row>
    <row r="111" spans="1:13" x14ac:dyDescent="0.25">
      <c r="A111" s="40"/>
      <c r="B111" s="109" t="str">
        <f>IF(C108="",(""),(INDEX('Desarrollo de Redes'!$A$37:$J$56,(MATCH('Desarrollo de Redes'!C108,'Desarrollo de Redes'!$A$37:$A$56,0)),(10))))</f>
        <v/>
      </c>
      <c r="C111" s="111" t="str">
        <f t="shared" ref="C111" si="107">D111</f>
        <v/>
      </c>
      <c r="D111" s="109" t="str">
        <f>IF(E108="",(""),(INDEX('Desarrollo de Redes'!$A$37:$J$56,(MATCH('Desarrollo de Redes'!E108,'Desarrollo de Redes'!$A$37:$A$56,0)),(10))))</f>
        <v/>
      </c>
      <c r="E111" s="111" t="str">
        <f t="shared" ref="E111:G111" si="108">F111</f>
        <v/>
      </c>
      <c r="F111" s="109" t="str">
        <f>IF(G108="",(""),(INDEX('Desarrollo de Redes'!$A$37:$J$56,(MATCH('Desarrollo de Redes'!G108,'Desarrollo de Redes'!$A$37:$A$56,0)),(10))))</f>
        <v/>
      </c>
      <c r="G111" s="111" t="str">
        <f t="shared" si="108"/>
        <v/>
      </c>
      <c r="H111" s="109" t="str">
        <f>IF(I108="",(""),(INDEX('Desarrollo de Redes'!$A$37:$J$56,(MATCH('Desarrollo de Redes'!I108,'Desarrollo de Redes'!$A$37:$A$56,0)),(10))))</f>
        <v/>
      </c>
      <c r="I111" s="111" t="str">
        <f t="shared" si="8"/>
        <v/>
      </c>
      <c r="J111" s="109" t="str">
        <f>IF(K108="",(""),(INDEX('Desarrollo de Redes'!$A$37:$J$56,(MATCH('Desarrollo de Redes'!K108,'Desarrollo de Redes'!$A$37:$A$56,0)),(10))))</f>
        <v/>
      </c>
      <c r="K111" s="111" t="str">
        <f t="shared" si="8"/>
        <v/>
      </c>
      <c r="L111" s="109" t="str">
        <f>IF(M108="",(""),(INDEX('Desarrollo de Redes'!$A$37:$J$56,(MATCH('Desarrollo de Redes'!M108,'Desarrollo de Redes'!$A$37:$A$56,0)),(10))))</f>
        <v/>
      </c>
      <c r="M111" s="4"/>
    </row>
    <row r="112" spans="1:13" x14ac:dyDescent="0.25">
      <c r="A112" s="39"/>
      <c r="B112" s="35" t="str">
        <f>IF(C112="",(""),(INDEX('Desarrollo de Redes'!$A$37:$J$56,(MATCH('Desarrollo de Redes'!C112,'Desarrollo de Redes'!$A$37:$A$56,0)),(7))))</f>
        <v/>
      </c>
      <c r="C112" s="111" t="str">
        <f t="shared" ref="C112" si="109">D112</f>
        <v/>
      </c>
      <c r="D112" s="35" t="str">
        <f>IF(E112="",(""),(INDEX('Desarrollo de Redes'!$A$37:$J$56,(MATCH('Desarrollo de Redes'!E112,'Desarrollo de Redes'!$A$37:$A$56,0)),(7))))</f>
        <v/>
      </c>
      <c r="E112" s="111" t="str">
        <f t="shared" ref="E112:G112" si="110">F112</f>
        <v/>
      </c>
      <c r="F112" s="35" t="str">
        <f>IF(G112="",(""),(INDEX('Desarrollo de Redes'!$A$37:$J$56,(MATCH('Desarrollo de Redes'!G112,'Desarrollo de Redes'!$A$37:$A$56,0)),(7))))</f>
        <v/>
      </c>
      <c r="G112" s="111" t="str">
        <f t="shared" si="110"/>
        <v/>
      </c>
      <c r="H112" s="35" t="str">
        <f>IF(I112="",(""),(INDEX('Desarrollo de Redes'!$A$37:$J$56,(MATCH('Desarrollo de Redes'!I112,'Desarrollo de Redes'!$A$37:$A$56,0)),(7))))</f>
        <v/>
      </c>
      <c r="I112" s="111" t="str">
        <f t="shared" si="8"/>
        <v/>
      </c>
      <c r="J112" s="35" t="str">
        <f>IF(K112="",(""),(INDEX('Desarrollo de Redes'!$A$37:$J$56,(MATCH('Desarrollo de Redes'!K112,'Desarrollo de Redes'!$A$37:$A$56,0)),(7))))</f>
        <v/>
      </c>
      <c r="K112" s="111" t="str">
        <f t="shared" si="8"/>
        <v/>
      </c>
      <c r="L112" s="35" t="str">
        <f>IF(M112="",(""),(INDEX('Desarrollo de Redes'!$A$37:$J$56,(MATCH('Desarrollo de Redes'!M112,'Desarrollo de Redes'!$A$37:$A$56,0)),(7))))</f>
        <v/>
      </c>
      <c r="M112" s="108" t="str">
        <f>IF(Precedencias!F17="Final",(Precedencias!A17),(""))</f>
        <v/>
      </c>
    </row>
    <row r="113" spans="1:13" x14ac:dyDescent="0.25">
      <c r="A113" s="40"/>
      <c r="B113" s="109" t="str">
        <f>IF(C112="",(""),(INDEX('Desarrollo de Redes'!$A$37:$J$56,(MATCH('Desarrollo de Redes'!C112,'Desarrollo de Redes'!$A$37:$A$56,0)),(8))))</f>
        <v/>
      </c>
      <c r="C113" s="111" t="str">
        <f t="shared" ref="C113" si="111">D113</f>
        <v/>
      </c>
      <c r="D113" s="109" t="str">
        <f>IF(E112="",(""),(INDEX('Desarrollo de Redes'!$A$37:$J$56,(MATCH('Desarrollo de Redes'!E112,'Desarrollo de Redes'!$A$37:$A$56,0)),(8))))</f>
        <v/>
      </c>
      <c r="E113" s="111" t="str">
        <f t="shared" ref="E113:G113" si="112">F113</f>
        <v/>
      </c>
      <c r="F113" s="109" t="str">
        <f>IF(G112="",(""),(INDEX('Desarrollo de Redes'!$A$37:$J$56,(MATCH('Desarrollo de Redes'!G112,'Desarrollo de Redes'!$A$37:$A$56,0)),(8))))</f>
        <v/>
      </c>
      <c r="G113" s="111" t="str">
        <f t="shared" si="112"/>
        <v/>
      </c>
      <c r="H113" s="109" t="str">
        <f>IF(I112="",(""),(INDEX('Desarrollo de Redes'!$A$37:$J$56,(MATCH('Desarrollo de Redes'!I112,'Desarrollo de Redes'!$A$37:$A$56,0)),(8))))</f>
        <v/>
      </c>
      <c r="I113" s="111" t="str">
        <f t="shared" si="8"/>
        <v/>
      </c>
      <c r="J113" s="109" t="str">
        <f>IF(K112="",(""),(INDEX('Desarrollo de Redes'!$A$37:$J$56,(MATCH('Desarrollo de Redes'!K112,'Desarrollo de Redes'!$A$37:$A$56,0)),(8))))</f>
        <v/>
      </c>
      <c r="K113" s="111" t="str">
        <f t="shared" si="8"/>
        <v/>
      </c>
      <c r="L113" s="109" t="str">
        <f>IF(M112="",(""),(INDEX('Desarrollo de Redes'!$A$37:$J$56,(MATCH('Desarrollo de Redes'!M112,'Desarrollo de Redes'!$A$37:$A$56,0)),(8))))</f>
        <v/>
      </c>
      <c r="M113" s="4"/>
    </row>
    <row r="114" spans="1:13" x14ac:dyDescent="0.25">
      <c r="A114" s="40"/>
      <c r="B114" s="109" t="str">
        <f>IF(C112="",(""),(INDEX('Desarrollo de Redes'!$A$37:$J$56,(MATCH('Desarrollo de Redes'!C112,'Desarrollo de Redes'!$A$37:$A$56,0)),(9))))</f>
        <v/>
      </c>
      <c r="C114" s="111" t="str">
        <f t="shared" ref="C114" si="113">D114</f>
        <v/>
      </c>
      <c r="D114" s="109" t="str">
        <f>IF(E112="",(""),(INDEX('Desarrollo de Redes'!$A$37:$J$56,(MATCH('Desarrollo de Redes'!E112,'Desarrollo de Redes'!$A$37:$A$56,0)),(9))))</f>
        <v/>
      </c>
      <c r="E114" s="111" t="str">
        <f t="shared" ref="E114:G114" si="114">F114</f>
        <v/>
      </c>
      <c r="F114" s="109" t="str">
        <f>IF(G112="",(""),(INDEX('Desarrollo de Redes'!$A$37:$J$56,(MATCH('Desarrollo de Redes'!G112,'Desarrollo de Redes'!$A$37:$A$56,0)),(9))))</f>
        <v/>
      </c>
      <c r="G114" s="111" t="str">
        <f t="shared" si="114"/>
        <v/>
      </c>
      <c r="H114" s="109" t="str">
        <f>IF(I112="",(""),(INDEX('Desarrollo de Redes'!$A$37:$J$56,(MATCH('Desarrollo de Redes'!I112,'Desarrollo de Redes'!$A$37:$A$56,0)),(9))))</f>
        <v/>
      </c>
      <c r="I114" s="111" t="str">
        <f t="shared" si="8"/>
        <v/>
      </c>
      <c r="J114" s="109" t="str">
        <f>IF(K112="",(""),(INDEX('Desarrollo de Redes'!$A$37:$J$56,(MATCH('Desarrollo de Redes'!K112,'Desarrollo de Redes'!$A$37:$A$56,0)),(9))))</f>
        <v/>
      </c>
      <c r="K114" s="111" t="str">
        <f t="shared" si="8"/>
        <v/>
      </c>
      <c r="L114" s="109" t="str">
        <f>IF(M112="",(""),(INDEX('Desarrollo de Redes'!$A$37:$J$56,(MATCH('Desarrollo de Redes'!M112,'Desarrollo de Redes'!$A$37:$A$56,0)),(9))))</f>
        <v/>
      </c>
      <c r="M114" s="4"/>
    </row>
    <row r="115" spans="1:13" x14ac:dyDescent="0.25">
      <c r="A115" s="41"/>
      <c r="B115" s="109" t="str">
        <f>IF(C112="",(""),(INDEX('Desarrollo de Redes'!$A$37:$J$56,(MATCH('Desarrollo de Redes'!C112,'Desarrollo de Redes'!$A$37:$A$56,0)),(10))))</f>
        <v/>
      </c>
      <c r="C115" s="111" t="str">
        <f t="shared" ref="C115" si="115">D115</f>
        <v/>
      </c>
      <c r="D115" s="109" t="str">
        <f>IF(E112="",(""),(INDEX('Desarrollo de Redes'!$A$37:$J$56,(MATCH('Desarrollo de Redes'!E112,'Desarrollo de Redes'!$A$37:$A$56,0)),(10))))</f>
        <v/>
      </c>
      <c r="E115" s="111" t="str">
        <f t="shared" ref="E115:G115" si="116">F115</f>
        <v/>
      </c>
      <c r="F115" s="109" t="str">
        <f>IF(G112="",(""),(INDEX('Desarrollo de Redes'!$A$37:$J$56,(MATCH('Desarrollo de Redes'!G112,'Desarrollo de Redes'!$A$37:$A$56,0)),(10))))</f>
        <v/>
      </c>
      <c r="G115" s="111" t="str">
        <f t="shared" si="116"/>
        <v/>
      </c>
      <c r="H115" s="109" t="str">
        <f>IF(I112="",(""),(INDEX('Desarrollo de Redes'!$A$37:$J$56,(MATCH('Desarrollo de Redes'!I112,'Desarrollo de Redes'!$A$37:$A$56,0)),(10))))</f>
        <v/>
      </c>
      <c r="I115" s="111" t="str">
        <f t="shared" si="8"/>
        <v/>
      </c>
      <c r="J115" s="109" t="str">
        <f>IF(K112="",(""),(INDEX('Desarrollo de Redes'!$A$37:$J$56,(MATCH('Desarrollo de Redes'!K112,'Desarrollo de Redes'!$A$37:$A$56,0)),(10))))</f>
        <v/>
      </c>
      <c r="K115" s="111" t="str">
        <f t="shared" si="8"/>
        <v/>
      </c>
      <c r="L115" s="109" t="str">
        <f>IF(M112="",(""),(INDEX('Desarrollo de Redes'!$A$37:$J$56,(MATCH('Desarrollo de Redes'!M112,'Desarrollo de Redes'!$A$37:$A$56,0)),(10))))</f>
        <v/>
      </c>
      <c r="M115" s="5"/>
    </row>
    <row r="116" spans="1:13" x14ac:dyDescent="0.25">
      <c r="A116" s="40"/>
      <c r="B116" s="35" t="str">
        <f>IF(C116="",(""),(INDEX('Desarrollo de Redes'!$A$37:$J$56,(MATCH('Desarrollo de Redes'!C116,'Desarrollo de Redes'!$A$37:$A$56,0)),(7))))</f>
        <v/>
      </c>
      <c r="C116" s="111" t="str">
        <f t="shared" ref="C116" si="117">D116</f>
        <v/>
      </c>
      <c r="D116" s="35" t="str">
        <f>IF(E116="",(""),(INDEX('Desarrollo de Redes'!$A$37:$J$56,(MATCH('Desarrollo de Redes'!E116,'Desarrollo de Redes'!$A$37:$A$56,0)),(7))))</f>
        <v/>
      </c>
      <c r="E116" s="111" t="str">
        <f t="shared" ref="E116:G116" si="118">F116</f>
        <v/>
      </c>
      <c r="F116" s="35" t="str">
        <f>IF(G116="",(""),(INDEX('Desarrollo de Redes'!$A$37:$J$56,(MATCH('Desarrollo de Redes'!G116,'Desarrollo de Redes'!$A$37:$A$56,0)),(7))))</f>
        <v/>
      </c>
      <c r="G116" s="111" t="str">
        <f t="shared" si="118"/>
        <v/>
      </c>
      <c r="H116" s="35" t="str">
        <f>IF(I116="",(""),(INDEX('Desarrollo de Redes'!$A$37:$J$56,(MATCH('Desarrollo de Redes'!I116,'Desarrollo de Redes'!$A$37:$A$56,0)),(7))))</f>
        <v/>
      </c>
      <c r="I116" s="111" t="str">
        <f t="shared" si="8"/>
        <v/>
      </c>
      <c r="J116" s="35" t="str">
        <f>IF(K116="",(""),(INDEX('Desarrollo de Redes'!$A$37:$J$56,(MATCH('Desarrollo de Redes'!K116,'Desarrollo de Redes'!$A$37:$A$56,0)),(7))))</f>
        <v/>
      </c>
      <c r="K116" s="111" t="str">
        <f t="shared" si="8"/>
        <v/>
      </c>
      <c r="L116" s="109" t="str">
        <f>IF(M116="",(""),(INDEX('Desarrollo de Redes'!$A$37:$J$56,(MATCH('Desarrollo de Redes'!M116,'Desarrollo de Redes'!$A$37:$A$56,0)),(7))))</f>
        <v/>
      </c>
      <c r="M116" s="110" t="str">
        <f>IF(Precedencias!F18="Final",(Precedencias!A18),(""))</f>
        <v/>
      </c>
    </row>
    <row r="117" spans="1:13" x14ac:dyDescent="0.25">
      <c r="A117" s="40"/>
      <c r="B117" s="109" t="str">
        <f>IF(C116="",(""),(INDEX('Desarrollo de Redes'!$A$37:$J$56,(MATCH('Desarrollo de Redes'!C116,'Desarrollo de Redes'!$A$37:$A$56,0)),(8))))</f>
        <v/>
      </c>
      <c r="C117" s="111" t="str">
        <f t="shared" ref="C117" si="119">D117</f>
        <v/>
      </c>
      <c r="D117" s="109" t="str">
        <f>IF(E116="",(""),(INDEX('Desarrollo de Redes'!$A$37:$J$56,(MATCH('Desarrollo de Redes'!E116,'Desarrollo de Redes'!$A$37:$A$56,0)),(8))))</f>
        <v/>
      </c>
      <c r="E117" s="111" t="str">
        <f t="shared" ref="E117:G117" si="120">F117</f>
        <v/>
      </c>
      <c r="F117" s="109" t="str">
        <f>IF(G116="",(""),(INDEX('Desarrollo de Redes'!$A$37:$J$56,(MATCH('Desarrollo de Redes'!G116,'Desarrollo de Redes'!$A$37:$A$56,0)),(8))))</f>
        <v/>
      </c>
      <c r="G117" s="111" t="str">
        <f t="shared" si="120"/>
        <v/>
      </c>
      <c r="H117" s="109" t="str">
        <f>IF(I116="",(""),(INDEX('Desarrollo de Redes'!$A$37:$J$56,(MATCH('Desarrollo de Redes'!I116,'Desarrollo de Redes'!$A$37:$A$56,0)),(8))))</f>
        <v/>
      </c>
      <c r="I117" s="111" t="str">
        <f t="shared" si="8"/>
        <v/>
      </c>
      <c r="J117" s="109" t="str">
        <f>IF(K116="",(""),(INDEX('Desarrollo de Redes'!$A$37:$J$56,(MATCH('Desarrollo de Redes'!K116,'Desarrollo de Redes'!$A$37:$A$56,0)),(8))))</f>
        <v/>
      </c>
      <c r="K117" s="111" t="str">
        <f t="shared" si="8"/>
        <v/>
      </c>
      <c r="L117" s="109" t="str">
        <f>IF(M116="",(""),(INDEX('Desarrollo de Redes'!$A$37:$J$56,(MATCH('Desarrollo de Redes'!M116,'Desarrollo de Redes'!$A$37:$A$56,0)),(8))))</f>
        <v/>
      </c>
      <c r="M117" s="4"/>
    </row>
    <row r="118" spans="1:13" x14ac:dyDescent="0.25">
      <c r="A118" s="40"/>
      <c r="B118" s="109" t="str">
        <f>IF(C116="",(""),(INDEX('Desarrollo de Redes'!$A$37:$J$56,(MATCH('Desarrollo de Redes'!C116,'Desarrollo de Redes'!$A$37:$A$56,0)),(9))))</f>
        <v/>
      </c>
      <c r="C118" s="111" t="str">
        <f t="shared" ref="C118" si="121">D118</f>
        <v/>
      </c>
      <c r="D118" s="109" t="str">
        <f>IF(E116="",(""),(INDEX('Desarrollo de Redes'!$A$37:$J$56,(MATCH('Desarrollo de Redes'!E116,'Desarrollo de Redes'!$A$37:$A$56,0)),(9))))</f>
        <v/>
      </c>
      <c r="E118" s="111" t="str">
        <f t="shared" ref="E118:G118" si="122">F118</f>
        <v/>
      </c>
      <c r="F118" s="109" t="str">
        <f>IF(G116="",(""),(INDEX('Desarrollo de Redes'!$A$37:$J$56,(MATCH('Desarrollo de Redes'!G116,'Desarrollo de Redes'!$A$37:$A$56,0)),(9))))</f>
        <v/>
      </c>
      <c r="G118" s="111" t="str">
        <f t="shared" si="122"/>
        <v/>
      </c>
      <c r="H118" s="109" t="str">
        <f>IF(I116="",(""),(INDEX('Desarrollo de Redes'!$A$37:$J$56,(MATCH('Desarrollo de Redes'!I116,'Desarrollo de Redes'!$A$37:$A$56,0)),(9))))</f>
        <v/>
      </c>
      <c r="I118" s="111" t="str">
        <f t="shared" si="8"/>
        <v/>
      </c>
      <c r="J118" s="109" t="str">
        <f>IF(K116="",(""),(INDEX('Desarrollo de Redes'!$A$37:$J$56,(MATCH('Desarrollo de Redes'!K116,'Desarrollo de Redes'!$A$37:$A$56,0)),(9))))</f>
        <v/>
      </c>
      <c r="K118" s="111" t="str">
        <f t="shared" si="8"/>
        <v/>
      </c>
      <c r="L118" s="109" t="str">
        <f>IF(M116="",(""),(INDEX('Desarrollo de Redes'!$A$37:$J$56,(MATCH('Desarrollo de Redes'!M116,'Desarrollo de Redes'!$A$37:$A$56,0)),(9))))</f>
        <v/>
      </c>
      <c r="M118" s="4"/>
    </row>
    <row r="119" spans="1:13" x14ac:dyDescent="0.25">
      <c r="A119" s="40"/>
      <c r="B119" s="109" t="str">
        <f>IF(C116="",(""),(INDEX('Desarrollo de Redes'!$A$37:$J$56,(MATCH('Desarrollo de Redes'!C116,'Desarrollo de Redes'!$A$37:$A$56,0)),(10))))</f>
        <v/>
      </c>
      <c r="C119" s="111" t="str">
        <f t="shared" ref="C119" si="123">D119</f>
        <v/>
      </c>
      <c r="D119" s="109" t="str">
        <f>IF(E116="",(""),(INDEX('Desarrollo de Redes'!$A$37:$J$56,(MATCH('Desarrollo de Redes'!E116,'Desarrollo de Redes'!$A$37:$A$56,0)),(10))))</f>
        <v/>
      </c>
      <c r="E119" s="111" t="str">
        <f t="shared" ref="E119:G119" si="124">F119</f>
        <v/>
      </c>
      <c r="F119" s="109" t="str">
        <f>IF(G116="",(""),(INDEX('Desarrollo de Redes'!$A$37:$J$56,(MATCH('Desarrollo de Redes'!G116,'Desarrollo de Redes'!$A$37:$A$56,0)),(10))))</f>
        <v/>
      </c>
      <c r="G119" s="111" t="str">
        <f t="shared" si="124"/>
        <v/>
      </c>
      <c r="H119" s="109" t="str">
        <f>IF(I116="",(""),(INDEX('Desarrollo de Redes'!$A$37:$J$56,(MATCH('Desarrollo de Redes'!I116,'Desarrollo de Redes'!$A$37:$A$56,0)),(10))))</f>
        <v/>
      </c>
      <c r="I119" s="111" t="str">
        <f t="shared" si="8"/>
        <v/>
      </c>
      <c r="J119" s="109" t="str">
        <f>IF(K116="",(""),(INDEX('Desarrollo de Redes'!$A$37:$J$56,(MATCH('Desarrollo de Redes'!K116,'Desarrollo de Redes'!$A$37:$A$56,0)),(10))))</f>
        <v/>
      </c>
      <c r="K119" s="111" t="str">
        <f t="shared" si="8"/>
        <v/>
      </c>
      <c r="L119" s="109" t="str">
        <f>IF(M116="",(""),(INDEX('Desarrollo de Redes'!$A$37:$J$56,(MATCH('Desarrollo de Redes'!M116,'Desarrollo de Redes'!$A$37:$A$56,0)),(10))))</f>
        <v/>
      </c>
      <c r="M119" s="4"/>
    </row>
    <row r="120" spans="1:13" x14ac:dyDescent="0.25">
      <c r="A120" s="39"/>
      <c r="B120" s="35" t="str">
        <f>IF(C120="",(""),(INDEX('Desarrollo de Redes'!$A$37:$J$56,(MATCH('Desarrollo de Redes'!C120,'Desarrollo de Redes'!$A$37:$A$56,0)),(7))))</f>
        <v/>
      </c>
      <c r="C120" s="111" t="str">
        <f t="shared" ref="C120" si="125">D120</f>
        <v/>
      </c>
      <c r="D120" s="35" t="str">
        <f>IF(E120="",(""),(INDEX('Desarrollo de Redes'!$A$37:$J$56,(MATCH('Desarrollo de Redes'!E120,'Desarrollo de Redes'!$A$37:$A$56,0)),(7))))</f>
        <v/>
      </c>
      <c r="E120" s="111" t="str">
        <f t="shared" ref="E120:G120" si="126">F120</f>
        <v/>
      </c>
      <c r="F120" s="35" t="str">
        <f>IF(G120="",(""),(INDEX('Desarrollo de Redes'!$A$37:$J$56,(MATCH('Desarrollo de Redes'!G120,'Desarrollo de Redes'!$A$37:$A$56,0)),(7))))</f>
        <v/>
      </c>
      <c r="G120" s="111" t="str">
        <f t="shared" si="126"/>
        <v/>
      </c>
      <c r="H120" s="35" t="str">
        <f>IF(I120="",(""),(INDEX('Desarrollo de Redes'!$A$37:$J$56,(MATCH('Desarrollo de Redes'!I120,'Desarrollo de Redes'!$A$37:$A$56,0)),(7))))</f>
        <v/>
      </c>
      <c r="I120" s="111" t="str">
        <f t="shared" si="8"/>
        <v/>
      </c>
      <c r="J120" s="35" t="str">
        <f>IF(K120="",(""),(INDEX('Desarrollo de Redes'!$A$37:$J$56,(MATCH('Desarrollo de Redes'!K120,'Desarrollo de Redes'!$A$37:$A$56,0)),(7))))</f>
        <v/>
      </c>
      <c r="K120" s="111" t="str">
        <f t="shared" si="8"/>
        <v/>
      </c>
      <c r="L120" s="35" t="str">
        <f>IF(M120="",(""),(INDEX('Desarrollo de Redes'!$A$37:$J$56,(MATCH('Desarrollo de Redes'!M120,'Desarrollo de Redes'!$A$37:$A$56,0)),(7))))</f>
        <v/>
      </c>
      <c r="M120" s="108" t="str">
        <f>IF(Precedencias!F19="Final",(Precedencias!A19),(""))</f>
        <v/>
      </c>
    </row>
    <row r="121" spans="1:13" x14ac:dyDescent="0.25">
      <c r="A121" s="40"/>
      <c r="B121" s="109" t="str">
        <f>IF(C120="",(""),(INDEX('Desarrollo de Redes'!$A$37:$J$56,(MATCH('Desarrollo de Redes'!C120,'Desarrollo de Redes'!$A$37:$A$56,0)),(8))))</f>
        <v/>
      </c>
      <c r="C121" s="111" t="str">
        <f t="shared" ref="C121" si="127">D121</f>
        <v/>
      </c>
      <c r="D121" s="109" t="str">
        <f>IF(E120="",(""),(INDEX('Desarrollo de Redes'!$A$37:$J$56,(MATCH('Desarrollo de Redes'!E120,'Desarrollo de Redes'!$A$37:$A$56,0)),(8))))</f>
        <v/>
      </c>
      <c r="E121" s="111" t="str">
        <f t="shared" ref="E121:G121" si="128">F121</f>
        <v/>
      </c>
      <c r="F121" s="109" t="str">
        <f>IF(G120="",(""),(INDEX('Desarrollo de Redes'!$A$37:$J$56,(MATCH('Desarrollo de Redes'!G120,'Desarrollo de Redes'!$A$37:$A$56,0)),(8))))</f>
        <v/>
      </c>
      <c r="G121" s="111" t="str">
        <f t="shared" si="128"/>
        <v/>
      </c>
      <c r="H121" s="109" t="str">
        <f>IF(I120="",(""),(INDEX('Desarrollo de Redes'!$A$37:$J$56,(MATCH('Desarrollo de Redes'!I120,'Desarrollo de Redes'!$A$37:$A$56,0)),(8))))</f>
        <v/>
      </c>
      <c r="I121" s="111" t="str">
        <f t="shared" si="8"/>
        <v/>
      </c>
      <c r="J121" s="109" t="str">
        <f>IF(K120="",(""),(INDEX('Desarrollo de Redes'!$A$37:$J$56,(MATCH('Desarrollo de Redes'!K120,'Desarrollo de Redes'!$A$37:$A$56,0)),(8))))</f>
        <v/>
      </c>
      <c r="K121" s="111" t="str">
        <f t="shared" si="8"/>
        <v/>
      </c>
      <c r="L121" s="109" t="str">
        <f>IF(M120="",(""),(INDEX('Desarrollo de Redes'!$A$37:$J$56,(MATCH('Desarrollo de Redes'!M120,'Desarrollo de Redes'!$A$37:$A$56,0)),(8))))</f>
        <v/>
      </c>
      <c r="M121" s="4"/>
    </row>
    <row r="122" spans="1:13" x14ac:dyDescent="0.25">
      <c r="A122" s="40"/>
      <c r="B122" s="109" t="str">
        <f>IF(C120="",(""),(INDEX('Desarrollo de Redes'!$A$37:$J$56,(MATCH('Desarrollo de Redes'!C120,'Desarrollo de Redes'!$A$37:$A$56,0)),(9))))</f>
        <v/>
      </c>
      <c r="C122" s="111" t="str">
        <f t="shared" ref="C122" si="129">D122</f>
        <v/>
      </c>
      <c r="D122" s="109" t="str">
        <f>IF(E120="",(""),(INDEX('Desarrollo de Redes'!$A$37:$J$56,(MATCH('Desarrollo de Redes'!E120,'Desarrollo de Redes'!$A$37:$A$56,0)),(9))))</f>
        <v/>
      </c>
      <c r="E122" s="111" t="str">
        <f t="shared" ref="E122:G122" si="130">F122</f>
        <v/>
      </c>
      <c r="F122" s="109" t="str">
        <f>IF(G120="",(""),(INDEX('Desarrollo de Redes'!$A$37:$J$56,(MATCH('Desarrollo de Redes'!G120,'Desarrollo de Redes'!$A$37:$A$56,0)),(9))))</f>
        <v/>
      </c>
      <c r="G122" s="111" t="str">
        <f t="shared" si="130"/>
        <v/>
      </c>
      <c r="H122" s="109" t="str">
        <f>IF(I120="",(""),(INDEX('Desarrollo de Redes'!$A$37:$J$56,(MATCH('Desarrollo de Redes'!I120,'Desarrollo de Redes'!$A$37:$A$56,0)),(9))))</f>
        <v/>
      </c>
      <c r="I122" s="111" t="str">
        <f t="shared" si="8"/>
        <v/>
      </c>
      <c r="J122" s="109" t="str">
        <f>IF(K120="",(""),(INDEX('Desarrollo de Redes'!$A$37:$J$56,(MATCH('Desarrollo de Redes'!K120,'Desarrollo de Redes'!$A$37:$A$56,0)),(9))))</f>
        <v/>
      </c>
      <c r="K122" s="111" t="str">
        <f t="shared" si="8"/>
        <v/>
      </c>
      <c r="L122" s="109" t="str">
        <f>IF(M120="",(""),(INDEX('Desarrollo de Redes'!$A$37:$J$56,(MATCH('Desarrollo de Redes'!M120,'Desarrollo de Redes'!$A$37:$A$56,0)),(9))))</f>
        <v/>
      </c>
      <c r="M122" s="4"/>
    </row>
    <row r="123" spans="1:13" x14ac:dyDescent="0.25">
      <c r="A123" s="41"/>
      <c r="B123" s="109" t="str">
        <f>IF(C120="",(""),(INDEX('Desarrollo de Redes'!$A$37:$J$56,(MATCH('Desarrollo de Redes'!C120,'Desarrollo de Redes'!$A$37:$A$56,0)),(10))))</f>
        <v/>
      </c>
      <c r="C123" s="111" t="str">
        <f t="shared" ref="C123" si="131">D123</f>
        <v/>
      </c>
      <c r="D123" s="109" t="str">
        <f>IF(E120="",(""),(INDEX('Desarrollo de Redes'!$A$37:$J$56,(MATCH('Desarrollo de Redes'!E120,'Desarrollo de Redes'!$A$37:$A$56,0)),(10))))</f>
        <v/>
      </c>
      <c r="E123" s="111" t="str">
        <f t="shared" ref="E123:G123" si="132">F123</f>
        <v/>
      </c>
      <c r="F123" s="109" t="str">
        <f>IF(G120="",(""),(INDEX('Desarrollo de Redes'!$A$37:$J$56,(MATCH('Desarrollo de Redes'!G120,'Desarrollo de Redes'!$A$37:$A$56,0)),(10))))</f>
        <v/>
      </c>
      <c r="G123" s="111" t="str">
        <f t="shared" si="132"/>
        <v/>
      </c>
      <c r="H123" s="109" t="str">
        <f>IF(I120="",(""),(INDEX('Desarrollo de Redes'!$A$37:$J$56,(MATCH('Desarrollo de Redes'!I120,'Desarrollo de Redes'!$A$37:$A$56,0)),(10))))</f>
        <v/>
      </c>
      <c r="I123" s="111" t="str">
        <f t="shared" si="8"/>
        <v/>
      </c>
      <c r="J123" s="109" t="str">
        <f>IF(K120="",(""),(INDEX('Desarrollo de Redes'!$A$37:$J$56,(MATCH('Desarrollo de Redes'!K120,'Desarrollo de Redes'!$A$37:$A$56,0)),(10))))</f>
        <v/>
      </c>
      <c r="K123" s="111" t="str">
        <f t="shared" si="8"/>
        <v/>
      </c>
      <c r="L123" s="109" t="str">
        <f>IF(M120="",(""),(INDEX('Desarrollo de Redes'!$A$37:$J$56,(MATCH('Desarrollo de Redes'!M120,'Desarrollo de Redes'!$A$37:$A$56,0)),(10))))</f>
        <v/>
      </c>
      <c r="M123" s="5"/>
    </row>
  </sheetData>
  <mergeCells count="48">
    <mergeCell ref="L1:M1"/>
    <mergeCell ref="O28:P28"/>
    <mergeCell ref="O33:P33"/>
    <mergeCell ref="L31:M31"/>
    <mergeCell ref="B54:D54"/>
    <mergeCell ref="B42:D42"/>
    <mergeCell ref="B43:D43"/>
    <mergeCell ref="F21:G21"/>
    <mergeCell ref="F26:G26"/>
    <mergeCell ref="F6:G6"/>
    <mergeCell ref="B37:D37"/>
    <mergeCell ref="B38:D38"/>
    <mergeCell ref="I19:J19"/>
    <mergeCell ref="I24:J24"/>
    <mergeCell ref="L26:M26"/>
    <mergeCell ref="L6:M6"/>
    <mergeCell ref="B55:D55"/>
    <mergeCell ref="B56:D56"/>
    <mergeCell ref="I29:J29"/>
    <mergeCell ref="B49:D49"/>
    <mergeCell ref="B50:D50"/>
    <mergeCell ref="B51:D51"/>
    <mergeCell ref="B52:D52"/>
    <mergeCell ref="B53:D53"/>
    <mergeCell ref="B44:D44"/>
    <mergeCell ref="B45:D45"/>
    <mergeCell ref="B46:D46"/>
    <mergeCell ref="B47:D47"/>
    <mergeCell ref="B48:D48"/>
    <mergeCell ref="B39:D39"/>
    <mergeCell ref="B40:D40"/>
    <mergeCell ref="B41:D41"/>
    <mergeCell ref="L11:M11"/>
    <mergeCell ref="L16:M16"/>
    <mergeCell ref="L21:M21"/>
    <mergeCell ref="C18:D18"/>
    <mergeCell ref="C8:D8"/>
    <mergeCell ref="F16:G16"/>
    <mergeCell ref="I4:J4"/>
    <mergeCell ref="I9:J9"/>
    <mergeCell ref="I14:J14"/>
    <mergeCell ref="C13:D13"/>
    <mergeCell ref="F11:G11"/>
    <mergeCell ref="O3:P3"/>
    <mergeCell ref="O23:P23"/>
    <mergeCell ref="O8:P8"/>
    <mergeCell ref="O13:P13"/>
    <mergeCell ref="O18:P1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AY22"/>
  <sheetViews>
    <sheetView zoomScale="80" zoomScaleNormal="80" workbookViewId="0">
      <selection activeCell="F29" sqref="F29"/>
    </sheetView>
  </sheetViews>
  <sheetFormatPr baseColWidth="10" defaultRowHeight="15" x14ac:dyDescent="0.25"/>
  <cols>
    <col min="1" max="2" width="15.5703125" customWidth="1"/>
    <col min="3" max="3" width="14.5703125" customWidth="1"/>
    <col min="4" max="7" width="13" customWidth="1"/>
    <col min="11" max="29" width="4.5703125" customWidth="1"/>
    <col min="31" max="51" width="4.5703125" customWidth="1"/>
  </cols>
  <sheetData>
    <row r="1" spans="1:51" ht="21" x14ac:dyDescent="0.35">
      <c r="A1" s="128" t="s">
        <v>5</v>
      </c>
      <c r="B1" s="128"/>
      <c r="C1" s="128"/>
      <c r="D1" s="128"/>
      <c r="E1" s="128"/>
      <c r="F1" s="128"/>
      <c r="G1" s="128"/>
    </row>
    <row r="2" spans="1:51" ht="15.75" x14ac:dyDescent="0.25">
      <c r="A2" s="13" t="s">
        <v>7</v>
      </c>
      <c r="B2" s="8"/>
      <c r="C2" s="14" t="s">
        <v>9</v>
      </c>
      <c r="K2" s="127" t="s">
        <v>15</v>
      </c>
      <c r="L2" s="127"/>
      <c r="M2" s="127"/>
      <c r="N2" s="127"/>
      <c r="O2" s="127"/>
      <c r="P2" s="127"/>
      <c r="Q2" s="127"/>
      <c r="R2" s="127"/>
      <c r="S2" s="127"/>
      <c r="T2" s="127"/>
      <c r="U2" s="127"/>
      <c r="V2" s="127"/>
      <c r="W2" s="127"/>
      <c r="X2" s="127"/>
      <c r="Y2" s="127"/>
      <c r="Z2" s="127"/>
      <c r="AA2" s="127"/>
      <c r="AB2" s="127"/>
      <c r="AC2" s="127"/>
      <c r="AG2" s="127" t="s">
        <v>15</v>
      </c>
      <c r="AH2" s="127"/>
      <c r="AI2" s="127"/>
      <c r="AJ2" s="127"/>
      <c r="AK2" s="127"/>
      <c r="AL2" s="127"/>
      <c r="AM2" s="127"/>
      <c r="AN2" s="127"/>
      <c r="AO2" s="127"/>
      <c r="AP2" s="127"/>
      <c r="AQ2" s="127"/>
      <c r="AR2" s="127"/>
      <c r="AS2" s="127"/>
      <c r="AT2" s="127"/>
      <c r="AU2" s="127"/>
      <c r="AV2" s="127"/>
      <c r="AW2" s="127"/>
      <c r="AX2" s="127"/>
      <c r="AY2" s="127"/>
    </row>
    <row r="3" spans="1:51" x14ac:dyDescent="0.25">
      <c r="A3" s="25" t="s">
        <v>0</v>
      </c>
      <c r="B3" s="10" t="s">
        <v>6</v>
      </c>
      <c r="C3" s="1" t="s">
        <v>1</v>
      </c>
      <c r="D3" s="1" t="s">
        <v>10</v>
      </c>
      <c r="E3" s="1" t="s">
        <v>11</v>
      </c>
      <c r="F3" s="1" t="s">
        <v>12</v>
      </c>
      <c r="G3" s="1" t="s">
        <v>13</v>
      </c>
      <c r="K3" s="24" t="str">
        <f>IF(A4="",(""),("A"))</f>
        <v/>
      </c>
      <c r="L3" s="24" t="str">
        <f>IF(A5="",(""),("B"))</f>
        <v/>
      </c>
      <c r="M3" s="24" t="str">
        <f>IF(A6="",(""),("C"))</f>
        <v/>
      </c>
      <c r="N3" s="24" t="str">
        <f>IF(A7="",(""),("D"))</f>
        <v/>
      </c>
      <c r="O3" s="24" t="str">
        <f>IF(A8="",(""),("E"))</f>
        <v/>
      </c>
      <c r="P3" s="24" t="str">
        <f>IF(A9="",(""),("F"))</f>
        <v/>
      </c>
      <c r="Q3" s="24" t="str">
        <f>IF(A10="",(""),("G"))</f>
        <v/>
      </c>
      <c r="R3" s="24" t="str">
        <f>IF(A11="",(""),("H"))</f>
        <v/>
      </c>
      <c r="S3" s="24" t="str">
        <f>IF(A12="",(""),("I"))</f>
        <v/>
      </c>
      <c r="T3" s="24" t="str">
        <f>IF(A13="",(""),("J"))</f>
        <v/>
      </c>
      <c r="U3" s="24" t="str">
        <f>IF(A14="",(""),("K"))</f>
        <v/>
      </c>
      <c r="V3" s="24" t="str">
        <f>IF(A15="",(""),("L"))</f>
        <v/>
      </c>
      <c r="W3" s="24" t="str">
        <f>IF(A16="",(""),("M"))</f>
        <v/>
      </c>
      <c r="X3" s="24" t="str">
        <f>IF(A17="",(""),("N"))</f>
        <v/>
      </c>
      <c r="Y3" s="24" t="str">
        <f>IF(A18="",(""),("O"))</f>
        <v/>
      </c>
      <c r="Z3" s="24" t="str">
        <f>IF(A19="",(""),("P"))</f>
        <v/>
      </c>
      <c r="AA3" s="24" t="str">
        <f>IF(A20="",(""),("Q"))</f>
        <v/>
      </c>
      <c r="AB3" s="24" t="str">
        <f>IF(A21="",(""),("R"))</f>
        <v/>
      </c>
      <c r="AC3" s="24" t="str">
        <f>IF(A22="",(""),("S"))</f>
        <v/>
      </c>
      <c r="AG3" s="24" t="str">
        <f>K3</f>
        <v/>
      </c>
      <c r="AH3" s="24" t="str">
        <f t="shared" ref="AH3:AY3" si="0">L3</f>
        <v/>
      </c>
      <c r="AI3" s="24" t="str">
        <f t="shared" si="0"/>
        <v/>
      </c>
      <c r="AJ3" s="24" t="str">
        <f t="shared" si="0"/>
        <v/>
      </c>
      <c r="AK3" s="24" t="str">
        <f t="shared" si="0"/>
        <v/>
      </c>
      <c r="AL3" s="24" t="str">
        <f t="shared" si="0"/>
        <v/>
      </c>
      <c r="AM3" s="24" t="str">
        <f t="shared" si="0"/>
        <v/>
      </c>
      <c r="AN3" s="24" t="str">
        <f t="shared" si="0"/>
        <v/>
      </c>
      <c r="AO3" s="24" t="str">
        <f t="shared" si="0"/>
        <v/>
      </c>
      <c r="AP3" s="24" t="str">
        <f t="shared" si="0"/>
        <v/>
      </c>
      <c r="AQ3" s="24" t="str">
        <f t="shared" si="0"/>
        <v/>
      </c>
      <c r="AR3" s="24" t="str">
        <f t="shared" si="0"/>
        <v/>
      </c>
      <c r="AS3" s="24" t="str">
        <f t="shared" si="0"/>
        <v/>
      </c>
      <c r="AT3" s="24" t="str">
        <f t="shared" si="0"/>
        <v/>
      </c>
      <c r="AU3" s="24" t="str">
        <f t="shared" si="0"/>
        <v/>
      </c>
      <c r="AV3" s="24" t="str">
        <f t="shared" si="0"/>
        <v/>
      </c>
      <c r="AW3" s="24" t="str">
        <f t="shared" si="0"/>
        <v/>
      </c>
      <c r="AX3" s="24" t="str">
        <f t="shared" si="0"/>
        <v/>
      </c>
      <c r="AY3" s="24" t="str">
        <f t="shared" si="0"/>
        <v/>
      </c>
    </row>
    <row r="4" spans="1:51" ht="14.25" customHeight="1" x14ac:dyDescent="0.25">
      <c r="A4" s="26" t="str">
        <f>IF(Utilización!E12&gt;0,(Utilización!A12),(""))</f>
        <v/>
      </c>
      <c r="B4" s="11"/>
      <c r="C4" s="7">
        <f>Utilización!E12</f>
        <v>0</v>
      </c>
      <c r="D4" s="7" t="str">
        <f>IF(Utilización!G12="",(""),(Utilización!G12))</f>
        <v/>
      </c>
      <c r="E4" s="7" t="str">
        <f>IF(Utilización!H12="",(""),(Utilización!H12))</f>
        <v/>
      </c>
      <c r="F4" s="7" t="str">
        <f>IF(Utilización!I12="",(""),(Utilización!I12))</f>
        <v/>
      </c>
      <c r="G4" s="7" t="str">
        <f>IF(Utilización!J12="",(""),(Utilización!J12))</f>
        <v/>
      </c>
      <c r="I4" s="126" t="s">
        <v>14</v>
      </c>
      <c r="J4" s="21" t="str">
        <f>A4</f>
        <v/>
      </c>
      <c r="K4" s="6" t="str">
        <f>IF($K$3="",(""),(IF($K$3=$D$4,("SI"),(IF($K$3=$E$4,("SI"),(IF($K$3=$F$4,("SI"),IF($K$3=$G$4,("SI"),("")))))))))</f>
        <v/>
      </c>
      <c r="L4" s="6" t="str">
        <f>IF($L$3="",(""),(IF($L$3=$D$4,("SI"),(IF($L$3=$E$4,("SI"),(IF($L$3=$F$4,("SI"),IF($L$3=$G$4,("SI"),("")))))))))</f>
        <v/>
      </c>
      <c r="M4" s="6" t="str">
        <f>IF($M$3="",(""),(IF($M$3=$D$4,("SI"),(IF($M$3=$E$4,("SI"),(IF($M$3=$F$4,("SI"),IF($M$3=$G$4,("SI"),("")))))))))</f>
        <v/>
      </c>
      <c r="N4" s="6" t="str">
        <f>IF($N$3="",(""),(IF($N$3=$D$4,("SI"),(IF($N$3=$E$4,("SI"),(IF($N$3=$F$4,("SI"),IF($N$3=$G$4,("SI"),("")))))))))</f>
        <v/>
      </c>
      <c r="O4" s="6" t="str">
        <f>IF($O$3="",(""),(IF($O$3=$D$4,("SI"),(IF($O$3=$E$4,("SI"),(IF($O$3=$F$4,("SI"),IF($O$3=$G$4,("SI"),("")))))))))</f>
        <v/>
      </c>
      <c r="P4" s="6" t="str">
        <f>IF($P$3="",(""),(IF($P$3=$D$4,("SI"),(IF($P$3=$E$4,("SI"),(IF($P$3=$F$4,("SI"),IF($P$3=$G$4,("SI"),("")))))))))</f>
        <v/>
      </c>
      <c r="Q4" s="6" t="str">
        <f>IF($Q$3="",(""),(IF($Q$3=$D$4,("SI"),(IF($Q$3=$E$4,("SI"),(IF($Q$3=$F$4,("SI"),IF($Q$3=$G$4,("SI"),("")))))))))</f>
        <v/>
      </c>
      <c r="R4" s="6" t="str">
        <f>IF($R$3="",(""),(IF($R$3=$D$4,("SI"),(IF($R$3=$E$4,("SI"),(IF($R$3=$F$4,("SI"),IF($R$3=$G$4,("SI"),("")))))))))</f>
        <v/>
      </c>
      <c r="S4" s="6" t="str">
        <f>IF($S$3="",(""),(IF($S$3=$D$4,("SI"),(IF($S$3=$E$4,("SI"),(IF($S$3=$F$4,("SI"),IF($S$3=$G$4,("SI"),("")))))))))</f>
        <v/>
      </c>
      <c r="T4" s="6" t="str">
        <f>IF($T$3="",(""),(IF($T$3=$D$4,("SI"),(IF($T$3=$E$4,("SI"),(IF($T$3=$F$4,("SI"),IF($T$3=$G$4,("SI"),("")))))))))</f>
        <v/>
      </c>
      <c r="U4" s="6" t="str">
        <f>IF($U$3="",(""),(IF($U$3=$D$4,("SI"),(IF($U$3=$E$4,("SI"),(IF($U$3=$F$4,("SI"),IF($U$3=$G$4,("SI"),("")))))))))</f>
        <v/>
      </c>
      <c r="V4" s="6" t="str">
        <f>IF($V$3="",(""),(IF($V$3=$D$4,("SI"),(IF($V$3=$E$4,("SI"),(IF($V$3=$F$4,("SI"),IF($V$3=$G$4,("SI"),("")))))))))</f>
        <v/>
      </c>
      <c r="W4" s="6" t="str">
        <f>IF($W$3="",(""),(IF($W$3=$D$4,("SI"),(IF($W$3=$E$4,("SI"),(IF($W$3=$F$4,("SI"),IF($W$3=$G$4,("SI"),("")))))))))</f>
        <v/>
      </c>
      <c r="X4" s="6" t="str">
        <f>IF($X$3="",(""),(IF($X$3=$D$4,("SI"),(IF($X$3=$E$4,("SI"),(IF($X$3=$F$4,("SI"),IF($X$3=$G$4,("SI"),("")))))))))</f>
        <v/>
      </c>
      <c r="Y4" s="6" t="str">
        <f>IF($Y$3="",(""),(IF($Y$3=$D$4,("SI"),(IF($Y$3=$E$4,("SI"),(IF($Y$3=$F$4,("SI"),IF($Y$3=$G$4,("SI"),("")))))))))</f>
        <v/>
      </c>
      <c r="Z4" s="6" t="str">
        <f>IF($Z$3="",(""),(IF($Z$3=$D$4,("SI"),(IF($Z$3=$E$4,("SI"),(IF($Z$3=$F$4,("SI"),IF($Z$3=$G$4,("SI"),("")))))))))</f>
        <v/>
      </c>
      <c r="AA4" s="6" t="str">
        <f>IF($AA$3="",(""),(IF($AA$3=$D$4,("SI"),(IF($AA$3=$E$4,("SI"),(IF($AA$3=$F$4,("SI"),IF($AA$3=$G$4,("SI"),("")))))))))</f>
        <v/>
      </c>
      <c r="AB4" s="6" t="str">
        <f>IF($AB$3="",(""),(IF($AB$3=$D$4,("SI"),(IF($AB$3=$E$4,("SI"),(IF($AB$3=$F$4,("SI"),IF($AB$3=$G$4,("SI"),("")))))))))</f>
        <v/>
      </c>
      <c r="AC4" s="15" t="str">
        <f>IF($AC$3="",(""),(IF($AC$3=$D$4,("SI"),(IF($AC$3=$E$4,("SI"),(IF($AC$3=$F$4,("SI"),IF($AC$3=$G$4,("SI"),("")))))))))</f>
        <v/>
      </c>
      <c r="AE4" s="129" t="s">
        <v>14</v>
      </c>
      <c r="AF4" s="21" t="str">
        <f>J4</f>
        <v/>
      </c>
      <c r="AG4" s="27">
        <f t="shared" ref="AG4:AG22" si="1">IF(K4="SI",(1),(0))</f>
        <v>0</v>
      </c>
      <c r="AH4" s="27">
        <f t="shared" ref="AH4:AH22" si="2">IF(L4="SI",(1),(0))</f>
        <v>0</v>
      </c>
      <c r="AI4" s="27">
        <f t="shared" ref="AI4:AI22" si="3">IF(M4="SI",(1),(0))</f>
        <v>0</v>
      </c>
      <c r="AJ4" s="27">
        <f t="shared" ref="AJ4:AJ22" si="4">IF(N4="SI",(1),(0))</f>
        <v>0</v>
      </c>
      <c r="AK4" s="27">
        <f t="shared" ref="AK4:AK22" si="5">IF(O4="SI",(1),(0))</f>
        <v>0</v>
      </c>
      <c r="AL4" s="27">
        <f t="shared" ref="AL4:AL22" si="6">IF(P4="SI",(1),(0))</f>
        <v>0</v>
      </c>
      <c r="AM4" s="27">
        <f t="shared" ref="AM4:AM22" si="7">IF(Q4="SI",(1),(0))</f>
        <v>0</v>
      </c>
      <c r="AN4" s="27">
        <f t="shared" ref="AN4:AN22" si="8">IF(R4="SI",(1),(0))</f>
        <v>0</v>
      </c>
      <c r="AO4" s="27">
        <f t="shared" ref="AO4:AO22" si="9">IF(S4="SI",(1),(0))</f>
        <v>0</v>
      </c>
      <c r="AP4" s="27">
        <f t="shared" ref="AP4:AP22" si="10">IF(T4="SI",(1),(0))</f>
        <v>0</v>
      </c>
      <c r="AQ4" s="27">
        <f t="shared" ref="AQ4:AQ22" si="11">IF(U4="SI",(1),(0))</f>
        <v>0</v>
      </c>
      <c r="AR4" s="27">
        <f t="shared" ref="AR4:AR22" si="12">IF(V4="SI",(1),(0))</f>
        <v>0</v>
      </c>
      <c r="AS4" s="27">
        <f t="shared" ref="AS4:AS22" si="13">IF(W4="SI",(1),(0))</f>
        <v>0</v>
      </c>
      <c r="AT4" s="27">
        <f t="shared" ref="AT4:AT22" si="14">IF(X4="SI",(1),(0))</f>
        <v>0</v>
      </c>
      <c r="AU4" s="27">
        <f t="shared" ref="AU4:AU22" si="15">IF(Y4="SI",(1),(0))</f>
        <v>0</v>
      </c>
      <c r="AV4" s="27">
        <f t="shared" ref="AV4:AV22" si="16">IF(Z4="SI",(1),(0))</f>
        <v>0</v>
      </c>
      <c r="AW4" s="27">
        <f t="shared" ref="AW4:AW22" si="17">IF(AA4="SI",(1),(0))</f>
        <v>0</v>
      </c>
      <c r="AX4" s="27">
        <f t="shared" ref="AX4:AX22" si="18">IF(AB4="SI",(1),(0))</f>
        <v>0</v>
      </c>
      <c r="AY4" s="28">
        <f t="shared" ref="AY4:AY22" si="19">IF(AC4="SI",(1),(0))</f>
        <v>0</v>
      </c>
    </row>
    <row r="5" spans="1:51" x14ac:dyDescent="0.25">
      <c r="A5" s="26" t="str">
        <f>IF(Utilización!E13&gt;0,(Utilización!A13),(""))</f>
        <v/>
      </c>
      <c r="B5" s="8"/>
      <c r="C5" s="7">
        <f>Utilización!E13</f>
        <v>0</v>
      </c>
      <c r="D5" s="7" t="str">
        <f>IF(Utilización!G13="",(""),(Utilización!G13))</f>
        <v/>
      </c>
      <c r="E5" s="7" t="str">
        <f>IF(Utilización!H13="",(""),(Utilización!H13))</f>
        <v/>
      </c>
      <c r="F5" s="7" t="str">
        <f>IF(Utilización!I13="",(""),(Utilización!I13))</f>
        <v/>
      </c>
      <c r="G5" s="7" t="str">
        <f>IF(Utilización!J13="",(""),(Utilización!J13))</f>
        <v/>
      </c>
      <c r="I5" s="126"/>
      <c r="J5" s="22" t="str">
        <f t="shared" ref="J5:J22" si="20">A5</f>
        <v/>
      </c>
      <c r="K5" s="2" t="str">
        <f t="array" ref="K5">IF($K$3="",(""),(IF($K$3=D5,("SI"),(IF($K$3=E5,("SI"),(IF($K$3=F5,("SI"),IF($K$3=G5,("SI"),("")))))))))</f>
        <v/>
      </c>
      <c r="L5" s="2" t="str">
        <f>IF($L$3="",(""),(IF($L$3=$D$5,("SI"),(IF($L$3=$E$5,("SI"),(IF($L$3=$F$5,("SI"),IF($L$3=$G$5,("SI"),("")))))))))</f>
        <v/>
      </c>
      <c r="M5" s="2" t="str">
        <f>IF($M$3="",(""),(IF($M$3=$D$5,("SI"),(IF($M$3=$E$5,("SI"),(IF($M$3=$F$5,("SI"),IF($M$3=$G$5,("SI"),("")))))))))</f>
        <v/>
      </c>
      <c r="N5" s="2" t="str">
        <f>IF($N$3="",(""),(IF($N$3=$D$5,("SI"),(IF($N$3=$E$5,("SI"),(IF($N$3=$F$5,("SI"),IF($N$3=$G$5,("SI"),("")))))))))</f>
        <v/>
      </c>
      <c r="O5" s="2" t="str">
        <f>IF($O$3="",(""),(IF($O$3=$D$5,("SI"),(IF($O$3=$E$5,("SI"),(IF($O$3=$F$5,("SI"),IF($O$3=$G$5,("SI"),("")))))))))</f>
        <v/>
      </c>
      <c r="P5" s="2" t="str">
        <f>IF($P$3="",(""),(IF($P$3=$D$5,("SI"),(IF($P$3=$E$5,("SI"),(IF($P$3=$F$5,("SI"),IF($P$3=$G$5,("SI"),("")))))))))</f>
        <v/>
      </c>
      <c r="Q5" s="2" t="str">
        <f>IF($Q$3="",(""),(IF($Q$3=$D$5,("SI"),(IF($Q$3=$E$5,("SI"),(IF($Q$3=$F$5,("SI"),IF($Q$3=$G$5,("SI"),("")))))))))</f>
        <v/>
      </c>
      <c r="R5" s="2" t="str">
        <f>IF($R$3="",(""),(IF($R$3=$D$5,("SI"),(IF($R$3=$E$5,("SI"),(IF($R$3=$F$5,("SI"),IF($R$3=$G$5,("SI"),("")))))))))</f>
        <v/>
      </c>
      <c r="S5" s="2" t="str">
        <f>IF($S$3="",(""),(IF($S$3=$D$5,("SI"),(IF($S$3=$E$5,("SI"),(IF($S$3=$F$5,("SI"),IF($S$3=$G$5,("SI"),("")))))))))</f>
        <v/>
      </c>
      <c r="T5" s="2" t="str">
        <f>IF($T$3="",(""),(IF($T$3=$D$5,("SI"),(IF($T$3=$E$5,("SI"),(IF($T$3=$F$5,("SI"),IF($T$3=$G$5,("SI"),("")))))))))</f>
        <v/>
      </c>
      <c r="U5" s="2" t="str">
        <f>IF($U$3="",(""),(IF($U$3=$D$5,("SI"),(IF($U$3=$E$5,("SI"),(IF($U$3=$F$5,("SI"),IF($U$3=$G$5,("SI"),("")))))))))</f>
        <v/>
      </c>
      <c r="V5" s="2" t="str">
        <f>IF($V$3="",(""),(IF($V$3=$D$5,("SI"),(IF($V$3=$E$5,("SI"),(IF($V$3=$F$5,("SI"),IF($V$3=$G$5,("SI"),("")))))))))</f>
        <v/>
      </c>
      <c r="W5" s="2" t="str">
        <f>IF($W$3="",(""),(IF($W$3=$D$5,("SI"),(IF($W$3=$E$5,("SI"),(IF($W$3=$F$5,("SI"),IF($W$3=$G$5,("SI"),("")))))))))</f>
        <v/>
      </c>
      <c r="X5" s="2" t="str">
        <f>IF($X$3="",(""),(IF($X$3=$D$5,("SI"),(IF($X$3=$E$5,("SI"),(IF($X$3=$F$5,("SI"),IF($X$3=$G$5,("SI"),("")))))))))</f>
        <v/>
      </c>
      <c r="Y5" s="2" t="str">
        <f>IF($Y$3="",(""),(IF($Y$3=$D$5,("SI"),(IF($Y$3=$E$5,("SI"),(IF($Y$3=$F$5,("SI"),IF($Y$3=$G$5,("SI"),("")))))))))</f>
        <v/>
      </c>
      <c r="Z5" s="2" t="str">
        <f>IF($Z$3="",(""),(IF($Z$3=$D$5,("SI"),(IF($Z$3=$E$5,("SI"),(IF($Z$3=$F$5,("SI"),IF($Z$3=$G$5,("SI"),("")))))))))</f>
        <v/>
      </c>
      <c r="AA5" s="2" t="str">
        <f>IF($AA$3="",(""),(IF($AA$3=$D$5,("SI"),(IF($AA$3=$E$5,("SI"),(IF($AA$3=$F$5,("SI"),IF($AA$3=$G$5,("SI"),("")))))))))</f>
        <v/>
      </c>
      <c r="AB5" s="2" t="str">
        <f>IF($AB$3="",(""),(IF($AB$3=$D$5,("SI"),(IF($AB$3=$E$5,("SI"),(IF($AB$3=$F$5,("SI"),IF($AB$3=$G$5,("SI"),("")))))))))</f>
        <v/>
      </c>
      <c r="AC5" s="16" t="str">
        <f>IF($AC$3="",(""),(IF($AC$3=$D$5,("SI"),(IF($AC$3=$E$5,("SI"),(IF($AC$3=$F$5,("SI"),IF($AC$3=$G$5,("SI"),("")))))))))</f>
        <v/>
      </c>
      <c r="AE5" s="129"/>
      <c r="AF5" s="22" t="str">
        <f t="shared" ref="AF5:AF22" si="21">J5</f>
        <v/>
      </c>
      <c r="AG5" s="29">
        <f t="shared" si="1"/>
        <v>0</v>
      </c>
      <c r="AH5" s="29">
        <f t="shared" si="2"/>
        <v>0</v>
      </c>
      <c r="AI5" s="29">
        <f t="shared" si="3"/>
        <v>0</v>
      </c>
      <c r="AJ5" s="29">
        <f t="shared" si="4"/>
        <v>0</v>
      </c>
      <c r="AK5" s="29">
        <f t="shared" si="5"/>
        <v>0</v>
      </c>
      <c r="AL5" s="29">
        <f t="shared" si="6"/>
        <v>0</v>
      </c>
      <c r="AM5" s="29">
        <f t="shared" si="7"/>
        <v>0</v>
      </c>
      <c r="AN5" s="29">
        <f t="shared" si="8"/>
        <v>0</v>
      </c>
      <c r="AO5" s="29">
        <f t="shared" si="9"/>
        <v>0</v>
      </c>
      <c r="AP5" s="29">
        <f t="shared" si="10"/>
        <v>0</v>
      </c>
      <c r="AQ5" s="29">
        <f t="shared" si="11"/>
        <v>0</v>
      </c>
      <c r="AR5" s="29">
        <f t="shared" si="12"/>
        <v>0</v>
      </c>
      <c r="AS5" s="29">
        <f t="shared" si="13"/>
        <v>0</v>
      </c>
      <c r="AT5" s="29">
        <f t="shared" si="14"/>
        <v>0</v>
      </c>
      <c r="AU5" s="29">
        <f t="shared" si="15"/>
        <v>0</v>
      </c>
      <c r="AV5" s="29">
        <f t="shared" si="16"/>
        <v>0</v>
      </c>
      <c r="AW5" s="29">
        <f t="shared" si="17"/>
        <v>0</v>
      </c>
      <c r="AX5" s="29">
        <f t="shared" si="18"/>
        <v>0</v>
      </c>
      <c r="AY5" s="30">
        <f t="shared" si="19"/>
        <v>0</v>
      </c>
    </row>
    <row r="6" spans="1:51" x14ac:dyDescent="0.25">
      <c r="A6" s="26" t="str">
        <f>IF(Utilización!E14&gt;0,(Utilización!A14),(""))</f>
        <v/>
      </c>
      <c r="B6" s="8"/>
      <c r="C6" s="7">
        <f>Utilización!E14</f>
        <v>0</v>
      </c>
      <c r="D6" s="7" t="str">
        <f>IF(Utilización!G14="",(""),(Utilización!G14))</f>
        <v/>
      </c>
      <c r="E6" s="7" t="str">
        <f>IF(Utilización!H14="",(""),(Utilización!H14))</f>
        <v/>
      </c>
      <c r="F6" s="7" t="str">
        <f>IF(Utilización!I14="",(""),(Utilización!I14))</f>
        <v/>
      </c>
      <c r="G6" s="7" t="str">
        <f>IF(Utilización!J14="",(""),(Utilización!J14))</f>
        <v/>
      </c>
      <c r="I6" s="126"/>
      <c r="J6" s="22" t="str">
        <f t="shared" si="20"/>
        <v/>
      </c>
      <c r="K6" s="2" t="str">
        <f t="shared" ref="K6:K22" si="22">IF($K$3="",(""),(IF($K$3=D6,("SI"),(IF($K$3=E6,("SI"),(IF($K$3=F6,("SI"),IF($K$3=G6,("SI"),("")))))))))</f>
        <v/>
      </c>
      <c r="L6" s="2" t="str">
        <f>IF($L$3="",(""),(IF($L$3=$D$6,("SI"),(IF($L$3=$E$6,("SI"),(IF($L$3=$F$6,("SI"),IF($L$3=$G$6,("SI"),("")))))))))</f>
        <v/>
      </c>
      <c r="M6" s="2" t="str">
        <f>IF($M$3="",(""),(IF($M$3=$D$6,("SI"),(IF($M$3=$E$6,("SI"),(IF($M$3=$F$6,("SI"),IF($M$3=$G$6,("SI"),("")))))))))</f>
        <v/>
      </c>
      <c r="N6" s="2" t="str">
        <f>IF($N$3="",(""),(IF($N$3=$D$6,("SI"),(IF($N$3=$E$6,("SI"),(IF($N$3=$F$6,("SI"),IF($N$3=$G$6,("SI"),("")))))))))</f>
        <v/>
      </c>
      <c r="O6" s="2" t="str">
        <f>IF($O$3="",(""),(IF($O$3=$D$6,("SI"),(IF($O$3=$E$6,("SI"),(IF($O$3=$F$6,("SI"),IF($O$3=$G$6,("SI"),("")))))))))</f>
        <v/>
      </c>
      <c r="P6" s="2" t="str">
        <f>IF($P$3="",(""),(IF($P$3=$D$6,("SI"),(IF($P$3=$E$6,("SI"),(IF($P$3=$F$6,("SI"),IF($P$3=$G$6,("SI"),("")))))))))</f>
        <v/>
      </c>
      <c r="Q6" s="2" t="str">
        <f>IF($Q$3="",(""),(IF($Q$3=$D$6,("SI"),(IF($Q$3=$E$6,("SI"),(IF($Q$3=$F$6,("SI"),IF($Q$3=$G$6,("SI"),("")))))))))</f>
        <v/>
      </c>
      <c r="R6" s="2" t="str">
        <f>IF($R$3="",(""),(IF($R$3=$D$6,("SI"),(IF($R$3=$E$6,("SI"),(IF($R$3=$F$6,("SI"),IF($R$3=$G$6,("SI"),("")))))))))</f>
        <v/>
      </c>
      <c r="S6" s="2" t="str">
        <f>IF($S$3="",(""),(IF($S$3=$D$6,("SI"),(IF($S$3=$E$6,("SI"),(IF($S$3=$F$6,("SI"),IF($S$3=$G$6,("SI"),("")))))))))</f>
        <v/>
      </c>
      <c r="T6" s="2" t="str">
        <f>IF($T$3="",(""),(IF($T$3=$D$6,("SI"),(IF($T$3=$E$6,("SI"),(IF($T$3=$F$6,("SI"),IF($T$3=$G$6,("SI"),("")))))))))</f>
        <v/>
      </c>
      <c r="U6" s="2" t="str">
        <f>IF($U$3="",(""),(IF($U$3=$D$6,("SI"),(IF($U$3=$E$6,("SI"),(IF($U$3=$F$6,("SI"),IF($U$3=$G$6,("SI"),("")))))))))</f>
        <v/>
      </c>
      <c r="V6" s="2" t="str">
        <f>IF($V$3="",(""),(IF($V$3=$D$6,("SI"),(IF($V$3=$E$6,("SI"),(IF($V$3=$F$6,("SI"),IF($V$3=$G$6,("SI"),("")))))))))</f>
        <v/>
      </c>
      <c r="W6" s="2" t="str">
        <f>IF($W$3="",(""),(IF($W$3=$D$6,("SI"),(IF($W$3=$E$6,("SI"),(IF($W$3=$F$6,("SI"),IF($W$3=$G$6,("SI"),("")))))))))</f>
        <v/>
      </c>
      <c r="X6" s="2" t="str">
        <f>IF($X$3="",(""),(IF($X$3=$D$6,("SI"),(IF($X$3=$E$6,("SI"),(IF($X$3=$F$6,("SI"),IF($X$3=$G$6,("SI"),("")))))))))</f>
        <v/>
      </c>
      <c r="Y6" s="2" t="str">
        <f>IF($Y$3="",(""),(IF($Y$3=$D$6,("SI"),(IF($Y$3=$E$6,("SI"),(IF($Y$3=$F$6,("SI"),IF($Y$3=$G$6,("SI"),("")))))))))</f>
        <v/>
      </c>
      <c r="Z6" s="2" t="str">
        <f>IF($Z$3="",(""),(IF($Z$3=$D$6,("SI"),(IF($Z$3=$E$6,("SI"),(IF($Z$3=$F$6,("SI"),IF($Z$3=$G$6,("SI"),("")))))))))</f>
        <v/>
      </c>
      <c r="AA6" s="2" t="str">
        <f>IF($AA$3="",(""),(IF($AA$3=$D$6,("SI"),(IF($AA$3=$E$6,("SI"),(IF($AA$3=$F$6,("SI"),IF($AA$3=$G$6,("SI"),("")))))))))</f>
        <v/>
      </c>
      <c r="AB6" s="2" t="str">
        <f>IF($AB$3="",(""),(IF($AB$3=$D$6,("SI"),(IF($AB$3=$E$6,("SI"),(IF($AB$3=$F$6,("SI"),IF($AB$3=$G$6,("SI"),("")))))))))</f>
        <v/>
      </c>
      <c r="AC6" s="16" t="str">
        <f>IF($AC$3="",(""),(IF($AC$3=$D$6,("SI"),(IF($AC$3=$E$6,("SI"),(IF($AC$3=$F$6,("SI"),IF($AC$3=$G$6,("SI"),("")))))))))</f>
        <v/>
      </c>
      <c r="AE6" s="129"/>
      <c r="AF6" s="22" t="str">
        <f t="shared" si="21"/>
        <v/>
      </c>
      <c r="AG6" s="29">
        <f t="shared" si="1"/>
        <v>0</v>
      </c>
      <c r="AH6" s="29">
        <f t="shared" si="2"/>
        <v>0</v>
      </c>
      <c r="AI6" s="29">
        <f t="shared" si="3"/>
        <v>0</v>
      </c>
      <c r="AJ6" s="29">
        <f t="shared" si="4"/>
        <v>0</v>
      </c>
      <c r="AK6" s="29">
        <f t="shared" si="5"/>
        <v>0</v>
      </c>
      <c r="AL6" s="29">
        <f t="shared" si="6"/>
        <v>0</v>
      </c>
      <c r="AM6" s="29">
        <f t="shared" si="7"/>
        <v>0</v>
      </c>
      <c r="AN6" s="29">
        <f t="shared" si="8"/>
        <v>0</v>
      </c>
      <c r="AO6" s="29">
        <f t="shared" si="9"/>
        <v>0</v>
      </c>
      <c r="AP6" s="29">
        <f t="shared" si="10"/>
        <v>0</v>
      </c>
      <c r="AQ6" s="29">
        <f t="shared" si="11"/>
        <v>0</v>
      </c>
      <c r="AR6" s="29">
        <f t="shared" si="12"/>
        <v>0</v>
      </c>
      <c r="AS6" s="29">
        <f t="shared" si="13"/>
        <v>0</v>
      </c>
      <c r="AT6" s="29">
        <f t="shared" si="14"/>
        <v>0</v>
      </c>
      <c r="AU6" s="29">
        <f t="shared" si="15"/>
        <v>0</v>
      </c>
      <c r="AV6" s="29">
        <f t="shared" si="16"/>
        <v>0</v>
      </c>
      <c r="AW6" s="29">
        <f t="shared" si="17"/>
        <v>0</v>
      </c>
      <c r="AX6" s="29">
        <f t="shared" si="18"/>
        <v>0</v>
      </c>
      <c r="AY6" s="30">
        <f t="shared" si="19"/>
        <v>0</v>
      </c>
    </row>
    <row r="7" spans="1:51" x14ac:dyDescent="0.25">
      <c r="A7" s="26" t="str">
        <f>IF(Utilización!E15&gt;0,(Utilización!A15),(""))</f>
        <v/>
      </c>
      <c r="B7" s="8"/>
      <c r="C7" s="7">
        <f>Utilización!E15</f>
        <v>0</v>
      </c>
      <c r="D7" s="7" t="str">
        <f>IF(Utilización!G15="",(""),(Utilización!G15))</f>
        <v/>
      </c>
      <c r="E7" s="7" t="str">
        <f>IF(Utilización!H15="",(""),(Utilización!H15))</f>
        <v/>
      </c>
      <c r="F7" s="7" t="str">
        <f>IF(Utilización!I15="",(""),(Utilización!I15))</f>
        <v/>
      </c>
      <c r="G7" s="7" t="str">
        <f>IF(Utilización!J15="",(""),(Utilización!J15))</f>
        <v/>
      </c>
      <c r="I7" s="126"/>
      <c r="J7" s="22" t="str">
        <f t="shared" si="20"/>
        <v/>
      </c>
      <c r="K7" s="2" t="str">
        <f t="shared" si="22"/>
        <v/>
      </c>
      <c r="L7" s="2" t="str">
        <f>IF($L$3="",(""),(IF($L$3=$D$7,("SI"),(IF($L$3=$E$7,("SI"),(IF($L$3=$F$7,("SI"),IF($L$3=$G$7,("SI"),("")))))))))</f>
        <v/>
      </c>
      <c r="M7" s="2" t="str">
        <f>IF($M$3="",(""),(IF($M$3=$D$7,("SI"),(IF($M$3=$E$7,("SI"),(IF($M$3=$F$7,("SI"),IF($M$3=$G$7,("SI"),("")))))))))</f>
        <v/>
      </c>
      <c r="N7" s="2" t="str">
        <f>IF($N$3="",(""),(IF($N$3=$D$7,("SI"),(IF($N$3=$E$7,("SI"),(IF($N$3=$F$7,("SI"),IF($N$3=$G$7,("SI"),("")))))))))</f>
        <v/>
      </c>
      <c r="O7" s="2" t="str">
        <f>IF($O$3="",(""),(IF($O$3=$D$7,("SI"),(IF($O$3=$E$7,("SI"),(IF($O$3=$F$7,("SI"),IF($O$3=$G$7,("SI"),("")))))))))</f>
        <v/>
      </c>
      <c r="P7" s="2" t="str">
        <f>IF($P$3="",(""),(IF($P$3=$D$7,("SI"),(IF($P$3=$E$7,("SI"),(IF($P$3=$F$7,("SI"),IF($P$3=$G$7,("SI"),("")))))))))</f>
        <v/>
      </c>
      <c r="Q7" s="2" t="str">
        <f>IF($Q$3="",(""),(IF($Q$3=$D$7,("SI"),(IF($Q$3=$E$7,("SI"),(IF($Q$3=$F$7,("SI"),IF($Q$3=$G$7,("SI"),("")))))))))</f>
        <v/>
      </c>
      <c r="R7" s="2" t="str">
        <f>IF($R$3="",(""),(IF($R$3=$D$7,("SI"),(IF($R$3=$E$7,("SI"),(IF($R$3=$F$7,("SI"),IF($R$3=$G$7,("SI"),("")))))))))</f>
        <v/>
      </c>
      <c r="S7" s="2" t="str">
        <f>IF($S$3="",(""),(IF($S$3=$D$7,("SI"),(IF($S$3=$E$7,("SI"),(IF($S$3=$F$7,("SI"),IF($S$3=$G$7,("SI"),("")))))))))</f>
        <v/>
      </c>
      <c r="T7" s="2" t="str">
        <f>IF($T$3="",(""),(IF($T$3=$D$7,("SI"),(IF($T$3=$E$7,("SI"),(IF($T$3=$F$7,("SI"),IF($T$3=$G$7,("SI"),("")))))))))</f>
        <v/>
      </c>
      <c r="U7" s="2" t="str">
        <f>IF($U$3="",(""),(IF($U$3=$D$7,("SI"),(IF($U$3=$E$7,("SI"),(IF($U$3=$F$7,("SI"),IF($U$3=$G$7,("SI"),("")))))))))</f>
        <v/>
      </c>
      <c r="V7" s="2" t="str">
        <f>IF($V$3="",(""),(IF($V$3=$D$7,("SI"),(IF($V$3=$E$7,("SI"),(IF($V$3=$F$7,("SI"),IF($V$3=$G$7,("SI"),("")))))))))</f>
        <v/>
      </c>
      <c r="W7" s="2" t="str">
        <f>IF($W$3="",(""),(IF($W$3=$D$7,("SI"),(IF($W$3=$E$7,("SI"),(IF($W$3=$F$7,("SI"),IF($W$3=$G$7,("SI"),("")))))))))</f>
        <v/>
      </c>
      <c r="X7" s="2" t="str">
        <f>IF($X$3="",(""),(IF($X$3=$D$7,("SI"),(IF($X$3=$E$7,("SI"),(IF($X$3=$F$7,("SI"),IF($X$3=$G$7,("SI"),("")))))))))</f>
        <v/>
      </c>
      <c r="Y7" s="2" t="str">
        <f>IF($Y$3="",(""),(IF($Y$3=$D$7,("SI"),(IF($Y$3=$E$7,("SI"),(IF($Y$3=$F$7,("SI"),IF($Y$3=$G$7,("SI"),("")))))))))</f>
        <v/>
      </c>
      <c r="Z7" s="2" t="str">
        <f>IF($Z$3="",(""),(IF($Z$3=$D$7,("SI"),(IF($Z$3=$E$7,("SI"),(IF($Z$3=$F$7,("SI"),IF($Z$3=$G$7,("SI"),("")))))))))</f>
        <v/>
      </c>
      <c r="AA7" s="2" t="str">
        <f>IF($AA$3="",(""),(IF($AA$3=$D$7,("SI"),(IF($AA$3=$E$7,("SI"),(IF($AA$3=$F$7,("SI"),IF($AA$3=$G$7,("SI"),("")))))))))</f>
        <v/>
      </c>
      <c r="AB7" s="2" t="str">
        <f>IF($AB$3="",(""),(IF($AB$3=$D$7,("SI"),(IF($AB$3=$E$7,("SI"),(IF($AB$3=$F$7,("SI"),IF($AB$3=$G$7,("SI"),("")))))))))</f>
        <v/>
      </c>
      <c r="AC7" s="16" t="str">
        <f>IF($AC$3="",(""),(IF($AC$3=$D$4,("SI"),(IF($AC$3=$E$4,("SI"),(IF($AC$3=$F$4,("SI"),IF($AC$3=$G$4,("SI"),("")))))))))</f>
        <v/>
      </c>
      <c r="AE7" s="129"/>
      <c r="AF7" s="22" t="str">
        <f t="shared" si="21"/>
        <v/>
      </c>
      <c r="AG7" s="29">
        <f t="shared" si="1"/>
        <v>0</v>
      </c>
      <c r="AH7" s="29">
        <f t="shared" si="2"/>
        <v>0</v>
      </c>
      <c r="AI7" s="29">
        <f t="shared" si="3"/>
        <v>0</v>
      </c>
      <c r="AJ7" s="29">
        <f t="shared" si="4"/>
        <v>0</v>
      </c>
      <c r="AK7" s="29">
        <f t="shared" si="5"/>
        <v>0</v>
      </c>
      <c r="AL7" s="29">
        <f t="shared" si="6"/>
        <v>0</v>
      </c>
      <c r="AM7" s="29">
        <f t="shared" si="7"/>
        <v>0</v>
      </c>
      <c r="AN7" s="29">
        <f t="shared" si="8"/>
        <v>0</v>
      </c>
      <c r="AO7" s="29">
        <f t="shared" si="9"/>
        <v>0</v>
      </c>
      <c r="AP7" s="29">
        <f t="shared" si="10"/>
        <v>0</v>
      </c>
      <c r="AQ7" s="29">
        <f t="shared" si="11"/>
        <v>0</v>
      </c>
      <c r="AR7" s="29">
        <f t="shared" si="12"/>
        <v>0</v>
      </c>
      <c r="AS7" s="29">
        <f t="shared" si="13"/>
        <v>0</v>
      </c>
      <c r="AT7" s="29">
        <f t="shared" si="14"/>
        <v>0</v>
      </c>
      <c r="AU7" s="29">
        <f t="shared" si="15"/>
        <v>0</v>
      </c>
      <c r="AV7" s="29">
        <f t="shared" si="16"/>
        <v>0</v>
      </c>
      <c r="AW7" s="29">
        <f t="shared" si="17"/>
        <v>0</v>
      </c>
      <c r="AX7" s="29">
        <f t="shared" si="18"/>
        <v>0</v>
      </c>
      <c r="AY7" s="30">
        <f t="shared" si="19"/>
        <v>0</v>
      </c>
    </row>
    <row r="8" spans="1:51" x14ac:dyDescent="0.25">
      <c r="A8" s="26" t="str">
        <f>IF(Utilización!E16&gt;0,(Utilización!A16),(""))</f>
        <v/>
      </c>
      <c r="B8" s="8"/>
      <c r="C8" s="7">
        <f>Utilización!E16</f>
        <v>0</v>
      </c>
      <c r="D8" s="7" t="str">
        <f>IF(Utilización!G16="",(""),(Utilización!G16))</f>
        <v/>
      </c>
      <c r="E8" s="7" t="str">
        <f>IF(Utilización!H16="",(""),(Utilización!H16))</f>
        <v/>
      </c>
      <c r="F8" s="7" t="str">
        <f>IF(Utilización!I16="",(""),(Utilización!I16))</f>
        <v/>
      </c>
      <c r="G8" s="7" t="str">
        <f>IF(Utilización!J16="",(""),(Utilización!J16))</f>
        <v/>
      </c>
      <c r="I8" s="126"/>
      <c r="J8" s="22" t="str">
        <f t="shared" si="20"/>
        <v/>
      </c>
      <c r="K8" s="2" t="str">
        <f t="shared" si="22"/>
        <v/>
      </c>
      <c r="L8" s="2" t="str">
        <f>IF($L$3="",(""),(IF($L$3=$D$8,("SI"),(IF($L$3=$E$8,("SI"),(IF($L$3=$F$8,("SI"),IF($L$3=$G$8,("SI"),("")))))))))</f>
        <v/>
      </c>
      <c r="M8" s="2" t="str">
        <f>IF($M$3="",(""),(IF($M$3=$D$8,("SI"),(IF($M$3=$E$8,("SI"),(IF($M$3=$F$8,("SI"),IF($M$3=$G$8,("SI"),("")))))))))</f>
        <v/>
      </c>
      <c r="N8" s="2" t="str">
        <f>IF($N$3="",(""),(IF($N$3=$D$8,("SI"),(IF($N$3=$E$8,("SI"),(IF($N$3=$F$8,("SI"),IF($N$3=$G$8,("SI"),("")))))))))</f>
        <v/>
      </c>
      <c r="O8" s="2" t="str">
        <f>IF($O$3="",(""),(IF($O$3=$D$8,("SI"),(IF($O$3=$E$8,("SI"),(IF($O$3=$F$8,("SI"),IF($O$3=$G$8,("SI"),("")))))))))</f>
        <v/>
      </c>
      <c r="P8" s="2" t="str">
        <f>IF($P$3="",(""),(IF($P$3=$D$8,("SI"),(IF($P$3=$E$8,("SI"),(IF($P$3=$F$8,("SI"),IF($P$3=$G$8,("SI"),("")))))))))</f>
        <v/>
      </c>
      <c r="Q8" s="2" t="str">
        <f>IF($Q$3="",(""),(IF($Q$3=$D$8,("SI"),(IF($Q$3=$E$8,("SI"),(IF($Q$3=$F$8,("SI"),IF($Q$3=$G$8,("SI"),("")))))))))</f>
        <v/>
      </c>
      <c r="R8" s="2" t="str">
        <f>IF($R$3="",(""),(IF($R$3=$D$8,("SI"),(IF($R$3=$E$8,("SI"),(IF($R$3=$F$8,("SI"),IF($R$3=$G$8,("SI"),("")))))))))</f>
        <v/>
      </c>
      <c r="S8" s="2" t="str">
        <f>IF($S$3="",(""),(IF($S$3=$D$8,("SI"),(IF($S$3=$E$8,("SI"),(IF($S$3=$F$8,("SI"),IF($S$3=$G$8,("SI"),("")))))))))</f>
        <v/>
      </c>
      <c r="T8" s="2" t="str">
        <f>IF($T$3="",(""),(IF($T$3=$D$8,("SI"),(IF($T$3=$E$8,("SI"),(IF($T$3=$F$8,("SI"),IF($T$3=$G$8,("SI"),("")))))))))</f>
        <v/>
      </c>
      <c r="U8" s="2" t="str">
        <f>IF($U$3="",(""),(IF($U$3=$D$8,("SI"),(IF($U$3=$E$8,("SI"),(IF($U$3=$F$8,("SI"),IF($U$3=$G$8,("SI"),("")))))))))</f>
        <v/>
      </c>
      <c r="V8" s="2" t="str">
        <f>IF($V$3="",(""),(IF($V$3=$D$8,("SI"),(IF($V$3=$E$8,("SI"),(IF($V$3=$F$8,("SI"),IF($V$3=$G$8,("SI"),("")))))))))</f>
        <v/>
      </c>
      <c r="W8" s="2" t="str">
        <f>IF($W$3="",(""),(IF($W$3=$D$8,("SI"),(IF($W$3=$E$8,("SI"),(IF($W$3=$F$8,("SI"),IF($W$3=$G$8,("SI"),("")))))))))</f>
        <v/>
      </c>
      <c r="X8" s="2" t="str">
        <f>IF($X$3="",(""),(IF($X$3=$D$8,("SI"),(IF($X$3=$E$8,("SI"),(IF($X$3=$F$8,("SI"),IF($X$3=$G$8,("SI"),("")))))))))</f>
        <v/>
      </c>
      <c r="Y8" s="2" t="str">
        <f>IF($Y$3="",(""),(IF($Y$3=$D$8,("SI"),(IF($Y$3=$E$8,("SI"),(IF($Y$3=$F$8,("SI"),IF($Y$3=$G$8,("SI"),("")))))))))</f>
        <v/>
      </c>
      <c r="Z8" s="2" t="str">
        <f>IF($Z$3="",(""),(IF($Z$3=$D$8,("SI"),(IF($Z$3=$E$8,("SI"),(IF($Z$3=$F$8,("SI"),IF($Z$3=$G$8,("SI"),("")))))))))</f>
        <v/>
      </c>
      <c r="AA8" s="2" t="str">
        <f>IF($AA$3="",(""),(IF($AA$3=$D$8,("SI"),(IF($AA$3=$E$8,("SI"),(IF($AA$3=$F$8,("SI"),IF($AA$3=$G$8,("SI"),("")))))))))</f>
        <v/>
      </c>
      <c r="AB8" s="2" t="str">
        <f>IF($AB$3="",(""),(IF($AB$3=$D$8,("SI"),(IF($AB$3=$E$8,("SI"),(IF($AB$3=$F$8,("SI"),IF($AB$3=$G$8,("SI"),("")))))))))</f>
        <v/>
      </c>
      <c r="AC8" s="16" t="str">
        <f>IF($AC$3="",(""),(IF($AC$3=$D$8,("SI"),(IF($AC$3=$E$8,("SI"),(IF($AC$3=$F$8,("SI"),IF($AC$3=$G$8,("SI"),("")))))))))</f>
        <v/>
      </c>
      <c r="AE8" s="129"/>
      <c r="AF8" s="22" t="str">
        <f t="shared" si="21"/>
        <v/>
      </c>
      <c r="AG8" s="29">
        <f t="shared" si="1"/>
        <v>0</v>
      </c>
      <c r="AH8" s="29">
        <f t="shared" si="2"/>
        <v>0</v>
      </c>
      <c r="AI8" s="29">
        <f t="shared" si="3"/>
        <v>0</v>
      </c>
      <c r="AJ8" s="29">
        <f t="shared" si="4"/>
        <v>0</v>
      </c>
      <c r="AK8" s="29">
        <f t="shared" si="5"/>
        <v>0</v>
      </c>
      <c r="AL8" s="29">
        <f t="shared" si="6"/>
        <v>0</v>
      </c>
      <c r="AM8" s="29">
        <f t="shared" si="7"/>
        <v>0</v>
      </c>
      <c r="AN8" s="29">
        <f t="shared" si="8"/>
        <v>0</v>
      </c>
      <c r="AO8" s="29">
        <f t="shared" si="9"/>
        <v>0</v>
      </c>
      <c r="AP8" s="29">
        <f t="shared" si="10"/>
        <v>0</v>
      </c>
      <c r="AQ8" s="29">
        <f t="shared" si="11"/>
        <v>0</v>
      </c>
      <c r="AR8" s="29">
        <f t="shared" si="12"/>
        <v>0</v>
      </c>
      <c r="AS8" s="29">
        <f t="shared" si="13"/>
        <v>0</v>
      </c>
      <c r="AT8" s="29">
        <f t="shared" si="14"/>
        <v>0</v>
      </c>
      <c r="AU8" s="29">
        <f t="shared" si="15"/>
        <v>0</v>
      </c>
      <c r="AV8" s="29">
        <f t="shared" si="16"/>
        <v>0</v>
      </c>
      <c r="AW8" s="29">
        <f t="shared" si="17"/>
        <v>0</v>
      </c>
      <c r="AX8" s="29">
        <f t="shared" si="18"/>
        <v>0</v>
      </c>
      <c r="AY8" s="30">
        <f t="shared" si="19"/>
        <v>0</v>
      </c>
    </row>
    <row r="9" spans="1:51" x14ac:dyDescent="0.25">
      <c r="A9" s="26" t="str">
        <f>IF(Utilización!E17&gt;0,(Utilización!A17),(""))</f>
        <v/>
      </c>
      <c r="B9" s="8"/>
      <c r="C9" s="7">
        <f>Utilización!E17</f>
        <v>0</v>
      </c>
      <c r="D9" s="7" t="str">
        <f>IF(Utilización!G17="",(""),(Utilización!G17))</f>
        <v/>
      </c>
      <c r="E9" s="7" t="str">
        <f>IF(Utilización!H17="",(""),(Utilización!H17))</f>
        <v/>
      </c>
      <c r="F9" s="7" t="str">
        <f>IF(Utilización!I17="",(""),(Utilización!I17))</f>
        <v/>
      </c>
      <c r="G9" s="7" t="str">
        <f>IF(Utilización!J17="",(""),(Utilización!J17))</f>
        <v/>
      </c>
      <c r="I9" s="126"/>
      <c r="J9" s="22" t="str">
        <f t="shared" si="20"/>
        <v/>
      </c>
      <c r="K9" s="2" t="str">
        <f t="shared" si="22"/>
        <v/>
      </c>
      <c r="L9" s="2" t="str">
        <f>IF($L$3="",(""),(IF($L$3=$D$9,("SI"),(IF($L$3=$E$9,("SI"),(IF($L$3=$F$9,("SI"),IF($L$3=$G$9,("SI"),("")))))))))</f>
        <v/>
      </c>
      <c r="M9" s="2" t="str">
        <f>IF($M$3="",(""),(IF($M$3=$D$9,("SI"),(IF($M$3=$E$9,("SI"),(IF($M$3=$F$9,("SI"),IF($M$3=$G$9,("SI"),("")))))))))</f>
        <v/>
      </c>
      <c r="N9" s="2" t="str">
        <f>IF($N$3="",(""),(IF($N$3=$D$9,("SI"),(IF($N$3=$E$9,("SI"),(IF($N$3=$F$9,("SI"),IF($N$3=$G$9,("SI"),("")))))))))</f>
        <v/>
      </c>
      <c r="O9" s="2" t="str">
        <f>IF($O$3="",(""),(IF($O$3=$D$9,("SI"),(IF($O$3=$E$9,("SI"),(IF($O$3=$F$9,("SI"),IF($O$3=$G$9,("SI"),("")))))))))</f>
        <v/>
      </c>
      <c r="P9" s="2" t="str">
        <f>IF($P$3="",(""),(IF($P$3=$D$9,("SI"),(IF($P$3=$E$9,("SI"),(IF($P$3=$F$9,("SI"),IF($P$3=$G$9,("SI"),("")))))))))</f>
        <v/>
      </c>
      <c r="Q9" s="2" t="str">
        <f>IF($Q$3="",(""),(IF($Q$3=$D$9,("SI"),(IF($Q$3=$E$9,("SI"),(IF($Q$3=$F$9,("SI"),IF($Q$3=$G$9,("SI"),("")))))))))</f>
        <v/>
      </c>
      <c r="R9" s="2" t="str">
        <f>IF($R$3="",(""),(IF($R$3=$D$9,("SI"),(IF($R$3=$E$9,("SI"),(IF($R$3=$F$9,("SI"),IF($R$3=$G$9,("SI"),("")))))))))</f>
        <v/>
      </c>
      <c r="S9" s="2" t="str">
        <f>IF($S$3="",(""),(IF($S$3=$D$9,("SI"),(IF($S$3=$E$9,("SI"),(IF($S$3=$F$9,("SI"),IF($S$3=$G$9,("SI"),("")))))))))</f>
        <v/>
      </c>
      <c r="T9" s="2" t="str">
        <f>IF($T$3="",(""),(IF($T$3=$D$9,("SI"),(IF($T$3=$E$9,("SI"),(IF($T$3=$F$9,("SI"),IF($T$3=$G$9,("SI"),("")))))))))</f>
        <v/>
      </c>
      <c r="U9" s="2" t="str">
        <f>IF($U$3="",(""),(IF($U$3=$D$9,("SI"),(IF($U$3=$E$9,("SI"),(IF($U$3=$F$9,("SI"),IF($U$3=$G$9,("SI"),("")))))))))</f>
        <v/>
      </c>
      <c r="V9" s="2" t="str">
        <f>IF($V$3="",(""),(IF($V$3=$D$9,("SI"),(IF($V$3=$E$9,("SI"),(IF($V$3=$F$9,("SI"),IF($V$3=$G$9,("SI"),("")))))))))</f>
        <v/>
      </c>
      <c r="W9" s="2" t="str">
        <f>IF($W$3="",(""),(IF($W$3=$D$9,("SI"),(IF($W$3=$E$9,("SI"),(IF($W$3=$F$9,("SI"),IF($W$3=$G$9,("SI"),("")))))))))</f>
        <v/>
      </c>
      <c r="X9" s="2" t="str">
        <f>IF($X$3="",(""),(IF($X$3=$D$9,("SI"),(IF($X$3=$E$9,("SI"),(IF($X$3=$F$9,("SI"),IF($X$3=$G$9,("SI"),("")))))))))</f>
        <v/>
      </c>
      <c r="Y9" s="2" t="str">
        <f>IF($Y$3="",(""),(IF($Y$3=$D$9,("SI"),(IF($Y$3=$E$9,("SI"),(IF($Y$3=$F$9,("SI"),IF($Y$3=$G$9,("SI"),("")))))))))</f>
        <v/>
      </c>
      <c r="Z9" s="2" t="str">
        <f>IF($Z$3="",(""),(IF($Z$3=$D$9,("SI"),(IF($Z$3=$E$9,("SI"),(IF($Z$3=$F$9,("SI"),IF($Z$3=$G$9,("SI"),("")))))))))</f>
        <v/>
      </c>
      <c r="AA9" s="2" t="str">
        <f>IF($AA$3="",(""),(IF($AA$3=$D$9,("SI"),(IF($AA$3=$E$9,("SI"),(IF($AA$3=$F$9,("SI"),IF($AA$3=$G$9,("SI"),("")))))))))</f>
        <v/>
      </c>
      <c r="AB9" s="2" t="str">
        <f>IF($AB$3="",(""),(IF($AB$3=$D$9,("SI"),(IF($AB$3=$E$9,("SI"),(IF($AB$3=$F$9,("SI"),IF($AB$3=$G$9,("SI"),("")))))))))</f>
        <v/>
      </c>
      <c r="AC9" s="16" t="str">
        <f>IF($AC$3="",(""),(IF($AC$3=$D$9,("SI"),(IF($AC$3=$E$9,("SI"),(IF($AC$3=$F$9,("SI"),IF($AC$3=$G$9,("SI"),("")))))))))</f>
        <v/>
      </c>
      <c r="AE9" s="129"/>
      <c r="AF9" s="22" t="str">
        <f t="shared" si="21"/>
        <v/>
      </c>
      <c r="AG9" s="29">
        <f t="shared" si="1"/>
        <v>0</v>
      </c>
      <c r="AH9" s="29">
        <f t="shared" si="2"/>
        <v>0</v>
      </c>
      <c r="AI9" s="29">
        <f t="shared" si="3"/>
        <v>0</v>
      </c>
      <c r="AJ9" s="29">
        <f t="shared" si="4"/>
        <v>0</v>
      </c>
      <c r="AK9" s="29">
        <f t="shared" si="5"/>
        <v>0</v>
      </c>
      <c r="AL9" s="29">
        <f t="shared" si="6"/>
        <v>0</v>
      </c>
      <c r="AM9" s="29">
        <f t="shared" si="7"/>
        <v>0</v>
      </c>
      <c r="AN9" s="29">
        <f t="shared" si="8"/>
        <v>0</v>
      </c>
      <c r="AO9" s="29">
        <f t="shared" si="9"/>
        <v>0</v>
      </c>
      <c r="AP9" s="29">
        <f t="shared" si="10"/>
        <v>0</v>
      </c>
      <c r="AQ9" s="29">
        <f t="shared" si="11"/>
        <v>0</v>
      </c>
      <c r="AR9" s="29">
        <f t="shared" si="12"/>
        <v>0</v>
      </c>
      <c r="AS9" s="29">
        <f t="shared" si="13"/>
        <v>0</v>
      </c>
      <c r="AT9" s="29">
        <f t="shared" si="14"/>
        <v>0</v>
      </c>
      <c r="AU9" s="29">
        <f t="shared" si="15"/>
        <v>0</v>
      </c>
      <c r="AV9" s="29">
        <f t="shared" si="16"/>
        <v>0</v>
      </c>
      <c r="AW9" s="29">
        <f t="shared" si="17"/>
        <v>0</v>
      </c>
      <c r="AX9" s="29">
        <f t="shared" si="18"/>
        <v>0</v>
      </c>
      <c r="AY9" s="30">
        <f t="shared" si="19"/>
        <v>0</v>
      </c>
    </row>
    <row r="10" spans="1:51" x14ac:dyDescent="0.25">
      <c r="A10" s="26" t="str">
        <f>IF(Utilización!E18&gt;0,(Utilización!A18),(""))</f>
        <v/>
      </c>
      <c r="B10" s="8"/>
      <c r="C10" s="7">
        <f>Utilización!E18</f>
        <v>0</v>
      </c>
      <c r="D10" s="7" t="str">
        <f>IF(Utilización!G18="",(""),(Utilización!G18))</f>
        <v/>
      </c>
      <c r="E10" s="7" t="str">
        <f>IF(Utilización!H18="",(""),(Utilización!H18))</f>
        <v/>
      </c>
      <c r="F10" s="7" t="str">
        <f>IF(Utilización!I18="",(""),(Utilización!I18))</f>
        <v/>
      </c>
      <c r="G10" s="7" t="str">
        <f>IF(Utilización!J18="",(""),(Utilización!J18))</f>
        <v/>
      </c>
      <c r="I10" s="126"/>
      <c r="J10" s="22" t="str">
        <f t="shared" si="20"/>
        <v/>
      </c>
      <c r="K10" s="2" t="str">
        <f t="shared" si="22"/>
        <v/>
      </c>
      <c r="L10" s="2" t="str">
        <f>IF($L$3="",(""),(IF($L$3=$D$10,("SI"),(IF($L$3=$E$10,("SI"),(IF($L$3=$F$10,("SI"),IF($L$3=$G$10,("SI"),("")))))))))</f>
        <v/>
      </c>
      <c r="M10" s="2" t="str">
        <f>IF($M$3="",(""),(IF($M$3=$D$10,("SI"),(IF($M$3=$E$10,("SI"),(IF($M$3=$F$10,("SI"),IF($M$3=$G$10,("SI"),("")))))))))</f>
        <v/>
      </c>
      <c r="N10" s="2" t="str">
        <f>IF($N$3="",(""),(IF($N$3=$D$10,("SI"),(IF($N$3=$E$10,("SI"),(IF($N$3=$F$10,("SI"),IF($N$3=$G$10,("SI"),("")))))))))</f>
        <v/>
      </c>
      <c r="O10" s="2" t="str">
        <f>IF($O$3="",(""),(IF($O$3=$D$10,("SI"),(IF($O$3=$E$10,("SI"),(IF($O$3=$F$10,("SI"),IF($O$3=$G$10,("SI"),("")))))))))</f>
        <v/>
      </c>
      <c r="P10" s="2" t="str">
        <f>IF($P$3="",(""),(IF($P$3=$D$10,("SI"),(IF($P$3=$E$10,("SI"),(IF($P$3=$F$10,("SI"),IF($P$3=$G$10,("SI"),("")))))))))</f>
        <v/>
      </c>
      <c r="Q10" s="2" t="str">
        <f>IF($Q$3="",(""),(IF($Q$3=$D$10,("SI"),(IF($Q$3=$E$10,("SI"),(IF($Q$3=$F$10,("SI"),IF($Q$3=$G$10,("SI"),("")))))))))</f>
        <v/>
      </c>
      <c r="R10" s="2" t="str">
        <f>IF($R$3="",(""),(IF($R$3=$D$10,("SI"),(IF($R$3=$E$10,("SI"),(IF($R$3=$F$10,("SI"),IF($R$3=$G$10,("SI"),("")))))))))</f>
        <v/>
      </c>
      <c r="S10" s="2" t="str">
        <f>IF($S$3="",(""),(IF($S$3=$D$10,("SI"),(IF($S$3=$E$10,("SI"),(IF($S$3=$F$10,("SI"),IF($S$3=$G$10,("SI"),("")))))))))</f>
        <v/>
      </c>
      <c r="T10" s="2" t="str">
        <f>IF($T$3="",(""),(IF($T$3=$D$10,("SI"),(IF($T$3=$E$10,("SI"),(IF($T$3=$F$10,("SI"),IF($T$3=$G$10,("SI"),("")))))))))</f>
        <v/>
      </c>
      <c r="U10" s="2" t="str">
        <f>IF($U$3="",(""),(IF($U$3=$D$10,("SI"),(IF($U$3=$E$10,("SI"),(IF($U$3=$F$10,("SI"),IF($U$3=$G$10,("SI"),("")))))))))</f>
        <v/>
      </c>
      <c r="V10" s="2" t="str">
        <f>IF($V$3="",(""),(IF($V$3=$D$10,("SI"),(IF($V$3=$E$10,("SI"),(IF($V$3=$F$10,("SI"),IF($V$3=$G$10,("SI"),("")))))))))</f>
        <v/>
      </c>
      <c r="W10" s="2" t="str">
        <f>IF($W$3="",(""),(IF($W$3=$D$10,("SI"),(IF($W$3=$E$10,("SI"),(IF($W$3=$F$10,("SI"),IF($W$3=$G$10,("SI"),("")))))))))</f>
        <v/>
      </c>
      <c r="X10" s="2" t="str">
        <f>IF($X$3="",(""),(IF($X$3=$D$10,("SI"),(IF($X$3=$E$10,("SI"),(IF($X$3=$F$10,("SI"),IF($X$3=$G$10,("SI"),("")))))))))</f>
        <v/>
      </c>
      <c r="Y10" s="2" t="str">
        <f>IF($Y$3="",(""),(IF($Y$3=$D$10,("SI"),(IF($Y$3=$E$10,("SI"),(IF($Y$3=$F$10,("SI"),IF($Y$3=$G$10,("SI"),("")))))))))</f>
        <v/>
      </c>
      <c r="Z10" s="2" t="str">
        <f>IF($Z$3="",(""),(IF($Z$3=$D$10,("SI"),(IF($Z$3=$E$10,("SI"),(IF($Z$3=$F$10,("SI"),IF($Z$3=$G$10,("SI"),("")))))))))</f>
        <v/>
      </c>
      <c r="AA10" s="2" t="str">
        <f>IF($AA$3="",(""),(IF($AA$3=$D$10,("SI"),(IF($AA$3=$E$10,("SI"),(IF($AA$3=$F$10,("SI"),IF($AA$3=$G$10,("SI"),("")))))))))</f>
        <v/>
      </c>
      <c r="AB10" s="2" t="str">
        <f>IF($AB$3="",(""),(IF($AB$3=$D$10,("SI"),(IF($AB$3=$E$10,("SI"),(IF($AB$3=$F$10,("SI"),IF($AB$3=$G$10,("SI"),("")))))))))</f>
        <v/>
      </c>
      <c r="AC10" s="16" t="str">
        <f>IF($AC$3="",(""),(IF($AC$3=$D$10,("SI"),(IF($AC$3=$E$10,("SI"),(IF($AC$3=$F$10,("SI"),IF($AC$3=$G$10,("SI"),("")))))))))</f>
        <v/>
      </c>
      <c r="AE10" s="129"/>
      <c r="AF10" s="22" t="str">
        <f t="shared" si="21"/>
        <v/>
      </c>
      <c r="AG10" s="29">
        <f t="shared" si="1"/>
        <v>0</v>
      </c>
      <c r="AH10" s="29">
        <f t="shared" si="2"/>
        <v>0</v>
      </c>
      <c r="AI10" s="29">
        <f t="shared" si="3"/>
        <v>0</v>
      </c>
      <c r="AJ10" s="29">
        <f t="shared" si="4"/>
        <v>0</v>
      </c>
      <c r="AK10" s="29">
        <f t="shared" si="5"/>
        <v>0</v>
      </c>
      <c r="AL10" s="29">
        <f t="shared" si="6"/>
        <v>0</v>
      </c>
      <c r="AM10" s="29">
        <f t="shared" si="7"/>
        <v>0</v>
      </c>
      <c r="AN10" s="29">
        <f t="shared" si="8"/>
        <v>0</v>
      </c>
      <c r="AO10" s="29">
        <f t="shared" si="9"/>
        <v>0</v>
      </c>
      <c r="AP10" s="29">
        <f t="shared" si="10"/>
        <v>0</v>
      </c>
      <c r="AQ10" s="29">
        <f t="shared" si="11"/>
        <v>0</v>
      </c>
      <c r="AR10" s="29">
        <f t="shared" si="12"/>
        <v>0</v>
      </c>
      <c r="AS10" s="29">
        <f t="shared" si="13"/>
        <v>0</v>
      </c>
      <c r="AT10" s="29">
        <f t="shared" si="14"/>
        <v>0</v>
      </c>
      <c r="AU10" s="29">
        <f t="shared" si="15"/>
        <v>0</v>
      </c>
      <c r="AV10" s="29">
        <f t="shared" si="16"/>
        <v>0</v>
      </c>
      <c r="AW10" s="29">
        <f t="shared" si="17"/>
        <v>0</v>
      </c>
      <c r="AX10" s="29">
        <f t="shared" si="18"/>
        <v>0</v>
      </c>
      <c r="AY10" s="30">
        <f t="shared" si="19"/>
        <v>0</v>
      </c>
    </row>
    <row r="11" spans="1:51" x14ac:dyDescent="0.25">
      <c r="A11" s="26" t="str">
        <f>IF(Utilización!E19&gt;0,(Utilización!A19),(""))</f>
        <v/>
      </c>
      <c r="B11" s="8"/>
      <c r="C11" s="7">
        <f>Utilización!E19</f>
        <v>0</v>
      </c>
      <c r="D11" s="7" t="str">
        <f>IF(Utilización!G19="",(""),(Utilización!G19))</f>
        <v/>
      </c>
      <c r="E11" s="7" t="str">
        <f>IF(Utilización!H19="",(""),(Utilización!H19))</f>
        <v/>
      </c>
      <c r="F11" s="7" t="str">
        <f>IF(Utilización!I19="",(""),(Utilización!I19))</f>
        <v/>
      </c>
      <c r="G11" s="7" t="str">
        <f>IF(Utilización!J19="",(""),(Utilización!J19))</f>
        <v/>
      </c>
      <c r="I11" s="126"/>
      <c r="J11" s="22" t="str">
        <f t="shared" si="20"/>
        <v/>
      </c>
      <c r="K11" s="2" t="str">
        <f t="shared" si="22"/>
        <v/>
      </c>
      <c r="L11" s="2" t="str">
        <f>IF($L$3="",(""),(IF($L$3=$D$11,("SI"),(IF($L$3=$E$11,("SI"),(IF($L$3=$F$11,("SI"),IF($L$3=$G$11,("SI"),("")))))))))</f>
        <v/>
      </c>
      <c r="M11" s="2" t="str">
        <f>IF($M$3="",(""),(IF($M$3=$D$11,("SI"),(IF($M$3=$E$11,("SI"),(IF($M$3=$F$11,("SI"),IF($M$3=$G$11,("SI"),("")))))))))</f>
        <v/>
      </c>
      <c r="N11" s="2" t="str">
        <f>IF($N$3="",(""),(IF($N$3=$D$11,("SI"),(IF($N$3=$E$11,("SI"),(IF($N$3=$F$11,("SI"),IF($N$3=$G$11,("SI"),("")))))))))</f>
        <v/>
      </c>
      <c r="O11" s="2" t="str">
        <f>IF($O$3="",(""),(IF($O$3=$D$11,("SI"),(IF($O$3=$E$11,("SI"),(IF($O$3=$F$11,("SI"),IF($O$3=$G$11,("SI"),("")))))))))</f>
        <v/>
      </c>
      <c r="P11" s="2" t="str">
        <f>IF($P$3="",(""),(IF($P$3=$D$11,("SI"),(IF($P$3=$E$11,("SI"),(IF($P$3=$F$11,("SI"),IF($P$3=$G$11,("SI"),("")))))))))</f>
        <v/>
      </c>
      <c r="Q11" s="2" t="str">
        <f>IF($Q$3="",(""),(IF($Q$3=$D$11,("SI"),(IF($Q$3=$E$11,("SI"),(IF($Q$3=$F$11,("SI"),IF($Q$3=$G$11,("SI"),("")))))))))</f>
        <v/>
      </c>
      <c r="R11" s="2" t="str">
        <f>IF($R$3="",(""),(IF($R$3=$D$11,("SI"),(IF($R$3=$E$11,("SI"),(IF($R$3=$F$11,("SI"),IF($R$3=$G$11,("SI"),("")))))))))</f>
        <v/>
      </c>
      <c r="S11" s="2" t="str">
        <f>IF($S$3="",(""),(IF($S$3=$D$11,("SI"),(IF($S$3=$E$11,("SI"),(IF($S$3=$F$11,("SI"),IF($S$3=$G$11,("SI"),("")))))))))</f>
        <v/>
      </c>
      <c r="T11" s="2" t="str">
        <f>IF($T$3="",(""),(IF($T$3=$D$11,("SI"),(IF($T$3=$E$11,("SI"),(IF($T$3=$F$11,("SI"),IF($T$3=$G$11,("SI"),("")))))))))</f>
        <v/>
      </c>
      <c r="U11" s="2" t="str">
        <f>IF($U$3="",(""),(IF($U$3=$D$11,("SI"),(IF($U$3=$E$11,("SI"),(IF($U$3=$F$11,("SI"),IF($U$3=$G$11,("SI"),("")))))))))</f>
        <v/>
      </c>
      <c r="V11" s="2" t="str">
        <f>IF($V$3="",(""),(IF($V$3=$D$11,("SI"),(IF($V$3=$E$11,("SI"),(IF($V$3=$F$11,("SI"),IF($V$3=$G$11,("SI"),("")))))))))</f>
        <v/>
      </c>
      <c r="W11" s="2" t="str">
        <f>IF($W$3="",(""),(IF($W$3=$D$11,("SI"),(IF($W$3=$E$11,("SI"),(IF($W$3=$F$11,("SI"),IF($W$3=$G$11,("SI"),("")))))))))</f>
        <v/>
      </c>
      <c r="X11" s="2" t="str">
        <f>IF($X$3="",(""),(IF($X$3=$D$11,("SI"),(IF($X$3=$E$11,("SI"),(IF($X$3=$F$11,("SI"),IF($X$3=$G$11,("SI"),("")))))))))</f>
        <v/>
      </c>
      <c r="Y11" s="2" t="str">
        <f>IF($Y$3="",(""),(IF($Y$3=$D$11,("SI"),(IF($Y$3=$E$11,("SI"),(IF($Y$3=$F$11,("SI"),IF($Y$3=$G$11,("SI"),("")))))))))</f>
        <v/>
      </c>
      <c r="Z11" s="2" t="str">
        <f>IF($Z$3="",(""),(IF($Z$3=$D$11,("SI"),(IF($Z$3=$E$11,("SI"),(IF($Z$3=$F$11,("SI"),IF($Z$3=$G$11,("SI"),("")))))))))</f>
        <v/>
      </c>
      <c r="AA11" s="2" t="str">
        <f>IF($AA$3="",(""),(IF($AA$3=$D$11,("SI"),(IF($AA$3=$E$11,("SI"),(IF($AA$3=$F$11,("SI"),IF($AA$3=$G$11,("SI"),("")))))))))</f>
        <v/>
      </c>
      <c r="AB11" s="2" t="str">
        <f>IF($AB$3="",(""),(IF($AB$3=$D$11,("SI"),(IF($AB$3=$E$11,("SI"),(IF($AB$3=$F$11,("SI"),IF($AB$3=$G$11,("SI"),("")))))))))</f>
        <v/>
      </c>
      <c r="AC11" s="16" t="str">
        <f>IF($AC$3="",(""),(IF($AC$3=$D$11,("SI"),(IF($AC$3=$E$11,("SI"),(IF($AC$3=$F$11,("SI"),IF($AC$3=$G$11,("SI"),("")))))))))</f>
        <v/>
      </c>
      <c r="AE11" s="129"/>
      <c r="AF11" s="22" t="str">
        <f t="shared" si="21"/>
        <v/>
      </c>
      <c r="AG11" s="29">
        <f t="shared" si="1"/>
        <v>0</v>
      </c>
      <c r="AH11" s="29">
        <f t="shared" si="2"/>
        <v>0</v>
      </c>
      <c r="AI11" s="29">
        <f t="shared" si="3"/>
        <v>0</v>
      </c>
      <c r="AJ11" s="29">
        <f t="shared" si="4"/>
        <v>0</v>
      </c>
      <c r="AK11" s="29">
        <f t="shared" si="5"/>
        <v>0</v>
      </c>
      <c r="AL11" s="29">
        <f t="shared" si="6"/>
        <v>0</v>
      </c>
      <c r="AM11" s="29">
        <f t="shared" si="7"/>
        <v>0</v>
      </c>
      <c r="AN11" s="29">
        <f t="shared" si="8"/>
        <v>0</v>
      </c>
      <c r="AO11" s="29">
        <f t="shared" si="9"/>
        <v>0</v>
      </c>
      <c r="AP11" s="29">
        <f t="shared" si="10"/>
        <v>0</v>
      </c>
      <c r="AQ11" s="29">
        <f t="shared" si="11"/>
        <v>0</v>
      </c>
      <c r="AR11" s="29">
        <f t="shared" si="12"/>
        <v>0</v>
      </c>
      <c r="AS11" s="29">
        <f t="shared" si="13"/>
        <v>0</v>
      </c>
      <c r="AT11" s="29">
        <f t="shared" si="14"/>
        <v>0</v>
      </c>
      <c r="AU11" s="29">
        <f t="shared" si="15"/>
        <v>0</v>
      </c>
      <c r="AV11" s="29">
        <f t="shared" si="16"/>
        <v>0</v>
      </c>
      <c r="AW11" s="29">
        <f t="shared" si="17"/>
        <v>0</v>
      </c>
      <c r="AX11" s="29">
        <f t="shared" si="18"/>
        <v>0</v>
      </c>
      <c r="AY11" s="30">
        <f t="shared" si="19"/>
        <v>0</v>
      </c>
    </row>
    <row r="12" spans="1:51" x14ac:dyDescent="0.25">
      <c r="A12" s="26" t="str">
        <f>IF(Utilización!E20&gt;0,(Utilización!A20),(""))</f>
        <v/>
      </c>
      <c r="B12" s="8"/>
      <c r="C12" s="7">
        <f>Utilización!E20</f>
        <v>0</v>
      </c>
      <c r="D12" s="7" t="str">
        <f>IF(Utilización!G20="",(""),(Utilización!G20))</f>
        <v/>
      </c>
      <c r="E12" s="7" t="str">
        <f>IF(Utilización!H20="",(""),(Utilización!H20))</f>
        <v/>
      </c>
      <c r="F12" s="7" t="str">
        <f>IF(Utilización!I20="",(""),(Utilización!I20))</f>
        <v/>
      </c>
      <c r="G12" s="7" t="str">
        <f>IF(Utilización!J20="",(""),(Utilización!J20))</f>
        <v/>
      </c>
      <c r="I12" s="126"/>
      <c r="J12" s="22" t="str">
        <f t="shared" si="20"/>
        <v/>
      </c>
      <c r="K12" s="2" t="str">
        <f t="shared" si="22"/>
        <v/>
      </c>
      <c r="L12" s="2" t="str">
        <f>IF($L$3="",(""),(IF($L$3=$D$12,("SI"),(IF($L$3=$E$12,("SI"),(IF($L$3=$F$12,("SI"),IF($L$3=$G$12,("SI"),("")))))))))</f>
        <v/>
      </c>
      <c r="M12" s="2" t="str">
        <f>IF($M$3="",(""),(IF($M$3=$D$12,("SI"),(IF($M$3=$E$12,("SI"),(IF($M$3=$F$12,("SI"),IF($M$3=$G$12,("SI"),("")))))))))</f>
        <v/>
      </c>
      <c r="N12" s="2" t="str">
        <f>IF($N$3="",(""),(IF($N$3=$D$12,("SI"),(IF($N$3=$E$12,("SI"),(IF($N$3=$F$12,("SI"),IF($N$3=$G$12,("SI"),("")))))))))</f>
        <v/>
      </c>
      <c r="O12" s="2" t="str">
        <f>IF($O$3="",(""),(IF($O$3=$D$12,("SI"),(IF($O$3=$E$12,("SI"),(IF($O$3=$F$12,("SI"),IF($O$3=$G$12,("SI"),("")))))))))</f>
        <v/>
      </c>
      <c r="P12" s="2" t="str">
        <f>IF($P$3="",(""),(IF($P$3=$D$12,("SI"),(IF($P$3=$E$12,("SI"),(IF($P$3=$F$12,("SI"),IF($P$3=$G$12,("SI"),("")))))))))</f>
        <v/>
      </c>
      <c r="Q12" s="2" t="str">
        <f>IF($Q$3="",(""),(IF($Q$3=$D$12,("SI"),(IF($Q$3=$E$12,("SI"),(IF($Q$3=$F$12,("SI"),IF($Q$3=$G$12,("SI"),("")))))))))</f>
        <v/>
      </c>
      <c r="R12" s="2" t="str">
        <f>IF($R$3="",(""),(IF($R$3=$D$12,("SI"),(IF($R$3=$E$12,("SI"),(IF($R$3=$F$12,("SI"),IF($R$3=$G$12,("SI"),("")))))))))</f>
        <v/>
      </c>
      <c r="S12" s="2" t="str">
        <f>IF($S$3="",(""),(IF($S$3=$D$12,("SI"),(IF($S$3=$E$12,("SI"),(IF($S$3=$F$12,("SI"),IF($S$3=$G$12,("SI"),("")))))))))</f>
        <v/>
      </c>
      <c r="T12" s="2" t="str">
        <f>IF($T$3="",(""),(IF($T$3=$D$12,("SI"),(IF($T$3=$E$12,("SI"),(IF($T$3=$F$12,("SI"),IF($T$3=$G$12,("SI"),("")))))))))</f>
        <v/>
      </c>
      <c r="U12" s="2" t="str">
        <f>IF($U$3="",(""),(IF($U$3=$D$12,("SI"),(IF($U$3=$E$12,("SI"),(IF($U$3=$F$12,("SI"),IF($U$3=$G$12,("SI"),("")))))))))</f>
        <v/>
      </c>
      <c r="V12" s="2" t="str">
        <f>IF($V$3="",(""),(IF($V$3=$D$12,("SI"),(IF($V$3=$E$12,("SI"),(IF($V$3=$F$12,("SI"),IF($V$3=$G$12,("SI"),("")))))))))</f>
        <v/>
      </c>
      <c r="W12" s="2" t="str">
        <f>IF($W$3="",(""),(IF($W$3=$D$12,("SI"),(IF($W$3=$E$12,("SI"),(IF($W$3=$F$12,("SI"),IF($W$3=$G$12,("SI"),("")))))))))</f>
        <v/>
      </c>
      <c r="X12" s="2" t="str">
        <f>IF($X$3="",(""),(IF($X$3=$D$12,("SI"),(IF($X$3=$E$12,("SI"),(IF($X$3=$F$12,("SI"),IF($X$3=$G$12,("SI"),("")))))))))</f>
        <v/>
      </c>
      <c r="Y12" s="2" t="str">
        <f>IF($Y$3="",(""),(IF($Y$3=$D$12,("SI"),(IF($Y$3=$E$12,("SI"),(IF($Y$3=$F$12,("SI"),IF($Y$3=$G$12,("SI"),("")))))))))</f>
        <v/>
      </c>
      <c r="Z12" s="2" t="str">
        <f>IF($Z$3="",(""),(IF($Z$3=$D$12,("SI"),(IF($Z$3=$E$12,("SI"),(IF($Z$3=$F$12,("SI"),IF($Z$3=$G$12,("SI"),("")))))))))</f>
        <v/>
      </c>
      <c r="AA12" s="2" t="str">
        <f>IF($AA$3="",(""),(IF($AA$3=$D$12,("SI"),(IF($AA$3=$E$12,("SI"),(IF($AA$3=$F$12,("SI"),IF($AA$3=$G$12,("SI"),("")))))))))</f>
        <v/>
      </c>
      <c r="AB12" s="2" t="str">
        <f>IF($AB$3="",(""),(IF($AB$3=$D$12,("SI"),(IF($AB$3=$E$12,("SI"),(IF($AB$3=$F$12,("SI"),IF($AB$3=$G$12,("SI"),("")))))))))</f>
        <v/>
      </c>
      <c r="AC12" s="16" t="str">
        <f>IF($AC$3="",(""),(IF($AC$3=$D$12,("SI"),(IF($AC$3=$E$12,("SI"),(IF($AC$3=$F$12,("SI"),IF($AC$3=$G$12,("SI"),("")))))))))</f>
        <v/>
      </c>
      <c r="AE12" s="129"/>
      <c r="AF12" s="22" t="str">
        <f t="shared" si="21"/>
        <v/>
      </c>
      <c r="AG12" s="29">
        <f t="shared" si="1"/>
        <v>0</v>
      </c>
      <c r="AH12" s="29">
        <f t="shared" si="2"/>
        <v>0</v>
      </c>
      <c r="AI12" s="29">
        <f t="shared" si="3"/>
        <v>0</v>
      </c>
      <c r="AJ12" s="29">
        <f t="shared" si="4"/>
        <v>0</v>
      </c>
      <c r="AK12" s="29">
        <f t="shared" si="5"/>
        <v>0</v>
      </c>
      <c r="AL12" s="29">
        <f t="shared" si="6"/>
        <v>0</v>
      </c>
      <c r="AM12" s="29">
        <f t="shared" si="7"/>
        <v>0</v>
      </c>
      <c r="AN12" s="29">
        <f t="shared" si="8"/>
        <v>0</v>
      </c>
      <c r="AO12" s="29">
        <f t="shared" si="9"/>
        <v>0</v>
      </c>
      <c r="AP12" s="29">
        <f t="shared" si="10"/>
        <v>0</v>
      </c>
      <c r="AQ12" s="29">
        <f t="shared" si="11"/>
        <v>0</v>
      </c>
      <c r="AR12" s="29">
        <f t="shared" si="12"/>
        <v>0</v>
      </c>
      <c r="AS12" s="29">
        <f t="shared" si="13"/>
        <v>0</v>
      </c>
      <c r="AT12" s="29">
        <f t="shared" si="14"/>
        <v>0</v>
      </c>
      <c r="AU12" s="29">
        <f t="shared" si="15"/>
        <v>0</v>
      </c>
      <c r="AV12" s="29">
        <f t="shared" si="16"/>
        <v>0</v>
      </c>
      <c r="AW12" s="29">
        <f t="shared" si="17"/>
        <v>0</v>
      </c>
      <c r="AX12" s="29">
        <f t="shared" si="18"/>
        <v>0</v>
      </c>
      <c r="AY12" s="30">
        <f t="shared" si="19"/>
        <v>0</v>
      </c>
    </row>
    <row r="13" spans="1:51" x14ac:dyDescent="0.25">
      <c r="A13" s="26" t="str">
        <f>IF(Utilización!E21&gt;0,(Utilización!A21),(""))</f>
        <v/>
      </c>
      <c r="B13" s="8"/>
      <c r="C13" s="7">
        <f>Utilización!E21</f>
        <v>0</v>
      </c>
      <c r="D13" s="7" t="str">
        <f>IF(Utilización!G21="",(""),(Utilización!G21))</f>
        <v/>
      </c>
      <c r="E13" s="7" t="str">
        <f>IF(Utilización!H21="",(""),(Utilización!H21))</f>
        <v/>
      </c>
      <c r="F13" s="7" t="str">
        <f>IF(Utilización!I21="",(""),(Utilización!I21))</f>
        <v/>
      </c>
      <c r="G13" s="7" t="str">
        <f>IF(Utilización!J21="",(""),(Utilización!J21))</f>
        <v/>
      </c>
      <c r="I13" s="126"/>
      <c r="J13" s="22" t="str">
        <f t="shared" si="20"/>
        <v/>
      </c>
      <c r="K13" s="2" t="str">
        <f t="shared" si="22"/>
        <v/>
      </c>
      <c r="L13" s="2" t="str">
        <f>IF($L$3="",(""),(IF($L$3=$D$13,("SI"),(IF($L$3=$E$13,("SI"),(IF($L$3=$F$13,("SI"),IF($L$3=$G$13,("SI"),("")))))))))</f>
        <v/>
      </c>
      <c r="M13" s="2" t="str">
        <f>IF($M$3="",(""),(IF($M$3=$D$13,("SI"),(IF($M$3=$E$13,("SI"),(IF($M$3=$F$13,("SI"),IF($M$3=$G$13,("SI"),("")))))))))</f>
        <v/>
      </c>
      <c r="N13" s="2" t="str">
        <f>IF($N$3="",(""),(IF($N$3=$D$13,("SI"),(IF($N$3=$E$13,("SI"),(IF($N$3=$F$13,("SI"),IF($N$3=$G$13,("SI"),("")))))))))</f>
        <v/>
      </c>
      <c r="O13" s="2" t="str">
        <f>IF($O$3="",(""),(IF($O$3=$D$13,("SI"),(IF($O$3=$E$13,("SI"),(IF($O$3=$F$13,("SI"),IF($O$3=$G$13,("SI"),("")))))))))</f>
        <v/>
      </c>
      <c r="P13" s="2" t="str">
        <f>IF($P$3="",(""),(IF($P$3=$D$13,("SI"),(IF($P$3=$E$13,("SI"),(IF($P$3=$F$13,("SI"),IF($P$3=$G$13,("SI"),("")))))))))</f>
        <v/>
      </c>
      <c r="Q13" s="2" t="str">
        <f>IF($Q$3="",(""),(IF($Q$3=$D$13,("SI"),(IF($Q$3=$E$13,("SI"),(IF($Q$3=$F$13,("SI"),IF($Q$3=$G$13,("SI"),("")))))))))</f>
        <v/>
      </c>
      <c r="R13" s="2" t="str">
        <f>IF($R$3="",(""),(IF($R$3=$D$13,("SI"),(IF($R$3=$E$13,("SI"),(IF($R$3=$F$13,("SI"),IF($R$3=$G$13,("SI"),("")))))))))</f>
        <v/>
      </c>
      <c r="S13" s="2" t="str">
        <f>IF($S$3="",(""),(IF($S$3=$D$13,("SI"),(IF($S$3=$E$13,("SI"),(IF($S$3=$F$13,("SI"),IF($S$3=$G$13,("SI"),("")))))))))</f>
        <v/>
      </c>
      <c r="T13" s="2" t="str">
        <f>IF($T$3="",(""),(IF($T$3=$D$13,("SI"),(IF($T$3=$E$13,("SI"),(IF($T$3=$F$13,("SI"),IF($T$3=$G$13,("SI"),("")))))))))</f>
        <v/>
      </c>
      <c r="U13" s="2" t="str">
        <f>IF($U$3="",(""),(IF($U$3=$D$13,("SI"),(IF($U$3=$E$13,("SI"),(IF($U$3=$F$13,("SI"),IF($U$3=$G$13,("SI"),("")))))))))</f>
        <v/>
      </c>
      <c r="V13" s="2" t="str">
        <f>IF($V$3="",(""),(IF($V$3=$D$13,("SI"),(IF($V$3=$E$13,("SI"),(IF($V$3=$F$13,("SI"),IF($V$3=$G$13,("SI"),("")))))))))</f>
        <v/>
      </c>
      <c r="W13" s="2" t="str">
        <f>IF($W$3="",(""),(IF($W$3=$D$13,("SI"),(IF($W$3=$E$13,("SI"),(IF($W$3=$F$13,("SI"),IF($W$3=$G$13,("SI"),("")))))))))</f>
        <v/>
      </c>
      <c r="X13" s="2" t="str">
        <f>IF($X$3="",(""),(IF($X$3=$D$13,("SI"),(IF($X$3=$E$13,("SI"),(IF($X$3=$F$13,("SI"),IF($X$3=$G$13,("SI"),("")))))))))</f>
        <v/>
      </c>
      <c r="Y13" s="2" t="str">
        <f>IF($Y$3="",(""),(IF($Y$3=$D$13,("SI"),(IF($Y$3=$E$13,("SI"),(IF($Y$3=$F$13,("SI"),IF($Y$3=$G$13,("SI"),("")))))))))</f>
        <v/>
      </c>
      <c r="Z13" s="2" t="str">
        <f>IF($Z$3="",(""),(IF($Z$3=$D$13,("SI"),(IF($Z$3=$E$13,("SI"),(IF($Z$3=$F$13,("SI"),IF($Z$3=$G$13,("SI"),("")))))))))</f>
        <v/>
      </c>
      <c r="AA13" s="2" t="str">
        <f>IF($AA$3="",(""),(IF($AA$3=$D$13,("SI"),(IF($AA$3=$E$13,("SI"),(IF($AA$3=$F$13,("SI"),IF($AA$3=$G$13,("SI"),("")))))))))</f>
        <v/>
      </c>
      <c r="AB13" s="2" t="str">
        <f>IF($AB$3="",(""),(IF($AB$3=$D$13,("SI"),(IF($AB$3=$E$13,("SI"),(IF($AB$3=$F$13,("SI"),IF($AB$3=$G$13,("SI"),("")))))))))</f>
        <v/>
      </c>
      <c r="AC13" s="16" t="str">
        <f>IF($AC$3="",(""),(IF($AC$3=$D$13,("SI"),(IF($AC$3=$E$13,("SI"),(IF($AC$3=$F$13,("SI"),IF($AC$3=$G$13,("SI"),("")))))))))</f>
        <v/>
      </c>
      <c r="AE13" s="129"/>
      <c r="AF13" s="22" t="str">
        <f t="shared" si="21"/>
        <v/>
      </c>
      <c r="AG13" s="29">
        <f t="shared" si="1"/>
        <v>0</v>
      </c>
      <c r="AH13" s="29">
        <f t="shared" si="2"/>
        <v>0</v>
      </c>
      <c r="AI13" s="29">
        <f t="shared" si="3"/>
        <v>0</v>
      </c>
      <c r="AJ13" s="29">
        <f t="shared" si="4"/>
        <v>0</v>
      </c>
      <c r="AK13" s="29">
        <f t="shared" si="5"/>
        <v>0</v>
      </c>
      <c r="AL13" s="29">
        <f t="shared" si="6"/>
        <v>0</v>
      </c>
      <c r="AM13" s="29">
        <f t="shared" si="7"/>
        <v>0</v>
      </c>
      <c r="AN13" s="29">
        <f t="shared" si="8"/>
        <v>0</v>
      </c>
      <c r="AO13" s="29">
        <f t="shared" si="9"/>
        <v>0</v>
      </c>
      <c r="AP13" s="29">
        <f t="shared" si="10"/>
        <v>0</v>
      </c>
      <c r="AQ13" s="29">
        <f t="shared" si="11"/>
        <v>0</v>
      </c>
      <c r="AR13" s="29">
        <f t="shared" si="12"/>
        <v>0</v>
      </c>
      <c r="AS13" s="29">
        <f t="shared" si="13"/>
        <v>0</v>
      </c>
      <c r="AT13" s="29">
        <f t="shared" si="14"/>
        <v>0</v>
      </c>
      <c r="AU13" s="29">
        <f t="shared" si="15"/>
        <v>0</v>
      </c>
      <c r="AV13" s="29">
        <f t="shared" si="16"/>
        <v>0</v>
      </c>
      <c r="AW13" s="29">
        <f t="shared" si="17"/>
        <v>0</v>
      </c>
      <c r="AX13" s="29">
        <f t="shared" si="18"/>
        <v>0</v>
      </c>
      <c r="AY13" s="30">
        <f t="shared" si="19"/>
        <v>0</v>
      </c>
    </row>
    <row r="14" spans="1:51" x14ac:dyDescent="0.25">
      <c r="A14" s="26" t="str">
        <f>IF(Utilización!E22&gt;0,(Utilización!A22),(""))</f>
        <v/>
      </c>
      <c r="B14" s="8"/>
      <c r="C14" s="7">
        <f>Utilización!E22</f>
        <v>0</v>
      </c>
      <c r="D14" s="7" t="str">
        <f>IF(Utilización!G22="",(""),(Utilización!G22))</f>
        <v/>
      </c>
      <c r="E14" s="7" t="str">
        <f>IF(Utilización!H22="",(""),(Utilización!H22))</f>
        <v/>
      </c>
      <c r="F14" s="7" t="str">
        <f>IF(Utilización!I22="",(""),(Utilización!I22))</f>
        <v/>
      </c>
      <c r="G14" s="7" t="str">
        <f>IF(Utilización!J22="",(""),(Utilización!J22))</f>
        <v/>
      </c>
      <c r="I14" s="126"/>
      <c r="J14" s="22" t="str">
        <f t="shared" si="20"/>
        <v/>
      </c>
      <c r="K14" s="2" t="str">
        <f t="shared" si="22"/>
        <v/>
      </c>
      <c r="L14" s="2" t="str">
        <f>IF($L$3="",(""),(IF($L$3=$D$14,("SI"),(IF($L$3=$E$14,("SI"),(IF($L$3=$F$14,("SI"),IF($L$3=$G$14,("SI"),("")))))))))</f>
        <v/>
      </c>
      <c r="M14" s="2" t="str">
        <f>IF($M$3="",(""),(IF($M$3=$D$14,("SI"),(IF($M$3=$E$14,("SI"),(IF($M$3=$F$14,("SI"),IF($M$3=$G$14,("SI"),("")))))))))</f>
        <v/>
      </c>
      <c r="N14" s="2" t="str">
        <f>IF($N$3="",(""),(IF($N$3=$D$14,("SI"),(IF($N$3=$E$14,("SI"),(IF($N$3=$F$14,("SI"),IF($N$3=$G$14,("SI"),("")))))))))</f>
        <v/>
      </c>
      <c r="O14" s="2" t="str">
        <f>IF($O$3="",(""),(IF($O$3=$D$14,("SI"),(IF($O$3=$E$14,("SI"),(IF($O$3=$F$14,("SI"),IF($O$3=$G$14,("SI"),("")))))))))</f>
        <v/>
      </c>
      <c r="P14" s="2" t="str">
        <f>IF($P$3="",(""),(IF($P$3=$D$14,("SI"),(IF($P$3=$E$14,("SI"),(IF($P$3=$F$14,("SI"),IF($P$3=$G$14,("SI"),("")))))))))</f>
        <v/>
      </c>
      <c r="Q14" s="2" t="str">
        <f>IF($Q$3="",(""),(IF($Q$3=$D$14,("SI"),(IF($Q$3=$E$14,("SI"),(IF($Q$3=$F$14,("SI"),IF($Q$3=$G$14,("SI"),("")))))))))</f>
        <v/>
      </c>
      <c r="R14" s="2" t="str">
        <f>IF($R$3="",(""),(IF($R$3=$D$14,("SI"),(IF($R$3=$E$14,("SI"),(IF($R$3=$F$14,("SI"),IF($R$3=$G$14,("SI"),("")))))))))</f>
        <v/>
      </c>
      <c r="S14" s="2" t="str">
        <f>IF($S$3="",(""),(IF($S$3=$D$14,("SI"),(IF($S$3=$E$14,("SI"),(IF($S$3=$F$14,("SI"),IF($S$3=$G$14,("SI"),("")))))))))</f>
        <v/>
      </c>
      <c r="T14" s="2" t="str">
        <f>IF($T$3="",(""),(IF($T$3=$D$14,("SI"),(IF($T$3=$E$14,("SI"),(IF($T$3=$F$14,("SI"),IF($T$3=$G$14,("SI"),("")))))))))</f>
        <v/>
      </c>
      <c r="U14" s="2" t="str">
        <f>IF($U$3="",(""),(IF($U$3=$D$14,("SI"),(IF($U$3=$E$14,("SI"),(IF($U$3=$F$14,("SI"),IF($U$3=$G$14,("SI"),("")))))))))</f>
        <v/>
      </c>
      <c r="V14" s="2" t="str">
        <f>IF($V$3="",(""),(IF($V$3=$D$14,("SI"),(IF($V$3=$E$14,("SI"),(IF($V$3=$F$14,("SI"),IF($V$3=$G$14,("SI"),("")))))))))</f>
        <v/>
      </c>
      <c r="W14" s="2" t="str">
        <f>IF($W$3="",(""),(IF($W$3=$D$14,("SI"),(IF($W$3=$E$14,("SI"),(IF($W$3=$F$14,("SI"),IF($W$3=$G$14,("SI"),("")))))))))</f>
        <v/>
      </c>
      <c r="X14" s="2" t="str">
        <f>IF($X$3="",(""),(IF($X$3=$D$14,("SI"),(IF($X$3=$E$14,("SI"),(IF($X$3=$F$14,("SI"),IF($X$3=$G$14,("SI"),("")))))))))</f>
        <v/>
      </c>
      <c r="Y14" s="2" t="str">
        <f>IF($Y$3="",(""),(IF($Y$3=$D$14,("SI"),(IF($Y$3=$E$14,("SI"),(IF($Y$3=$F$14,("SI"),IF($Y$3=$G$14,("SI"),("")))))))))</f>
        <v/>
      </c>
      <c r="Z14" s="2" t="str">
        <f>IF($Z$3="",(""),(IF($Z$3=$D$14,("SI"),(IF($Z$3=$E$14,("SI"),(IF($Z$3=$F$14,("SI"),IF($Z$3=$G$14,("SI"),("")))))))))</f>
        <v/>
      </c>
      <c r="AA14" s="2" t="str">
        <f>IF($AA$3="",(""),(IF($AA$3=$D$14,("SI"),(IF($AA$3=$E$14,("SI"),(IF($AA$3=$F$14,("SI"),IF($AA$3=$G$14,("SI"),("")))))))))</f>
        <v/>
      </c>
      <c r="AB14" s="2" t="str">
        <f>IF($AB$3="",(""),(IF($AB$3=$D$14,("SI"),(IF($AB$3=$E$14,("SI"),(IF($AB$3=$F$14,("SI"),IF($AB$3=$G$14,("SI"),("")))))))))</f>
        <v/>
      </c>
      <c r="AC14" s="16" t="str">
        <f>IF($AC$3="",(""),(IF($AC$3=$D$14,("SI"),(IF($AC$3=$E$14,("SI"),(IF($AC$3=$F$14,("SI"),IF($AC$3=$G$14,("SI"),("")))))))))</f>
        <v/>
      </c>
      <c r="AE14" s="129"/>
      <c r="AF14" s="22" t="str">
        <f t="shared" si="21"/>
        <v/>
      </c>
      <c r="AG14" s="29">
        <f t="shared" si="1"/>
        <v>0</v>
      </c>
      <c r="AH14" s="29">
        <f t="shared" si="2"/>
        <v>0</v>
      </c>
      <c r="AI14" s="29">
        <f t="shared" si="3"/>
        <v>0</v>
      </c>
      <c r="AJ14" s="29">
        <f t="shared" si="4"/>
        <v>0</v>
      </c>
      <c r="AK14" s="29">
        <f t="shared" si="5"/>
        <v>0</v>
      </c>
      <c r="AL14" s="29">
        <f t="shared" si="6"/>
        <v>0</v>
      </c>
      <c r="AM14" s="29">
        <f t="shared" si="7"/>
        <v>0</v>
      </c>
      <c r="AN14" s="29">
        <f t="shared" si="8"/>
        <v>0</v>
      </c>
      <c r="AO14" s="29">
        <f t="shared" si="9"/>
        <v>0</v>
      </c>
      <c r="AP14" s="29">
        <f t="shared" si="10"/>
        <v>0</v>
      </c>
      <c r="AQ14" s="29">
        <f t="shared" si="11"/>
        <v>0</v>
      </c>
      <c r="AR14" s="29">
        <f t="shared" si="12"/>
        <v>0</v>
      </c>
      <c r="AS14" s="29">
        <f t="shared" si="13"/>
        <v>0</v>
      </c>
      <c r="AT14" s="29">
        <f t="shared" si="14"/>
        <v>0</v>
      </c>
      <c r="AU14" s="29">
        <f t="shared" si="15"/>
        <v>0</v>
      </c>
      <c r="AV14" s="29">
        <f t="shared" si="16"/>
        <v>0</v>
      </c>
      <c r="AW14" s="29">
        <f t="shared" si="17"/>
        <v>0</v>
      </c>
      <c r="AX14" s="29">
        <f t="shared" si="18"/>
        <v>0</v>
      </c>
      <c r="AY14" s="30">
        <f t="shared" si="19"/>
        <v>0</v>
      </c>
    </row>
    <row r="15" spans="1:51" x14ac:dyDescent="0.25">
      <c r="A15" s="26" t="str">
        <f>IF(Utilización!E23&gt;0,(Utilización!A23),(""))</f>
        <v/>
      </c>
      <c r="B15" s="8"/>
      <c r="C15" s="7">
        <f>Utilización!E23</f>
        <v>0</v>
      </c>
      <c r="D15" s="7" t="str">
        <f>IF(Utilización!G23="",(""),(Utilización!G23))</f>
        <v/>
      </c>
      <c r="E15" s="7" t="str">
        <f>IF(Utilización!H23="",(""),(Utilización!H23))</f>
        <v/>
      </c>
      <c r="F15" s="7" t="str">
        <f>IF(Utilización!I23="",(""),(Utilización!I23))</f>
        <v/>
      </c>
      <c r="G15" s="7" t="str">
        <f>IF(Utilización!J23="",(""),(Utilización!J23))</f>
        <v/>
      </c>
      <c r="I15" s="126"/>
      <c r="J15" s="22" t="str">
        <f t="shared" si="20"/>
        <v/>
      </c>
      <c r="K15" s="2" t="str">
        <f t="shared" si="22"/>
        <v/>
      </c>
      <c r="L15" s="2" t="str">
        <f>IF($L$3="",(""),(IF($L$3=$D$15,("SI"),(IF($L$3=$E$15,("SI"),(IF($L$3=$F$15,("SI"),IF($L$3=$G$15,("SI"),("")))))))))</f>
        <v/>
      </c>
      <c r="M15" s="2" t="str">
        <f>IF($M$3="",(""),(IF($M$3=$D$15,("SI"),(IF($M$3=$E$15,("SI"),(IF($M$3=$F$15,("SI"),IF($M$3=$G$15,("SI"),("")))))))))</f>
        <v/>
      </c>
      <c r="N15" s="2" t="str">
        <f>IF($N$3="",(""),(IF($N$3=$D$15,("SI"),(IF($N$3=$E$15,("SI"),(IF($N$3=$F$15,("SI"),IF($N$3=$G$15,("SI"),("")))))))))</f>
        <v/>
      </c>
      <c r="O15" s="2" t="str">
        <f>IF($O$3="",(""),(IF($O$3=$D$15,("SI"),(IF($O$3=$E$15,("SI"),(IF($O$3=$F$15,("SI"),IF($O$3=$G$15,("SI"),("")))))))))</f>
        <v/>
      </c>
      <c r="P15" s="2" t="str">
        <f>IF($P$3="",(""),(IF($P$3=$D$15,("SI"),(IF($P$3=$E$15,("SI"),(IF($P$3=$F$15,("SI"),IF($P$3=$G$15,("SI"),("")))))))))</f>
        <v/>
      </c>
      <c r="Q15" s="2" t="str">
        <f>IF($Q$3="",(""),(IF($Q$3=$D$15,("SI"),(IF($Q$3=$E$15,("SI"),(IF($Q$3=$F$15,("SI"),IF($Q$3=$G$15,("SI"),("")))))))))</f>
        <v/>
      </c>
      <c r="R15" s="2" t="str">
        <f>IF($R$3="",(""),(IF($R$3=$D$15,("SI"),(IF($R$3=$E$15,("SI"),(IF($R$3=$F$15,("SI"),IF($R$3=$G$15,("SI"),("")))))))))</f>
        <v/>
      </c>
      <c r="S15" s="2" t="str">
        <f>IF($S$3="",(""),(IF($S$3=$D$15,("SI"),(IF($S$3=$E$15,("SI"),(IF($S$3=$F$15,("SI"),IF($S$3=$G$15,("SI"),("")))))))))</f>
        <v/>
      </c>
      <c r="T15" s="2" t="str">
        <f>IF($T$3="",(""),(IF($T$3=$D$15,("SI"),(IF($T$3=$E$15,("SI"),(IF($T$3=$F$15,("SI"),IF($T$3=$G$15,("SI"),("")))))))))</f>
        <v/>
      </c>
      <c r="U15" s="2" t="str">
        <f>IF($U$3="",(""),(IF($U$3=$D$15,("SI"),(IF($U$3=$E$15,("SI"),(IF($U$3=$F$15,("SI"),IF($U$3=$G$15,("SI"),("")))))))))</f>
        <v/>
      </c>
      <c r="V15" s="2" t="str">
        <f>IF($V$3="",(""),(IF($V$3=$D$15,("SI"),(IF($V$3=$E$15,("SI"),(IF($V$3=$F$15,("SI"),IF($V$3=$G$15,("SI"),("")))))))))</f>
        <v/>
      </c>
      <c r="W15" s="2" t="str">
        <f>IF($W$3="",(""),(IF($W$3=$D$15,("SI"),(IF($W$3=$E$15,("SI"),(IF($W$3=$F$15,("SI"),IF($W$3=$G$15,("SI"),("")))))))))</f>
        <v/>
      </c>
      <c r="X15" s="2" t="str">
        <f>IF($X$3="",(""),(IF($X$3=$D$15,("SI"),(IF($X$3=$E$15,("SI"),(IF($X$3=$F$15,("SI"),IF($X$3=$G$15,("SI"),("")))))))))</f>
        <v/>
      </c>
      <c r="Y15" s="2" t="str">
        <f>IF($Y$3="",(""),(IF($Y$3=$D$15,("SI"),(IF($Y$3=$E$15,("SI"),(IF($Y$3=$F$15,("SI"),IF($Y$3=$G$15,("SI"),("")))))))))</f>
        <v/>
      </c>
      <c r="Z15" s="2" t="str">
        <f>IF($Z$3="",(""),(IF($Z$3=$D$15,("SI"),(IF($Z$3=$E$15,("SI"),(IF($Z$3=$F$15,("SI"),IF($Z$3=$G$15,("SI"),("")))))))))</f>
        <v/>
      </c>
      <c r="AA15" s="2" t="str">
        <f>IF($AA$3="",(""),(IF($AA$3=$D$15,("SI"),(IF($AA$3=$E$15,("SI"),(IF($AA$3=$F$15,("SI"),IF($AA$3=$G$15,("SI"),("")))))))))</f>
        <v/>
      </c>
      <c r="AB15" s="2" t="str">
        <f>IF($AB$3="",(""),(IF($AB$3=$D$15,("SI"),(IF($AB$3=$E$15,("SI"),(IF($AB$3=$F$15,("SI"),IF($AB$3=$G$15,("SI"),("")))))))))</f>
        <v/>
      </c>
      <c r="AC15" s="16" t="str">
        <f>IF($AC$3="",(""),(IF($AC$3=$D$15,("SI"),(IF($AC$3=$E$15,("SI"),(IF($AC$3=$F$15,("SI"),IF($AC$3=$G$15,("SI"),("")))))))))</f>
        <v/>
      </c>
      <c r="AE15" s="129"/>
      <c r="AF15" s="22" t="str">
        <f t="shared" si="21"/>
        <v/>
      </c>
      <c r="AG15" s="29">
        <f t="shared" si="1"/>
        <v>0</v>
      </c>
      <c r="AH15" s="29">
        <f t="shared" si="2"/>
        <v>0</v>
      </c>
      <c r="AI15" s="29">
        <f t="shared" si="3"/>
        <v>0</v>
      </c>
      <c r="AJ15" s="29">
        <f t="shared" si="4"/>
        <v>0</v>
      </c>
      <c r="AK15" s="29">
        <f t="shared" si="5"/>
        <v>0</v>
      </c>
      <c r="AL15" s="29">
        <f t="shared" si="6"/>
        <v>0</v>
      </c>
      <c r="AM15" s="29">
        <f t="shared" si="7"/>
        <v>0</v>
      </c>
      <c r="AN15" s="29">
        <f t="shared" si="8"/>
        <v>0</v>
      </c>
      <c r="AO15" s="29">
        <f t="shared" si="9"/>
        <v>0</v>
      </c>
      <c r="AP15" s="29">
        <f t="shared" si="10"/>
        <v>0</v>
      </c>
      <c r="AQ15" s="29">
        <f t="shared" si="11"/>
        <v>0</v>
      </c>
      <c r="AR15" s="29">
        <f t="shared" si="12"/>
        <v>0</v>
      </c>
      <c r="AS15" s="29">
        <f t="shared" si="13"/>
        <v>0</v>
      </c>
      <c r="AT15" s="29">
        <f t="shared" si="14"/>
        <v>0</v>
      </c>
      <c r="AU15" s="29">
        <f t="shared" si="15"/>
        <v>0</v>
      </c>
      <c r="AV15" s="29">
        <f t="shared" si="16"/>
        <v>0</v>
      </c>
      <c r="AW15" s="29">
        <f t="shared" si="17"/>
        <v>0</v>
      </c>
      <c r="AX15" s="29">
        <f t="shared" si="18"/>
        <v>0</v>
      </c>
      <c r="AY15" s="30">
        <f t="shared" si="19"/>
        <v>0</v>
      </c>
    </row>
    <row r="16" spans="1:51" x14ac:dyDescent="0.25">
      <c r="A16" s="26" t="str">
        <f>IF(Utilización!E24&gt;0,(Utilización!A24),(""))</f>
        <v/>
      </c>
      <c r="B16" s="8"/>
      <c r="C16" s="7">
        <f>Utilización!E24</f>
        <v>0</v>
      </c>
      <c r="D16" s="7" t="str">
        <f>IF(Utilización!G24="",(""),(Utilización!G24))</f>
        <v/>
      </c>
      <c r="E16" s="7" t="str">
        <f>IF(Utilización!H24="",(""),(Utilización!H24))</f>
        <v/>
      </c>
      <c r="F16" s="7" t="str">
        <f>IF(Utilización!I24="",(""),(Utilización!I24))</f>
        <v/>
      </c>
      <c r="G16" s="7" t="str">
        <f>IF(Utilización!J24="",(""),(Utilización!J24))</f>
        <v/>
      </c>
      <c r="I16" s="126"/>
      <c r="J16" s="22" t="str">
        <f t="shared" si="20"/>
        <v/>
      </c>
      <c r="K16" s="2" t="str">
        <f t="shared" si="22"/>
        <v/>
      </c>
      <c r="L16" s="2" t="str">
        <f>IF($L$3="",(""),(IF($L$3=$D$16,("SI"),(IF($L$3=$E$16,("SI"),(IF($L$3=$F$16,("SI"),IF($L$3=$G$16,("SI"),("")))))))))</f>
        <v/>
      </c>
      <c r="M16" s="2" t="str">
        <f>IF($M$3="",(""),(IF($M$3=$D$16,("SI"),(IF($M$3=$E$16,("SI"),(IF($M$3=$F$16,("SI"),IF($M$3=$G$16,("SI"),("")))))))))</f>
        <v/>
      </c>
      <c r="N16" s="2" t="str">
        <f>IF($N$3="",(""),(IF($N$3=$D$16,("SI"),(IF($N$3=$E$16,("SI"),(IF($N$3=$F$16,("SI"),IF($N$3=$G$16,("SI"),("")))))))))</f>
        <v/>
      </c>
      <c r="O16" s="2" t="str">
        <f>IF($O$3="",(""),(IF($O$3=$D$16,("SI"),(IF($O$3=$E$16,("SI"),(IF($O$3=$F$16,("SI"),IF($O$3=$G$16,("SI"),("")))))))))</f>
        <v/>
      </c>
      <c r="P16" s="2" t="str">
        <f>IF($P$3="",(""),(IF($P$3=$D$16,("SI"),(IF($P$3=$E$16,("SI"),(IF($P$3=$F$16,("SI"),IF($P$3=$G$16,("SI"),("")))))))))</f>
        <v/>
      </c>
      <c r="Q16" s="2" t="str">
        <f>IF($Q$3="",(""),(IF($Q$3=$D$16,("SI"),(IF($Q$3=$E$16,("SI"),(IF($Q$3=$F$16,("SI"),IF($Q$3=$G$16,("SI"),("")))))))))</f>
        <v/>
      </c>
      <c r="R16" s="2" t="str">
        <f>IF($R$3="",(""),(IF($R$3=$D$16,("SI"),(IF($R$3=$E$16,("SI"),(IF($R$3=$F$16,("SI"),IF($R$3=$G$16,("SI"),("")))))))))</f>
        <v/>
      </c>
      <c r="S16" s="2" t="str">
        <f>IF($S$3="",(""),(IF($S$3=$D$16,("SI"),(IF($S$3=$E$16,("SI"),(IF($S$3=$F$16,("SI"),IF($S$3=$G$16,("SI"),("")))))))))</f>
        <v/>
      </c>
      <c r="T16" s="2" t="str">
        <f>IF($T$3="",(""),(IF($T$3=$D$16,("SI"),(IF($T$3=$E$16,("SI"),(IF($T$3=$F$16,("SI"),IF($T$3=$G$16,("SI"),("")))))))))</f>
        <v/>
      </c>
      <c r="U16" s="2" t="str">
        <f>IF($U$3="",(""),(IF($U$3=$D$16,("SI"),(IF($U$3=$E$16,("SI"),(IF($U$3=$F$16,("SI"),IF($U$3=$G$16,("SI"),("")))))))))</f>
        <v/>
      </c>
      <c r="V16" s="2" t="str">
        <f>IF($V$3="",(""),(IF($V$3=$D$16,("SI"),(IF($V$3=$E$16,("SI"),(IF($V$3=$F$16,("SI"),IF($V$3=$G$16,("SI"),("")))))))))</f>
        <v/>
      </c>
      <c r="W16" s="2" t="str">
        <f>IF($W$3="",(""),(IF($W$3=$D$16,("SI"),(IF($W$3=$E$16,("SI"),(IF($W$3=$F$16,("SI"),IF($W$3=$G$16,("SI"),("")))))))))</f>
        <v/>
      </c>
      <c r="X16" s="2" t="str">
        <f>IF($X$3="",(""),(IF($X$3=$D$16,("SI"),(IF($X$3=$E$16,("SI"),(IF($X$3=$F$16,("SI"),IF($X$3=$G$16,("SI"),("")))))))))</f>
        <v/>
      </c>
      <c r="Y16" s="2" t="str">
        <f>IF($Y$3="",(""),(IF($Y$3=$D$16,("SI"),(IF($Y$3=$E$16,("SI"),(IF($Y$3=$F$16,("SI"),IF($Y$3=$G$16,("SI"),("")))))))))</f>
        <v/>
      </c>
      <c r="Z16" s="2" t="str">
        <f>IF($Z$3="",(""),(IF($Z$3=$D$16,("SI"),(IF($Z$3=$E$16,("SI"),(IF($Z$3=$F$16,("SI"),IF($Z$3=$G$16,("SI"),("")))))))))</f>
        <v/>
      </c>
      <c r="AA16" s="2" t="str">
        <f>IF($AA$3="",(""),(IF($AA$3=$D$16,("SI"),(IF($AA$3=$E$16,("SI"),(IF($AA$3=$F$16,("SI"),IF($AA$3=$G$16,("SI"),("")))))))))</f>
        <v/>
      </c>
      <c r="AB16" s="2" t="str">
        <f>IF($AB$3="",(""),(IF($AB$3=$D$16,("SI"),(IF($AB$3=$E$16,("SI"),(IF($AB$3=$F$16,("SI"),IF($AB$3=$G$16,("SI"),("")))))))))</f>
        <v/>
      </c>
      <c r="AC16" s="16" t="str">
        <f>IF($AC$3="",(""),(IF($AC$3=$D$16,("SI"),(IF($AC$3=$E$16,("SI"),(IF($AC$3=$F$16,("SI"),IF($AC$3=$G$16,("SI"),("")))))))))</f>
        <v/>
      </c>
      <c r="AE16" s="129"/>
      <c r="AF16" s="22" t="str">
        <f t="shared" si="21"/>
        <v/>
      </c>
      <c r="AG16" s="29">
        <f t="shared" si="1"/>
        <v>0</v>
      </c>
      <c r="AH16" s="29">
        <f t="shared" si="2"/>
        <v>0</v>
      </c>
      <c r="AI16" s="29">
        <f t="shared" si="3"/>
        <v>0</v>
      </c>
      <c r="AJ16" s="29">
        <f t="shared" si="4"/>
        <v>0</v>
      </c>
      <c r="AK16" s="29">
        <f t="shared" si="5"/>
        <v>0</v>
      </c>
      <c r="AL16" s="29">
        <f t="shared" si="6"/>
        <v>0</v>
      </c>
      <c r="AM16" s="29">
        <f t="shared" si="7"/>
        <v>0</v>
      </c>
      <c r="AN16" s="29">
        <f t="shared" si="8"/>
        <v>0</v>
      </c>
      <c r="AO16" s="29">
        <f t="shared" si="9"/>
        <v>0</v>
      </c>
      <c r="AP16" s="29">
        <f t="shared" si="10"/>
        <v>0</v>
      </c>
      <c r="AQ16" s="29">
        <f t="shared" si="11"/>
        <v>0</v>
      </c>
      <c r="AR16" s="29">
        <f t="shared" si="12"/>
        <v>0</v>
      </c>
      <c r="AS16" s="29">
        <f t="shared" si="13"/>
        <v>0</v>
      </c>
      <c r="AT16" s="29">
        <f t="shared" si="14"/>
        <v>0</v>
      </c>
      <c r="AU16" s="29">
        <f t="shared" si="15"/>
        <v>0</v>
      </c>
      <c r="AV16" s="29">
        <f t="shared" si="16"/>
        <v>0</v>
      </c>
      <c r="AW16" s="29">
        <f t="shared" si="17"/>
        <v>0</v>
      </c>
      <c r="AX16" s="29">
        <f t="shared" si="18"/>
        <v>0</v>
      </c>
      <c r="AY16" s="30">
        <f t="shared" si="19"/>
        <v>0</v>
      </c>
    </row>
    <row r="17" spans="1:51" x14ac:dyDescent="0.25">
      <c r="A17" s="26" t="str">
        <f>IF(Utilización!E25&gt;0,(Utilización!A25),(""))</f>
        <v/>
      </c>
      <c r="B17" s="8"/>
      <c r="C17" s="7">
        <f>Utilización!E25</f>
        <v>0</v>
      </c>
      <c r="D17" s="7" t="str">
        <f>IF(Utilización!G25="",(""),(Utilización!G25))</f>
        <v/>
      </c>
      <c r="E17" s="7" t="str">
        <f>IF(Utilización!H25="",(""),(Utilización!H25))</f>
        <v/>
      </c>
      <c r="F17" s="7" t="str">
        <f>IF(Utilización!I25="",(""),(Utilización!I25))</f>
        <v/>
      </c>
      <c r="G17" s="7" t="str">
        <f>IF(Utilización!J25="",(""),(Utilización!J25))</f>
        <v/>
      </c>
      <c r="I17" s="126"/>
      <c r="J17" s="22" t="str">
        <f t="shared" si="20"/>
        <v/>
      </c>
      <c r="K17" s="2" t="str">
        <f t="shared" si="22"/>
        <v/>
      </c>
      <c r="L17" s="2" t="str">
        <f>IF($L$3="",(""),(IF($L$3=$D$17,("SI"),(IF($L$3=$E$17,("SI"),(IF($L$3=$F$17,("SI"),IF($L$3=$G$17,("SI"),("")))))))))</f>
        <v/>
      </c>
      <c r="M17" s="2" t="str">
        <f>IF($M$3="",(""),(IF($M$3=$D$17,("SI"),(IF($M$3=$E$17,("SI"),(IF($M$3=$F$17,("SI"),IF($M$3=$G$17,("SI"),("")))))))))</f>
        <v/>
      </c>
      <c r="N17" s="2" t="str">
        <f>IF($N$3="",(""),(IF($N$3=$D$17,("SI"),(IF($N$3=$E$17,("SI"),(IF($N$3=$F$17,("SI"),IF($N$3=$G$17,("SI"),("")))))))))</f>
        <v/>
      </c>
      <c r="O17" s="2" t="str">
        <f>IF($O$3="",(""),(IF($O$3=$D$17,("SI"),(IF($O$3=$E$17,("SI"),(IF($O$3=$F$17,("SI"),IF($O$3=$G$17,("SI"),("")))))))))</f>
        <v/>
      </c>
      <c r="P17" s="2" t="str">
        <f>IF($P$3="",(""),(IF($P$3=$D$17,("SI"),(IF($P$3=$E$17,("SI"),(IF($P$3=$F$17,("SI"),IF($P$3=$G$17,("SI"),("")))))))))</f>
        <v/>
      </c>
      <c r="Q17" s="2" t="str">
        <f>IF($Q$3="",(""),(IF($Q$3=$D$17,("SI"),(IF($Q$3=$E$17,("SI"),(IF($Q$3=$F$17,("SI"),IF($Q$3=$G$17,("SI"),("")))))))))</f>
        <v/>
      </c>
      <c r="R17" s="2" t="str">
        <f>IF($R$3="",(""),(IF($R$3=$D$17,("SI"),(IF($R$3=$E$17,("SI"),(IF($R$3=$F$17,("SI"),IF($R$3=$G$17,("SI"),("")))))))))</f>
        <v/>
      </c>
      <c r="S17" s="2" t="str">
        <f>IF($S$3="",(""),(IF($S$3=$D$17,("SI"),(IF($S$3=$E$17,("SI"),(IF($S$3=$F$17,("SI"),IF($S$3=$G$17,("SI"),("")))))))))</f>
        <v/>
      </c>
      <c r="T17" s="2" t="str">
        <f>IF($T$3="",(""),(IF($T$3=$D$17,("SI"),(IF($T$3=$E$17,("SI"),(IF($T$3=$F$17,("SI"),IF($T$3=$G$17,("SI"),("")))))))))</f>
        <v/>
      </c>
      <c r="U17" s="2" t="str">
        <f>IF($U$3="",(""),(IF($U$3=$D$17,("SI"),(IF($U$3=$E$17,("SI"),(IF($U$3=$F$17,("SI"),IF($U$3=$G$17,("SI"),("")))))))))</f>
        <v/>
      </c>
      <c r="V17" s="2" t="str">
        <f>IF($V$3="",(""),(IF($V$3=$D$17,("SI"),(IF($V$3=$E$17,("SI"),(IF($V$3=$F$17,("SI"),IF($V$3=$G$17,("SI"),("")))))))))</f>
        <v/>
      </c>
      <c r="W17" s="2" t="str">
        <f>IF($W$3="",(""),(IF($W$3=$D$17,("SI"),(IF($W$3=$E$17,("SI"),(IF($W$3=$F$17,("SI"),IF($W$3=$G$17,("SI"),("")))))))))</f>
        <v/>
      </c>
      <c r="X17" s="2" t="str">
        <f>IF($X$3="",(""),(IF($X$3=$D$17,("SI"),(IF($X$3=$E$17,("SI"),(IF($X$3=$F$17,("SI"),IF($X$3=$G$17,("SI"),("")))))))))</f>
        <v/>
      </c>
      <c r="Y17" s="2" t="str">
        <f>IF($Y$3="",(""),(IF($Y$3=$D$17,("SI"),(IF($Y$3=$E$17,("SI"),(IF($Y$3=$F$17,("SI"),IF($Y$3=$G$17,("SI"),("")))))))))</f>
        <v/>
      </c>
      <c r="Z17" s="2" t="str">
        <f>IF($Z$3="",(""),(IF($Z$3=$D$17,("SI"),(IF($Z$3=$E$17,("SI"),(IF($Z$3=$F$17,("SI"),IF($Z$3=$G$17,("SI"),("")))))))))</f>
        <v/>
      </c>
      <c r="AA17" s="2" t="str">
        <f>IF($AA$3="",(""),(IF($AA$3=$D$17,("SI"),(IF($AA$3=$E$17,("SI"),(IF($AA$3=$F$17,("SI"),IF($AA$3=$G$17,("SI"),("")))))))))</f>
        <v/>
      </c>
      <c r="AB17" s="2" t="str">
        <f>IF($AB$3="",(""),(IF($AB$3=$D$17,("SI"),(IF($AB$3=$E$17,("SI"),(IF($AB$3=$F$17,("SI"),IF($AB$3=$G$17,("SI"),("")))))))))</f>
        <v/>
      </c>
      <c r="AC17" s="16" t="str">
        <f>IF($AC$3="",(""),(IF($AC$3=$D$17,("SI"),(IF($AC$3=$E$17,("SI"),(IF($AC$3=$F$17,("SI"),IF($AC$3=$G$17,("SI"),("")))))))))</f>
        <v/>
      </c>
      <c r="AE17" s="129"/>
      <c r="AF17" s="22" t="str">
        <f t="shared" si="21"/>
        <v/>
      </c>
      <c r="AG17" s="29">
        <f t="shared" si="1"/>
        <v>0</v>
      </c>
      <c r="AH17" s="29">
        <f t="shared" si="2"/>
        <v>0</v>
      </c>
      <c r="AI17" s="29">
        <f t="shared" si="3"/>
        <v>0</v>
      </c>
      <c r="AJ17" s="29">
        <f t="shared" si="4"/>
        <v>0</v>
      </c>
      <c r="AK17" s="29">
        <f t="shared" si="5"/>
        <v>0</v>
      </c>
      <c r="AL17" s="29">
        <f t="shared" si="6"/>
        <v>0</v>
      </c>
      <c r="AM17" s="29">
        <f t="shared" si="7"/>
        <v>0</v>
      </c>
      <c r="AN17" s="29">
        <f t="shared" si="8"/>
        <v>0</v>
      </c>
      <c r="AO17" s="29">
        <f t="shared" si="9"/>
        <v>0</v>
      </c>
      <c r="AP17" s="29">
        <f t="shared" si="10"/>
        <v>0</v>
      </c>
      <c r="AQ17" s="29">
        <f t="shared" si="11"/>
        <v>0</v>
      </c>
      <c r="AR17" s="29">
        <f t="shared" si="12"/>
        <v>0</v>
      </c>
      <c r="AS17" s="29">
        <f t="shared" si="13"/>
        <v>0</v>
      </c>
      <c r="AT17" s="29">
        <f t="shared" si="14"/>
        <v>0</v>
      </c>
      <c r="AU17" s="29">
        <f t="shared" si="15"/>
        <v>0</v>
      </c>
      <c r="AV17" s="29">
        <f t="shared" si="16"/>
        <v>0</v>
      </c>
      <c r="AW17" s="29">
        <f t="shared" si="17"/>
        <v>0</v>
      </c>
      <c r="AX17" s="29">
        <f t="shared" si="18"/>
        <v>0</v>
      </c>
      <c r="AY17" s="30">
        <f t="shared" si="19"/>
        <v>0</v>
      </c>
    </row>
    <row r="18" spans="1:51" x14ac:dyDescent="0.25">
      <c r="A18" s="26" t="str">
        <f>IF(Utilización!E26&gt;0,(Utilización!A26),(""))</f>
        <v/>
      </c>
      <c r="B18" s="8"/>
      <c r="C18" s="7">
        <f>Utilización!E26</f>
        <v>0</v>
      </c>
      <c r="D18" s="7" t="str">
        <f>IF(Utilización!G26="",(""),(Utilización!G26))</f>
        <v/>
      </c>
      <c r="E18" s="7" t="str">
        <f>IF(Utilización!H26="",(""),(Utilización!H26))</f>
        <v/>
      </c>
      <c r="F18" s="7" t="str">
        <f>IF(Utilización!I26="",(""),(Utilización!I26))</f>
        <v/>
      </c>
      <c r="G18" s="7" t="str">
        <f>IF(Utilización!J26="",(""),(Utilización!J26))</f>
        <v/>
      </c>
      <c r="I18" s="126"/>
      <c r="J18" s="22" t="str">
        <f t="shared" si="20"/>
        <v/>
      </c>
      <c r="K18" s="2" t="str">
        <f t="shared" si="22"/>
        <v/>
      </c>
      <c r="L18" s="2" t="str">
        <f>IF($L$3="",(""),(IF($L$3=$D$18,("SI"),(IF($L$3=$E$18,("SI"),(IF($L$3=$F$18,("SI"),IF($L$3=$G$18,("SI"),("")))))))))</f>
        <v/>
      </c>
      <c r="M18" s="2" t="str">
        <f>IF($M$3="",(""),(IF($M$3=$D$18,("SI"),(IF($M$3=$E$18,("SI"),(IF($M$3=$F$18,("SI"),IF($M$3=$G$18,("SI"),("")))))))))</f>
        <v/>
      </c>
      <c r="N18" s="2" t="str">
        <f>IF($N$3="",(""),(IF($N$3=$D$18,("SI"),(IF($N$3=$E$18,("SI"),(IF($N$3=$F$18,("SI"),IF($N$3=$G$18,("SI"),("")))))))))</f>
        <v/>
      </c>
      <c r="O18" s="2" t="str">
        <f>IF($O$3="",(""),(IF($O$3=$D$18,("SI"),(IF($O$3=$E$18,("SI"),(IF($O$3=$F$18,("SI"),IF($O$3=$G$18,("SI"),("")))))))))</f>
        <v/>
      </c>
      <c r="P18" s="2" t="str">
        <f>IF($P$3="",(""),(IF($P$3=$D$18,("SI"),(IF($P$3=$E$18,("SI"),(IF($P$3=$F$18,("SI"),IF($P$3=$G$18,("SI"),("")))))))))</f>
        <v/>
      </c>
      <c r="Q18" s="2" t="str">
        <f>IF($Q$3="",(""),(IF($Q$3=$D$18,("SI"),(IF($Q$3=$E$18,("SI"),(IF($Q$3=$F$18,("SI"),IF($Q$3=$G$18,("SI"),("")))))))))</f>
        <v/>
      </c>
      <c r="R18" s="2" t="str">
        <f>IF($R$3="",(""),(IF($R$3=$D$18,("SI"),(IF($R$3=$E$18,("SI"),(IF($R$3=$F$18,("SI"),IF($R$3=$G$18,("SI"),("")))))))))</f>
        <v/>
      </c>
      <c r="S18" s="2" t="str">
        <f>IF($S$3="",(""),(IF($S$3=$D$18,("SI"),(IF($S$3=$E$18,("SI"),(IF($S$3=$F$18,("SI"),IF($S$3=$G$18,("SI"),("")))))))))</f>
        <v/>
      </c>
      <c r="T18" s="2" t="str">
        <f>IF($T$3="",(""),(IF($T$3=$D$18,("SI"),(IF($T$3=$E$18,("SI"),(IF($T$3=$F$18,("SI"),IF($T$3=$G$18,("SI"),("")))))))))</f>
        <v/>
      </c>
      <c r="U18" s="2" t="str">
        <f>IF($U$3="",(""),(IF($U$3=$D$18,("SI"),(IF($U$3=$E$18,("SI"),(IF($U$3=$F$18,("SI"),IF($U$3=$G$18,("SI"),("")))))))))</f>
        <v/>
      </c>
      <c r="V18" s="2" t="str">
        <f>IF($V$3="",(""),(IF($V$3=$D$18,("SI"),(IF($V$3=$E$18,("SI"),(IF($V$3=$F$18,("SI"),IF($V$3=$G$18,("SI"),("")))))))))</f>
        <v/>
      </c>
      <c r="W18" s="2" t="str">
        <f>IF($W$3="",(""),(IF($W$3=$D$18,("SI"),(IF($W$3=$E$18,("SI"),(IF($W$3=$F$18,("SI"),IF($W$3=$G$18,("SI"),("")))))))))</f>
        <v/>
      </c>
      <c r="X18" s="2" t="str">
        <f>IF($X$3="",(""),(IF($X$3=$D$18,("SI"),(IF($X$3=$E$18,("SI"),(IF($X$3=$F$18,("SI"),IF($X$3=$G$18,("SI"),("")))))))))</f>
        <v/>
      </c>
      <c r="Y18" s="2" t="str">
        <f>IF($Y$3="",(""),(IF($Y$3=$D$18,("SI"),(IF($Y$3=$E$18,("SI"),(IF($Y$3=$F$18,("SI"),IF($Y$3=$G$18,("SI"),("")))))))))</f>
        <v/>
      </c>
      <c r="Z18" s="2" t="str">
        <f>IF($Z$3="",(""),(IF($Z$3=$D$18,("SI"),(IF($Z$3=$E$18,("SI"),(IF($Z$3=$F$18,("SI"),IF($Z$3=$G$18,("SI"),("")))))))))</f>
        <v/>
      </c>
      <c r="AA18" s="2" t="str">
        <f>IF($AA$3="",(""),(IF($AA$3=$D$18,("SI"),(IF($AA$3=$E$18,("SI"),(IF($AA$3=$F$18,("SI"),IF($AA$3=$G$18,("SI"),("")))))))))</f>
        <v/>
      </c>
      <c r="AB18" s="2" t="str">
        <f>IF($AB$3="",(""),(IF($AB$3=$D$18,("SI"),(IF($AB$3=$E$18,("SI"),(IF($AB$3=$F$18,("SI"),IF($AB$3=$G$18,("SI"),("")))))))))</f>
        <v/>
      </c>
      <c r="AC18" s="16" t="str">
        <f>IF($AC$3="",(""),(IF($AC$3=$D$18,("SI"),(IF($AC$3=$E$18,("SI"),(IF($AC$3=$F$18,("SI"),IF($AC$3=$G$18,("SI"),("")))))))))</f>
        <v/>
      </c>
      <c r="AE18" s="129"/>
      <c r="AF18" s="22" t="str">
        <f t="shared" si="21"/>
        <v/>
      </c>
      <c r="AG18" s="29">
        <f t="shared" si="1"/>
        <v>0</v>
      </c>
      <c r="AH18" s="29">
        <f t="shared" si="2"/>
        <v>0</v>
      </c>
      <c r="AI18" s="29">
        <f t="shared" si="3"/>
        <v>0</v>
      </c>
      <c r="AJ18" s="29">
        <f t="shared" si="4"/>
        <v>0</v>
      </c>
      <c r="AK18" s="29">
        <f t="shared" si="5"/>
        <v>0</v>
      </c>
      <c r="AL18" s="29">
        <f t="shared" si="6"/>
        <v>0</v>
      </c>
      <c r="AM18" s="29">
        <f t="shared" si="7"/>
        <v>0</v>
      </c>
      <c r="AN18" s="29">
        <f t="shared" si="8"/>
        <v>0</v>
      </c>
      <c r="AO18" s="29">
        <f t="shared" si="9"/>
        <v>0</v>
      </c>
      <c r="AP18" s="29">
        <f t="shared" si="10"/>
        <v>0</v>
      </c>
      <c r="AQ18" s="29">
        <f t="shared" si="11"/>
        <v>0</v>
      </c>
      <c r="AR18" s="29">
        <f t="shared" si="12"/>
        <v>0</v>
      </c>
      <c r="AS18" s="29">
        <f t="shared" si="13"/>
        <v>0</v>
      </c>
      <c r="AT18" s="29">
        <f t="shared" si="14"/>
        <v>0</v>
      </c>
      <c r="AU18" s="29">
        <f t="shared" si="15"/>
        <v>0</v>
      </c>
      <c r="AV18" s="29">
        <f t="shared" si="16"/>
        <v>0</v>
      </c>
      <c r="AW18" s="29">
        <f t="shared" si="17"/>
        <v>0</v>
      </c>
      <c r="AX18" s="29">
        <f t="shared" si="18"/>
        <v>0</v>
      </c>
      <c r="AY18" s="30">
        <f t="shared" si="19"/>
        <v>0</v>
      </c>
    </row>
    <row r="19" spans="1:51" x14ac:dyDescent="0.25">
      <c r="A19" s="26" t="str">
        <f>IF(Utilización!E27&gt;0,(Utilización!A27),(""))</f>
        <v/>
      </c>
      <c r="B19" s="8"/>
      <c r="C19" s="7">
        <f>Utilización!E27</f>
        <v>0</v>
      </c>
      <c r="D19" s="7" t="str">
        <f>IF(Utilización!G27="",(""),(Utilización!G27))</f>
        <v/>
      </c>
      <c r="E19" s="7" t="str">
        <f>IF(Utilización!H27="",(""),(Utilización!H27))</f>
        <v/>
      </c>
      <c r="F19" s="7" t="str">
        <f>IF(Utilización!I27="",(""),(Utilización!I27))</f>
        <v/>
      </c>
      <c r="G19" s="7" t="str">
        <f>IF(Utilización!J27="",(""),(Utilización!J27))</f>
        <v/>
      </c>
      <c r="I19" s="126"/>
      <c r="J19" s="22" t="str">
        <f t="shared" si="20"/>
        <v/>
      </c>
      <c r="K19" s="2" t="str">
        <f t="shared" si="22"/>
        <v/>
      </c>
      <c r="L19" s="2" t="str">
        <f>IF($L$3="",(""),(IF($L$3=$D$19,("SI"),(IF($L$3=$E$19,("SI"),(IF($L$3=$F$19,("SI"),IF($L$3=$G$19,("SI"),("")))))))))</f>
        <v/>
      </c>
      <c r="M19" s="2" t="str">
        <f>IF($M$3="",(""),(IF($M$3=$D$19,("SI"),(IF($M$3=$E$19,("SI"),(IF($M$3=$F$19,("SI"),IF($M$3=$G$19,("SI"),("")))))))))</f>
        <v/>
      </c>
      <c r="N19" s="2" t="str">
        <f>IF($N$3="",(""),(IF($N$3=$D$19,("SI"),(IF($N$3=$E$19,("SI"),(IF($N$3=$F$19,("SI"),IF($N$3=$G$19,("SI"),("")))))))))</f>
        <v/>
      </c>
      <c r="O19" s="2" t="str">
        <f>IF($O$3="",(""),(IF($O$3=$D$19,("SI"),(IF($O$3=$E$19,("SI"),(IF($O$3=$F$19,("SI"),IF($O$3=$G$19,("SI"),("")))))))))</f>
        <v/>
      </c>
      <c r="P19" s="2" t="str">
        <f>IF($P$3="",(""),(IF($P$3=$D$19,("SI"),(IF($P$3=$E$19,("SI"),(IF($P$3=$F$19,("SI"),IF($P$3=$G$19,("SI"),("")))))))))</f>
        <v/>
      </c>
      <c r="Q19" s="2" t="str">
        <f>IF($Q$3="",(""),(IF($Q$3=$D$19,("SI"),(IF($Q$3=$E$19,("SI"),(IF($Q$3=$F$19,("SI"),IF($Q$3=$G$19,("SI"),("")))))))))</f>
        <v/>
      </c>
      <c r="R19" s="2" t="str">
        <f>IF($R$3="",(""),(IF($R$3=$D$19,("SI"),(IF($R$3=$E$19,("SI"),(IF($R$3=$F$19,("SI"),IF($R$3=$G$19,("SI"),("")))))))))</f>
        <v/>
      </c>
      <c r="S19" s="2" t="str">
        <f>IF($S$3="",(""),(IF($S$3=$D$19,("SI"),(IF($S$3=$E$19,("SI"),(IF($S$3=$F$19,("SI"),IF($S$3=$G$19,("SI"),("")))))))))</f>
        <v/>
      </c>
      <c r="T19" s="2" t="str">
        <f>IF($T$3="",(""),(IF($T$3=$D$19,("SI"),(IF($T$3=$E$19,("SI"),(IF($T$3=$F$19,("SI"),IF($T$3=$G$19,("SI"),("")))))))))</f>
        <v/>
      </c>
      <c r="U19" s="2" t="str">
        <f>IF($U$3="",(""),(IF($U$3=$D$19,("SI"),(IF($U$3=$E$19,("SI"),(IF($U$3=$F$19,("SI"),IF($U$3=$G$19,("SI"),("")))))))))</f>
        <v/>
      </c>
      <c r="V19" s="2" t="str">
        <f>IF($V$3="",(""),(IF($V$3=$D$19,("SI"),(IF($V$3=$E$19,("SI"),(IF($V$3=$F$19,("SI"),IF($V$3=$G$19,("SI"),("")))))))))</f>
        <v/>
      </c>
      <c r="W19" s="2" t="str">
        <f>IF($W$3="",(""),(IF($W$3=$D$19,("SI"),(IF($W$3=$E$19,("SI"),(IF($W$3=$F$19,("SI"),IF($W$3=$G$19,("SI"),("")))))))))</f>
        <v/>
      </c>
      <c r="X19" s="2" t="str">
        <f>IF($X$3="",(""),(IF($X$3=$D$19,("SI"),(IF($X$3=$E$19,("SI"),(IF($X$3=$F$19,("SI"),IF($X$3=$G$19,("SI"),("")))))))))</f>
        <v/>
      </c>
      <c r="Y19" s="2" t="str">
        <f>IF($Y$3="",(""),(IF($Y$3=$D$19,("SI"),(IF($Y$3=$E$19,("SI"),(IF($Y$3=$F$19,("SI"),IF($Y$3=$G$19,("SI"),("")))))))))</f>
        <v/>
      </c>
      <c r="Z19" s="2" t="str">
        <f>IF($Z$3="",(""),(IF($Z$3=$D$19,("SI"),(IF($Z$3=$E$19,("SI"),(IF($Z$3=$F$19,("SI"),IF($Z$3=$G$19,("SI"),("")))))))))</f>
        <v/>
      </c>
      <c r="AA19" s="2" t="str">
        <f>IF($AA$3="",(""),(IF($AA$3=$D$19,("SI"),(IF($AA$3=$E$19,("SI"),(IF($AA$3=$F$19,("SI"),IF($AA$3=$G$19,("SI"),("")))))))))</f>
        <v/>
      </c>
      <c r="AB19" s="2" t="str">
        <f>IF($AB$3="",(""),(IF($AB$3=$D$19,("SI"),(IF($AB$3=$E$19,("SI"),(IF($AB$3=$F$19,("SI"),IF($AB$3=$G$19,("SI"),("")))))))))</f>
        <v/>
      </c>
      <c r="AC19" s="16" t="str">
        <f>IF($AC$3="",(""),(IF($AC$3=$D$19,("SI"),(IF($AC$3=$E$19,("SI"),(IF($AC$3=$F$19,("SI"),IF($AC$3=$G$19,("SI"),("")))))))))</f>
        <v/>
      </c>
      <c r="AE19" s="129"/>
      <c r="AF19" s="22" t="str">
        <f t="shared" si="21"/>
        <v/>
      </c>
      <c r="AG19" s="29">
        <f t="shared" si="1"/>
        <v>0</v>
      </c>
      <c r="AH19" s="29">
        <f t="shared" si="2"/>
        <v>0</v>
      </c>
      <c r="AI19" s="29">
        <f t="shared" si="3"/>
        <v>0</v>
      </c>
      <c r="AJ19" s="29">
        <f t="shared" si="4"/>
        <v>0</v>
      </c>
      <c r="AK19" s="29">
        <f t="shared" si="5"/>
        <v>0</v>
      </c>
      <c r="AL19" s="29">
        <f t="shared" si="6"/>
        <v>0</v>
      </c>
      <c r="AM19" s="29">
        <f t="shared" si="7"/>
        <v>0</v>
      </c>
      <c r="AN19" s="29">
        <f t="shared" si="8"/>
        <v>0</v>
      </c>
      <c r="AO19" s="29">
        <f t="shared" si="9"/>
        <v>0</v>
      </c>
      <c r="AP19" s="29">
        <f t="shared" si="10"/>
        <v>0</v>
      </c>
      <c r="AQ19" s="29">
        <f t="shared" si="11"/>
        <v>0</v>
      </c>
      <c r="AR19" s="29">
        <f t="shared" si="12"/>
        <v>0</v>
      </c>
      <c r="AS19" s="29">
        <f t="shared" si="13"/>
        <v>0</v>
      </c>
      <c r="AT19" s="29">
        <f t="shared" si="14"/>
        <v>0</v>
      </c>
      <c r="AU19" s="29">
        <f t="shared" si="15"/>
        <v>0</v>
      </c>
      <c r="AV19" s="29">
        <f t="shared" si="16"/>
        <v>0</v>
      </c>
      <c r="AW19" s="29">
        <f t="shared" si="17"/>
        <v>0</v>
      </c>
      <c r="AX19" s="29">
        <f t="shared" si="18"/>
        <v>0</v>
      </c>
      <c r="AY19" s="30">
        <f t="shared" si="19"/>
        <v>0</v>
      </c>
    </row>
    <row r="20" spans="1:51" x14ac:dyDescent="0.25">
      <c r="A20" s="26" t="str">
        <f>IF(Utilización!E28&gt;0,(Utilización!A28),(""))</f>
        <v/>
      </c>
      <c r="B20" s="8"/>
      <c r="C20" s="7">
        <f>Utilización!E28</f>
        <v>0</v>
      </c>
      <c r="D20" s="7" t="str">
        <f>IF(Utilización!G28="",(""),(Utilización!G28))</f>
        <v/>
      </c>
      <c r="E20" s="7" t="str">
        <f>IF(Utilización!H28="",(""),(Utilización!H28))</f>
        <v/>
      </c>
      <c r="F20" s="7" t="str">
        <f>IF(Utilización!I28="",(""),(Utilización!I28))</f>
        <v/>
      </c>
      <c r="G20" s="7" t="str">
        <f>IF(Utilización!J28="",(""),(Utilización!J28))</f>
        <v/>
      </c>
      <c r="I20" s="126"/>
      <c r="J20" s="22" t="str">
        <f t="shared" si="20"/>
        <v/>
      </c>
      <c r="K20" s="2" t="str">
        <f t="shared" si="22"/>
        <v/>
      </c>
      <c r="L20" s="2" t="str">
        <f>IF($L$3="",(""),(IF($L$3=$D$20,("SI"),(IF($L$3=$E$20,("SI"),(IF($L$3=$F$20,("SI"),IF($L$3=$G$20,("SI"),("")))))))))</f>
        <v/>
      </c>
      <c r="M20" s="2" t="str">
        <f>IF($M$3="",(""),(IF($M$3=$D$20,("SI"),(IF($M$3=$E$20,("SI"),(IF($M$3=$F$20,("SI"),IF($M$3=$G$20,("SI"),("")))))))))</f>
        <v/>
      </c>
      <c r="N20" s="2" t="str">
        <f>IF($N$3="",(""),(IF($N$3=$D$20,("SI"),(IF($N$3=$E$20,("SI"),(IF($N$3=$F$20,("SI"),IF($N$3=$G$20,("SI"),("")))))))))</f>
        <v/>
      </c>
      <c r="O20" s="2" t="str">
        <f>IF($O$3="",(""),(IF($O$3=$D$20,("SI"),(IF($O$3=$E$20,("SI"),(IF($O$3=$F$20,("SI"),IF($O$3=$G$20,("SI"),("")))))))))</f>
        <v/>
      </c>
      <c r="P20" s="2" t="str">
        <f>IF($P$3="",(""),(IF($P$3=$D$20,("SI"),(IF($P$3=$E$20,("SI"),(IF($P$3=$F$20,("SI"),IF($P$3=$G$20,("SI"),("")))))))))</f>
        <v/>
      </c>
      <c r="Q20" s="2" t="str">
        <f>IF($Q$3="",(""),(IF($Q$3=$D$20,("SI"),(IF($Q$3=$E$20,("SI"),(IF($Q$3=$F$20,("SI"),IF($Q$3=$G$20,("SI"),("")))))))))</f>
        <v/>
      </c>
      <c r="R20" s="2" t="str">
        <f>IF($R$3="",(""),(IF($R$3=$D$20,("SI"),(IF($R$3=$E$20,("SI"),(IF($R$3=$F$20,("SI"),IF($R$3=$G$20,("SI"),("")))))))))</f>
        <v/>
      </c>
      <c r="S20" s="2" t="str">
        <f>IF($S$3="",(""),(IF($S$3=$D$20,("SI"),(IF($S$3=$E$20,("SI"),(IF($S$3=$F$20,("SI"),IF($S$3=$G$20,("SI"),("")))))))))</f>
        <v/>
      </c>
      <c r="T20" s="2" t="str">
        <f>IF($T$3="",(""),(IF($T$3=$D$20,("SI"),(IF($T$3=$E$20,("SI"),(IF($T$3=$F$20,("SI"),IF($T$3=$G$20,("SI"),("")))))))))</f>
        <v/>
      </c>
      <c r="U20" s="2" t="str">
        <f>IF($U$3="",(""),(IF($U$3=$D$20,("SI"),(IF($U$3=$E$20,("SI"),(IF($U$3=$F$20,("SI"),IF($U$3=$G$20,("SI"),("")))))))))</f>
        <v/>
      </c>
      <c r="V20" s="2" t="str">
        <f>IF($V$3="",(""),(IF($V$3=$D$20,("SI"),(IF($V$3=$E$20,("SI"),(IF($V$3=$F$20,("SI"),IF($V$3=$G$20,("SI"),("")))))))))</f>
        <v/>
      </c>
      <c r="W20" s="2" t="str">
        <f>IF($W$3="",(""),(IF($W$3=$D$20,("SI"),(IF($W$3=$E$20,("SI"),(IF($W$3=$F$20,("SI"),IF($W$3=$G$20,("SI"),("")))))))))</f>
        <v/>
      </c>
      <c r="X20" s="2" t="str">
        <f>IF($X$3="",(""),(IF($X$3=$D$20,("SI"),(IF($X$3=$E$20,("SI"),(IF($X$3=$F$20,("SI"),IF($X$3=$G$20,("SI"),("")))))))))</f>
        <v/>
      </c>
      <c r="Y20" s="2" t="str">
        <f>IF($Y$3="",(""),(IF($Y$3=$D$20,("SI"),(IF($Y$3=$E$20,("SI"),(IF($Y$3=$F$20,("SI"),IF($Y$3=$G$20,("SI"),("")))))))))</f>
        <v/>
      </c>
      <c r="Z20" s="2" t="str">
        <f>IF($Z$3="",(""),(IF($Z$3=$D$20,("SI"),(IF($Z$3=$E$20,("SI"),(IF($Z$3=$F$20,("SI"),IF($Z$3=$G$20,("SI"),("")))))))))</f>
        <v/>
      </c>
      <c r="AA20" s="2" t="str">
        <f>IF($AA$3="",(""),(IF($AA$3=$D$20,("SI"),(IF($AA$3=$E$20,("SI"),(IF($AA$3=$F$20,("SI"),IF($AA$3=$G$20,("SI"),("")))))))))</f>
        <v/>
      </c>
      <c r="AB20" s="2" t="str">
        <f>IF($AB$3="",(""),(IF($AB$3=$D$20,("SI"),(IF($AB$3=$E$20,("SI"),(IF($AB$3=$F$20,("SI"),IF($AB$3=$G$20,("SI"),("")))))))))</f>
        <v/>
      </c>
      <c r="AC20" s="16" t="str">
        <f>IF($AC$3="",(""),(IF($AC$3=$D$20,("SI"),(IF($AC$3=$E$20,("SI"),(IF($AC$3=$F$20,("SI"),IF($AC$3=$G$20,("SI"),("")))))))))</f>
        <v/>
      </c>
      <c r="AE20" s="129"/>
      <c r="AF20" s="22" t="str">
        <f t="shared" si="21"/>
        <v/>
      </c>
      <c r="AG20" s="29">
        <f t="shared" si="1"/>
        <v>0</v>
      </c>
      <c r="AH20" s="29">
        <f t="shared" si="2"/>
        <v>0</v>
      </c>
      <c r="AI20" s="29">
        <f t="shared" si="3"/>
        <v>0</v>
      </c>
      <c r="AJ20" s="29">
        <f t="shared" si="4"/>
        <v>0</v>
      </c>
      <c r="AK20" s="29">
        <f t="shared" si="5"/>
        <v>0</v>
      </c>
      <c r="AL20" s="29">
        <f t="shared" si="6"/>
        <v>0</v>
      </c>
      <c r="AM20" s="29">
        <f t="shared" si="7"/>
        <v>0</v>
      </c>
      <c r="AN20" s="29">
        <f t="shared" si="8"/>
        <v>0</v>
      </c>
      <c r="AO20" s="29">
        <f t="shared" si="9"/>
        <v>0</v>
      </c>
      <c r="AP20" s="29">
        <f t="shared" si="10"/>
        <v>0</v>
      </c>
      <c r="AQ20" s="29">
        <f t="shared" si="11"/>
        <v>0</v>
      </c>
      <c r="AR20" s="29">
        <f t="shared" si="12"/>
        <v>0</v>
      </c>
      <c r="AS20" s="29">
        <f t="shared" si="13"/>
        <v>0</v>
      </c>
      <c r="AT20" s="29">
        <f t="shared" si="14"/>
        <v>0</v>
      </c>
      <c r="AU20" s="29">
        <f t="shared" si="15"/>
        <v>0</v>
      </c>
      <c r="AV20" s="29">
        <f t="shared" si="16"/>
        <v>0</v>
      </c>
      <c r="AW20" s="29">
        <f t="shared" si="17"/>
        <v>0</v>
      </c>
      <c r="AX20" s="29">
        <f t="shared" si="18"/>
        <v>0</v>
      </c>
      <c r="AY20" s="30">
        <f t="shared" si="19"/>
        <v>0</v>
      </c>
    </row>
    <row r="21" spans="1:51" x14ac:dyDescent="0.25">
      <c r="A21" s="26" t="str">
        <f>IF(Utilización!E29&gt;0,(Utilización!A29),(""))</f>
        <v/>
      </c>
      <c r="B21" s="8"/>
      <c r="C21" s="7">
        <f>Utilización!E29</f>
        <v>0</v>
      </c>
      <c r="D21" s="7" t="str">
        <f>IF(Utilización!G29="",(""),(Utilización!G29))</f>
        <v/>
      </c>
      <c r="E21" s="7" t="str">
        <f>IF(Utilización!H29="",(""),(Utilización!H29))</f>
        <v/>
      </c>
      <c r="F21" s="7" t="str">
        <f>IF(Utilización!I29="",(""),(Utilización!I29))</f>
        <v/>
      </c>
      <c r="G21" s="7" t="str">
        <f>IF(Utilización!J29="",(""),(Utilización!J29))</f>
        <v/>
      </c>
      <c r="I21" s="126"/>
      <c r="J21" s="22" t="str">
        <f t="shared" si="20"/>
        <v/>
      </c>
      <c r="K21" s="2" t="str">
        <f t="shared" si="22"/>
        <v/>
      </c>
      <c r="L21" s="2" t="str">
        <f>IF($L$3="",(""),(IF($L$3=$D$21,("SI"),(IF($L$3=$E$21,("SI"),(IF($L$3=$F$21,("SI"),IF($L$3=$G$21,("SI"),("")))))))))</f>
        <v/>
      </c>
      <c r="M21" s="2" t="str">
        <f>IF($M$3="",(""),(IF($M$3=$D$21,("SI"),(IF($M$3=$E$21,("SI"),(IF($M$3=$F$21,("SI"),IF($M$3=$G$21,("SI"),("")))))))))</f>
        <v/>
      </c>
      <c r="N21" s="2" t="str">
        <f>IF($N$3="",(""),(IF($N$3=$D$21,("SI"),(IF($N$3=$E$21,("SI"),(IF($N$3=$F$21,("SI"),IF($N$3=$G$21,("SI"),("")))))))))</f>
        <v/>
      </c>
      <c r="O21" s="2" t="str">
        <f>IF($O$3="",(""),(IF($O$3=$D$21,("SI"),(IF($O$3=$E$21,("SI"),(IF($O$3=$F$21,("SI"),IF($O$3=$G$21,("SI"),("")))))))))</f>
        <v/>
      </c>
      <c r="P21" s="2" t="str">
        <f>IF($P$3="",(""),(IF($P$3=$D$21,("SI"),(IF($P$3=$E$21,("SI"),(IF($P$3=$F$21,("SI"),IF($P$3=$G$21,("SI"),("")))))))))</f>
        <v/>
      </c>
      <c r="Q21" s="2" t="str">
        <f>IF($Q$3="",(""),(IF($Q$3=$D$21,("SI"),(IF($Q$3=$E$21,("SI"),(IF($Q$3=$F$21,("SI"),IF($Q$3=$G$21,("SI"),("")))))))))</f>
        <v/>
      </c>
      <c r="R21" s="2" t="str">
        <f>IF($R$3="",(""),(IF($R$3=$D$21,("SI"),(IF($R$3=$E$21,("SI"),(IF($R$3=$F$21,("SI"),IF($R$3=$G$21,("SI"),("")))))))))</f>
        <v/>
      </c>
      <c r="S21" s="2" t="str">
        <f>IF($S$3="",(""),(IF($S$3=$D$21,("SI"),(IF($S$3=$E$21,("SI"),(IF($S$3=$F$21,("SI"),IF($S$3=$G$21,("SI"),("")))))))))</f>
        <v/>
      </c>
      <c r="T21" s="2" t="str">
        <f>IF($T$3="",(""),(IF($T$3=$D$21,("SI"),(IF($T$3=$E$21,("SI"),(IF($T$3=$F$21,("SI"),IF($T$3=$G$21,("SI"),("")))))))))</f>
        <v/>
      </c>
      <c r="U21" s="2" t="str">
        <f>IF($U$3="",(""),(IF($U$3=$D$21,("SI"),(IF($U$3=$E$21,("SI"),(IF($U$3=$F$21,("SI"),IF($U$3=$G$21,("SI"),("")))))))))</f>
        <v/>
      </c>
      <c r="V21" s="2" t="str">
        <f>IF($V$3="",(""),(IF($V$3=$D$21,("SI"),(IF($V$3=$E$21,("SI"),(IF($V$3=$F$21,("SI"),IF($V$3=$G$21,("SI"),("")))))))))</f>
        <v/>
      </c>
      <c r="W21" s="2" t="str">
        <f>IF($W$3="",(""),(IF($W$3=$D$21,("SI"),(IF($W$3=$E$21,("SI"),(IF($W$3=$F$21,("SI"),IF($W$3=$G$21,("SI"),("")))))))))</f>
        <v/>
      </c>
      <c r="X21" s="2" t="str">
        <f>IF($X$3="",(""),(IF($X$3=$D$21,("SI"),(IF($X$3=$E$21,("SI"),(IF($X$3=$F$21,("SI"),IF($X$3=$G$21,("SI"),("")))))))))</f>
        <v/>
      </c>
      <c r="Y21" s="2" t="str">
        <f>IF($Y$3="",(""),(IF($Y$3=$D$21,("SI"),(IF($Y$3=$E$21,("SI"),(IF($Y$3=$F$21,("SI"),IF($Y$3=$G$21,("SI"),("")))))))))</f>
        <v/>
      </c>
      <c r="Z21" s="2" t="str">
        <f>IF($Z$3="",(""),(IF($Z$3=$D$21,("SI"),(IF($Z$3=$E$21,("SI"),(IF($Z$3=$F$21,("SI"),IF($Z$3=$G$21,("SI"),("")))))))))</f>
        <v/>
      </c>
      <c r="AA21" s="2" t="str">
        <f>IF($AA$3="",(""),(IF($AA$3=$D$21,("SI"),(IF($AA$3=$E$21,("SI"),(IF($AA$3=$F$21,("SI"),IF($AA$3=$G$21,("SI"),("")))))))))</f>
        <v/>
      </c>
      <c r="AB21" s="2" t="str">
        <f>IF($AB$3="",(""),(IF($AB$3=$D$21,("SI"),(IF($AB$3=$E$21,("SI"),(IF($AB$3=$F$21,("SI"),IF($AB$3=$G$21,("SI"),("")))))))))</f>
        <v/>
      </c>
      <c r="AC21" s="16" t="str">
        <f>IF($AC$3="",(""),(IF($AC$3=$D$21,("SI"),(IF($AC$3=$E$21,("SI"),(IF($AC$3=$F$21,("SI"),IF($AC$3=$G$21,("SI"),("")))))))))</f>
        <v/>
      </c>
      <c r="AE21" s="129"/>
      <c r="AF21" s="22" t="str">
        <f t="shared" si="21"/>
        <v/>
      </c>
      <c r="AG21" s="29">
        <f t="shared" si="1"/>
        <v>0</v>
      </c>
      <c r="AH21" s="29">
        <f t="shared" si="2"/>
        <v>0</v>
      </c>
      <c r="AI21" s="29">
        <f t="shared" si="3"/>
        <v>0</v>
      </c>
      <c r="AJ21" s="29">
        <f t="shared" si="4"/>
        <v>0</v>
      </c>
      <c r="AK21" s="29">
        <f t="shared" si="5"/>
        <v>0</v>
      </c>
      <c r="AL21" s="29">
        <f t="shared" si="6"/>
        <v>0</v>
      </c>
      <c r="AM21" s="29">
        <f t="shared" si="7"/>
        <v>0</v>
      </c>
      <c r="AN21" s="29">
        <f t="shared" si="8"/>
        <v>0</v>
      </c>
      <c r="AO21" s="29">
        <f t="shared" si="9"/>
        <v>0</v>
      </c>
      <c r="AP21" s="29">
        <f t="shared" si="10"/>
        <v>0</v>
      </c>
      <c r="AQ21" s="29">
        <f t="shared" si="11"/>
        <v>0</v>
      </c>
      <c r="AR21" s="29">
        <f t="shared" si="12"/>
        <v>0</v>
      </c>
      <c r="AS21" s="29">
        <f t="shared" si="13"/>
        <v>0</v>
      </c>
      <c r="AT21" s="29">
        <f t="shared" si="14"/>
        <v>0</v>
      </c>
      <c r="AU21" s="29">
        <f t="shared" si="15"/>
        <v>0</v>
      </c>
      <c r="AV21" s="29">
        <f t="shared" si="16"/>
        <v>0</v>
      </c>
      <c r="AW21" s="29">
        <f t="shared" si="17"/>
        <v>0</v>
      </c>
      <c r="AX21" s="29">
        <f t="shared" si="18"/>
        <v>0</v>
      </c>
      <c r="AY21" s="30">
        <f t="shared" si="19"/>
        <v>0</v>
      </c>
    </row>
    <row r="22" spans="1:51" x14ac:dyDescent="0.25">
      <c r="A22" s="26" t="str">
        <f>IF(Utilización!E30&gt;0,(Utilización!A30),(""))</f>
        <v/>
      </c>
      <c r="B22" s="12"/>
      <c r="C22" s="7">
        <f>Utilización!E30</f>
        <v>0</v>
      </c>
      <c r="D22" s="7" t="str">
        <f>IF(Utilización!G30="",(""),(Utilización!G30))</f>
        <v/>
      </c>
      <c r="E22" s="7" t="str">
        <f>IF(Utilización!H30="",(""),(Utilización!H30))</f>
        <v/>
      </c>
      <c r="F22" s="7" t="str">
        <f>IF(Utilización!I30="",(""),(Utilización!I30))</f>
        <v/>
      </c>
      <c r="G22" s="7" t="str">
        <f>IF(Utilización!J30="",(""),(Utilización!J30))</f>
        <v/>
      </c>
      <c r="I22" s="126"/>
      <c r="J22" s="23" t="str">
        <f t="shared" si="20"/>
        <v/>
      </c>
      <c r="K22" s="9" t="str">
        <f t="shared" si="22"/>
        <v/>
      </c>
      <c r="L22" s="9" t="str">
        <f>IF($L$3="",(""),(IF($L$3=$D$22,("SI"),(IF($L$3=$E$22,("SI"),(IF($L$3=$F$22,("SI"),IF($L$3=$G$22,("SI"),("")))))))))</f>
        <v/>
      </c>
      <c r="M22" s="9" t="str">
        <f>IF($M$3="",(""),(IF($M$3=$D$22,("SI"),(IF($M$3=$E$22,("SI"),(IF($M$3=$F$22,("SI"),IF($M$3=$G$22,("SI"),("")))))))))</f>
        <v/>
      </c>
      <c r="N22" s="9" t="str">
        <f>IF($N$3="",(""),(IF($N$3=$D$22,("SI"),(IF($N$3=$E$22,("SI"),(IF($N$3=$F$22,("SI"),IF($N$3=$G$22,("SI"),("")))))))))</f>
        <v/>
      </c>
      <c r="O22" s="9" t="str">
        <f>IF($O$3="",(""),(IF($O$3=$D$22,("SI"),(IF($O$3=$E$22,("SI"),(IF($O$3=$F$22,("SI"),IF($O$3=$G$22,("SI"),("")))))))))</f>
        <v/>
      </c>
      <c r="P22" s="9" t="str">
        <f>IF($P$3="",(""),(IF($P$3=$D$22,("SI"),(IF($P$3=$E$22,("SI"),(IF($P$3=$F$22,("SI"),IF($P$3=$G$22,("SI"),("")))))))))</f>
        <v/>
      </c>
      <c r="Q22" s="9" t="str">
        <f>IF($Q$3="",(""),(IF($Q$3=$D$22,("SI"),(IF($Q$3=$E$22,("SI"),(IF($Q$3=$F$22,("SI"),IF($Q$3=$G$22,("SI"),("")))))))))</f>
        <v/>
      </c>
      <c r="R22" s="9" t="str">
        <f>IF($R$3="",(""),(IF($R$3=$D$22,("SI"),(IF($R$3=$E$22,("SI"),(IF($R$3=$F$22,("SI"),IF($R$3=$G$22,("SI"),("")))))))))</f>
        <v/>
      </c>
      <c r="S22" s="9" t="str">
        <f>IF($S$3="",(""),(IF($S$3=$D$22,("SI"),(IF($S$3=$E$22,("SI"),(IF($S$3=$F$22,("SI"),IF($S$3=$G$22,("SI"),("")))))))))</f>
        <v/>
      </c>
      <c r="T22" s="9" t="str">
        <f>IF($T$3="",(""),(IF($T$3=$D$22,("SI"),(IF($T$3=$E$22,("SI"),(IF($T$3=$F$22,("SI"),IF($T$3=$G$22,("SI"),("")))))))))</f>
        <v/>
      </c>
      <c r="U22" s="9" t="str">
        <f>IF($U$3="",(""),(IF($U$3=$D$22,("SI"),(IF($U$3=$E$22,("SI"),(IF($U$3=$F$22,("SI"),IF($U$3=$G$22,("SI"),("")))))))))</f>
        <v/>
      </c>
      <c r="V22" s="9" t="str">
        <f>IF($V$3="",(""),(IF($V$3=$D$22,("SI"),(IF($V$3=$E$22,("SI"),(IF($V$3=$F$22,("SI"),IF($V$3=$G$22,("SI"),("")))))))))</f>
        <v/>
      </c>
      <c r="W22" s="9" t="str">
        <f>IF($W$3="",(""),(IF($W$3=$D$22,("SI"),(IF($W$3=$E$22,("SI"),(IF($W$3=$F$22,("SI"),IF($W$3=$G$22,("SI"),("")))))))))</f>
        <v/>
      </c>
      <c r="X22" s="9" t="str">
        <f>IF($X$3="",(""),(IF($X$3=$D$22,("SI"),(IF($X$3=$E$22,("SI"),(IF($X$3=$F$22,("SI"),IF($X$3=$G$22,("SI"),("")))))))))</f>
        <v/>
      </c>
      <c r="Y22" s="9" t="str">
        <f>IF($Y$3="",(""),(IF($Y$3=$D$22,("SI"),(IF($Y$3=$E$22,("SI"),(IF($Y$3=$F$22,("SI"),IF($Y$3=$G$22,("SI"),("")))))))))</f>
        <v/>
      </c>
      <c r="Z22" s="9" t="str">
        <f>IF($Z$3="",(""),(IF($Z$3=$D$22,("SI"),(IF($Z$3=$E$22,("SI"),(IF($Z$3=$F$22,("SI"),IF($Z$3=$G$22,("SI"),("")))))))))</f>
        <v/>
      </c>
      <c r="AA22" s="9" t="str">
        <f>IF($AA$3="",(""),(IF($AA$3=$D$22,("SI"),(IF($AA$3=$E$22,("SI"),(IF($AA$3=$F$22,("SI"),IF($AA$3=$G$22,("SI"),("")))))))))</f>
        <v/>
      </c>
      <c r="AB22" s="9" t="str">
        <f>IF($AB$3="",(""),(IF($AB$3=$D$22,("SI"),(IF($AB$3=$E$22,("SI"),(IF($AB$3=$F$22,("SI"),IF($AB$3=$G$22,("SI"),("")))))))))</f>
        <v/>
      </c>
      <c r="AC22" s="17" t="str">
        <f>IF($AC$3="",(""),(IF($AC$3=$D$22,("SI"),(IF($AC$3=$E$22,("SI"),(IF($AC$3=$F$22,("SI"),IF($AC$3=$G$22,("SI"),("")))))))))</f>
        <v/>
      </c>
      <c r="AE22" s="129"/>
      <c r="AF22" s="23" t="str">
        <f t="shared" si="21"/>
        <v/>
      </c>
      <c r="AG22" s="31">
        <f t="shared" si="1"/>
        <v>0</v>
      </c>
      <c r="AH22" s="31">
        <f t="shared" si="2"/>
        <v>0</v>
      </c>
      <c r="AI22" s="31">
        <f t="shared" si="3"/>
        <v>0</v>
      </c>
      <c r="AJ22" s="31">
        <f t="shared" si="4"/>
        <v>0</v>
      </c>
      <c r="AK22" s="31">
        <f t="shared" si="5"/>
        <v>0</v>
      </c>
      <c r="AL22" s="31">
        <f t="shared" si="6"/>
        <v>0</v>
      </c>
      <c r="AM22" s="31">
        <f t="shared" si="7"/>
        <v>0</v>
      </c>
      <c r="AN22" s="31">
        <f t="shared" si="8"/>
        <v>0</v>
      </c>
      <c r="AO22" s="31">
        <f t="shared" si="9"/>
        <v>0</v>
      </c>
      <c r="AP22" s="31">
        <f t="shared" si="10"/>
        <v>0</v>
      </c>
      <c r="AQ22" s="31">
        <f t="shared" si="11"/>
        <v>0</v>
      </c>
      <c r="AR22" s="31">
        <f t="shared" si="12"/>
        <v>0</v>
      </c>
      <c r="AS22" s="31">
        <f t="shared" si="13"/>
        <v>0</v>
      </c>
      <c r="AT22" s="31">
        <f t="shared" si="14"/>
        <v>0</v>
      </c>
      <c r="AU22" s="31">
        <f t="shared" si="15"/>
        <v>0</v>
      </c>
      <c r="AV22" s="31">
        <f t="shared" si="16"/>
        <v>0</v>
      </c>
      <c r="AW22" s="31">
        <f t="shared" si="17"/>
        <v>0</v>
      </c>
      <c r="AX22" s="31">
        <f t="shared" si="18"/>
        <v>0</v>
      </c>
      <c r="AY22" s="32">
        <f t="shared" si="19"/>
        <v>0</v>
      </c>
    </row>
  </sheetData>
  <mergeCells count="5">
    <mergeCell ref="I4:I22"/>
    <mergeCell ref="K2:AC2"/>
    <mergeCell ref="A1:G1"/>
    <mergeCell ref="AG2:AY2"/>
    <mergeCell ref="AE4:AE22"/>
  </mergeCells>
  <conditionalFormatting sqref="K4:AC22">
    <cfRule type="cellIs" dxfId="23" priority="3" operator="equal">
      <formula>"SI"</formula>
    </cfRule>
  </conditionalFormatting>
  <conditionalFormatting sqref="AG4:AY22">
    <cfRule type="cellIs" dxfId="22" priority="1" operator="equal">
      <formula>1</formula>
    </cfRule>
    <cfRule type="cellIs" dxfId="21" priority="2" operator="equal">
      <formula>"SI"</formula>
    </cfRule>
  </conditionalFormatting>
  <pageMargins left="0.7" right="0.7" top="0.75" bottom="0.75" header="0.3" footer="0.3"/>
  <pageSetup paperSize="9"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'Base de Datos'!$A$3:$A$9</xm:f>
          </x14:formula1>
          <xm:sqref>C2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3:U24"/>
  <sheetViews>
    <sheetView workbookViewId="0">
      <selection activeCell="T4" sqref="T4"/>
    </sheetView>
  </sheetViews>
  <sheetFormatPr baseColWidth="10" defaultRowHeight="15" x14ac:dyDescent="0.25"/>
  <cols>
    <col min="3" max="3" width="2.5703125" customWidth="1"/>
    <col min="7" max="7" width="1.85546875" customWidth="1"/>
    <col min="8" max="8" width="16.140625" customWidth="1"/>
    <col min="9" max="9" width="15.7109375" customWidth="1"/>
    <col min="10" max="10" width="12.7109375" customWidth="1"/>
    <col min="11" max="11" width="15.28515625" customWidth="1"/>
    <col min="15" max="15" width="3.28515625" customWidth="1"/>
    <col min="16" max="16" width="14.85546875" customWidth="1"/>
    <col min="17" max="17" width="15.7109375" customWidth="1"/>
    <col min="20" max="20" width="14" customWidth="1"/>
  </cols>
  <sheetData>
    <row r="3" spans="1:21" s="44" customFormat="1" ht="45" x14ac:dyDescent="0.25">
      <c r="A3" s="43" t="str">
        <f>Actividades[[#Headers],[Actividades]]</f>
        <v>Actividades</v>
      </c>
      <c r="B3" s="43" t="str">
        <f>Proyecto!C3</f>
        <v>Duraciones</v>
      </c>
      <c r="C3" s="43"/>
      <c r="D3" s="43" t="s">
        <v>16</v>
      </c>
      <c r="E3" s="43" t="s">
        <v>17</v>
      </c>
      <c r="F3" s="43" t="s">
        <v>18</v>
      </c>
      <c r="G3" s="43"/>
      <c r="H3" s="43" t="s">
        <v>19</v>
      </c>
      <c r="I3" s="43" t="s">
        <v>20</v>
      </c>
      <c r="J3" s="43" t="s">
        <v>21</v>
      </c>
      <c r="K3" s="43" t="s">
        <v>26</v>
      </c>
      <c r="L3" s="43" t="s">
        <v>23</v>
      </c>
      <c r="M3" s="43" t="s">
        <v>25</v>
      </c>
      <c r="N3" s="43" t="s">
        <v>24</v>
      </c>
      <c r="O3" s="43"/>
      <c r="P3" s="43" t="s">
        <v>37</v>
      </c>
      <c r="Q3" s="43" t="s">
        <v>20</v>
      </c>
      <c r="R3" s="43" t="s">
        <v>38</v>
      </c>
      <c r="S3" s="43" t="s">
        <v>39</v>
      </c>
      <c r="T3" s="43" t="s">
        <v>33</v>
      </c>
      <c r="U3" s="43" t="s">
        <v>34</v>
      </c>
    </row>
    <row r="4" spans="1:21" x14ac:dyDescent="0.25">
      <c r="A4" s="18" t="str">
        <f>Utilización!A38</f>
        <v/>
      </c>
      <c r="B4" s="35" t="str">
        <f>IF(A4="",("0"),(Utilización!B38))</f>
        <v>0</v>
      </c>
      <c r="C4" s="35"/>
      <c r="D4" s="35" t="str">
        <f t="array" ref="D4">IF(SUM(Proyecto!AG4:AY4)=0,(""),(SUM(Proyecto!AG4:AY4)))</f>
        <v/>
      </c>
      <c r="E4" s="27" t="str">
        <f t="array" ref="E4">IF(SUM(INDEX(Proyecto!AG4:AY22,,ROWS(Precedencias!A$4:A4)))=0,(""),(SUM(INDEX(Proyecto!AG4:AY22,,ROWS(Precedencias!A$4:A4)))))</f>
        <v/>
      </c>
      <c r="F4" s="35" t="str">
        <f>IF(A4="",(""),(IF(D4="",("Inicial"),(IF(E4="",("Final"),("Intermedia"))))))</f>
        <v/>
      </c>
      <c r="G4" s="35"/>
      <c r="H4" s="27">
        <f t="array" aca="1" ref="H4" ca="1">IF(B4="",(""),(MAX(I$4:I$22*TRANSPOSE(Proyecto!AG4:AY4))))</f>
        <v>0</v>
      </c>
      <c r="I4" s="27">
        <f ca="1">IF(B4="",(""),(H4+B4))</f>
        <v>0</v>
      </c>
      <c r="J4" s="11" t="str">
        <f>IF(A4="",(""),(K4-B4))</f>
        <v/>
      </c>
      <c r="K4" s="11" t="str">
        <f t="array" ref="K4">IF(A4="",(""),(MIN(IF(INDEX(Proyecto!$AG$4:$AY$22,,ROWS(Precedencias!$A$4:A4))=0,$B$24,INDEX(Proyecto!$AG$4:$AY$22,,ROWS(Precedencias!A$4:A4))*J$4:J$22))))</f>
        <v/>
      </c>
      <c r="L4" s="11" t="str">
        <f>IF(A4="",(""),(J4-H4))</f>
        <v/>
      </c>
      <c r="M4" s="27" t="str">
        <f t="array" ref="M4">IF(A4="",(""),(MIN(IF(INDEX(Proyecto!$AG$4:$AY$22,,ROWS(Precedencias!A$4:A4))=0,($B$24),(INDEX(Proyecto!$AG$4:$AY$22,,ROWS(Precedencias!A$4:A4))*H$4:H$22)))-I4))</f>
        <v/>
      </c>
      <c r="N4" s="7" t="str">
        <f t="shared" ref="N4:N22" si="0">IF(AND(A4&lt;&gt;"",L4=0),A4,"")</f>
        <v/>
      </c>
      <c r="O4" s="39"/>
      <c r="P4" s="11">
        <f t="array" aca="1" ref="P4" ca="1">IF(B4="",(""),(MAX(IF($T$4:$T$22="",$I$4:$I$22,$T$4:$T$22+$B$4:$B$22)*TRANSPOSE(Proyecto!AG4:AY4))))</f>
        <v>0</v>
      </c>
      <c r="Q4" s="105" t="str">
        <f>IF(A4="",(""),(B4+P4))</f>
        <v/>
      </c>
      <c r="R4" s="35" t="str">
        <f t="shared" ref="R4:R22" si="1">IF(A4="",(""),(J4-IF(T4="",H4,T4)))</f>
        <v/>
      </c>
      <c r="S4" s="35" t="str">
        <f t="array" ref="S4">IF(A4="",(""),(MIN(IF(INDEX(Proyecto!$AG$4:$AY$22,,ROWS(Precedencias!A$4:A4))=0,($B$24),(INDEX(Proyecto!$AG$4:$AY$22,,ROWS(Precedencias!A$4:A4))*IF($T$4:$T$22="",H$4:H$22,$T$4:$T$22)))-IF(T4="",I4,T4+B4))))</f>
        <v/>
      </c>
      <c r="T4" s="46">
        <f ca="1">Utilización!J38</f>
        <v>0</v>
      </c>
      <c r="U4" s="7" t="str">
        <f>IF(A4="",(""),(IF(T4="","Error 1",IF(T4&lt;P4,"Error 2",""))))</f>
        <v/>
      </c>
    </row>
    <row r="5" spans="1:21" x14ac:dyDescent="0.25">
      <c r="A5" s="19" t="str">
        <f>Utilización!A39</f>
        <v/>
      </c>
      <c r="B5" s="35" t="str">
        <f>IF(A5="",("0"),(Utilización!B39))</f>
        <v>0</v>
      </c>
      <c r="D5" s="35" t="str">
        <f t="array" ref="D5">IF(SUM(Proyecto!AG5:AY5)=0,(""),(SUM(Proyecto!AG5:AY5)))</f>
        <v/>
      </c>
      <c r="E5" s="27" t="str">
        <f t="array" ref="E5">IF(SUM(INDEX(Proyecto!AG5:AY23,,ROWS(Precedencias!A$4:A5)))=0,(""),(SUM(INDEX(Proyecto!AG5:AY23,,ROWS(Precedencias!A$4:A5)))))</f>
        <v/>
      </c>
      <c r="F5" t="str">
        <f t="shared" ref="F5:F21" si="2">IF(A5="",(""),(IF(D5="",("Inicial"),(IF(E5="",("Final"),("Intermedia"))))))</f>
        <v/>
      </c>
      <c r="H5" s="29">
        <f t="array" aca="1" ref="H5" ca="1">IF(B5="",(""),(MAX(I$4:I$22*TRANSPOSE(Proyecto!AG5:AY5))))</f>
        <v>0</v>
      </c>
      <c r="I5" s="29">
        <f t="shared" ref="I5:I22" ca="1" si="3">IF(B5="",(""),(H5+B5))</f>
        <v>0</v>
      </c>
      <c r="J5" s="8" t="str">
        <f t="shared" ref="J5:J22" si="4">IF(A5="",(""),(K5-B5))</f>
        <v/>
      </c>
      <c r="K5" s="8" t="str">
        <f t="array" ref="K5">IF(A5="",(""),(MIN(IF(INDEX(Proyecto!$AG$4:$AY$22,,ROWS(Precedencias!$A$4:A5))=0,$B$24,INDEX(Proyecto!$AG$4:$AY$22,,ROWS(Precedencias!A$4:A5))*J$4:J$22))))</f>
        <v/>
      </c>
      <c r="L5" s="8" t="str">
        <f t="shared" ref="L5:L22" si="5">IF(A5="",(""),(J5-H5))</f>
        <v/>
      </c>
      <c r="M5" s="29" t="str">
        <f t="array" ref="M5">IF(A5="",(""),(MIN(IF(INDEX(Proyecto!$AG$4:$AY$22,,ROWS(Precedencias!A$4:A5))=0,($B$24),(INDEX(Proyecto!$AG$4:$AY$22,,ROWS(Precedencias!A$4:A5))*H$4:H$22)))-I5))</f>
        <v/>
      </c>
      <c r="N5" s="3" t="str">
        <f t="shared" si="0"/>
        <v/>
      </c>
      <c r="O5" s="40"/>
      <c r="P5" s="8" cm="1">
        <f t="array" aca="1" ref="P5" ca="1">IF(B5="",(""),(MAX(IF($T$4:$T$22="",$I$4:$I$22,$T$4:$T$22+$B$4:$B$22)*TRANSPOSE(Proyecto!AG5:AY5))))</f>
        <v>0</v>
      </c>
      <c r="Q5" s="106" t="str">
        <f t="shared" ref="Q5:Q22" si="6">IF(A5="",(""),(B5+P5))</f>
        <v/>
      </c>
      <c r="R5" t="str">
        <f t="shared" si="1"/>
        <v/>
      </c>
      <c r="S5" t="str">
        <f t="array" ref="S5">IF(A5="",(""),(MIN(IF(INDEX(Proyecto!$AG$4:$AY$22,,ROWS(Precedencias!A$4:A5))=0,($B$24),(INDEX(Proyecto!$AG$4:$AY$22,,ROWS(Precedencias!A$4:A5))*IF($T$4:$T$22="",H$4:H$22,$T$4:$T$22)))-IF(T5="",I5,T5+B5))))</f>
        <v/>
      </c>
      <c r="T5" s="46">
        <f ca="1">Utilización!J39</f>
        <v>0</v>
      </c>
      <c r="U5" s="7" t="str">
        <f t="shared" ref="U5:U22" si="7">IF(A5="",(""),(IF(T5="","Error 1",IF(T5&lt;P5,"Error 2",""))))</f>
        <v/>
      </c>
    </row>
    <row r="6" spans="1:21" x14ac:dyDescent="0.25">
      <c r="A6" s="19" t="str">
        <f>Utilización!A40</f>
        <v/>
      </c>
      <c r="B6" s="35" t="str">
        <f>IF(A6="",("0"),(Utilización!B40))</f>
        <v>0</v>
      </c>
      <c r="D6" s="35" t="str">
        <f t="array" ref="D6">IF(SUM(Proyecto!AG6:AY6)=0,(""),(SUM(Proyecto!AG6:AY6)))</f>
        <v/>
      </c>
      <c r="E6" s="27" t="str">
        <f t="array" ref="E6">IF(SUM(INDEX(Proyecto!AG6:AY24,,ROWS(Precedencias!A$4:A6)))=0,(""),(SUM(INDEX(Proyecto!AG6:AY24,,ROWS(Precedencias!A$4:A6)))))</f>
        <v/>
      </c>
      <c r="F6" t="str">
        <f t="shared" si="2"/>
        <v/>
      </c>
      <c r="H6" s="29">
        <f t="array" aca="1" ref="H6" ca="1">IF(B6="",(""),(MAX(I$4:I$22*TRANSPOSE(Proyecto!AG6:AY6))))</f>
        <v>0</v>
      </c>
      <c r="I6" s="29">
        <f t="shared" ca="1" si="3"/>
        <v>0</v>
      </c>
      <c r="J6" s="8" t="str">
        <f t="shared" si="4"/>
        <v/>
      </c>
      <c r="K6" s="8" t="str">
        <f t="array" ref="K6">IF(A6="",(""),(MIN(IF(INDEX(Proyecto!$AG$4:$AY$22,,ROWS(Precedencias!$A$4:A6))=0,$B$24,INDEX(Proyecto!$AG$4:$AY$22,,ROWS(Precedencias!A$4:A6))*J$4:J$22))))</f>
        <v/>
      </c>
      <c r="L6" s="8" t="str">
        <f t="shared" si="5"/>
        <v/>
      </c>
      <c r="M6" s="29" t="str">
        <f t="array" ref="M6">IF(A6="",(""),(MIN(IF(INDEX(Proyecto!$AG$4:$AY$22,,ROWS(Precedencias!A$4:A6))=0,($B$24),(INDEX(Proyecto!$AG$4:$AY$22,,ROWS(Precedencias!A$4:A6))*H$4:H$22)))-I6))</f>
        <v/>
      </c>
      <c r="N6" s="3" t="str">
        <f t="shared" si="0"/>
        <v/>
      </c>
      <c r="O6" s="40"/>
      <c r="P6" s="8">
        <f t="array" aca="1" ref="P6" ca="1">IF(B6="",(""),(MAX(IF($T$4:$T$22="",$I$4:$I$22,$T$4:$T$22+$B$4:$B$22)*TRANSPOSE(Proyecto!AG6:AY6))))</f>
        <v>0</v>
      </c>
      <c r="Q6" s="106" t="str">
        <f t="shared" si="6"/>
        <v/>
      </c>
      <c r="R6" t="str">
        <f t="shared" si="1"/>
        <v/>
      </c>
      <c r="S6" t="str">
        <f t="array" ref="S6">IF(A6="",(""),(MIN(IF(INDEX(Proyecto!$AG$4:$AY$22,,ROWS(Precedencias!A$4:A6))=0,($B$24),(INDEX(Proyecto!$AG$4:$AY$22,,ROWS(Precedencias!A$4:A6))*IF($T$4:$T$22="",H$4:H$22,$T$4:$T$22)))-IF(T6="",I6,T6+B6))))</f>
        <v/>
      </c>
      <c r="T6" s="46">
        <f ca="1">Utilización!J40</f>
        <v>0</v>
      </c>
      <c r="U6" s="7" t="str">
        <f t="shared" si="7"/>
        <v/>
      </c>
    </row>
    <row r="7" spans="1:21" x14ac:dyDescent="0.25">
      <c r="A7" s="19" t="str">
        <f>Utilización!A41</f>
        <v/>
      </c>
      <c r="B7" s="35" t="str">
        <f>IF(A7="",("0"),(Utilización!B41))</f>
        <v>0</v>
      </c>
      <c r="D7" s="35" t="str">
        <f t="array" ref="D7">IF(SUM(Proyecto!AG7:AY7)=0,(""),(SUM(Proyecto!AG7:AY7)))</f>
        <v/>
      </c>
      <c r="E7" s="27" t="str">
        <f t="array" ref="E7">IF(SUM(INDEX(Proyecto!AG7:AY25,,ROWS(Precedencias!A$4:A7)))=0,(""),(SUM(INDEX(Proyecto!AG7:AY25,,ROWS(Precedencias!A$4:A7)))))</f>
        <v/>
      </c>
      <c r="F7" t="str">
        <f t="shared" si="2"/>
        <v/>
      </c>
      <c r="H7" s="29">
        <f t="array" aca="1" ref="H7" ca="1">IF(B7="",(""),(MAX(I$4:I$22*TRANSPOSE(Proyecto!AG7:AY7))))</f>
        <v>0</v>
      </c>
      <c r="I7" s="29">
        <f t="shared" ca="1" si="3"/>
        <v>0</v>
      </c>
      <c r="J7" s="8" t="str">
        <f t="shared" si="4"/>
        <v/>
      </c>
      <c r="K7" s="8" t="str">
        <f t="array" ref="K7">IF(A7="",(""),(MIN(IF(INDEX(Proyecto!$AG$4:$AY$22,,ROWS(Precedencias!$A$4:A7))=0,$B$24,INDEX(Proyecto!$AG$4:$AY$22,,ROWS(Precedencias!A$4:A7))*J$4:J$22))))</f>
        <v/>
      </c>
      <c r="L7" s="8" t="str">
        <f t="shared" si="5"/>
        <v/>
      </c>
      <c r="M7" s="29" t="str">
        <f t="array" ref="M7">IF(A7="",(""),(MIN(IF(INDEX(Proyecto!$AG$4:$AY$22,,ROWS(Precedencias!A$4:A7))=0,($B$24),(INDEX(Proyecto!$AG$4:$AY$22,,ROWS(Precedencias!A$4:A7))*H$4:H$22)))-I7))</f>
        <v/>
      </c>
      <c r="N7" s="3" t="str">
        <f t="shared" si="0"/>
        <v/>
      </c>
      <c r="O7" s="40"/>
      <c r="P7" s="8">
        <f t="array" aca="1" ref="P7" ca="1">IF(B7="",(""),(MAX(IF($T$4:$T$22="",$I$4:$I$22,$T$4:$T$22+$B$4:$B$22)*TRANSPOSE(Proyecto!AG7:AY7))))</f>
        <v>0</v>
      </c>
      <c r="Q7" s="106" t="str">
        <f t="shared" si="6"/>
        <v/>
      </c>
      <c r="R7" t="str">
        <f t="shared" si="1"/>
        <v/>
      </c>
      <c r="S7" t="str">
        <f t="array" ref="S7">IF(A7="",(""),(MIN(IF(INDEX(Proyecto!$AG$4:$AY$22,,ROWS(Precedencias!A$4:A7))=0,($B$24),(INDEX(Proyecto!$AG$4:$AY$22,,ROWS(Precedencias!A$4:A7))*IF($T$4:$T$22="",H$4:H$22,$T$4:$T$22)))-IF(T7="",I7,T7+B7))))</f>
        <v/>
      </c>
      <c r="T7" s="46">
        <f ca="1">Utilización!J41</f>
        <v>0</v>
      </c>
      <c r="U7" s="7" t="str">
        <f t="shared" si="7"/>
        <v/>
      </c>
    </row>
    <row r="8" spans="1:21" x14ac:dyDescent="0.25">
      <c r="A8" s="19" t="str">
        <f>Utilización!A42</f>
        <v/>
      </c>
      <c r="B8" s="35" t="str">
        <f>IF(A8="",("0"),(Utilización!B42))</f>
        <v>0</v>
      </c>
      <c r="D8" s="35" t="str">
        <f t="array" ref="D8">IF(SUM(Proyecto!AG8:AY8)=0,(""),(SUM(Proyecto!AG8:AY8)))</f>
        <v/>
      </c>
      <c r="E8" s="27" t="str">
        <f t="array" ref="E8">IF(SUM(INDEX(Proyecto!AG8:AY26,,ROWS(Precedencias!A$4:A8)))=0,(""),(SUM(INDEX(Proyecto!AG8:AY26,,ROWS(Precedencias!A$4:A8)))))</f>
        <v/>
      </c>
      <c r="F8" t="str">
        <f t="shared" si="2"/>
        <v/>
      </c>
      <c r="H8" s="29">
        <f t="array" aca="1" ref="H8" ca="1">IF(B8="",(""),(MAX(I$4:I$22*TRANSPOSE(Proyecto!AG8:AY8))))</f>
        <v>0</v>
      </c>
      <c r="I8" s="29">
        <f t="shared" ca="1" si="3"/>
        <v>0</v>
      </c>
      <c r="J8" s="8" t="str">
        <f t="shared" si="4"/>
        <v/>
      </c>
      <c r="K8" s="8" t="str">
        <f t="array" ref="K8">IF(A8="",(""),(MIN(IF(INDEX(Proyecto!$AG$4:$AY$22,,ROWS(Precedencias!$A$4:A8))=0,$B$24,INDEX(Proyecto!$AG$4:$AY$22,,ROWS(Precedencias!A$4:A8))*J$4:J$22))))</f>
        <v/>
      </c>
      <c r="L8" s="8" t="str">
        <f t="shared" si="5"/>
        <v/>
      </c>
      <c r="M8" s="29" t="str">
        <f t="array" ref="M8">IF(A8="",(""),(MIN(IF(INDEX(Proyecto!$AG$4:$AY$22,,ROWS(Precedencias!A$4:A8))=0,($B$24),(INDEX(Proyecto!$AG$4:$AY$22,,ROWS(Precedencias!A$4:A8))*H$4:H$22)))-I8))</f>
        <v/>
      </c>
      <c r="N8" s="3" t="str">
        <f t="shared" si="0"/>
        <v/>
      </c>
      <c r="O8" s="40"/>
      <c r="P8" s="8">
        <f t="array" aca="1" ref="P8" ca="1">IF(B8="",(""),(MAX(IF($T$4:$T$22="",$I$4:$I$22,$T$4:$T$22+$B$4:$B$22)*TRANSPOSE(Proyecto!AG8:AY8))))</f>
        <v>0</v>
      </c>
      <c r="Q8" s="106" t="str">
        <f t="shared" si="6"/>
        <v/>
      </c>
      <c r="R8" t="str">
        <f t="shared" si="1"/>
        <v/>
      </c>
      <c r="S8" t="str">
        <f t="array" ref="S8">IF(A8="",(""),(MIN(IF(INDEX(Proyecto!$AG$4:$AY$22,,ROWS(Precedencias!A$4:A8))=0,($B$24),(INDEX(Proyecto!$AG$4:$AY$22,,ROWS(Precedencias!A$4:A8))*IF($T$4:$T$22="",H$4:H$22,$T$4:$T$22)))-IF(T8="",I8,T8+B8))))</f>
        <v/>
      </c>
      <c r="T8" s="46">
        <f ca="1">Utilización!J42</f>
        <v>0</v>
      </c>
      <c r="U8" s="7" t="str">
        <f t="shared" si="7"/>
        <v/>
      </c>
    </row>
    <row r="9" spans="1:21" x14ac:dyDescent="0.25">
      <c r="A9" s="19" t="str">
        <f>Utilización!A43</f>
        <v/>
      </c>
      <c r="B9" s="35" t="str">
        <f>IF(A9="",("0"),(Utilización!B43))</f>
        <v>0</v>
      </c>
      <c r="D9" s="35" t="str">
        <f t="array" ref="D9">IF(SUM(Proyecto!AG9:AY9)=0,(""),(SUM(Proyecto!AG9:AY9)))</f>
        <v/>
      </c>
      <c r="E9" s="27" t="str">
        <f t="array" ref="E9">IF(SUM(INDEX(Proyecto!AG9:AY27,,ROWS(Precedencias!A$4:A9)))=0,(""),(SUM(INDEX(Proyecto!AG9:AY27,,ROWS(Precedencias!A$4:A9)))))</f>
        <v/>
      </c>
      <c r="F9" t="str">
        <f t="shared" si="2"/>
        <v/>
      </c>
      <c r="H9" s="29">
        <f t="array" aca="1" ref="H9" ca="1">IF(B9="",(""),(MAX(I$4:I$22*TRANSPOSE(Proyecto!AG9:AY9))))</f>
        <v>0</v>
      </c>
      <c r="I9" s="29">
        <f t="shared" ca="1" si="3"/>
        <v>0</v>
      </c>
      <c r="J9" s="8" t="str">
        <f t="shared" si="4"/>
        <v/>
      </c>
      <c r="K9" s="8" t="str">
        <f t="array" ref="K9">IF(A9="",(""),(MIN(IF(INDEX(Proyecto!$AG$4:$AY$22,,ROWS(Precedencias!$A$4:A9))=0,$B$24,INDEX(Proyecto!$AG$4:$AY$22,,ROWS(Precedencias!A$4:A9))*J$4:J$22))))</f>
        <v/>
      </c>
      <c r="L9" s="8" t="str">
        <f t="shared" si="5"/>
        <v/>
      </c>
      <c r="M9" s="29" t="str">
        <f t="array" ref="M9">IF(A9="",(""),(MIN(IF(INDEX(Proyecto!$AG$4:$AY$22,,ROWS(Precedencias!A$4:A9))=0,($B$24),(INDEX(Proyecto!$AG$4:$AY$22,,ROWS(Precedencias!A$4:A9))*H$4:H$22)))-I9))</f>
        <v/>
      </c>
      <c r="N9" s="3" t="str">
        <f t="shared" si="0"/>
        <v/>
      </c>
      <c r="O9" s="40"/>
      <c r="P9" s="8">
        <f t="array" aca="1" ref="P9" ca="1">IF(B9="",(""),(MAX(IF($T$4:$T$22="",$I$4:$I$22,$T$4:$T$22+$B$4:$B$22)*TRANSPOSE(Proyecto!AG9:AY9))))</f>
        <v>0</v>
      </c>
      <c r="Q9" s="106" t="str">
        <f t="shared" si="6"/>
        <v/>
      </c>
      <c r="R9" t="str">
        <f t="shared" si="1"/>
        <v/>
      </c>
      <c r="S9" t="str">
        <f t="array" ref="S9">IF(A9="",(""),(MIN(IF(INDEX(Proyecto!$AG$4:$AY$22,,ROWS(Precedencias!A$4:A9))=0,($B$24),(INDEX(Proyecto!$AG$4:$AY$22,,ROWS(Precedencias!A$4:A9))*IF($T$4:$T$22="",H$4:H$22,$T$4:$T$22)))-IF(T9="",I9,T9+B9))))</f>
        <v/>
      </c>
      <c r="T9" s="46">
        <f ca="1">Utilización!J43</f>
        <v>0</v>
      </c>
      <c r="U9" s="7" t="str">
        <f t="shared" si="7"/>
        <v/>
      </c>
    </row>
    <row r="10" spans="1:21" x14ac:dyDescent="0.25">
      <c r="A10" s="19" t="str">
        <f>Utilización!A44</f>
        <v/>
      </c>
      <c r="B10" s="35" t="str">
        <f>IF(A10="",("0"),(Utilización!B44))</f>
        <v>0</v>
      </c>
      <c r="D10" s="35" t="str">
        <f t="array" ref="D10">IF(SUM(Proyecto!AG10:AY10)=0,(""),(SUM(Proyecto!AG10:AY10)))</f>
        <v/>
      </c>
      <c r="E10" s="27" t="str">
        <f t="array" ref="E10">IF(SUM(INDEX(Proyecto!AG10:AY28,,ROWS(Precedencias!A$4:A10)))=0,(""),(SUM(INDEX(Proyecto!AG10:AY28,,ROWS(Precedencias!A$4:A10)))))</f>
        <v/>
      </c>
      <c r="F10" t="str">
        <f t="shared" si="2"/>
        <v/>
      </c>
      <c r="H10" s="29">
        <f t="array" aca="1" ref="H10" ca="1">IF(B10="",(""),(MAX(I$4:I$22*TRANSPOSE(Proyecto!AG10:AY10))))</f>
        <v>0</v>
      </c>
      <c r="I10" s="29">
        <f t="shared" ca="1" si="3"/>
        <v>0</v>
      </c>
      <c r="J10" s="8" t="str">
        <f t="shared" si="4"/>
        <v/>
      </c>
      <c r="K10" s="8" t="str">
        <f t="array" ref="K10">IF(A10="",(""),(MIN(IF(INDEX(Proyecto!$AG$4:$AY$22,,ROWS(Precedencias!$A$4:A10))=0,$B$24,INDEX(Proyecto!$AG$4:$AY$22,,ROWS(Precedencias!A$4:A10))*J$4:J$22))))</f>
        <v/>
      </c>
      <c r="L10" s="8" t="str">
        <f t="shared" si="5"/>
        <v/>
      </c>
      <c r="M10" s="29" t="str">
        <f t="array" ref="M10">IF(A10="",(""),(MIN(IF(INDEX(Proyecto!$AG$4:$AY$22,,ROWS(Precedencias!A$4:A10))=0,($B$24),(INDEX(Proyecto!$AG$4:$AY$22,,ROWS(Precedencias!A$4:A10))*H$4:H$22)))-I10))</f>
        <v/>
      </c>
      <c r="N10" s="3" t="str">
        <f t="shared" si="0"/>
        <v/>
      </c>
      <c r="O10" s="40"/>
      <c r="P10" s="8">
        <f t="array" aca="1" ref="P10" ca="1">IF(B10="",(""),(MAX(IF($T$4:$T$22="",$I$4:$I$22,$T$4:$T$22+$B$4:$B$22)*TRANSPOSE(Proyecto!AG10:AY10))))</f>
        <v>0</v>
      </c>
      <c r="Q10" s="106" t="str">
        <f t="shared" si="6"/>
        <v/>
      </c>
      <c r="R10" t="str">
        <f t="shared" si="1"/>
        <v/>
      </c>
      <c r="S10" t="str">
        <f t="array" ref="S10">IF(A10="",(""),(MIN(IF(INDEX(Proyecto!$AG$4:$AY$22,,ROWS(Precedencias!A$4:A10))=0,($B$24),(INDEX(Proyecto!$AG$4:$AY$22,,ROWS(Precedencias!A$4:A10))*IF($T$4:$T$22="",H$4:H$22,$T$4:$T$22)))-IF(T10="",I10,T10+B10))))</f>
        <v/>
      </c>
      <c r="T10" s="46">
        <f ca="1">Utilización!J44</f>
        <v>0</v>
      </c>
      <c r="U10" s="7" t="str">
        <f t="shared" si="7"/>
        <v/>
      </c>
    </row>
    <row r="11" spans="1:21" x14ac:dyDescent="0.25">
      <c r="A11" s="19" t="str">
        <f>Utilización!A45</f>
        <v/>
      </c>
      <c r="B11" s="35" t="str">
        <f>IF(A11="",("0"),(Utilización!B45))</f>
        <v>0</v>
      </c>
      <c r="D11" s="35" t="str">
        <f t="array" ref="D11">IF(SUM(Proyecto!AG11:AY11)=0,(""),(SUM(Proyecto!AG11:AY11)))</f>
        <v/>
      </c>
      <c r="E11" s="27" t="str">
        <f t="array" ref="E11">IF(SUM(INDEX(Proyecto!AG11:AY29,,ROWS(Precedencias!A$4:A11)))=0,(""),(SUM(INDEX(Proyecto!AG11:AY29,,ROWS(Precedencias!A$4:A11)))))</f>
        <v/>
      </c>
      <c r="F11" t="str">
        <f t="shared" si="2"/>
        <v/>
      </c>
      <c r="H11" s="29">
        <f t="array" aca="1" ref="H11" ca="1">IF(B11="",(""),(MAX(I$4:I$22*TRANSPOSE(Proyecto!AG11:AY11))))</f>
        <v>0</v>
      </c>
      <c r="I11" s="29">
        <f t="shared" ca="1" si="3"/>
        <v>0</v>
      </c>
      <c r="J11" s="8" t="str">
        <f t="shared" si="4"/>
        <v/>
      </c>
      <c r="K11" s="8" t="str">
        <f t="array" ref="K11">IF(A11="",(""),(MIN(IF(INDEX(Proyecto!$AG$4:$AY$22,,ROWS(Precedencias!$A$4:A11))=0,$B$24,INDEX(Proyecto!$AG$4:$AY$22,,ROWS(Precedencias!A$4:A11))*J$4:J$22))))</f>
        <v/>
      </c>
      <c r="L11" s="8" t="str">
        <f t="shared" si="5"/>
        <v/>
      </c>
      <c r="M11" s="29" t="str">
        <f t="array" ref="M11">IF(A11="",(""),(MIN(IF(INDEX(Proyecto!$AG$4:$AY$22,,ROWS(Precedencias!A$4:A11))=0,($B$24),(INDEX(Proyecto!$AG$4:$AY$22,,ROWS(Precedencias!A$4:A11))*H$4:H$22)))-I11))</f>
        <v/>
      </c>
      <c r="N11" s="3" t="str">
        <f t="shared" si="0"/>
        <v/>
      </c>
      <c r="O11" s="40"/>
      <c r="P11" s="8">
        <f t="array" aca="1" ref="P11" ca="1">IF(B11="",(""),(MAX(IF($T$4:$T$22="",$I$4:$I$22,$T$4:$T$22+$B$4:$B$22)*TRANSPOSE(Proyecto!AG11:AY11))))</f>
        <v>0</v>
      </c>
      <c r="Q11" s="106" t="str">
        <f t="shared" si="6"/>
        <v/>
      </c>
      <c r="R11" t="str">
        <f t="shared" si="1"/>
        <v/>
      </c>
      <c r="S11" t="str">
        <f t="array" ref="S11">IF(A11="",(""),(MIN(IF(INDEX(Proyecto!$AG$4:$AY$22,,ROWS(Precedencias!A$4:A11))=0,($B$24),(INDEX(Proyecto!$AG$4:$AY$22,,ROWS(Precedencias!A$4:A11))*IF($T$4:$T$22="",H$4:H$22,$T$4:$T$22)))-IF(T11="",I11,T11+B11))))</f>
        <v/>
      </c>
      <c r="T11" s="46">
        <f ca="1">Utilización!J45</f>
        <v>0</v>
      </c>
      <c r="U11" s="7" t="str">
        <f t="shared" si="7"/>
        <v/>
      </c>
    </row>
    <row r="12" spans="1:21" x14ac:dyDescent="0.25">
      <c r="A12" s="19" t="str">
        <f>Utilización!A46</f>
        <v/>
      </c>
      <c r="B12" s="35" t="str">
        <f>IF(A12="",("0"),(Utilización!B46))</f>
        <v>0</v>
      </c>
      <c r="D12" s="35" t="str">
        <f t="array" ref="D12">IF(SUM(Proyecto!AG12:AY12)=0,(""),(SUM(Proyecto!AG12:AY12)))</f>
        <v/>
      </c>
      <c r="E12" s="27" t="str">
        <f t="array" ref="E12">IF(SUM(INDEX(Proyecto!AG12:AY30,,ROWS(Precedencias!A$4:A12)))=0,(""),(SUM(INDEX(Proyecto!AG12:AY30,,ROWS(Precedencias!A$4:A12)))))</f>
        <v/>
      </c>
      <c r="F12" t="str">
        <f t="shared" si="2"/>
        <v/>
      </c>
      <c r="H12" s="29">
        <f t="array" aca="1" ref="H12" ca="1">IF(B12="",(""),(MAX(I$4:I$22*TRANSPOSE(Proyecto!AG12:AY12))))</f>
        <v>0</v>
      </c>
      <c r="I12" s="29">
        <f t="shared" ca="1" si="3"/>
        <v>0</v>
      </c>
      <c r="J12" s="8" t="str">
        <f t="shared" si="4"/>
        <v/>
      </c>
      <c r="K12" s="8" t="str">
        <f t="array" ref="K12">IF(A12="",(""),(MIN(IF(INDEX(Proyecto!$AG$4:$AY$22,,ROWS(Precedencias!$A$4:A12))=0,$B$24,INDEX(Proyecto!$AG$4:$AY$22,,ROWS(Precedencias!A$4:A12))*J$4:J$22))))</f>
        <v/>
      </c>
      <c r="L12" s="8" t="str">
        <f t="shared" si="5"/>
        <v/>
      </c>
      <c r="M12" s="29" t="str">
        <f t="array" ref="M12">IF(A12="",(""),(MIN(IF(INDEX(Proyecto!$AG$4:$AY$22,,ROWS(Precedencias!A$4:A12))=0,($B$24),(INDEX(Proyecto!$AG$4:$AY$22,,ROWS(Precedencias!A$4:A12))*H$4:H$22)))-I12))</f>
        <v/>
      </c>
      <c r="N12" s="3" t="str">
        <f t="shared" si="0"/>
        <v/>
      </c>
      <c r="O12" s="40"/>
      <c r="P12" s="8">
        <f t="array" aca="1" ref="P12" ca="1">IF(B12="",(""),(MAX(IF($T$4:$T$22="",$I$4:$I$22,$T$4:$T$22+$B$4:$B$22)*TRANSPOSE(Proyecto!AG12:AY12))))</f>
        <v>0</v>
      </c>
      <c r="Q12" s="106" t="str">
        <f t="shared" si="6"/>
        <v/>
      </c>
      <c r="R12" t="str">
        <f t="shared" si="1"/>
        <v/>
      </c>
      <c r="S12" t="str">
        <f t="array" ref="S12">IF(A12="",(""),(MIN(IF(INDEX(Proyecto!$AG$4:$AY$22,,ROWS(Precedencias!A$4:A12))=0,($B$24),(INDEX(Proyecto!$AG$4:$AY$22,,ROWS(Precedencias!A$4:A12))*IF($T$4:$T$22="",H$4:H$22,$T$4:$T$22)))-IF(T12="",I12,T12+B12))))</f>
        <v/>
      </c>
      <c r="T12" s="46">
        <f ca="1">Utilización!J46</f>
        <v>0</v>
      </c>
      <c r="U12" s="7" t="str">
        <f t="shared" si="7"/>
        <v/>
      </c>
    </row>
    <row r="13" spans="1:21" x14ac:dyDescent="0.25">
      <c r="A13" s="19" t="str">
        <f>Utilización!A47</f>
        <v/>
      </c>
      <c r="B13" s="35" t="str">
        <f>IF(A13="",("0"),(Utilización!B47))</f>
        <v>0</v>
      </c>
      <c r="D13" s="35" t="str">
        <f t="array" ref="D13">IF(SUM(Proyecto!AG13:AY13)=0,(""),(SUM(Proyecto!AG13:AY13)))</f>
        <v/>
      </c>
      <c r="E13" s="27" t="str">
        <f t="array" ref="E13">IF(SUM(INDEX(Proyecto!AG13:AY31,,ROWS(Precedencias!A$4:A13)))=0,(""),(SUM(INDEX(Proyecto!AG13:AY31,,ROWS(Precedencias!A$4:A13)))))</f>
        <v/>
      </c>
      <c r="F13" t="str">
        <f t="shared" si="2"/>
        <v/>
      </c>
      <c r="H13" s="29">
        <f t="array" aca="1" ref="H13" ca="1">IF(B13="",(""),(MAX(I$4:I$22*TRANSPOSE(Proyecto!AG13:AY13))))</f>
        <v>0</v>
      </c>
      <c r="I13" s="29">
        <f t="shared" ca="1" si="3"/>
        <v>0</v>
      </c>
      <c r="J13" s="8" t="str">
        <f t="shared" si="4"/>
        <v/>
      </c>
      <c r="K13" s="8" t="str">
        <f t="array" ref="K13">IF(A13="",(""),(MIN(IF(INDEX(Proyecto!$AG$4:$AY$22,,ROWS(Precedencias!$A$4:A13))=0,$B$24,INDEX(Proyecto!$AG$4:$AY$22,,ROWS(Precedencias!A$4:A13))*J$4:J$22))))</f>
        <v/>
      </c>
      <c r="L13" s="8" t="str">
        <f t="shared" si="5"/>
        <v/>
      </c>
      <c r="M13" s="29" t="str">
        <f t="array" ref="M13">IF(A13="",(""),(MIN(IF(INDEX(Proyecto!$AG$4:$AY$22,,ROWS(Precedencias!A$4:A13))=0,($B$24),(INDEX(Proyecto!$AG$4:$AY$22,,ROWS(Precedencias!A$4:A13))*H$4:H$22)))-I13))</f>
        <v/>
      </c>
      <c r="N13" s="3" t="str">
        <f t="shared" si="0"/>
        <v/>
      </c>
      <c r="O13" s="40"/>
      <c r="P13" s="8">
        <f t="array" aca="1" ref="P13" ca="1">IF(B13="",(""),(MAX(IF($T$4:$T$22="",$I$4:$I$22,$T$4:$T$22+$B$4:$B$22)*TRANSPOSE(Proyecto!AG13:AY13))))</f>
        <v>0</v>
      </c>
      <c r="Q13" s="106" t="str">
        <f t="shared" si="6"/>
        <v/>
      </c>
      <c r="R13" t="str">
        <f t="shared" si="1"/>
        <v/>
      </c>
      <c r="S13" t="str">
        <f t="array" ref="S13">IF(A13="",(""),(MIN(IF(INDEX(Proyecto!$AG$4:$AY$22,,ROWS(Precedencias!A$4:A13))=0,($B$24),(INDEX(Proyecto!$AG$4:$AY$22,,ROWS(Precedencias!A$4:A13))*IF($T$4:$T$22="",H$4:H$22,$T$4:$T$22)))-IF(T13="",I13,T13+B13))))</f>
        <v/>
      </c>
      <c r="T13" s="46">
        <f ca="1">Utilización!J47</f>
        <v>0</v>
      </c>
      <c r="U13" s="7" t="str">
        <f t="shared" si="7"/>
        <v/>
      </c>
    </row>
    <row r="14" spans="1:21" x14ac:dyDescent="0.25">
      <c r="A14" s="19" t="str">
        <f>Utilización!A48</f>
        <v/>
      </c>
      <c r="B14" s="35" t="str">
        <f>IF(A14="",("0"),(Utilización!B48))</f>
        <v>0</v>
      </c>
      <c r="D14" s="35" t="str">
        <f t="array" ref="D14">IF(SUM(Proyecto!AG14:AY14)=0,(""),(SUM(Proyecto!AG14:AY14)))</f>
        <v/>
      </c>
      <c r="E14" s="27" t="str">
        <f t="array" ref="E14">IF(SUM(INDEX(Proyecto!AG14:AY32,,ROWS(Precedencias!A$4:A14)))=0,(""),(SUM(INDEX(Proyecto!AG14:AY32,,ROWS(Precedencias!A$4:A14)))))</f>
        <v/>
      </c>
      <c r="F14" t="str">
        <f t="shared" si="2"/>
        <v/>
      </c>
      <c r="H14" s="29">
        <f t="array" aca="1" ref="H14" ca="1">IF(B14="",(""),(MAX(I$4:I$22*TRANSPOSE(Proyecto!AG14:AY14))))</f>
        <v>0</v>
      </c>
      <c r="I14" s="29">
        <f t="shared" ca="1" si="3"/>
        <v>0</v>
      </c>
      <c r="J14" s="8" t="str">
        <f t="shared" si="4"/>
        <v/>
      </c>
      <c r="K14" s="8" t="str">
        <f t="array" ref="K14">IF(A14="",(""),(MIN(IF(INDEX(Proyecto!$AG$4:$AY$22,,ROWS(Precedencias!$A$4:A14))=0,$B$24,INDEX(Proyecto!$AG$4:$AY$22,,ROWS(Precedencias!A$4:A14))*J$4:J$22))))</f>
        <v/>
      </c>
      <c r="L14" s="8" t="str">
        <f t="shared" si="5"/>
        <v/>
      </c>
      <c r="M14" s="29" t="str">
        <f t="array" ref="M14">IF(A14="",(""),(MIN(IF(INDEX(Proyecto!$AG$4:$AY$22,,ROWS(Precedencias!A$4:A14))=0,($B$24),(INDEX(Proyecto!$AG$4:$AY$22,,ROWS(Precedencias!A$4:A14))*H$4:H$22)))-I14))</f>
        <v/>
      </c>
      <c r="N14" s="3" t="str">
        <f t="shared" si="0"/>
        <v/>
      </c>
      <c r="O14" s="40"/>
      <c r="P14" s="8">
        <f t="array" aca="1" ref="P14" ca="1">IF(B14="",(""),(MAX(IF($T$4:$T$22="",$I$4:$I$22,$T$4:$T$22+$B$4:$B$22)*TRANSPOSE(Proyecto!AG14:AY14))))</f>
        <v>0</v>
      </c>
      <c r="Q14" s="106" t="str">
        <f t="shared" si="6"/>
        <v/>
      </c>
      <c r="R14" t="str">
        <f t="shared" si="1"/>
        <v/>
      </c>
      <c r="S14" t="str">
        <f t="array" ref="S14">IF(A14="",(""),(MIN(IF(INDEX(Proyecto!$AG$4:$AY$22,,ROWS(Precedencias!A$4:A14))=0,($B$24),(INDEX(Proyecto!$AG$4:$AY$22,,ROWS(Precedencias!A$4:A14))*IF($T$4:$T$22="",H$4:H$22,$T$4:$T$22)))-IF(T14="",I14,T14+B14))))</f>
        <v/>
      </c>
      <c r="T14" s="46">
        <f ca="1">Utilización!J48</f>
        <v>0</v>
      </c>
      <c r="U14" s="7" t="str">
        <f t="shared" si="7"/>
        <v/>
      </c>
    </row>
    <row r="15" spans="1:21" x14ac:dyDescent="0.25">
      <c r="A15" s="19" t="str">
        <f>Utilización!A49</f>
        <v/>
      </c>
      <c r="B15" s="35" t="str">
        <f>IF(A15="",("0"),(Utilización!B49))</f>
        <v>0</v>
      </c>
      <c r="D15" s="35" t="str">
        <f t="array" ref="D15">IF(SUM(Proyecto!AG15:AY15)=0,(""),(SUM(Proyecto!AG15:AY15)))</f>
        <v/>
      </c>
      <c r="E15" s="27" t="str">
        <f t="array" ref="E15">IF(SUM(INDEX(Proyecto!AG15:AY33,,ROWS(Precedencias!A$4:A15)))=0,(""),(SUM(INDEX(Proyecto!AG15:AY33,,ROWS(Precedencias!A$4:A15)))))</f>
        <v/>
      </c>
      <c r="F15" t="str">
        <f t="shared" si="2"/>
        <v/>
      </c>
      <c r="H15" s="29">
        <f t="array" aca="1" ref="H15" ca="1">IF(B15="",(""),(MAX(I$4:I$22*TRANSPOSE(Proyecto!AG15:AY15))))</f>
        <v>0</v>
      </c>
      <c r="I15" s="29">
        <f t="shared" ca="1" si="3"/>
        <v>0</v>
      </c>
      <c r="J15" s="8" t="str">
        <f t="shared" si="4"/>
        <v/>
      </c>
      <c r="K15" s="8" t="str">
        <f t="array" ref="K15">IF(A15="",(""),(MIN(IF(INDEX(Proyecto!$AG$4:$AY$22,,ROWS(Precedencias!$A$4:A15))=0,$B$24,INDEX(Proyecto!$AG$4:$AY$22,,ROWS(Precedencias!A$4:A15))*J$4:J$22))))</f>
        <v/>
      </c>
      <c r="L15" s="8" t="str">
        <f t="shared" si="5"/>
        <v/>
      </c>
      <c r="M15" s="29" t="str">
        <f t="array" ref="M15">IF(A15="",(""),(MIN(IF(INDEX(Proyecto!$AG$4:$AY$22,,ROWS(Precedencias!A$4:A15))=0,($B$24),(INDEX(Proyecto!$AG$4:$AY$22,,ROWS(Precedencias!A$4:A15))*H$4:H$22)))-I15))</f>
        <v/>
      </c>
      <c r="N15" s="3" t="str">
        <f t="shared" si="0"/>
        <v/>
      </c>
      <c r="O15" s="40"/>
      <c r="P15" s="8">
        <f t="array" aca="1" ref="P15" ca="1">IF(B15="",(""),(MAX(IF($T$4:$T$22="",$I$4:$I$22,$T$4:$T$22+$B$4:$B$22)*TRANSPOSE(Proyecto!AG15:AY15))))</f>
        <v>0</v>
      </c>
      <c r="Q15" s="106" t="str">
        <f t="shared" si="6"/>
        <v/>
      </c>
      <c r="R15" t="str">
        <f t="shared" si="1"/>
        <v/>
      </c>
      <c r="S15" t="str">
        <f t="array" ref="S15">IF(A15="",(""),(MIN(IF(INDEX(Proyecto!$AG$4:$AY$22,,ROWS(Precedencias!A$4:A15))=0,($B$24),(INDEX(Proyecto!$AG$4:$AY$22,,ROWS(Precedencias!A$4:A15))*IF($T$4:$T$22="",H$4:H$22,$T$4:$T$22)))-IF(T15="",I15,T15+B15))))</f>
        <v/>
      </c>
      <c r="T15" s="46">
        <f ca="1">Utilización!J49</f>
        <v>0</v>
      </c>
      <c r="U15" s="7" t="str">
        <f t="shared" si="7"/>
        <v/>
      </c>
    </row>
    <row r="16" spans="1:21" x14ac:dyDescent="0.25">
      <c r="A16" s="19" t="str">
        <f>Utilización!A50</f>
        <v/>
      </c>
      <c r="B16" s="35" t="str">
        <f>IF(A16="",("0"),(Utilización!B50))</f>
        <v>0</v>
      </c>
      <c r="D16" s="35" t="str">
        <f t="array" ref="D16">IF(SUM(Proyecto!AG16:AY16)=0,(""),(SUM(Proyecto!AG16:AY16)))</f>
        <v/>
      </c>
      <c r="E16" s="27" t="str">
        <f t="array" ref="E16">IF(SUM(INDEX(Proyecto!AG16:AY34,,ROWS(Precedencias!A$4:A16)))=0,(""),(SUM(INDEX(Proyecto!AG16:AY34,,ROWS(Precedencias!A$4:A16)))))</f>
        <v/>
      </c>
      <c r="F16" t="str">
        <f t="shared" si="2"/>
        <v/>
      </c>
      <c r="H16" s="29">
        <f t="array" aca="1" ref="H16" ca="1">IF(B16="",(""),(MAX(I$4:I$22*TRANSPOSE(Proyecto!AG16:AY16))))</f>
        <v>0</v>
      </c>
      <c r="I16" s="29">
        <f t="shared" ca="1" si="3"/>
        <v>0</v>
      </c>
      <c r="J16" s="8" t="str">
        <f t="shared" si="4"/>
        <v/>
      </c>
      <c r="K16" s="8" t="str">
        <f t="array" ref="K16">IF(A16="",(""),(MIN(IF(INDEX(Proyecto!$AG$4:$AY$22,,ROWS(Precedencias!$A$4:A16))=0,$B$24,INDEX(Proyecto!$AG$4:$AY$22,,ROWS(Precedencias!A$4:A16))*J$4:J$22))))</f>
        <v/>
      </c>
      <c r="L16" s="8" t="str">
        <f t="shared" si="5"/>
        <v/>
      </c>
      <c r="M16" s="29" t="str">
        <f t="array" ref="M16">IF(A16="",(""),(MIN(IF(INDEX(Proyecto!$AG$4:$AY$22,,ROWS(Precedencias!A$4:A16))=0,($B$24),(INDEX(Proyecto!$AG$4:$AY$22,,ROWS(Precedencias!A$4:A16))*H$4:H$22)))-I16))</f>
        <v/>
      </c>
      <c r="N16" s="3" t="str">
        <f t="shared" si="0"/>
        <v/>
      </c>
      <c r="O16" s="40"/>
      <c r="P16" s="8">
        <f t="array" aca="1" ref="P16" ca="1">IF(B16="",(""),(MAX(IF($T$4:$T$22="",$I$4:$I$22,$T$4:$T$22+$B$4:$B$22)*TRANSPOSE(Proyecto!AG16:AY16))))</f>
        <v>0</v>
      </c>
      <c r="Q16" s="106" t="str">
        <f t="shared" si="6"/>
        <v/>
      </c>
      <c r="R16" t="str">
        <f t="shared" si="1"/>
        <v/>
      </c>
      <c r="S16" t="str">
        <f t="array" ref="S16">IF(A16="",(""),(MIN(IF(INDEX(Proyecto!$AG$4:$AY$22,,ROWS(Precedencias!A$4:A16))=0,($B$24),(INDEX(Proyecto!$AG$4:$AY$22,,ROWS(Precedencias!A$4:A16))*IF($T$4:$T$22="",H$4:H$22,$T$4:$T$22)))-IF(T16="",I16,T16+B16))))</f>
        <v/>
      </c>
      <c r="T16" s="46">
        <f ca="1">Utilización!J50</f>
        <v>0</v>
      </c>
      <c r="U16" s="7" t="str">
        <f t="shared" si="7"/>
        <v/>
      </c>
    </row>
    <row r="17" spans="1:21" x14ac:dyDescent="0.25">
      <c r="A17" s="19" t="str">
        <f>Utilización!A51</f>
        <v/>
      </c>
      <c r="B17" s="35" t="str">
        <f>IF(A17="",("0"),(Utilización!B51))</f>
        <v>0</v>
      </c>
      <c r="D17" s="35" t="str">
        <f t="array" ref="D17">IF(SUM(Proyecto!AG17:AY17)=0,(""),(SUM(Proyecto!AG17:AY17)))</f>
        <v/>
      </c>
      <c r="E17" s="27" t="str">
        <f t="array" ref="E17">IF(SUM(INDEX(Proyecto!AG17:AY35,,ROWS(Precedencias!A$4:A17)))=0,(""),(SUM(INDEX(Proyecto!AG17:AY35,,ROWS(Precedencias!A$4:A17)))))</f>
        <v/>
      </c>
      <c r="F17" t="str">
        <f t="shared" si="2"/>
        <v/>
      </c>
      <c r="H17" s="29">
        <f t="array" aca="1" ref="H17" ca="1">IF(B17="",(""),(MAX(I$4:I$22*TRANSPOSE(Proyecto!AG17:AY17))))</f>
        <v>0</v>
      </c>
      <c r="I17" s="29">
        <f t="shared" ca="1" si="3"/>
        <v>0</v>
      </c>
      <c r="J17" s="8" t="str">
        <f t="shared" si="4"/>
        <v/>
      </c>
      <c r="K17" s="8" t="str">
        <f t="array" ref="K17">IF(A17="",(""),(MIN(IF(INDEX(Proyecto!$AG$4:$AY$22,,ROWS(Precedencias!$A$4:A17))=0,$B$24,INDEX(Proyecto!$AG$4:$AY$22,,ROWS(Precedencias!A$4:A17))*J$4:J$22))))</f>
        <v/>
      </c>
      <c r="L17" s="8" t="str">
        <f t="shared" si="5"/>
        <v/>
      </c>
      <c r="M17" s="29" t="str">
        <f t="array" ref="M17">IF(A17="",(""),(MIN(IF(INDEX(Proyecto!$AG$4:$AY$22,,ROWS(Precedencias!A$4:A17))=0,($B$24),(INDEX(Proyecto!$AG$4:$AY$22,,ROWS(Precedencias!A$4:A17))*H$4:H$22)))-I17))</f>
        <v/>
      </c>
      <c r="N17" s="3" t="str">
        <f t="shared" si="0"/>
        <v/>
      </c>
      <c r="O17" s="40"/>
      <c r="P17" s="8">
        <f t="array" aca="1" ref="P17" ca="1">IF(B17="",(""),(MAX(IF($T$4:$T$22="",$I$4:$I$22,$T$4:$T$22+$B$4:$B$22)*TRANSPOSE(Proyecto!AG17:AY17))))</f>
        <v>0</v>
      </c>
      <c r="Q17" s="106" t="str">
        <f t="shared" si="6"/>
        <v/>
      </c>
      <c r="R17" t="str">
        <f t="shared" si="1"/>
        <v/>
      </c>
      <c r="S17" t="str">
        <f t="array" ref="S17">IF(A17="",(""),(MIN(IF(INDEX(Proyecto!$AG$4:$AY$22,,ROWS(Precedencias!A$4:A17))=0,($B$24),(INDEX(Proyecto!$AG$4:$AY$22,,ROWS(Precedencias!A$4:A17))*IF($T$4:$T$22="",H$4:H$22,$T$4:$T$22)))-IF(T17="",I17,T17+B17))))</f>
        <v/>
      </c>
      <c r="T17" s="46">
        <f ca="1">Utilización!J51</f>
        <v>0</v>
      </c>
      <c r="U17" s="7" t="str">
        <f t="shared" si="7"/>
        <v/>
      </c>
    </row>
    <row r="18" spans="1:21" x14ac:dyDescent="0.25">
      <c r="A18" s="19" t="str">
        <f>Utilización!A52</f>
        <v/>
      </c>
      <c r="B18" s="35" t="str">
        <f>IF(A18="",("0"),(Utilización!B52))</f>
        <v>0</v>
      </c>
      <c r="D18" s="35" t="str">
        <f t="array" ref="D18">IF(SUM(Proyecto!AG18:AY18)=0,(""),(SUM(Proyecto!AG18:AY18)))</f>
        <v/>
      </c>
      <c r="E18" s="27" t="str">
        <f t="array" ref="E18">IF(SUM(INDEX(Proyecto!AG18:AY36,,ROWS(Precedencias!A$4:A18)))=0,(""),(SUM(INDEX(Proyecto!AG18:AY36,,ROWS(Precedencias!A$4:A18)))))</f>
        <v/>
      </c>
      <c r="F18" t="str">
        <f t="shared" si="2"/>
        <v/>
      </c>
      <c r="H18" s="29">
        <f t="array" aca="1" ref="H18" ca="1">IF(B18="",(""),(MAX(I$4:I$22*TRANSPOSE(Proyecto!AG18:AY18))))</f>
        <v>0</v>
      </c>
      <c r="I18" s="29">
        <f t="shared" ca="1" si="3"/>
        <v>0</v>
      </c>
      <c r="J18" s="8" t="str">
        <f t="shared" si="4"/>
        <v/>
      </c>
      <c r="K18" s="8" t="str">
        <f t="array" ref="K18">IF(A18="",(""),(MIN(IF(INDEX(Proyecto!$AG$4:$AY$22,,ROWS(Precedencias!$A$4:A18))=0,$B$24,INDEX(Proyecto!$AG$4:$AY$22,,ROWS(Precedencias!A$4:A18))*J$4:J$22))))</f>
        <v/>
      </c>
      <c r="L18" s="8" t="str">
        <f t="shared" si="5"/>
        <v/>
      </c>
      <c r="M18" s="29" t="str">
        <f t="array" ref="M18">IF(A18="",(""),(MIN(IF(INDEX(Proyecto!$AG$4:$AY$22,,ROWS(Precedencias!A$4:A18))=0,($B$24),(INDEX(Proyecto!$AG$4:$AY$22,,ROWS(Precedencias!A$4:A18))*H$4:H$22)))-I18))</f>
        <v/>
      </c>
      <c r="N18" s="3" t="str">
        <f t="shared" si="0"/>
        <v/>
      </c>
      <c r="O18" s="40"/>
      <c r="P18" s="8">
        <f t="array" aca="1" ref="P18" ca="1">IF(B18="",(""),(MAX(IF($T$4:$T$22="",$I$4:$I$22,$T$4:$T$22+$B$4:$B$22)*TRANSPOSE(Proyecto!AG18:AY18))))</f>
        <v>0</v>
      </c>
      <c r="Q18" s="106" t="str">
        <f t="shared" si="6"/>
        <v/>
      </c>
      <c r="R18" t="str">
        <f t="shared" si="1"/>
        <v/>
      </c>
      <c r="S18" t="str">
        <f t="array" ref="S18">IF(A18="",(""),(MIN(IF(INDEX(Proyecto!$AG$4:$AY$22,,ROWS(Precedencias!A$4:A18))=0,($B$24),(INDEX(Proyecto!$AG$4:$AY$22,,ROWS(Precedencias!A$4:A18))*IF($T$4:$T$22="",H$4:H$22,$T$4:$T$22)))-IF(T18="",I18,T18+B18))))</f>
        <v/>
      </c>
      <c r="T18" s="46">
        <f ca="1">Utilización!J52</f>
        <v>0</v>
      </c>
      <c r="U18" s="7" t="str">
        <f t="shared" si="7"/>
        <v/>
      </c>
    </row>
    <row r="19" spans="1:21" x14ac:dyDescent="0.25">
      <c r="A19" s="19" t="str">
        <f>Utilización!A53</f>
        <v/>
      </c>
      <c r="B19" s="35" t="str">
        <f>IF(A19="",("0"),(Utilización!B53))</f>
        <v>0</v>
      </c>
      <c r="D19" s="35" t="str">
        <f t="array" ref="D19">IF(SUM(Proyecto!AG19:AY19)=0,(""),(SUM(Proyecto!AG19:AY19)))</f>
        <v/>
      </c>
      <c r="E19" s="27" t="str">
        <f t="array" ref="E19">IF(SUM(INDEX(Proyecto!AG19:AY37,,ROWS(Precedencias!A$4:A19)))=0,(""),(SUM(INDEX(Proyecto!AG19:AY37,,ROWS(Precedencias!A$4:A19)))))</f>
        <v/>
      </c>
      <c r="F19" t="str">
        <f t="shared" si="2"/>
        <v/>
      </c>
      <c r="H19" s="29">
        <f t="array" aca="1" ref="H19" ca="1">IF(B19="",(""),(MAX(I$4:I$22*TRANSPOSE(Proyecto!AG19:AY19))))</f>
        <v>0</v>
      </c>
      <c r="I19" s="29">
        <f t="shared" ca="1" si="3"/>
        <v>0</v>
      </c>
      <c r="J19" s="8" t="str">
        <f t="shared" si="4"/>
        <v/>
      </c>
      <c r="K19" s="8" t="str">
        <f t="array" ref="K19">IF(A19="",(""),(MIN(IF(INDEX(Proyecto!$AG$4:$AY$22,,ROWS(Precedencias!$A$4:A19))=0,$B$24,INDEX(Proyecto!$AG$4:$AY$22,,ROWS(Precedencias!A$4:A19))*J$4:J$22))))</f>
        <v/>
      </c>
      <c r="L19" s="8" t="str">
        <f t="shared" si="5"/>
        <v/>
      </c>
      <c r="M19" s="29" t="str">
        <f t="array" ref="M19">IF(A19="",(""),(MIN(IF(INDEX(Proyecto!$AG$4:$AY$22,,ROWS(Precedencias!A$4:A19))=0,($B$24),(INDEX(Proyecto!$AG$4:$AY$22,,ROWS(Precedencias!A$4:A19))*H$4:H$22)))-I19))</f>
        <v/>
      </c>
      <c r="N19" s="3" t="str">
        <f t="shared" si="0"/>
        <v/>
      </c>
      <c r="O19" s="40"/>
      <c r="P19" s="8">
        <f t="array" aca="1" ref="P19" ca="1">IF(B19="",(""),(MAX(IF($T$4:$T$22="",$I$4:$I$22,$T$4:$T$22+$B$4:$B$22)*TRANSPOSE(Proyecto!AG19:AY19))))</f>
        <v>0</v>
      </c>
      <c r="Q19" s="106" t="str">
        <f t="shared" si="6"/>
        <v/>
      </c>
      <c r="R19" t="str">
        <f t="shared" si="1"/>
        <v/>
      </c>
      <c r="S19" t="str">
        <f t="array" ref="S19">IF(A19="",(""),(MIN(IF(INDEX(Proyecto!$AG$4:$AY$22,,ROWS(Precedencias!A$4:A19))=0,($B$24),(INDEX(Proyecto!$AG$4:$AY$22,,ROWS(Precedencias!A$4:A19))*IF($T$4:$T$22="",H$4:H$22,$T$4:$T$22)))-IF(T19="",I19,T19+B19))))</f>
        <v/>
      </c>
      <c r="T19" s="46">
        <f ca="1">Utilización!J53</f>
        <v>0</v>
      </c>
      <c r="U19" s="7" t="str">
        <f t="shared" si="7"/>
        <v/>
      </c>
    </row>
    <row r="20" spans="1:21" x14ac:dyDescent="0.25">
      <c r="A20" s="19" t="str">
        <f>Utilización!A54</f>
        <v/>
      </c>
      <c r="B20" s="35" t="str">
        <f>IF(A20="",("0"),(Utilización!B54))</f>
        <v>0</v>
      </c>
      <c r="D20" s="35" t="str">
        <f t="array" ref="D20">IF(SUM(Proyecto!AG20:AY20)=0,(""),(SUM(Proyecto!AG20:AY20)))</f>
        <v/>
      </c>
      <c r="E20" s="27" t="str">
        <f t="array" ref="E20">IF(SUM(INDEX(Proyecto!AG20:AY38,,ROWS(Precedencias!A$4:A20)))=0,(""),(SUM(INDEX(Proyecto!AG20:AY38,,ROWS(Precedencias!A$4:A20)))))</f>
        <v/>
      </c>
      <c r="F20" t="str">
        <f t="shared" si="2"/>
        <v/>
      </c>
      <c r="H20" s="29">
        <f t="array" aca="1" ref="H20" ca="1">IF(B20="",(""),(MAX(I$4:I$22*TRANSPOSE(Proyecto!AG20:AY20))))</f>
        <v>0</v>
      </c>
      <c r="I20" s="29">
        <f t="shared" ca="1" si="3"/>
        <v>0</v>
      </c>
      <c r="J20" s="8" t="str">
        <f t="shared" si="4"/>
        <v/>
      </c>
      <c r="K20" s="8" t="str">
        <f t="array" ref="K20">IF(A20="",(""),(MIN(IF(INDEX(Proyecto!$AG$4:$AY$22,,ROWS(Precedencias!$A$4:A20))=0,$B$24,INDEX(Proyecto!$AG$4:$AY$22,,ROWS(Precedencias!A$4:A20))*J$4:J$22))))</f>
        <v/>
      </c>
      <c r="L20" s="8" t="str">
        <f t="shared" si="5"/>
        <v/>
      </c>
      <c r="M20" s="29" t="str">
        <f t="array" ref="M20">IF(A20="",(""),(MIN(IF(INDEX(Proyecto!$AG$4:$AY$22,,ROWS(Precedencias!A$4:A20))=0,($B$24),(INDEX(Proyecto!$AG$4:$AY$22,,ROWS(Precedencias!A$4:A20))*H$4:H$22)))-I20))</f>
        <v/>
      </c>
      <c r="N20" s="3" t="str">
        <f t="shared" si="0"/>
        <v/>
      </c>
      <c r="O20" s="40"/>
      <c r="P20" s="8">
        <f t="array" aca="1" ref="P20" ca="1">IF(B20="",(""),(MAX(IF($T$4:$T$22="",$I$4:$I$22,$T$4:$T$22+$B$4:$B$22)*TRANSPOSE(Proyecto!AG20:AY20))))</f>
        <v>0</v>
      </c>
      <c r="Q20" s="106" t="str">
        <f t="shared" si="6"/>
        <v/>
      </c>
      <c r="R20" t="str">
        <f t="shared" si="1"/>
        <v/>
      </c>
      <c r="S20" t="str">
        <f t="array" ref="S20">IF(A20="",(""),(MIN(IF(INDEX(Proyecto!$AG$4:$AY$22,,ROWS(Precedencias!A$4:A20))=0,($B$24),(INDEX(Proyecto!$AG$4:$AY$22,,ROWS(Precedencias!A$4:A20))*IF($T$4:$T$22="",H$4:H$22,$T$4:$T$22)))-IF(T20="",I20,T20+B20))))</f>
        <v/>
      </c>
      <c r="T20" s="46">
        <f ca="1">Utilización!J54</f>
        <v>0</v>
      </c>
      <c r="U20" s="7" t="str">
        <f t="shared" si="7"/>
        <v/>
      </c>
    </row>
    <row r="21" spans="1:21" x14ac:dyDescent="0.25">
      <c r="A21" s="19" t="str">
        <f>Utilización!A55</f>
        <v/>
      </c>
      <c r="B21" s="35" t="str">
        <f>IF(A21="",("0"),(Utilización!B55))</f>
        <v>0</v>
      </c>
      <c r="D21" s="35" t="str">
        <f t="array" ref="D21">IF(SUM(Proyecto!AG21:AY21)=0,(""),(SUM(Proyecto!AG21:AY21)))</f>
        <v/>
      </c>
      <c r="E21" s="27" t="str">
        <f t="array" ref="E21">IF(SUM(INDEX(Proyecto!AG21:AY39,,ROWS(Precedencias!A$4:A21)))=0,(""),(SUM(INDEX(Proyecto!AG21:AY39,,ROWS(Precedencias!A$4:A21)))))</f>
        <v/>
      </c>
      <c r="F21" t="str">
        <f t="shared" si="2"/>
        <v/>
      </c>
      <c r="H21" s="29">
        <f t="array" aca="1" ref="H21" ca="1">IF(B21="",(""),(MAX(I$4:I$22*TRANSPOSE(Proyecto!AG21:AY21))))</f>
        <v>0</v>
      </c>
      <c r="I21" s="29">
        <f t="shared" ca="1" si="3"/>
        <v>0</v>
      </c>
      <c r="J21" s="8" t="str">
        <f t="shared" si="4"/>
        <v/>
      </c>
      <c r="K21" s="8" t="str">
        <f t="array" ref="K21">IF(A21="",(""),(MIN(IF(INDEX(Proyecto!$AG$4:$AY$22,,ROWS(Precedencias!$A$4:A21))=0,$B$24,INDEX(Proyecto!$AG$4:$AY$22,,ROWS(Precedencias!A$4:A21))*J$4:J$22))))</f>
        <v/>
      </c>
      <c r="L21" s="8" t="str">
        <f t="shared" si="5"/>
        <v/>
      </c>
      <c r="M21" s="29" t="str">
        <f t="array" ref="M21">IF(A21="",(""),(MIN(IF(INDEX(Proyecto!$AG$4:$AY$22,,ROWS(Precedencias!A$4:A21))=0,($B$24),(INDEX(Proyecto!$AG$4:$AY$22,,ROWS(Precedencias!A$4:A21))*H$4:H$22)))-I21))</f>
        <v/>
      </c>
      <c r="N21" s="3" t="str">
        <f t="shared" si="0"/>
        <v/>
      </c>
      <c r="O21" s="40"/>
      <c r="P21" s="8">
        <f t="array" aca="1" ref="P21" ca="1">IF(B21="",(""),(MAX(IF($T$4:$T$22="",$I$4:$I$22,$T$4:$T$22+$B$4:$B$22)*TRANSPOSE(Proyecto!AG21:AY21))))</f>
        <v>0</v>
      </c>
      <c r="Q21" s="106" t="str">
        <f t="shared" si="6"/>
        <v/>
      </c>
      <c r="R21" t="str">
        <f t="shared" si="1"/>
        <v/>
      </c>
      <c r="S21" t="str">
        <f t="array" ref="S21">IF(A21="",(""),(MIN(IF(INDEX(Proyecto!$AG$4:$AY$22,,ROWS(Precedencias!A$4:A21))=0,($B$24),(INDEX(Proyecto!$AG$4:$AY$22,,ROWS(Precedencias!A$4:A21))*IF($T$4:$T$22="",H$4:H$22,$T$4:$T$22)))-IF(T21="",I21,T21+B21))))</f>
        <v/>
      </c>
      <c r="T21" s="46">
        <f ca="1">Utilización!J55</f>
        <v>0</v>
      </c>
      <c r="U21" s="7" t="str">
        <f t="shared" si="7"/>
        <v/>
      </c>
    </row>
    <row r="22" spans="1:21" x14ac:dyDescent="0.25">
      <c r="A22" s="20" t="str">
        <f>Utilización!A56</f>
        <v/>
      </c>
      <c r="B22" s="35" t="str">
        <f>IF(A22="",("0"),(Utilización!B56))</f>
        <v>0</v>
      </c>
      <c r="C22" s="36"/>
      <c r="D22" s="35" t="str">
        <f t="array" ref="D22">IF(SUM(Proyecto!AG22:AY22)=0,(""),(SUM(Proyecto!AG22:AY22)))</f>
        <v/>
      </c>
      <c r="E22" s="27" t="str">
        <f t="array" ref="E22">IF(SUM(INDEX(Proyecto!AG22:AY40,,ROWS(Precedencias!A$4:A22)))=0,(""),(SUM(INDEX(Proyecto!AG22:AY40,,ROWS(Precedencias!A$4:A22)))))</f>
        <v/>
      </c>
      <c r="F22" s="36" t="str">
        <f t="shared" ref="F22" si="8">IF(A22="",(""),(IF(D22="",("Inicial"),(IF(E22="",("Final"),("Intermedia"))))))</f>
        <v/>
      </c>
      <c r="G22" s="36"/>
      <c r="H22" s="31">
        <f t="array" aca="1" ref="H22" ca="1">IF(B22="",(""),(MAX(I$4:I$22*TRANSPOSE(Proyecto!AG22:AY22))))</f>
        <v>0</v>
      </c>
      <c r="I22" s="31">
        <f t="shared" ca="1" si="3"/>
        <v>0</v>
      </c>
      <c r="J22" s="12" t="str">
        <f t="shared" si="4"/>
        <v/>
      </c>
      <c r="K22" s="12" t="str">
        <f t="array" ref="K22">IF(A22="",(""),(MIN(IF(INDEX(Proyecto!$AG$4:$AY$22,,ROWS(Precedencias!$A$4:A22))=0,$B$24,INDEX(Proyecto!$AG$4:$AY$22,,ROWS(Precedencias!A$4:A22))*J$4:J$22))))</f>
        <v/>
      </c>
      <c r="L22" s="12" t="str">
        <f t="shared" si="5"/>
        <v/>
      </c>
      <c r="M22" s="31" t="str">
        <f t="array" ref="M22">IF(A22="",(""),(MIN(IF(INDEX(Proyecto!$AG$4:$AY$22,,ROWS(Precedencias!A$4:A22))=0,($B$24),(INDEX(Proyecto!$AG$4:$AY$22,,ROWS(Precedencias!A$4:A22))*H$4:H$22)))-I22))</f>
        <v/>
      </c>
      <c r="N22" s="42" t="str">
        <f t="shared" si="0"/>
        <v/>
      </c>
      <c r="O22" s="41"/>
      <c r="P22" s="12">
        <f t="array" aca="1" ref="P22" ca="1">IF(B22="",(""),(MAX(IF($T$4:$T$22="",$I$4:$I$22,$T$4:$T$22+$B$4:$B$22)*TRANSPOSE(Proyecto!AG22:AY22))))</f>
        <v>0</v>
      </c>
      <c r="Q22" s="107" t="str">
        <f t="shared" si="6"/>
        <v/>
      </c>
      <c r="R22" s="36" t="str">
        <f t="shared" si="1"/>
        <v/>
      </c>
      <c r="S22" s="36" t="str">
        <f t="array" ref="S22">IF(A22="",(""),(MIN(IF(INDEX(Proyecto!$AG$4:$AY$22,,ROWS(Precedencias!A$4:A22))=0,($B$24),(INDEX(Proyecto!$AG$4:$AY$22,,ROWS(Precedencias!A$4:A22))*IF($T$4:$T$22="",H$4:H$22,$T$4:$T$22)))-IF(T22="",I22,T22+B22))))</f>
        <v/>
      </c>
      <c r="T22" s="46">
        <f ca="1">Utilización!J56</f>
        <v>0</v>
      </c>
      <c r="U22" s="7" t="str">
        <f t="shared" si="7"/>
        <v/>
      </c>
    </row>
    <row r="23" spans="1:21" x14ac:dyDescent="0.25">
      <c r="H23" s="34"/>
    </row>
    <row r="24" spans="1:21" x14ac:dyDescent="0.25">
      <c r="A24" s="37" t="s">
        <v>22</v>
      </c>
      <c r="B24" s="38">
        <f>MAX(Q4:Q22)</f>
        <v>0</v>
      </c>
    </row>
  </sheetData>
  <conditionalFormatting sqref="F4:F22">
    <cfRule type="cellIs" dxfId="16" priority="6" operator="equal">
      <formula>"Intermedia"</formula>
    </cfRule>
    <cfRule type="cellIs" dxfId="15" priority="7" operator="equal">
      <formula>"Final"</formula>
    </cfRule>
    <cfRule type="cellIs" dxfId="14" priority="8" operator="equal">
      <formula>"Inicial"</formula>
    </cfRule>
  </conditionalFormatting>
  <conditionalFormatting sqref="N4:N22">
    <cfRule type="cellIs" dxfId="13" priority="2" operator="notEqual">
      <formula>""</formula>
    </cfRule>
    <cfRule type="expression" dxfId="12" priority="4" stopIfTrue="1">
      <formula>"$N$4:$N$22&lt;&gt;"""""</formula>
    </cfRule>
  </conditionalFormatting>
  <conditionalFormatting sqref="U4:U22">
    <cfRule type="cellIs" dxfId="11" priority="1" operator="notEqual">
      <formula>""</formula>
    </cfRule>
  </conditionalFormatting>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M19"/>
  <sheetViews>
    <sheetView workbookViewId="0">
      <selection activeCell="D22" sqref="D22"/>
    </sheetView>
  </sheetViews>
  <sheetFormatPr baseColWidth="10" defaultRowHeight="15" x14ac:dyDescent="0.25"/>
  <sheetData>
    <row r="1" spans="1:13" ht="21" x14ac:dyDescent="0.35">
      <c r="A1" s="45" t="s">
        <v>41</v>
      </c>
    </row>
    <row r="2" spans="1:13" ht="15" customHeight="1" x14ac:dyDescent="0.25">
      <c r="A2" s="130" t="s">
        <v>40</v>
      </c>
      <c r="B2" s="130"/>
      <c r="C2" s="130"/>
      <c r="D2" s="130"/>
      <c r="E2" s="130"/>
      <c r="F2" s="130"/>
      <c r="G2" s="130"/>
      <c r="H2" s="130"/>
      <c r="I2" s="130"/>
      <c r="J2" s="130"/>
      <c r="K2" s="130"/>
      <c r="L2" s="130"/>
      <c r="M2" s="130"/>
    </row>
    <row r="3" spans="1:13" x14ac:dyDescent="0.25">
      <c r="A3" s="130"/>
      <c r="B3" s="130"/>
      <c r="C3" s="130"/>
      <c r="D3" s="130"/>
      <c r="E3" s="130"/>
      <c r="F3" s="130"/>
      <c r="G3" s="130"/>
      <c r="H3" s="130"/>
      <c r="I3" s="130"/>
      <c r="J3" s="130"/>
      <c r="K3" s="130"/>
      <c r="L3" s="130"/>
      <c r="M3" s="130"/>
    </row>
    <row r="4" spans="1:13" x14ac:dyDescent="0.25">
      <c r="A4" s="130"/>
      <c r="B4" s="130"/>
      <c r="C4" s="130"/>
      <c r="D4" s="130"/>
      <c r="E4" s="130"/>
      <c r="F4" s="130"/>
      <c r="G4" s="130"/>
      <c r="H4" s="130"/>
      <c r="I4" s="130"/>
      <c r="J4" s="130"/>
      <c r="K4" s="130"/>
      <c r="L4" s="130"/>
      <c r="M4" s="130"/>
    </row>
    <row r="5" spans="1:13" x14ac:dyDescent="0.25">
      <c r="A5" s="130"/>
      <c r="B5" s="130"/>
      <c r="C5" s="130"/>
      <c r="D5" s="130"/>
      <c r="E5" s="130"/>
      <c r="F5" s="130"/>
      <c r="G5" s="130"/>
      <c r="H5" s="130"/>
      <c r="I5" s="130"/>
      <c r="J5" s="130"/>
      <c r="K5" s="130"/>
      <c r="L5" s="130"/>
      <c r="M5" s="130"/>
    </row>
    <row r="6" spans="1:13" x14ac:dyDescent="0.25">
      <c r="A6" s="130"/>
      <c r="B6" s="130"/>
      <c r="C6" s="130"/>
      <c r="D6" s="130"/>
      <c r="E6" s="130"/>
      <c r="F6" s="130"/>
      <c r="G6" s="130"/>
      <c r="H6" s="130"/>
      <c r="I6" s="130"/>
      <c r="J6" s="130"/>
      <c r="K6" s="130"/>
      <c r="L6" s="130"/>
      <c r="M6" s="130"/>
    </row>
    <row r="7" spans="1:13" x14ac:dyDescent="0.25">
      <c r="A7" s="44"/>
      <c r="B7" s="44"/>
      <c r="C7" s="44"/>
      <c r="D7" s="44"/>
      <c r="E7" s="44"/>
      <c r="F7" s="44"/>
      <c r="G7" s="44"/>
      <c r="H7" s="44"/>
      <c r="I7" s="44"/>
      <c r="J7" s="44"/>
      <c r="K7" s="44"/>
      <c r="L7" s="44"/>
      <c r="M7" s="44"/>
    </row>
    <row r="8" spans="1:13" ht="21" x14ac:dyDescent="0.35">
      <c r="A8" s="45" t="s">
        <v>42</v>
      </c>
      <c r="B8" s="44"/>
      <c r="C8" s="44"/>
      <c r="D8" s="44"/>
      <c r="E8" s="44"/>
      <c r="F8" s="44"/>
      <c r="G8" s="44"/>
      <c r="H8" s="44"/>
      <c r="I8" s="44"/>
      <c r="J8" s="44"/>
      <c r="K8" s="44"/>
      <c r="L8" s="44"/>
      <c r="M8" s="44"/>
    </row>
    <row r="9" spans="1:13" x14ac:dyDescent="0.25">
      <c r="A9" s="130" t="s">
        <v>43</v>
      </c>
      <c r="B9" s="130"/>
      <c r="C9" s="130"/>
      <c r="D9" s="130"/>
      <c r="E9" s="130"/>
      <c r="F9" s="130"/>
      <c r="G9" s="130"/>
      <c r="H9" s="130"/>
      <c r="I9" s="130"/>
      <c r="J9" s="130"/>
      <c r="K9" s="130"/>
      <c r="L9" s="130"/>
      <c r="M9" s="130"/>
    </row>
    <row r="10" spans="1:13" x14ac:dyDescent="0.25">
      <c r="A10" s="130"/>
      <c r="B10" s="130"/>
      <c r="C10" s="130"/>
      <c r="D10" s="130"/>
      <c r="E10" s="130"/>
      <c r="F10" s="130"/>
      <c r="G10" s="130"/>
      <c r="H10" s="130"/>
      <c r="I10" s="130"/>
      <c r="J10" s="130"/>
      <c r="K10" s="130"/>
      <c r="L10" s="130"/>
      <c r="M10" s="130"/>
    </row>
    <row r="11" spans="1:13" x14ac:dyDescent="0.25">
      <c r="A11" s="130"/>
      <c r="B11" s="130"/>
      <c r="C11" s="130"/>
      <c r="D11" s="130"/>
      <c r="E11" s="130"/>
      <c r="F11" s="130"/>
      <c r="G11" s="130"/>
      <c r="H11" s="130"/>
      <c r="I11" s="130"/>
      <c r="J11" s="130"/>
      <c r="K11" s="130"/>
      <c r="L11" s="130"/>
      <c r="M11" s="130"/>
    </row>
    <row r="12" spans="1:13" x14ac:dyDescent="0.25">
      <c r="A12" s="44"/>
      <c r="B12" s="44"/>
      <c r="C12" s="44"/>
      <c r="D12" s="44"/>
      <c r="E12" s="44"/>
      <c r="F12" s="44"/>
      <c r="G12" s="44"/>
      <c r="H12" s="44"/>
      <c r="I12" s="44"/>
      <c r="J12" s="44"/>
      <c r="K12" s="44"/>
      <c r="L12" s="44"/>
      <c r="M12" s="44"/>
    </row>
    <row r="13" spans="1:13" ht="21" x14ac:dyDescent="0.35">
      <c r="A13" s="45" t="s">
        <v>44</v>
      </c>
      <c r="B13" s="44"/>
      <c r="C13" s="44"/>
      <c r="D13" s="44"/>
      <c r="E13" s="44"/>
      <c r="F13" s="44"/>
      <c r="G13" s="44"/>
      <c r="H13" s="44"/>
      <c r="I13" s="44"/>
      <c r="J13" s="44"/>
      <c r="K13" s="44"/>
      <c r="L13" s="44"/>
      <c r="M13" s="44"/>
    </row>
    <row r="14" spans="1:13" x14ac:dyDescent="0.25">
      <c r="A14" s="130" t="s">
        <v>45</v>
      </c>
      <c r="B14" s="130"/>
      <c r="C14" s="130"/>
      <c r="D14" s="130"/>
      <c r="E14" s="130"/>
      <c r="F14" s="130"/>
      <c r="G14" s="130"/>
      <c r="H14" s="130"/>
      <c r="I14" s="130"/>
      <c r="J14" s="130"/>
      <c r="K14" s="130"/>
      <c r="L14" s="130"/>
      <c r="M14" s="130"/>
    </row>
    <row r="15" spans="1:13" ht="12.75" customHeight="1" x14ac:dyDescent="0.25">
      <c r="A15" s="130"/>
      <c r="B15" s="130"/>
      <c r="C15" s="130"/>
      <c r="D15" s="130"/>
      <c r="E15" s="130"/>
      <c r="F15" s="130"/>
      <c r="G15" s="130"/>
      <c r="H15" s="130"/>
      <c r="I15" s="130"/>
      <c r="J15" s="130"/>
      <c r="K15" s="130"/>
      <c r="L15" s="130"/>
      <c r="M15" s="130"/>
    </row>
    <row r="16" spans="1:13" ht="15" hidden="1" customHeight="1" x14ac:dyDescent="0.25">
      <c r="A16" s="130"/>
      <c r="B16" s="130"/>
      <c r="C16" s="130"/>
      <c r="D16" s="130"/>
      <c r="E16" s="130"/>
      <c r="F16" s="130"/>
      <c r="G16" s="130"/>
      <c r="H16" s="130"/>
      <c r="I16" s="130"/>
      <c r="J16" s="130"/>
      <c r="K16" s="130"/>
      <c r="L16" s="130"/>
      <c r="M16" s="130"/>
    </row>
    <row r="17" spans="1:13" ht="15" hidden="1" customHeight="1" x14ac:dyDescent="0.25">
      <c r="A17" s="130"/>
      <c r="B17" s="130"/>
      <c r="C17" s="130"/>
      <c r="D17" s="130"/>
      <c r="E17" s="130"/>
      <c r="F17" s="130"/>
      <c r="G17" s="130"/>
      <c r="H17" s="130"/>
      <c r="I17" s="130"/>
      <c r="J17" s="130"/>
      <c r="K17" s="130"/>
      <c r="L17" s="130"/>
      <c r="M17" s="130"/>
    </row>
    <row r="18" spans="1:13" ht="15" hidden="1" customHeight="1" x14ac:dyDescent="0.25">
      <c r="A18" s="130"/>
      <c r="B18" s="130"/>
      <c r="C18" s="130"/>
      <c r="D18" s="130"/>
      <c r="E18" s="130"/>
      <c r="F18" s="130"/>
      <c r="G18" s="130"/>
      <c r="H18" s="130"/>
      <c r="I18" s="130"/>
      <c r="J18" s="130"/>
      <c r="K18" s="130"/>
      <c r="L18" s="130"/>
      <c r="M18" s="130"/>
    </row>
    <row r="19" spans="1:13" ht="21" customHeight="1" x14ac:dyDescent="0.25">
      <c r="A19" s="130"/>
      <c r="B19" s="130"/>
      <c r="C19" s="130"/>
      <c r="D19" s="130"/>
      <c r="E19" s="130"/>
      <c r="F19" s="130"/>
      <c r="G19" s="130"/>
      <c r="H19" s="130"/>
      <c r="I19" s="130"/>
      <c r="J19" s="130"/>
      <c r="K19" s="130"/>
      <c r="L19" s="130"/>
      <c r="M19" s="130"/>
    </row>
  </sheetData>
  <mergeCells count="3">
    <mergeCell ref="A2:M6"/>
    <mergeCell ref="A9:M11"/>
    <mergeCell ref="A14:M19"/>
  </mergeCell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V43"/>
  <sheetViews>
    <sheetView workbookViewId="0">
      <selection activeCell="F20" sqref="F20"/>
    </sheetView>
  </sheetViews>
  <sheetFormatPr baseColWidth="10" defaultRowHeight="15" x14ac:dyDescent="0.25"/>
  <sheetData>
    <row r="1" spans="1:20" x14ac:dyDescent="0.25">
      <c r="L1" s="39"/>
      <c r="M1" s="35"/>
      <c r="N1" s="39" t="s">
        <v>83</v>
      </c>
      <c r="O1" s="35" t="s">
        <v>84</v>
      </c>
      <c r="P1" s="35" t="s">
        <v>85</v>
      </c>
      <c r="Q1" s="35" t="s">
        <v>86</v>
      </c>
      <c r="R1" s="50" t="s">
        <v>87</v>
      </c>
      <c r="S1" s="35"/>
      <c r="T1" s="58"/>
    </row>
    <row r="2" spans="1:20" x14ac:dyDescent="0.25">
      <c r="A2" s="53" t="s">
        <v>8</v>
      </c>
      <c r="E2" s="49" t="s">
        <v>46</v>
      </c>
      <c r="F2" s="47"/>
      <c r="G2" s="47"/>
      <c r="H2" s="47"/>
      <c r="I2" s="48"/>
      <c r="L2" s="76"/>
      <c r="M2" s="77"/>
      <c r="N2" s="78" t="s">
        <v>88</v>
      </c>
      <c r="O2" s="35" t="s">
        <v>84</v>
      </c>
      <c r="P2" s="35" t="s">
        <v>85</v>
      </c>
      <c r="Q2" s="35" t="s">
        <v>86</v>
      </c>
      <c r="R2" s="79" t="s">
        <v>88</v>
      </c>
      <c r="T2" s="4" t="s">
        <v>89</v>
      </c>
    </row>
    <row r="3" spans="1:20" x14ac:dyDescent="0.25">
      <c r="A3" s="51" t="s">
        <v>52</v>
      </c>
      <c r="E3" s="40">
        <v>1</v>
      </c>
      <c r="F3" t="s">
        <v>35</v>
      </c>
      <c r="I3" s="4"/>
      <c r="L3" s="39" t="str">
        <f>IF(Utilización!A38="",(""),(Utilización!A38))</f>
        <v/>
      </c>
      <c r="M3" s="35" t="str">
        <f>IF(L3="",(""),(IF(Utilización!B12="",(" "),(Utilización!B12))))</f>
        <v/>
      </c>
      <c r="N3" s="39" t="str">
        <f>IF(Utilización!A38="",(""),(COUNTIF(D24:AV24,"")))</f>
        <v/>
      </c>
      <c r="O3" s="35" t="str">
        <f>IF(Utilización!A38="",(""),(COUNTIF(D24:AV24,"Inicio")))</f>
        <v/>
      </c>
      <c r="P3" s="35" t="str">
        <f>IF(Utilización!A38="",(""),(COUNTIF(D24:AV24,"En progreso")))</f>
        <v/>
      </c>
      <c r="Q3" s="75" t="str">
        <f>IF(L3="",(""),(IF((TRIM(R3))&gt;0,(1),(""))))</f>
        <v/>
      </c>
      <c r="R3" s="50" t="str">
        <f>IF(L3="",(""),((MAX($T$3:$T$22))-(SUM(N3:Q3)))+1)</f>
        <v/>
      </c>
      <c r="S3">
        <f>SUM(N3:R3)</f>
        <v>0</v>
      </c>
      <c r="T3" s="4" t="str">
        <f>IF(L3="",(""),(SUM(N3:Q3)))</f>
        <v/>
      </c>
    </row>
    <row r="4" spans="1:20" x14ac:dyDescent="0.25">
      <c r="A4" s="51" t="s">
        <v>81</v>
      </c>
      <c r="E4" s="40">
        <v>2</v>
      </c>
      <c r="F4" t="s">
        <v>36</v>
      </c>
      <c r="I4" s="4"/>
      <c r="L4" s="40" t="str">
        <f>IF(Utilización!A39="",(""),(Utilización!A39))</f>
        <v/>
      </c>
      <c r="M4" s="35" t="str">
        <f>IF(L4="",(""),(IF(Utilización!B13="",(" "),(Utilización!B13))))</f>
        <v/>
      </c>
      <c r="N4" s="39" t="str">
        <f>IF(Utilización!A39="",(""),(COUNTIF(D25:AV25,"")))</f>
        <v/>
      </c>
      <c r="O4" s="35" t="str">
        <f>IF(Utilización!A39="",(""),(COUNTIF(D25:AV25,"Inicio")))</f>
        <v/>
      </c>
      <c r="P4" s="35" t="str">
        <f>IF(Utilización!A39="",(""),(COUNTIF(D25:AV25,"En progreso")))</f>
        <v/>
      </c>
      <c r="Q4" s="75" t="str">
        <f t="shared" ref="Q4:Q21" si="0">IF(L4="",(""),(IF((TRIM(R4))&gt;0,(1),(""))))</f>
        <v/>
      </c>
      <c r="R4" s="50" t="str">
        <f t="shared" ref="R4:R21" si="1">IF(L4="",(""),((MAX($T$3:$T$22))-(SUM(N4:Q4)))+1)</f>
        <v/>
      </c>
      <c r="S4">
        <f t="shared" ref="S4:S21" si="2">SUM(N4:R4)</f>
        <v>0</v>
      </c>
      <c r="T4" s="4" t="str">
        <f t="shared" ref="T4:T21" si="3">IF(L4="",(""),(SUM(N4:Q4)))</f>
        <v/>
      </c>
    </row>
    <row r="5" spans="1:20" x14ac:dyDescent="0.25">
      <c r="A5" s="51" t="s">
        <v>53</v>
      </c>
      <c r="E5" s="40"/>
      <c r="I5" s="4"/>
      <c r="L5" s="40" t="str">
        <f>IF(Utilización!A40="",(""),(Utilización!A40))</f>
        <v/>
      </c>
      <c r="M5" s="35" t="str">
        <f>IF(L5="",(""),(IF(Utilización!B14="",(" "),(Utilización!B14))))</f>
        <v/>
      </c>
      <c r="N5" s="39" t="str">
        <f>IF(Utilización!A40="",(""),(COUNTIF(D26:AV26,"")))</f>
        <v/>
      </c>
      <c r="O5" s="35" t="str">
        <f>IF(Utilización!A40="",(""),(COUNTIF(D26:AV26,"Inicio")))</f>
        <v/>
      </c>
      <c r="P5" s="35" t="str">
        <f>IF(Utilización!A40="",(""),(COUNTIF(D26:AV26,"En progreso")))</f>
        <v/>
      </c>
      <c r="Q5" s="75" t="str">
        <f t="shared" si="0"/>
        <v/>
      </c>
      <c r="R5" s="50" t="str">
        <f t="shared" si="1"/>
        <v/>
      </c>
      <c r="S5">
        <f t="shared" si="2"/>
        <v>0</v>
      </c>
      <c r="T5" s="4" t="str">
        <f t="shared" si="3"/>
        <v/>
      </c>
    </row>
    <row r="6" spans="1:20" x14ac:dyDescent="0.25">
      <c r="A6" s="51" t="s">
        <v>54</v>
      </c>
      <c r="E6" s="40"/>
      <c r="I6" s="4"/>
      <c r="L6" s="40" t="str">
        <f>IF(Utilización!A41="",(""),(Utilización!A41))</f>
        <v/>
      </c>
      <c r="M6" s="35" t="str">
        <f>IF(L6="",(""),(IF(Utilización!B15="",(" "),(Utilización!B15))))</f>
        <v/>
      </c>
      <c r="N6" s="39" t="str">
        <f>IF(Utilización!A41="",(""),(COUNTIF(D27:AV27,"")))</f>
        <v/>
      </c>
      <c r="O6" s="35" t="str">
        <f>IF(Utilización!A41="",(""),(COUNTIF(D27:AV27,"Inicio")))</f>
        <v/>
      </c>
      <c r="P6" s="35" t="str">
        <f>IF(Utilización!A41="",(""),(COUNTIF(D27:AV27,"En progreso")))</f>
        <v/>
      </c>
      <c r="Q6" s="75" t="str">
        <f t="shared" si="0"/>
        <v/>
      </c>
      <c r="R6" s="50" t="str">
        <f t="shared" si="1"/>
        <v/>
      </c>
      <c r="S6">
        <f t="shared" si="2"/>
        <v>0</v>
      </c>
      <c r="T6" s="4" t="str">
        <f t="shared" si="3"/>
        <v/>
      </c>
    </row>
    <row r="7" spans="1:20" x14ac:dyDescent="0.25">
      <c r="A7" s="51" t="s">
        <v>55</v>
      </c>
      <c r="E7" s="40"/>
      <c r="I7" s="4"/>
      <c r="L7" s="40" t="str">
        <f>IF(Utilización!A42="",(""),(Utilización!A42))</f>
        <v/>
      </c>
      <c r="M7" s="35" t="str">
        <f>IF(L7="",(""),(IF(Utilización!B16="",(" "),(Utilización!B16))))</f>
        <v/>
      </c>
      <c r="N7" s="39" t="str">
        <f>IF(Utilización!A42="",(""),(COUNTIF(D28:AV28,"")))</f>
        <v/>
      </c>
      <c r="O7" s="35" t="str">
        <f>IF(Utilización!A42="",(""),(COUNTIF(D28:AV28,"Inicio")))</f>
        <v/>
      </c>
      <c r="P7" s="35" t="str">
        <f>IF(Utilización!A42="",(""),(COUNTIF(D28:AV28,"En progreso")))</f>
        <v/>
      </c>
      <c r="Q7" s="75" t="str">
        <f t="shared" si="0"/>
        <v/>
      </c>
      <c r="R7" s="50" t="str">
        <f t="shared" si="1"/>
        <v/>
      </c>
      <c r="S7">
        <f t="shared" si="2"/>
        <v>0</v>
      </c>
      <c r="T7" s="4" t="str">
        <f t="shared" si="3"/>
        <v/>
      </c>
    </row>
    <row r="8" spans="1:20" x14ac:dyDescent="0.25">
      <c r="A8" s="51" t="s">
        <v>56</v>
      </c>
      <c r="E8" s="40"/>
      <c r="I8" s="4"/>
      <c r="L8" s="40" t="str">
        <f>IF(Utilización!A43="",(""),(Utilización!A43))</f>
        <v/>
      </c>
      <c r="M8" s="35" t="str">
        <f>IF(L8="",(""),(IF(Utilización!B17="",(" "),(Utilización!B17))))</f>
        <v/>
      </c>
      <c r="N8" s="39" t="str">
        <f>IF(Utilización!A43="",(""),(COUNTIF(D29:AV29,"")))</f>
        <v/>
      </c>
      <c r="O8" s="35" t="str">
        <f>IF(Utilización!A43="",(""),(COUNTIF(D29:AV29,"Inicio")))</f>
        <v/>
      </c>
      <c r="P8" s="35" t="str">
        <f>IF(Utilización!A43="",(""),(COUNTIF(D29:AV29,"En progreso")))</f>
        <v/>
      </c>
      <c r="Q8" s="75" t="str">
        <f t="shared" si="0"/>
        <v/>
      </c>
      <c r="R8" s="50" t="str">
        <f t="shared" si="1"/>
        <v/>
      </c>
      <c r="S8">
        <f t="shared" si="2"/>
        <v>0</v>
      </c>
      <c r="T8" s="4" t="str">
        <f t="shared" si="3"/>
        <v/>
      </c>
    </row>
    <row r="9" spans="1:20" x14ac:dyDescent="0.25">
      <c r="A9" s="51" t="s">
        <v>57</v>
      </c>
      <c r="E9" s="40"/>
      <c r="I9" s="4"/>
      <c r="L9" s="40" t="str">
        <f>IF(Utilización!A44="",(""),(Utilización!A44))</f>
        <v/>
      </c>
      <c r="M9" s="35" t="str">
        <f>IF(L9="",(""),(IF(Utilización!B18="",(" "),(Utilización!B18))))</f>
        <v/>
      </c>
      <c r="N9" s="39" t="str">
        <f>IF(Utilización!A44="",(""),(COUNTIF(D30:AV30,"")))</f>
        <v/>
      </c>
      <c r="O9" s="35" t="str">
        <f>IF(Utilización!A44="",(""),(COUNTIF(D30:AV30,"Inicio")))</f>
        <v/>
      </c>
      <c r="P9" s="35" t="str">
        <f>IF(Utilización!A44="",(""),(COUNTIF(D30:AV30,"En progreso")))</f>
        <v/>
      </c>
      <c r="Q9" s="75" t="str">
        <f t="shared" si="0"/>
        <v/>
      </c>
      <c r="R9" s="50" t="str">
        <f t="shared" si="1"/>
        <v/>
      </c>
      <c r="S9">
        <f t="shared" si="2"/>
        <v>0</v>
      </c>
      <c r="T9" s="4" t="str">
        <f t="shared" si="3"/>
        <v/>
      </c>
    </row>
    <row r="10" spans="1:20" x14ac:dyDescent="0.25">
      <c r="A10" s="51"/>
      <c r="E10" s="40"/>
      <c r="I10" s="4"/>
      <c r="L10" s="40" t="str">
        <f>IF(Utilización!A45="",(""),(Utilización!A45))</f>
        <v/>
      </c>
      <c r="M10" s="35" t="str">
        <f>IF(L10="",(""),(IF(Utilización!B19="",(" "),(Utilización!B19))))</f>
        <v/>
      </c>
      <c r="N10" s="39" t="str">
        <f>IF(Utilización!A45="",(""),(COUNTIF(D31:AV31,"")))</f>
        <v/>
      </c>
      <c r="O10" s="35" t="str">
        <f>IF(Utilización!A45="",(""),(COUNTIF(D31:AV31,"Inicio")))</f>
        <v/>
      </c>
      <c r="P10" s="35" t="str">
        <f>IF(Utilización!A45="",(""),(COUNTIF(D31:AV31,"En progreso")))</f>
        <v/>
      </c>
      <c r="Q10" s="75" t="str">
        <f t="shared" si="0"/>
        <v/>
      </c>
      <c r="R10" s="50" t="str">
        <f t="shared" si="1"/>
        <v/>
      </c>
      <c r="S10">
        <f t="shared" si="2"/>
        <v>0</v>
      </c>
      <c r="T10" s="4" t="str">
        <f t="shared" si="3"/>
        <v/>
      </c>
    </row>
    <row r="11" spans="1:20" x14ac:dyDescent="0.25">
      <c r="A11" s="51"/>
      <c r="E11" s="40"/>
      <c r="I11" s="4"/>
      <c r="L11" s="40" t="str">
        <f>IF(Utilización!A46="",(""),(Utilización!A46))</f>
        <v/>
      </c>
      <c r="M11" s="35" t="str">
        <f>IF(L11="",(""),(IF(Utilización!B20="",(" "),(Utilización!B20))))</f>
        <v/>
      </c>
      <c r="N11" s="39" t="str">
        <f>IF(Utilización!A46="",(""),(COUNTIF(D32:AV32,"")))</f>
        <v/>
      </c>
      <c r="O11" s="35" t="str">
        <f>IF(Utilización!A46="",(""),(COUNTIF(D32:AV32,"Inicio")))</f>
        <v/>
      </c>
      <c r="P11" s="35" t="str">
        <f>IF(Utilización!A46="",(""),(COUNTIF(D32:AV32,"En progreso")))</f>
        <v/>
      </c>
      <c r="Q11" s="75" t="str">
        <f t="shared" si="0"/>
        <v/>
      </c>
      <c r="R11" s="50" t="str">
        <f t="shared" si="1"/>
        <v/>
      </c>
      <c r="S11">
        <f t="shared" si="2"/>
        <v>0</v>
      </c>
      <c r="T11" s="4" t="str">
        <f t="shared" si="3"/>
        <v/>
      </c>
    </row>
    <row r="12" spans="1:20" x14ac:dyDescent="0.25">
      <c r="A12" s="51"/>
      <c r="E12" s="40"/>
      <c r="I12" s="4"/>
      <c r="L12" s="40" t="str">
        <f>IF(Utilización!A47="",(""),(Utilización!A47))</f>
        <v/>
      </c>
      <c r="M12" s="35" t="str">
        <f>IF(L12="",(""),(IF(Utilización!B21="",(" "),(Utilización!B21))))</f>
        <v/>
      </c>
      <c r="N12" s="39" t="str">
        <f>IF(Utilización!A47="",(""),(COUNTIF(D33:AV33,"")))</f>
        <v/>
      </c>
      <c r="O12" s="35" t="str">
        <f>IF(Utilización!A47="",(""),(COUNTIF(D33:AV33,"Inicio")))</f>
        <v/>
      </c>
      <c r="P12" s="35" t="str">
        <f>IF(Utilización!A47="",(""),(COUNTIF(D33:AV33,"En progreso")))</f>
        <v/>
      </c>
      <c r="Q12" s="75" t="str">
        <f t="shared" si="0"/>
        <v/>
      </c>
      <c r="R12" s="50" t="str">
        <f t="shared" si="1"/>
        <v/>
      </c>
      <c r="S12">
        <f t="shared" si="2"/>
        <v>0</v>
      </c>
      <c r="T12" s="4" t="str">
        <f t="shared" si="3"/>
        <v/>
      </c>
    </row>
    <row r="13" spans="1:20" x14ac:dyDescent="0.25">
      <c r="A13" s="51"/>
      <c r="E13" s="40"/>
      <c r="I13" s="4"/>
      <c r="L13" s="40" t="str">
        <f>IF(Utilización!A48="",(""),(Utilización!A48))</f>
        <v/>
      </c>
      <c r="M13" s="35" t="str">
        <f>IF(L13="",(""),(IF(Utilización!B22="",(" "),(Utilización!B22))))</f>
        <v/>
      </c>
      <c r="N13" s="39" t="str">
        <f>IF(Utilización!A48="",(""),(COUNTIF(D34:AV34,"")))</f>
        <v/>
      </c>
      <c r="O13" s="35" t="str">
        <f>IF(Utilización!A48="",(""),(COUNTIF(D34:AV34,"Inicio")))</f>
        <v/>
      </c>
      <c r="P13" s="35" t="str">
        <f>IF(Utilización!A48="",(""),(COUNTIF(D34:AV34,"En progreso")))</f>
        <v/>
      </c>
      <c r="Q13" s="75" t="str">
        <f t="shared" si="0"/>
        <v/>
      </c>
      <c r="R13" s="50" t="str">
        <f t="shared" si="1"/>
        <v/>
      </c>
      <c r="S13">
        <f t="shared" si="2"/>
        <v>0</v>
      </c>
      <c r="T13" s="4" t="str">
        <f t="shared" si="3"/>
        <v/>
      </c>
    </row>
    <row r="14" spans="1:20" x14ac:dyDescent="0.25">
      <c r="A14" s="51"/>
      <c r="E14" s="40"/>
      <c r="I14" s="4"/>
      <c r="L14" s="40" t="str">
        <f>IF(Utilización!A49="",(""),(Utilización!A49))</f>
        <v/>
      </c>
      <c r="M14" s="35" t="str">
        <f>IF(L14="",(""),(IF(Utilización!B23="",(" "),(Utilización!B23))))</f>
        <v/>
      </c>
      <c r="N14" s="39" t="str">
        <f>IF(Utilización!A49="",(""),(COUNTIF(D35:AV35,"")))</f>
        <v/>
      </c>
      <c r="O14" s="35" t="str">
        <f>IF(Utilización!A49="",(""),(COUNTIF(D35:AV35,"Inicio")))</f>
        <v/>
      </c>
      <c r="P14" s="35" t="str">
        <f>IF(Utilización!A49="",(""),(COUNTIF(D35:AV35,"En progreso")))</f>
        <v/>
      </c>
      <c r="Q14" s="75" t="str">
        <f t="shared" si="0"/>
        <v/>
      </c>
      <c r="R14" s="50" t="str">
        <f t="shared" si="1"/>
        <v/>
      </c>
      <c r="S14">
        <f t="shared" si="2"/>
        <v>0</v>
      </c>
      <c r="T14" s="4" t="str">
        <f t="shared" si="3"/>
        <v/>
      </c>
    </row>
    <row r="15" spans="1:20" x14ac:dyDescent="0.25">
      <c r="A15" s="52"/>
      <c r="E15" s="41"/>
      <c r="F15" s="36"/>
      <c r="G15" s="36"/>
      <c r="H15" s="36"/>
      <c r="I15" s="5"/>
      <c r="L15" s="40" t="str">
        <f>IF(Utilización!A50="",(""),(Utilización!A50))</f>
        <v/>
      </c>
      <c r="M15" s="35" t="str">
        <f>IF(L15="",(""),(IF(Utilización!B24="",(" "),(Utilización!B24))))</f>
        <v/>
      </c>
      <c r="N15" s="39" t="str">
        <f>IF(Utilización!A50="",(""),(COUNTIF(D36:AV36,"")))</f>
        <v/>
      </c>
      <c r="O15" s="35" t="str">
        <f>IF(Utilización!A50="",(""),(COUNTIF(D36:AV36,"Inicio")))</f>
        <v/>
      </c>
      <c r="P15" s="35" t="str">
        <f>IF(Utilización!A50="",(""),(COUNTIF(D36:AV36,"En progreso")))</f>
        <v/>
      </c>
      <c r="Q15" s="75" t="str">
        <f t="shared" si="0"/>
        <v/>
      </c>
      <c r="R15" s="50" t="str">
        <f t="shared" si="1"/>
        <v/>
      </c>
      <c r="S15">
        <f t="shared" si="2"/>
        <v>0</v>
      </c>
      <c r="T15" s="4" t="str">
        <f t="shared" si="3"/>
        <v/>
      </c>
    </row>
    <row r="16" spans="1:20" x14ac:dyDescent="0.25">
      <c r="L16" s="40" t="str">
        <f>IF(Utilización!A51="",(""),(Utilización!A51))</f>
        <v/>
      </c>
      <c r="M16" s="35" t="str">
        <f>IF(L16="",(""),(IF(Utilización!B25="",(" "),(Utilización!B25))))</f>
        <v/>
      </c>
      <c r="N16" s="39" t="str">
        <f>IF(Utilización!A51="",(""),(COUNTIF(D37:AV37,"")))</f>
        <v/>
      </c>
      <c r="O16" s="35" t="str">
        <f>IF(Utilización!A51="",(""),(COUNTIF(D37:AV37,"Inicio")))</f>
        <v/>
      </c>
      <c r="P16" s="35" t="str">
        <f>IF(Utilización!A51="",(""),(COUNTIF(D37:AV37,"En progreso")))</f>
        <v/>
      </c>
      <c r="Q16" s="75" t="str">
        <f t="shared" si="0"/>
        <v/>
      </c>
      <c r="R16" s="50" t="str">
        <f t="shared" si="1"/>
        <v/>
      </c>
      <c r="S16">
        <f t="shared" si="2"/>
        <v>0</v>
      </c>
      <c r="T16" s="4" t="str">
        <f t="shared" si="3"/>
        <v/>
      </c>
    </row>
    <row r="17" spans="1:48" x14ac:dyDescent="0.25">
      <c r="A17" s="39" t="s">
        <v>95</v>
      </c>
      <c r="B17" s="35"/>
      <c r="C17" s="35"/>
      <c r="D17" s="35"/>
      <c r="E17" s="35"/>
      <c r="F17" s="58"/>
      <c r="L17" s="40" t="str">
        <f>IF(Utilización!A52="",(""),(Utilización!A52))</f>
        <v/>
      </c>
      <c r="M17" s="35" t="str">
        <f>IF(L17="",(""),(IF(Utilización!B26="",(" "),(Utilización!B26))))</f>
        <v/>
      </c>
      <c r="N17" s="39" t="str">
        <f>IF(Utilización!A52="",(""),(COUNTIF(D38:AV38,"")))</f>
        <v/>
      </c>
      <c r="O17" s="35" t="str">
        <f>IF(Utilización!A52="",(""),(COUNTIF(D38:AV38,"Inicio")))</f>
        <v/>
      </c>
      <c r="P17" s="35" t="str">
        <f>IF(Utilización!A52="",(""),(COUNTIF(D38:AV38,"En progreso")))</f>
        <v/>
      </c>
      <c r="Q17" s="75" t="str">
        <f t="shared" si="0"/>
        <v/>
      </c>
      <c r="R17" s="50" t="str">
        <f t="shared" si="1"/>
        <v/>
      </c>
      <c r="S17">
        <f t="shared" si="2"/>
        <v>0</v>
      </c>
      <c r="T17" s="4" t="str">
        <f t="shared" si="3"/>
        <v/>
      </c>
    </row>
    <row r="18" spans="1:48" x14ac:dyDescent="0.25">
      <c r="A18" s="40" t="s">
        <v>84</v>
      </c>
      <c r="F18" s="4" t="s">
        <v>96</v>
      </c>
      <c r="L18" s="40" t="str">
        <f>IF(Utilización!A53="",(""),(Utilización!A53))</f>
        <v/>
      </c>
      <c r="M18" s="35" t="str">
        <f>IF(L18="",(""),(IF(Utilización!B27="",(" "),(Utilización!B27))))</f>
        <v/>
      </c>
      <c r="N18" s="39" t="str">
        <f>IF(Utilización!A53="",(""),(COUNTIF(D39:AV39,"")))</f>
        <v/>
      </c>
      <c r="O18" s="35" t="str">
        <f>IF(Utilización!A53="",(""),(COUNTIF(D39:AV39,"Inicio")))</f>
        <v/>
      </c>
      <c r="P18" s="35" t="str">
        <f>IF(Utilización!A53="",(""),(COUNTIF(D39:AV39,"En progreso")))</f>
        <v/>
      </c>
      <c r="Q18" s="75" t="str">
        <f t="shared" si="0"/>
        <v/>
      </c>
      <c r="R18" s="50" t="str">
        <f t="shared" si="1"/>
        <v/>
      </c>
      <c r="S18">
        <f t="shared" si="2"/>
        <v>0</v>
      </c>
      <c r="T18" s="4" t="str">
        <f t="shared" si="3"/>
        <v/>
      </c>
    </row>
    <row r="19" spans="1:48" x14ac:dyDescent="0.25">
      <c r="A19" s="93">
        <f>Utilización!J9</f>
        <v>45292</v>
      </c>
      <c r="B19" s="70">
        <f>(($F$19-$A$19)/5)+A19</f>
        <v>45292</v>
      </c>
      <c r="C19" s="70">
        <f t="shared" ref="C19:E19" si="4">(($F$19-$A$19)/5)+B19</f>
        <v>45292</v>
      </c>
      <c r="D19" s="70">
        <f t="shared" si="4"/>
        <v>45292</v>
      </c>
      <c r="E19" s="70">
        <f t="shared" si="4"/>
        <v>45292</v>
      </c>
      <c r="F19" s="94">
        <f>MAX(Utilización!$G$65:$G$83)</f>
        <v>45292</v>
      </c>
      <c r="L19" s="40" t="str">
        <f>IF(Utilización!A54="",(""),(Utilización!A54))</f>
        <v/>
      </c>
      <c r="M19" s="35" t="str">
        <f>IF(L19="",(""),(IF(Utilización!B28="",(" "),(Utilización!B28))))</f>
        <v/>
      </c>
      <c r="N19" s="39" t="str">
        <f>IF(Utilización!A54="",(""),(COUNTIF(D40:AV40,"")))</f>
        <v/>
      </c>
      <c r="O19" s="35" t="str">
        <f>IF(Utilización!A54="",(""),(COUNTIF(D40:AV40,"Inicio")))</f>
        <v/>
      </c>
      <c r="P19" s="35" t="str">
        <f>IF(Utilización!A54="",(""),(COUNTIF(D40:AV40,"En progreso")))</f>
        <v/>
      </c>
      <c r="Q19" s="75" t="str">
        <f t="shared" si="0"/>
        <v/>
      </c>
      <c r="R19" s="50" t="str">
        <f t="shared" si="1"/>
        <v/>
      </c>
      <c r="S19">
        <f t="shared" si="2"/>
        <v>0</v>
      </c>
      <c r="T19" s="4" t="str">
        <f t="shared" si="3"/>
        <v/>
      </c>
    </row>
    <row r="20" spans="1:48" x14ac:dyDescent="0.25">
      <c r="L20" s="40" t="str">
        <f>IF(Utilización!A55="",(""),(Utilización!A55))</f>
        <v/>
      </c>
      <c r="M20" s="35" t="str">
        <f>IF(L20="",(""),(IF(Utilización!B29="",(" "),(Utilización!B29))))</f>
        <v/>
      </c>
      <c r="N20" s="39" t="str">
        <f>IF(Utilización!A55="",(""),(COUNTIF(D41:AV41,"")))</f>
        <v/>
      </c>
      <c r="O20" s="35" t="str">
        <f>IF(Utilización!A55="",(""),(COUNTIF(D41:AV41,"Inicio")))</f>
        <v/>
      </c>
      <c r="P20" s="35" t="str">
        <f>IF(Utilización!A55="",(""),(COUNTIF(D41:AV41,"En progreso")))</f>
        <v/>
      </c>
      <c r="Q20" s="75" t="str">
        <f t="shared" si="0"/>
        <v/>
      </c>
      <c r="R20" s="50" t="str">
        <f t="shared" si="1"/>
        <v/>
      </c>
      <c r="S20">
        <f t="shared" si="2"/>
        <v>0</v>
      </c>
      <c r="T20" s="4" t="str">
        <f t="shared" si="3"/>
        <v/>
      </c>
    </row>
    <row r="21" spans="1:48" x14ac:dyDescent="0.25">
      <c r="L21" s="41" t="str">
        <f>IF(Utilización!A56="",(""),(Utilización!A56))</f>
        <v/>
      </c>
      <c r="M21" s="77" t="str">
        <f>IF(L21="",(""),(IF(Utilización!B30="",(" "),(Utilización!B30))))</f>
        <v/>
      </c>
      <c r="N21" s="76" t="str">
        <f>IF(Utilización!A56="",(""),(COUNTIF(D42:AV42,"")))</f>
        <v/>
      </c>
      <c r="O21" s="77" t="str">
        <f>IF(Utilización!A56="",(""),(COUNTIF(D42:AV42,"Inicio")))</f>
        <v/>
      </c>
      <c r="P21" s="77" t="str">
        <f>IF(Utilización!A56="",(""),(COUNTIF(D42:AV42,"En progreso")))</f>
        <v/>
      </c>
      <c r="Q21" s="75" t="str">
        <f t="shared" si="0"/>
        <v/>
      </c>
      <c r="R21" s="50" t="str">
        <f t="shared" si="1"/>
        <v/>
      </c>
      <c r="S21">
        <f t="shared" si="2"/>
        <v>0</v>
      </c>
      <c r="T21" s="4" t="str">
        <f t="shared" si="3"/>
        <v/>
      </c>
    </row>
    <row r="23" spans="1:48" s="35" customFormat="1" x14ac:dyDescent="0.25">
      <c r="A23" s="39" t="s">
        <v>82</v>
      </c>
      <c r="D23" s="72">
        <f>Utilización!J9</f>
        <v>45292</v>
      </c>
      <c r="E23" s="73">
        <f>IF(Utilización!$E$9="Días",(D23+1),IF(Utilización!$E$9="Semanas",(D23+7),IF(Utilización!$E$9="Quincenas",(D23+15),IF(Utilización!$E$9="Meses",(D23+30),IF(Utilización!$E$9="Años",(D23+365),(""))))))</f>
        <v>45293</v>
      </c>
      <c r="F23" s="73">
        <f>IF(Utilización!$E$9="Días",(E23+1),IF(Utilización!$E$9="Semanas",(E23+7),IF(Utilización!$E$9="Quincenas",(E23+15),IF(Utilización!$E$9="Meses",(E23+30),IF(Utilización!$E$9="Años",(E23+365),(""))))))</f>
        <v>45294</v>
      </c>
      <c r="G23" s="73">
        <f>IF(Utilización!$E$9="Días",(F23+1),IF(Utilización!$E$9="Semanas",(F23+7),IF(Utilización!$E$9="Quincenas",(F23+15),IF(Utilización!$E$9="Meses",(F23+30),IF(Utilización!$E$9="Años",(F23+365),(""))))))</f>
        <v>45295</v>
      </c>
      <c r="H23" s="73">
        <f>IF(Utilización!$E$9="Días",(G23+1),IF(Utilización!$E$9="Semanas",(G23+7),IF(Utilización!$E$9="Quincenas",(G23+15),IF(Utilización!$E$9="Meses",(G23+30),IF(Utilización!$E$9="Años",(G23+365),(""))))))</f>
        <v>45296</v>
      </c>
      <c r="I23" s="73">
        <f>IF(Utilización!$E$9="Días",(H23+1),IF(Utilización!$E$9="Semanas",(H23+7),IF(Utilización!$E$9="Quincenas",(H23+15),IF(Utilización!$E$9="Meses",(H23+30),IF(Utilización!$E$9="Años",(H23+365),(""))))))</f>
        <v>45297</v>
      </c>
      <c r="J23" s="73">
        <f>IF(Utilización!$E$9="Días",(I23+1),IF(Utilización!$E$9="Semanas",(I23+7),IF(Utilización!$E$9="Quincenas",(I23+15),IF(Utilización!$E$9="Meses",(I23+30),IF(Utilización!$E$9="Años",(I23+365),(""))))))</f>
        <v>45298</v>
      </c>
      <c r="K23" s="73">
        <f>IF(Utilización!$E$9="Días",(J23+1),IF(Utilización!$E$9="Semanas",(J23+7),IF(Utilización!$E$9="Quincenas",(J23+15),IF(Utilización!$E$9="Meses",(J23+30),IF(Utilización!$E$9="Años",(J23+365),(""))))))</f>
        <v>45299</v>
      </c>
      <c r="L23" s="73">
        <f>IF(Utilización!$E$9="Días",(K23+1),IF(Utilización!$E$9="Semanas",(K23+7),IF(Utilización!$E$9="Quincenas",(K23+15),IF(Utilización!$E$9="Meses",(K23+30),IF(Utilización!$E$9="Años",(K23+365),(""))))))</f>
        <v>45300</v>
      </c>
      <c r="M23" s="73">
        <f>IF(Utilización!$E$9="Días",(L23+1),IF(Utilización!$E$9="Semanas",(L23+7),IF(Utilización!$E$9="Quincenas",(L23+15),IF(Utilización!$E$9="Meses",(L23+30),IF(Utilización!$E$9="Años",(L23+365),(""))))))</f>
        <v>45301</v>
      </c>
      <c r="N23" s="73">
        <f>IF(Utilización!$E$9="Días",(M23+1),IF(Utilización!$E$9="Semanas",(M23+7),IF(Utilización!$E$9="Quincenas",(M23+15),IF(Utilización!$E$9="Meses",(M23+30),IF(Utilización!$E$9="Años",(M23+365),(""))))))</f>
        <v>45302</v>
      </c>
      <c r="O23" s="73">
        <f>IF(Utilización!$E$9="Días",(N23+1),IF(Utilización!$E$9="Semanas",(N23+7),IF(Utilización!$E$9="Quincenas",(N23+15),IF(Utilización!$E$9="Meses",(N23+30),IF(Utilización!$E$9="Años",(N23+365),(""))))))</f>
        <v>45303</v>
      </c>
      <c r="P23" s="73">
        <f>IF(Utilización!$E$9="Días",(O23+1),IF(Utilización!$E$9="Semanas",(O23+7),IF(Utilización!$E$9="Quincenas",(O23+15),IF(Utilización!$E$9="Meses",(O23+30),IF(Utilización!$E$9="Años",(O23+365),(""))))))</f>
        <v>45304</v>
      </c>
      <c r="Q23" s="73">
        <f>IF(Utilización!$E$9="Días",(P23+1),IF(Utilización!$E$9="Semanas",(P23+7),IF(Utilización!$E$9="Quincenas",(P23+15),IF(Utilización!$E$9="Meses",(P23+30),IF(Utilización!$E$9="Años",(P23+365),(""))))))</f>
        <v>45305</v>
      </c>
      <c r="R23" s="73">
        <f>IF(Utilización!$E$9="Días",(Q23+1),IF(Utilización!$E$9="Semanas",(Q23+7),IF(Utilización!$E$9="Quincenas",(Q23+15),IF(Utilización!$E$9="Meses",(Q23+30),IF(Utilización!$E$9="Años",(Q23+365),(""))))))</f>
        <v>45306</v>
      </c>
      <c r="S23" s="73">
        <f>IF(Utilización!$E$9="Días",(R23+1),IF(Utilización!$E$9="Semanas",(R23+7),IF(Utilización!$E$9="Quincenas",(R23+15),IF(Utilización!$E$9="Meses",(R23+30),IF(Utilización!$E$9="Años",(R23+365),(""))))))</f>
        <v>45307</v>
      </c>
      <c r="T23" s="73">
        <f>IF(Utilización!$E$9="Días",(S23+1),IF(Utilización!$E$9="Semanas",(S23+7),IF(Utilización!$E$9="Quincenas",(S23+15),IF(Utilización!$E$9="Meses",(S23+30),IF(Utilización!$E$9="Años",(S23+365),(""))))))</f>
        <v>45308</v>
      </c>
      <c r="U23" s="73">
        <f>IF(Utilización!$E$9="Días",(T23+1),IF(Utilización!$E$9="Semanas",(T23+7),IF(Utilización!$E$9="Quincenas",(T23+15),IF(Utilización!$E$9="Meses",(T23+30),IF(Utilización!$E$9="Años",(T23+365),(""))))))</f>
        <v>45309</v>
      </c>
      <c r="V23" s="73">
        <f>IF(Utilización!$E$9="Días",(U23+1),IF(Utilización!$E$9="Semanas",(U23+7),IF(Utilización!$E$9="Quincenas",(U23+15),IF(Utilización!$E$9="Meses",(U23+30),IF(Utilización!$E$9="Años",(U23+365),(""))))))</f>
        <v>45310</v>
      </c>
      <c r="W23" s="73">
        <f>IF(Utilización!$E$9="Días",(V23+1),IF(Utilización!$E$9="Semanas",(V23+7),IF(Utilización!$E$9="Quincenas",(V23+15),IF(Utilización!$E$9="Meses",(V23+30),IF(Utilización!$E$9="Años",(V23+365),(""))))))</f>
        <v>45311</v>
      </c>
      <c r="X23" s="73">
        <f>IF(Utilización!$E$9="Días",(W23+1),IF(Utilización!$E$9="Semanas",(W23+7),IF(Utilización!$E$9="Quincenas",(W23+15),IF(Utilización!$E$9="Meses",(W23+30),IF(Utilización!$E$9="Años",(W23+365),(""))))))</f>
        <v>45312</v>
      </c>
      <c r="Y23" s="73">
        <f>IF(Utilización!$E$9="Días",(X23+1),IF(Utilización!$E$9="Semanas",(X23+7),IF(Utilización!$E$9="Quincenas",(X23+15),IF(Utilización!$E$9="Meses",(X23+30),IF(Utilización!$E$9="Años",(X23+365),(""))))))</f>
        <v>45313</v>
      </c>
      <c r="Z23" s="73">
        <f>IF(Utilización!$E$9="Días",(Y23+1),IF(Utilización!$E$9="Semanas",(Y23+7),IF(Utilización!$E$9="Quincenas",(Y23+15),IF(Utilización!$E$9="Meses",(Y23+30),IF(Utilización!$E$9="Años",(Y23+365),(""))))))</f>
        <v>45314</v>
      </c>
      <c r="AA23" s="73">
        <f>IF(Utilización!$E$9="Días",(Z23+1),IF(Utilización!$E$9="Semanas",(Z23+7),IF(Utilización!$E$9="Quincenas",(Z23+15),IF(Utilización!$E$9="Meses",(Z23+30),IF(Utilización!$E$9="Años",(Z23+365),(""))))))</f>
        <v>45315</v>
      </c>
      <c r="AB23" s="73">
        <f>IF(Utilización!$E$9="Días",(AA23+1),IF(Utilización!$E$9="Semanas",(AA23+7),IF(Utilización!$E$9="Quincenas",(AA23+15),IF(Utilización!$E$9="Meses",(AA23+30),IF(Utilización!$E$9="Años",(AA23+365),(""))))))</f>
        <v>45316</v>
      </c>
      <c r="AC23" s="73">
        <f>IF(Utilización!$E$9="Días",(AB23+1),IF(Utilización!$E$9="Semanas",(AB23+7),IF(Utilización!$E$9="Quincenas",(AB23+15),IF(Utilización!$E$9="Meses",(AB23+30),IF(Utilización!$E$9="Años",(AB23+365),(""))))))</f>
        <v>45317</v>
      </c>
      <c r="AD23" s="73">
        <f>IF(Utilización!$E$9="Días",(AC23+1),IF(Utilización!$E$9="Semanas",(AC23+7),IF(Utilización!$E$9="Quincenas",(AC23+15),IF(Utilización!$E$9="Meses",(AC23+30),IF(Utilización!$E$9="Años",(AC23+365),(""))))))</f>
        <v>45318</v>
      </c>
      <c r="AE23" s="73">
        <f>IF(Utilización!$E$9="Días",(AD23+1),IF(Utilización!$E$9="Semanas",(AD23+7),IF(Utilización!$E$9="Quincenas",(AD23+15),IF(Utilización!$E$9="Meses",(AD23+30),IF(Utilización!$E$9="Años",(AD23+365),(""))))))</f>
        <v>45319</v>
      </c>
      <c r="AF23" s="73">
        <f>IF(Utilización!$E$9="Días",(AE23+1),IF(Utilización!$E$9="Semanas",(AE23+7),IF(Utilización!$E$9="Quincenas",(AE23+15),IF(Utilización!$E$9="Meses",(AE23+30),IF(Utilización!$E$9="Años",(AE23+365),(""))))))</f>
        <v>45320</v>
      </c>
      <c r="AG23" s="73">
        <f>IF(Utilización!$E$9="Días",(AF23+1),IF(Utilización!$E$9="Semanas",(AF23+7),IF(Utilización!$E$9="Quincenas",(AF23+15),IF(Utilización!$E$9="Meses",(AF23+30),IF(Utilización!$E$9="Años",(AF23+365),(""))))))</f>
        <v>45321</v>
      </c>
      <c r="AH23" s="73">
        <f>IF(Utilización!$E$9="Días",(AG23+1),IF(Utilización!$E$9="Semanas",(AG23+7),IF(Utilización!$E$9="Quincenas",(AG23+15),IF(Utilización!$E$9="Meses",(AG23+30),IF(Utilización!$E$9="Años",(AG23+365),(""))))))</f>
        <v>45322</v>
      </c>
      <c r="AI23" s="73">
        <f>IF(Utilización!$E$9="Días",(AH23+1),IF(Utilización!$E$9="Semanas",(AH23+7),IF(Utilización!$E$9="Quincenas",(AH23+15),IF(Utilización!$E$9="Meses",(AH23+30),IF(Utilización!$E$9="Años",(AH23+365),(""))))))</f>
        <v>45323</v>
      </c>
      <c r="AJ23" s="73">
        <f>IF(Utilización!$E$9="Días",(AI23+1),IF(Utilización!$E$9="Semanas",(AI23+7),IF(Utilización!$E$9="Quincenas",(AI23+15),IF(Utilización!$E$9="Meses",(AI23+30),IF(Utilización!$E$9="Años",(AI23+365),(""))))))</f>
        <v>45324</v>
      </c>
      <c r="AK23" s="73">
        <f>IF(Utilización!$E$9="Días",(AJ23+1),IF(Utilización!$E$9="Semanas",(AJ23+7),IF(Utilización!$E$9="Quincenas",(AJ23+15),IF(Utilización!$E$9="Meses",(AJ23+30),IF(Utilización!$E$9="Años",(AJ23+365),(""))))))</f>
        <v>45325</v>
      </c>
      <c r="AL23" s="73">
        <f>IF(Utilización!$E$9="Días",(AK23+1),IF(Utilización!$E$9="Semanas",(AK23+7),IF(Utilización!$E$9="Quincenas",(AK23+15),IF(Utilización!$E$9="Meses",(AK23+30),IF(Utilización!$E$9="Años",(AK23+365),(""))))))</f>
        <v>45326</v>
      </c>
      <c r="AM23" s="73">
        <f>IF(Utilización!$E$9="Días",(AL23+1),IF(Utilización!$E$9="Semanas",(AL23+7),IF(Utilización!$E$9="Quincenas",(AL23+15),IF(Utilización!$E$9="Meses",(AL23+30),IF(Utilización!$E$9="Años",(AL23+365),(""))))))</f>
        <v>45327</v>
      </c>
      <c r="AN23" s="73">
        <f>IF(Utilización!$E$9="Días",(AM23+1),IF(Utilización!$E$9="Semanas",(AM23+7),IF(Utilización!$E$9="Quincenas",(AM23+15),IF(Utilización!$E$9="Meses",(AM23+30),IF(Utilización!$E$9="Años",(AM23+365),(""))))))</f>
        <v>45328</v>
      </c>
      <c r="AO23" s="73">
        <f>IF(Utilización!$E$9="Días",(AN23+1),IF(Utilización!$E$9="Semanas",(AN23+7),IF(Utilización!$E$9="Quincenas",(AN23+15),IF(Utilización!$E$9="Meses",(AN23+30),IF(Utilización!$E$9="Años",(AN23+365),(""))))))</f>
        <v>45329</v>
      </c>
      <c r="AP23" s="73">
        <f>IF(Utilización!$E$9="Días",(AO23+1),IF(Utilización!$E$9="Semanas",(AO23+7),IF(Utilización!$E$9="Quincenas",(AO23+15),IF(Utilización!$E$9="Meses",(AO23+30),IF(Utilización!$E$9="Años",(AO23+365),(""))))))</f>
        <v>45330</v>
      </c>
      <c r="AQ23" s="73">
        <f>IF(Utilización!$E$9="Días",(AP23+1),IF(Utilización!$E$9="Semanas",(AP23+7),IF(Utilización!$E$9="Quincenas",(AP23+15),IF(Utilización!$E$9="Meses",(AP23+30),IF(Utilización!$E$9="Años",(AP23+365),(""))))))</f>
        <v>45331</v>
      </c>
      <c r="AR23" s="73">
        <f>IF(Utilización!$E$9="Días",(AQ23+1),IF(Utilización!$E$9="Semanas",(AQ23+7),IF(Utilización!$E$9="Quincenas",(AQ23+15),IF(Utilización!$E$9="Meses",(AQ23+30),IF(Utilización!$E$9="Años",(AQ23+365),(""))))))</f>
        <v>45332</v>
      </c>
      <c r="AS23" s="73">
        <f>IF(Utilización!$E$9="Días",(AR23+1),IF(Utilización!$E$9="Semanas",(AR23+7),IF(Utilización!$E$9="Quincenas",(AR23+15),IF(Utilización!$E$9="Meses",(AR23+30),IF(Utilización!$E$9="Años",(AR23+365),(""))))))</f>
        <v>45333</v>
      </c>
      <c r="AT23" s="73">
        <f>IF(Utilización!$E$9="Días",(AS23+1),IF(Utilización!$E$9="Semanas",(AS23+7),IF(Utilización!$E$9="Quincenas",(AS23+15),IF(Utilización!$E$9="Meses",(AS23+30),IF(Utilización!$E$9="Años",(AS23+365),(""))))))</f>
        <v>45334</v>
      </c>
      <c r="AU23" s="73">
        <f>IF(Utilización!$E$9="Días",(AT23+1),IF(Utilización!$E$9="Semanas",(AT23+7),IF(Utilización!$E$9="Quincenas",(AT23+15),IF(Utilización!$E$9="Meses",(AT23+30),IF(Utilización!$E$9="Años",(AT23+365),(""))))))</f>
        <v>45335</v>
      </c>
      <c r="AV23" s="73">
        <f>IF(Utilización!$E$9="Días",(AU23+1),IF(Utilización!$E$9="Semanas",(AU23+7),IF(Utilización!$E$9="Quincenas",(AU23+15),IF(Utilización!$E$9="Meses",(AU23+30),IF(Utilización!$E$9="Años",(AU23+365),(""))))))</f>
        <v>45336</v>
      </c>
    </row>
    <row r="24" spans="1:48" x14ac:dyDescent="0.25">
      <c r="A24" s="40" t="str">
        <f>Utilización!A12</f>
        <v xml:space="preserve">A </v>
      </c>
      <c r="D24" s="35" t="str">
        <f>IF(AND(D23=Utilización!$F$65),("Inicio"),(IF(AND(D23&gt;Utilización!$F$65,D23&lt;=Utilización!$G$65),("En progreso"),(IF(AND(D23&lt;Utilización!$F$65,D23&lt;Utilización!$G$65),(""),(IF(AND(D23&gt;Utilización!$F$65,D23&gt;Utilización!$G$65),("Finalizado"),(""))))))))</f>
        <v>Inicio</v>
      </c>
      <c r="E24" s="35" t="str">
        <f>IF(AND(E23=Utilización!$F$65),("Inicio"),(IF(AND(E23&gt;Utilización!$F$65,E23&lt;=Utilización!$G$65),("En progreso"),(IF(AND(E23&lt;Utilización!$F$65,E23&lt;Utilización!$G$65),(""),(IF(AND(E23&gt;Utilización!$F$65,E23&gt;Utilización!$G$65),("Finalizado"),(""))))))))</f>
        <v>Finalizado</v>
      </c>
      <c r="F24" s="35" t="str">
        <f>IF(AND(F23=Utilización!$F$65),("Inicio"),(IF(AND(F23&gt;Utilización!$F$65,F23&lt;=Utilización!$G$65),("En progreso"),(IF(AND(F23&lt;Utilización!$F$65,F23&lt;Utilización!$G$65),(""),(IF(AND(F23&gt;Utilización!$F$65,F23&gt;Utilización!$G$65),("Finalizado"),(""))))))))</f>
        <v>Finalizado</v>
      </c>
      <c r="G24" s="35" t="str">
        <f>IF(AND(G23=Utilización!$F$65),("Inicio"),(IF(AND(G23&gt;Utilización!$F$65,G23&lt;=Utilización!$G$65),("En progreso"),(IF(AND(G23&lt;Utilización!$F$65,G23&lt;Utilización!$G$65),(""),(IF(AND(G23&gt;Utilización!$F$65,G23&gt;Utilización!$G$65),("Finalizado"),(""))))))))</f>
        <v>Finalizado</v>
      </c>
      <c r="H24" s="35" t="str">
        <f>IF(AND(H23=Utilización!$F$65),("Inicio"),(IF(AND(H23&gt;Utilización!$F$65,H23&lt;=Utilización!$G$65),("En progreso"),(IF(AND(H23&lt;Utilización!$F$65,H23&lt;Utilización!$G$65),(""),(IF(AND(H23&gt;Utilización!$F$65,H23&gt;Utilización!$G$65),("Finalizado"),(""))))))))</f>
        <v>Finalizado</v>
      </c>
      <c r="I24" s="35" t="str">
        <f>IF(AND(I23=Utilización!$F$65),("Inicio"),(IF(AND(I23&gt;Utilización!$F$65,I23&lt;=Utilización!$G$65),("En progreso"),(IF(AND(I23&lt;Utilización!$F$65,I23&lt;Utilización!$G$65),(""),(IF(AND(I23&gt;Utilización!$F$65,I23&gt;Utilización!$G$65),("Finalizado"),(""))))))))</f>
        <v>Finalizado</v>
      </c>
      <c r="J24" s="35" t="str">
        <f>IF(AND(J23=Utilización!$F$65),("Inicio"),(IF(AND(J23&gt;Utilización!$F$65,J23&lt;=Utilización!$G$65),("En progreso"),(IF(AND(J23&lt;Utilización!$F$65,J23&lt;Utilización!$G$65),(""),(IF(AND(J23&gt;Utilización!$F$65,J23&gt;Utilización!$G$65),("Finalizado"),(""))))))))</f>
        <v>Finalizado</v>
      </c>
      <c r="K24" s="35" t="str">
        <f>IF(AND(K23=Utilización!$F$65),("Inicio"),(IF(AND(K23&gt;Utilización!$F$65,K23&lt;=Utilización!$G$65),("En progreso"),(IF(AND(K23&lt;Utilización!$F$65,K23&lt;Utilización!$G$65),(""),(IF(AND(K23&gt;Utilización!$F$65,K23&gt;Utilización!$G$65),("Finalizado"),(""))))))))</f>
        <v>Finalizado</v>
      </c>
      <c r="L24" s="35" t="str">
        <f>IF(AND(L23=Utilización!$F$65),("Inicio"),(IF(AND(L23&gt;Utilización!$F$65,L23&lt;=Utilización!$G$65),("En progreso"),(IF(AND(L23&lt;Utilización!$F$65,L23&lt;Utilización!$G$65),(""),(IF(AND(L23&gt;Utilización!$F$65,L23&gt;Utilización!$G$65),("Finalizado"),(""))))))))</f>
        <v>Finalizado</v>
      </c>
      <c r="M24" s="35" t="str">
        <f>IF(AND(M23=Utilización!$F$65),("Inicio"),(IF(AND(M23&gt;Utilización!$F$65,M23&lt;=Utilización!$G$65),("En progreso"),(IF(AND(M23&lt;Utilización!$F$65,M23&lt;Utilización!$G$65),(""),(IF(AND(M23&gt;Utilización!$F$65,M23&gt;Utilización!$G$65),("Finalizado"),(""))))))))</f>
        <v>Finalizado</v>
      </c>
      <c r="N24" s="35" t="str">
        <f>IF(AND(N23=Utilización!$F$65),("Inicio"),(IF(AND(N23&gt;Utilización!$F$65,N23&lt;=Utilización!$G$65),("En progreso"),(IF(AND(N23&lt;Utilización!$F$65,N23&lt;Utilización!$G$65),(""),(IF(AND(N23&gt;Utilización!$F$65,N23&gt;Utilización!$G$65),("Finalizado"),(""))))))))</f>
        <v>Finalizado</v>
      </c>
      <c r="O24" s="35" t="str">
        <f>IF(AND(O23=Utilización!$F$65),("Inicio"),(IF(AND(O23&gt;Utilización!$F$65,O23&lt;=Utilización!$G$65),("En progreso"),(IF(AND(O23&lt;Utilización!$F$65,O23&lt;Utilización!$G$65),(""),(IF(AND(O23&gt;Utilización!$F$65,O23&gt;Utilización!$G$65),("Finalizado"),(""))))))))</f>
        <v>Finalizado</v>
      </c>
      <c r="P24" s="35" t="str">
        <f>IF(AND(P23=Utilización!$F$65),("Inicio"),(IF(AND(P23&gt;Utilización!$F$65,P23&lt;=Utilización!$G$65),("En progreso"),(IF(AND(P23&lt;Utilización!$F$65,P23&lt;Utilización!$G$65),(""),(IF(AND(P23&gt;Utilización!$F$65,P23&gt;Utilización!$G$65),("Finalizado"),(""))))))))</f>
        <v>Finalizado</v>
      </c>
      <c r="Q24" s="35" t="str">
        <f>IF(AND(Q23=Utilización!$F$65),("Inicio"),(IF(AND(Q23&gt;Utilización!$F$65,Q23&lt;=Utilización!$G$65),("En progreso"),(IF(AND(Q23&lt;Utilización!$F$65,Q23&lt;Utilización!$G$65),(""),(IF(AND(Q23&gt;Utilización!$F$65,Q23&gt;Utilización!$G$65),("Finalizado"),(""))))))))</f>
        <v>Finalizado</v>
      </c>
      <c r="R24" s="35" t="str">
        <f>IF(AND(R23=Utilización!$F$65),("Inicio"),(IF(AND(R23&gt;Utilización!$F$65,R23&lt;=Utilización!$G$65),("En progreso"),(IF(AND(R23&lt;Utilización!$F$65,R23&lt;Utilización!$G$65),(""),(IF(AND(R23&gt;Utilización!$F$65,R23&gt;Utilización!$G$65),("Finalizado"),(""))))))))</f>
        <v>Finalizado</v>
      </c>
      <c r="S24" s="35" t="str">
        <f>IF(AND(S23=Utilización!$F$65),("Inicio"),(IF(AND(S23&gt;Utilización!$F$65,S23&lt;=Utilización!$G$65),("En progreso"),(IF(AND(S23&lt;Utilización!$F$65,S23&lt;Utilización!$G$65),(""),(IF(AND(S23&gt;Utilización!$F$65,S23&gt;Utilización!$G$65),("Finalizado"),(""))))))))</f>
        <v>Finalizado</v>
      </c>
      <c r="T24" s="35" t="str">
        <f>IF(AND(T23=Utilización!$F$65),("Inicio"),(IF(AND(T23&gt;Utilización!$F$65,T23&lt;=Utilización!$G$65),("En progreso"),(IF(AND(T23&lt;Utilización!$F$65,T23&lt;Utilización!$G$65),(""),(IF(AND(T23&gt;Utilización!$F$65,T23&gt;Utilización!$G$65),("Finalizado"),(""))))))))</f>
        <v>Finalizado</v>
      </c>
      <c r="U24" s="35" t="str">
        <f>IF(AND(U23=Utilización!$F$65),("Inicio"),(IF(AND(U23&gt;Utilización!$F$65,U23&lt;=Utilización!$G$65),("En progreso"),(IF(AND(U23&lt;Utilización!$F$65,U23&lt;Utilización!$G$65),(""),(IF(AND(U23&gt;Utilización!$F$65,U23&gt;Utilización!$G$65),("Finalizado"),(""))))))))</f>
        <v>Finalizado</v>
      </c>
      <c r="V24" s="35" t="str">
        <f>IF(AND(V23=Utilización!$F$65),("Inicio"),(IF(AND(V23&gt;Utilización!$F$65,V23&lt;=Utilización!$G$65),("En progreso"),(IF(AND(V23&lt;Utilización!$F$65,V23&lt;Utilización!$G$65),(""),(IF(AND(V23&gt;Utilización!$F$65,V23&gt;Utilización!$G$65),("Finalizado"),(""))))))))</f>
        <v>Finalizado</v>
      </c>
      <c r="W24" s="35" t="str">
        <f>IF(AND(W23=Utilización!$F$65),("Inicio"),(IF(AND(W23&gt;Utilización!$F$65,W23&lt;=Utilización!$G$65),("En progreso"),(IF(AND(W23&lt;Utilización!$F$65,W23&lt;Utilización!$G$65),(""),(IF(AND(W23&gt;Utilización!$F$65,W23&gt;Utilización!$G$65),("Finalizado"),(""))))))))</f>
        <v>Finalizado</v>
      </c>
      <c r="X24" s="35" t="str">
        <f>IF(AND(X23=Utilización!$F$65),("Inicio"),(IF(AND(X23&gt;Utilización!$F$65,X23&lt;=Utilización!$G$65),("En progreso"),(IF(AND(X23&lt;Utilización!$F$65,X23&lt;Utilización!$G$65),(""),(IF(AND(X23&gt;Utilización!$F$65,X23&gt;Utilización!$G$65),("Finalizado"),(""))))))))</f>
        <v>Finalizado</v>
      </c>
      <c r="Y24" s="35" t="str">
        <f>IF(AND(Y23=Utilización!$F$65),("Inicio"),(IF(AND(Y23&gt;Utilización!$F$65,Y23&lt;=Utilización!$G$65),("En progreso"),(IF(AND(Y23&lt;Utilización!$F$65,Y23&lt;Utilización!$G$65),(""),(IF(AND(Y23&gt;Utilización!$F$65,Y23&gt;Utilización!$G$65),("Finalizado"),(""))))))))</f>
        <v>Finalizado</v>
      </c>
      <c r="Z24" s="35" t="str">
        <f>IF(AND(Z23=Utilización!$F$65),("Inicio"),(IF(AND(Z23&gt;Utilización!$F$65,Z23&lt;=Utilización!$G$65),("En progreso"),(IF(AND(Z23&lt;Utilización!$F$65,Z23&lt;Utilización!$G$65),(""),(IF(AND(Z23&gt;Utilización!$F$65,Z23&gt;Utilización!$G$65),("Finalizado"),(""))))))))</f>
        <v>Finalizado</v>
      </c>
      <c r="AA24" s="35" t="str">
        <f>IF(AND(AA23=Utilización!$F$65),("Inicio"),(IF(AND(AA23&gt;Utilización!$F$65,AA23&lt;=Utilización!$G$65),("En progreso"),(IF(AND(AA23&lt;Utilización!$F$65,AA23&lt;Utilización!$G$65),(""),(IF(AND(AA23&gt;Utilización!$F$65,AA23&gt;Utilización!$G$65),("Finalizado"),(""))))))))</f>
        <v>Finalizado</v>
      </c>
      <c r="AB24" s="35" t="str">
        <f>IF(AND(AB23=Utilización!$F$65),("Inicio"),(IF(AND(AB23&gt;Utilización!$F$65,AB23&lt;=Utilización!$G$65),("En progreso"),(IF(AND(AB23&lt;Utilización!$F$65,AB23&lt;Utilización!$G$65),(""),(IF(AND(AB23&gt;Utilización!$F$65,AB23&gt;Utilización!$G$65),("Finalizado"),(""))))))))</f>
        <v>Finalizado</v>
      </c>
      <c r="AC24" s="35" t="str">
        <f>IF(AND(AC23=Utilización!$F$65),("Inicio"),(IF(AND(AC23&gt;Utilización!$F$65,AC23&lt;=Utilización!$G$65),("En progreso"),(IF(AND(AC23&lt;Utilización!$F$65,AC23&lt;Utilización!$G$65),(""),(IF(AND(AC23&gt;Utilización!$F$65,AC23&gt;Utilización!$G$65),("Finalizado"),(""))))))))</f>
        <v>Finalizado</v>
      </c>
      <c r="AD24" s="35" t="str">
        <f>IF(AND(AD23=Utilización!$F$65),("Inicio"),(IF(AND(AD23&gt;Utilización!$F$65,AD23&lt;=Utilización!$G$65),("En progreso"),(IF(AND(AD23&lt;Utilización!$F$65,AD23&lt;Utilización!$G$65),(""),(IF(AND(AD23&gt;Utilización!$F$65,AD23&gt;Utilización!$G$65),("Finalizado"),(""))))))))</f>
        <v>Finalizado</v>
      </c>
      <c r="AE24" s="35" t="str">
        <f>IF(AND(AE23=Utilización!$F$65),("Inicio"),(IF(AND(AE23&gt;Utilización!$F$65,AE23&lt;=Utilización!$G$65),("En progreso"),(IF(AND(AE23&lt;Utilización!$F$65,AE23&lt;Utilización!$G$65),(""),(IF(AND(AE23&gt;Utilización!$F$65,AE23&gt;Utilización!$G$65),("Finalizado"),(""))))))))</f>
        <v>Finalizado</v>
      </c>
      <c r="AF24" s="35" t="str">
        <f>IF(AND(AF23=Utilización!$F$65),("Inicio"),(IF(AND(AF23&gt;Utilización!$F$65,AF23&lt;=Utilización!$G$65),("En progreso"),(IF(AND(AF23&lt;Utilización!$F$65,AF23&lt;Utilización!$G$65),(""),(IF(AND(AF23&gt;Utilización!$F$65,AF23&gt;Utilización!$G$65),("Finalizado"),(""))))))))</f>
        <v>Finalizado</v>
      </c>
      <c r="AG24" s="35" t="str">
        <f>IF(AND(AG23=Utilización!$F$65),("Inicio"),(IF(AND(AG23&gt;Utilización!$F$65,AG23&lt;=Utilización!$G$65),("En progreso"),(IF(AND(AG23&lt;Utilización!$F$65,AG23&lt;Utilización!$G$65),(""),(IF(AND(AG23&gt;Utilización!$F$65,AG23&gt;Utilización!$G$65),("Finalizado"),(""))))))))</f>
        <v>Finalizado</v>
      </c>
      <c r="AH24" s="35" t="str">
        <f>IF(AND(AH23=Utilización!$F$65),("Inicio"),(IF(AND(AH23&gt;Utilización!$F$65,AH23&lt;=Utilización!$G$65),("En progreso"),(IF(AND(AH23&lt;Utilización!$F$65,AH23&lt;Utilización!$G$65),(""),(IF(AND(AH23&gt;Utilización!$F$65,AH23&gt;Utilización!$G$65),("Finalizado"),(""))))))))</f>
        <v>Finalizado</v>
      </c>
      <c r="AI24" s="35" t="str">
        <f>IF(AND(AI23=Utilización!$F$65),("Inicio"),(IF(AND(AI23&gt;Utilización!$F$65,AI23&lt;=Utilización!$G$65),("En progreso"),(IF(AND(AI23&lt;Utilización!$F$65,AI23&lt;Utilización!$G$65),(""),(IF(AND(AI23&gt;Utilización!$F$65,AI23&gt;Utilización!$G$65),("Finalizado"),(""))))))))</f>
        <v>Finalizado</v>
      </c>
      <c r="AJ24" s="35" t="str">
        <f>IF(AND(AJ23=Utilización!$F$65),("Inicio"),(IF(AND(AJ23&gt;Utilización!$F$65,AJ23&lt;=Utilización!$G$65),("En progreso"),(IF(AND(AJ23&lt;Utilización!$F$65,AJ23&lt;Utilización!$G$65),(""),(IF(AND(AJ23&gt;Utilización!$F$65,AJ23&gt;Utilización!$G$65),("Finalizado"),(""))))))))</f>
        <v>Finalizado</v>
      </c>
      <c r="AK24" s="35" t="str">
        <f>IF(AND(AK23=Utilización!$F$65),("Inicio"),(IF(AND(AK23&gt;Utilización!$F$65,AK23&lt;=Utilización!$G$65),("En progreso"),(IF(AND(AK23&lt;Utilización!$F$65,AK23&lt;Utilización!$G$65),(""),(IF(AND(AK23&gt;Utilización!$F$65,AK23&gt;Utilización!$G$65),("Finalizado"),(""))))))))</f>
        <v>Finalizado</v>
      </c>
      <c r="AL24" s="35" t="str">
        <f>IF(AND(AL23=Utilización!$F$65),("Inicio"),(IF(AND(AL23&gt;Utilización!$F$65,AL23&lt;=Utilización!$G$65),("En progreso"),(IF(AND(AL23&lt;Utilización!$F$65,AL23&lt;Utilización!$G$65),(""),(IF(AND(AL23&gt;Utilización!$F$65,AL23&gt;Utilización!$G$65),("Finalizado"),(""))))))))</f>
        <v>Finalizado</v>
      </c>
      <c r="AM24" s="35" t="str">
        <f>IF(AND(AM23=Utilización!$F$65),("Inicio"),(IF(AND(AM23&gt;Utilización!$F$65,AM23&lt;=Utilización!$G$65),("En progreso"),(IF(AND(AM23&lt;Utilización!$F$65,AM23&lt;Utilización!$G$65),(""),(IF(AND(AM23&gt;Utilización!$F$65,AM23&gt;Utilización!$G$65),("Finalizado"),(""))))))))</f>
        <v>Finalizado</v>
      </c>
      <c r="AN24" s="35" t="str">
        <f>IF(AND(AN23=Utilización!$F$65),("Inicio"),(IF(AND(AN23&gt;Utilización!$F$65,AN23&lt;=Utilización!$G$65),("En progreso"),(IF(AND(AN23&lt;Utilización!$F$65,AN23&lt;Utilización!$G$65),(""),(IF(AND(AN23&gt;Utilización!$F$65,AN23&gt;Utilización!$G$65),("Finalizado"),(""))))))))</f>
        <v>Finalizado</v>
      </c>
      <c r="AO24" s="35" t="str">
        <f>IF(AND(AO23=Utilización!$F$65),("Inicio"),(IF(AND(AO23&gt;Utilización!$F$65,AO23&lt;=Utilización!$G$65),("En progreso"),(IF(AND(AO23&lt;Utilización!$F$65,AO23&lt;Utilización!$G$65),(""),(IF(AND(AO23&gt;Utilización!$F$65,AO23&gt;Utilización!$G$65),("Finalizado"),(""))))))))</f>
        <v>Finalizado</v>
      </c>
      <c r="AP24" s="35" t="str">
        <f>IF(AND(AP23=Utilización!$F$65),("Inicio"),(IF(AND(AP23&gt;Utilización!$F$65,AP23&lt;=Utilización!$G$65),("En progreso"),(IF(AND(AP23&lt;Utilización!$F$65,AP23&lt;Utilización!$G$65),(""),(IF(AND(AP23&gt;Utilización!$F$65,AP23&gt;Utilización!$G$65),("Finalizado"),(""))))))))</f>
        <v>Finalizado</v>
      </c>
      <c r="AQ24" s="35" t="str">
        <f>IF(AND(AQ23=Utilización!$F$65),("Inicio"),(IF(AND(AQ23&gt;Utilización!$F$65,AQ23&lt;=Utilización!$G$65),("En progreso"),(IF(AND(AQ23&lt;Utilización!$F$65,AQ23&lt;Utilización!$G$65),(""),(IF(AND(AQ23&gt;Utilización!$F$65,AQ23&gt;Utilización!$G$65),("Finalizado"),(""))))))))</f>
        <v>Finalizado</v>
      </c>
      <c r="AR24" s="35" t="str">
        <f>IF(AND(AR23=Utilización!$F$65),("Inicio"),(IF(AND(AR23&gt;Utilización!$F$65,AR23&lt;=Utilización!$G$65),("En progreso"),(IF(AND(AR23&lt;Utilización!$F$65,AR23&lt;Utilización!$G$65),(""),(IF(AND(AR23&gt;Utilización!$F$65,AR23&gt;Utilización!$G$65),("Finalizado"),(""))))))))</f>
        <v>Finalizado</v>
      </c>
      <c r="AS24" s="35" t="str">
        <f>IF(AND(AS23=Utilización!$F$65),("Inicio"),(IF(AND(AS23&gt;Utilización!$F$65,AS23&lt;=Utilización!$G$65),("En progreso"),(IF(AND(AS23&lt;Utilización!$F$65,AS23&lt;Utilización!$G$65),(""),(IF(AND(AS23&gt;Utilización!$F$65,AS23&gt;Utilización!$G$65),("Finalizado"),(""))))))))</f>
        <v>Finalizado</v>
      </c>
      <c r="AT24" s="35" t="str">
        <f>IF(AND(AT23=Utilización!$F$65),("Inicio"),(IF(AND(AT23&gt;Utilización!$F$65,AT23&lt;=Utilización!$G$65),("En progreso"),(IF(AND(AT23&lt;Utilización!$F$65,AT23&lt;Utilización!$G$65),(""),(IF(AND(AT23&gt;Utilización!$F$65,AT23&gt;Utilización!$G$65),("Finalizado"),(""))))))))</f>
        <v>Finalizado</v>
      </c>
      <c r="AU24" s="35" t="str">
        <f>IF(AND(AU23=Utilización!$F$65),("Inicio"),(IF(AND(AU23&gt;Utilización!$F$65,AU23&lt;=Utilización!$G$65),("En progreso"),(IF(AND(AU23&lt;Utilización!$F$65,AU23&lt;Utilización!$G$65),(""),(IF(AND(AU23&gt;Utilización!$F$65,AU23&gt;Utilización!$G$65),("Finalizado"),(""))))))))</f>
        <v>Finalizado</v>
      </c>
      <c r="AV24" s="35" t="str">
        <f>IF(AND(AV23=Utilización!$F$65),("Inicio"),(IF(AND(AV23&gt;Utilización!$F$65,AV23&lt;=Utilización!$G$65),("En progreso"),(IF(AND(AV23&lt;Utilización!$F$65,AV23&lt;Utilización!$G$65),(""),(IF(AND(AV23&gt;Utilización!$F$65,AV23&gt;Utilización!$G$65),("Finalizado"),(""))))))))</f>
        <v>Finalizado</v>
      </c>
    </row>
    <row r="25" spans="1:48" x14ac:dyDescent="0.25">
      <c r="A25" s="40" t="str">
        <f>Utilización!A13</f>
        <v>B</v>
      </c>
      <c r="D25" t="str">
        <f>IF(AND(D23=Utilización!$F$66),("Inicio"),(IF(AND(D23&gt;Utilización!$F$66,D23&lt;=Utilización!$G$66),("En progreso"),(IF(AND(D23&lt;Utilización!$F$66,D23&lt;Utilización!$G$66),(""),(IF(AND(D23&gt;Utilización!$F$66,D23&gt;Utilización!$G$66),("Finalizado"),(""))))))))</f>
        <v/>
      </c>
      <c r="E25" t="str">
        <f>IF(AND(E23=Utilización!$F$66),("Inicio"),(IF(AND(E23&gt;Utilización!$F$66,E23&lt;=Utilización!$G$66),("En progreso"),(IF(AND(E23&lt;Utilización!$F$66,E23&lt;Utilización!$G$66),(""),(IF(AND(E23&gt;Utilización!$F$66,E23&gt;Utilización!$G$66),("Finalizado"),(""))))))))</f>
        <v/>
      </c>
      <c r="F25" t="str">
        <f>IF(AND(F23=Utilización!$F$66),("Inicio"),(IF(AND(F23&gt;Utilización!$F$66,F23&lt;=Utilización!$G$66),("En progreso"),(IF(AND(F23&lt;Utilización!$F$66,F23&lt;Utilización!$G$66),(""),(IF(AND(F23&gt;Utilización!$F$66,F23&gt;Utilización!$G$66),("Finalizado"),(""))))))))</f>
        <v/>
      </c>
      <c r="G25" t="str">
        <f>IF(AND(G23=Utilización!$F$66),("Inicio"),(IF(AND(G23&gt;Utilización!$F$66,G23&lt;=Utilización!$G$66),("En progreso"),(IF(AND(G23&lt;Utilización!$F$66,G23&lt;Utilización!$G$66),(""),(IF(AND(G23&gt;Utilización!$F$66,G23&gt;Utilización!$G$66),("Finalizado"),(""))))))))</f>
        <v/>
      </c>
      <c r="H25" t="str">
        <f>IF(AND(H23=Utilización!$F$66),("Inicio"),(IF(AND(H23&gt;Utilización!$F$66,H23&lt;=Utilización!$G$66),("En progreso"),(IF(AND(H23&lt;Utilización!$F$66,H23&lt;Utilización!$G$66),(""),(IF(AND(H23&gt;Utilización!$F$66,H23&gt;Utilización!$G$66),("Finalizado"),(""))))))))</f>
        <v/>
      </c>
      <c r="I25" t="str">
        <f>IF(AND(I23=Utilización!$F$66),("Inicio"),(IF(AND(I23&gt;Utilización!$F$66,I23&lt;=Utilización!$G$66),("En progreso"),(IF(AND(I23&lt;Utilización!$F$66,I23&lt;Utilización!$G$66),(""),(IF(AND(I23&gt;Utilización!$F$66,I23&gt;Utilización!$G$66),("Finalizado"),(""))))))))</f>
        <v/>
      </c>
      <c r="J25" t="str">
        <f>IF(AND(J23=Utilización!$F$66),("Inicio"),(IF(AND(J23&gt;Utilización!$F$66,J23&lt;=Utilización!$G$66),("En progreso"),(IF(AND(J23&lt;Utilización!$F$66,J23&lt;Utilización!$G$66),(""),(IF(AND(J23&gt;Utilización!$F$66,J23&gt;Utilización!$G$66),("Finalizado"),(""))))))))</f>
        <v/>
      </c>
      <c r="K25" t="str">
        <f>IF(AND(K23=Utilización!$F$66),("Inicio"),(IF(AND(K23&gt;Utilización!$F$66,K23&lt;=Utilización!$G$66),("En progreso"),(IF(AND(K23&lt;Utilización!$F$66,K23&lt;Utilización!$G$66),(""),(IF(AND(K23&gt;Utilización!$F$66,K23&gt;Utilización!$G$66),("Finalizado"),(""))))))))</f>
        <v/>
      </c>
      <c r="L25" t="str">
        <f>IF(AND(L23=Utilización!$F$66),("Inicio"),(IF(AND(L23&gt;Utilización!$F$66,L23&lt;=Utilización!$G$66),("En progreso"),(IF(AND(L23&lt;Utilización!$F$66,L23&lt;Utilización!$G$66),(""),(IF(AND(L23&gt;Utilización!$F$66,L23&gt;Utilización!$G$66),("Finalizado"),(""))))))))</f>
        <v/>
      </c>
      <c r="M25" t="str">
        <f>IF(AND(M23=Utilización!$F$66),("Inicio"),(IF(AND(M23&gt;Utilización!$F$66,M23&lt;=Utilización!$G$66),("En progreso"),(IF(AND(M23&lt;Utilización!$F$66,M23&lt;Utilización!$G$66),(""),(IF(AND(M23&gt;Utilización!$F$66,M23&gt;Utilización!$G$66),("Finalizado"),(""))))))))</f>
        <v/>
      </c>
      <c r="N25" t="str">
        <f>IF(AND(N23=Utilización!$F$66),("Inicio"),(IF(AND(N23&gt;Utilización!$F$66,N23&lt;=Utilización!$G$66),("En progreso"),(IF(AND(N23&lt;Utilización!$F$66,N23&lt;Utilización!$G$66),(""),(IF(AND(N23&gt;Utilización!$F$66,N23&gt;Utilización!$G$66),("Finalizado"),(""))))))))</f>
        <v/>
      </c>
      <c r="O25" t="str">
        <f>IF(AND(O23=Utilización!$F$66),("Inicio"),(IF(AND(O23&gt;Utilización!$F$66,O23&lt;=Utilización!$G$66),("En progreso"),(IF(AND(O23&lt;Utilización!$F$66,O23&lt;Utilización!$G$66),(""),(IF(AND(O23&gt;Utilización!$F$66,O23&gt;Utilización!$G$66),("Finalizado"),(""))))))))</f>
        <v/>
      </c>
      <c r="P25" t="str">
        <f>IF(AND(P23=Utilización!$F$66),("Inicio"),(IF(AND(P23&gt;Utilización!$F$66,P23&lt;=Utilización!$G$66),("En progreso"),(IF(AND(P23&lt;Utilización!$F$66,P23&lt;Utilización!$G$66),(""),(IF(AND(P23&gt;Utilización!$F$66,P23&gt;Utilización!$G$66),("Finalizado"),(""))))))))</f>
        <v/>
      </c>
      <c r="Q25" t="str">
        <f>IF(AND(Q23=Utilización!$F$66),("Inicio"),(IF(AND(Q23&gt;Utilización!$F$66,Q23&lt;=Utilización!$G$66),("En progreso"),(IF(AND(Q23&lt;Utilización!$F$66,Q23&lt;Utilización!$G$66),(""),(IF(AND(Q23&gt;Utilización!$F$66,Q23&gt;Utilización!$G$66),("Finalizado"),(""))))))))</f>
        <v/>
      </c>
      <c r="R25" t="str">
        <f>IF(AND(R23=Utilización!$F$66),("Inicio"),(IF(AND(R23&gt;Utilización!$F$66,R23&lt;=Utilización!$G$66),("En progreso"),(IF(AND(R23&lt;Utilización!$F$66,R23&lt;Utilización!$G$66),(""),(IF(AND(R23&gt;Utilización!$F$66,R23&gt;Utilización!$G$66),("Finalizado"),(""))))))))</f>
        <v/>
      </c>
      <c r="S25" t="str">
        <f>IF(AND(S23=Utilización!$F$66),("Inicio"),(IF(AND(S23&gt;Utilización!$F$66,S23&lt;=Utilización!$G$66),("En progreso"),(IF(AND(S23&lt;Utilización!$F$66,S23&lt;Utilización!$G$66),(""),(IF(AND(S23&gt;Utilización!$F$66,S23&gt;Utilización!$G$66),("Finalizado"),(""))))))))</f>
        <v/>
      </c>
      <c r="T25" t="str">
        <f>IF(AND(T23=Utilización!$F$66),("Inicio"),(IF(AND(T23&gt;Utilización!$F$66,T23&lt;=Utilización!$G$66),("En progreso"),(IF(AND(T23&lt;Utilización!$F$66,T23&lt;Utilización!$G$66),(""),(IF(AND(T23&gt;Utilización!$F$66,T23&gt;Utilización!$G$66),("Finalizado"),(""))))))))</f>
        <v/>
      </c>
      <c r="U25" t="str">
        <f>IF(AND(U23=Utilización!$F$66),("Inicio"),(IF(AND(U23&gt;Utilización!$F$66,U23&lt;=Utilización!$G$66),("En progreso"),(IF(AND(U23&lt;Utilización!$F$66,U23&lt;Utilización!$G$66),(""),(IF(AND(U23&gt;Utilización!$F$66,U23&gt;Utilización!$G$66),("Finalizado"),(""))))))))</f>
        <v/>
      </c>
      <c r="V25" t="str">
        <f>IF(AND(V23=Utilización!$F$66),("Inicio"),(IF(AND(V23&gt;Utilización!$F$66,V23&lt;=Utilización!$G$66),("En progreso"),(IF(AND(V23&lt;Utilización!$F$66,V23&lt;Utilización!$G$66),(""),(IF(AND(V23&gt;Utilización!$F$66,V23&gt;Utilización!$G$66),("Finalizado"),(""))))))))</f>
        <v/>
      </c>
      <c r="W25" t="str">
        <f>IF(AND(W23=Utilización!$F$66),("Inicio"),(IF(AND(W23&gt;Utilización!$F$66,W23&lt;=Utilización!$G$66),("En progreso"),(IF(AND(W23&lt;Utilización!$F$66,W23&lt;Utilización!$G$66),(""),(IF(AND(W23&gt;Utilización!$F$66,W23&gt;Utilización!$G$66),("Finalizado"),(""))))))))</f>
        <v/>
      </c>
      <c r="X25" t="str">
        <f>IF(AND(X23=Utilización!$F$66),("Inicio"),(IF(AND(X23&gt;Utilización!$F$66,X23&lt;=Utilización!$G$66),("En progreso"),(IF(AND(X23&lt;Utilización!$F$66,X23&lt;Utilización!$G$66),(""),(IF(AND(X23&gt;Utilización!$F$66,X23&gt;Utilización!$G$66),("Finalizado"),(""))))))))</f>
        <v/>
      </c>
      <c r="Y25" t="str">
        <f>IF(AND(Y23=Utilización!$F$66),("Inicio"),(IF(AND(Y23&gt;Utilización!$F$66,Y23&lt;=Utilización!$G$66),("En progreso"),(IF(AND(Y23&lt;Utilización!$F$66,Y23&lt;Utilización!$G$66),(""),(IF(AND(Y23&gt;Utilización!$F$66,Y23&gt;Utilización!$G$66),("Finalizado"),(""))))))))</f>
        <v/>
      </c>
      <c r="Z25" t="str">
        <f>IF(AND(Z23=Utilización!$F$66),("Inicio"),(IF(AND(Z23&gt;Utilización!$F$66,Z23&lt;=Utilización!$G$66),("En progreso"),(IF(AND(Z23&lt;Utilización!$F$66,Z23&lt;Utilización!$G$66),(""),(IF(AND(Z23&gt;Utilización!$F$66,Z23&gt;Utilización!$G$66),("Finalizado"),(""))))))))</f>
        <v/>
      </c>
      <c r="AA25" t="str">
        <f>IF(AND(AA23=Utilización!$F$66),("Inicio"),(IF(AND(AA23&gt;Utilización!$F$66,AA23&lt;=Utilización!$G$66),("En progreso"),(IF(AND(AA23&lt;Utilización!$F$66,AA23&lt;Utilización!$G$66),(""),(IF(AND(AA23&gt;Utilización!$F$66,AA23&gt;Utilización!$G$66),("Finalizado"),(""))))))))</f>
        <v/>
      </c>
      <c r="AB25" t="str">
        <f>IF(AND(AB23=Utilización!$F$66),("Inicio"),(IF(AND(AB23&gt;Utilización!$F$66,AB23&lt;=Utilización!$G$66),("En progreso"),(IF(AND(AB23&lt;Utilización!$F$66,AB23&lt;Utilización!$G$66),(""),(IF(AND(AB23&gt;Utilización!$F$66,AB23&gt;Utilización!$G$66),("Finalizado"),(""))))))))</f>
        <v/>
      </c>
      <c r="AC25" t="str">
        <f>IF(AND(AC23=Utilización!$F$66),("Inicio"),(IF(AND(AC23&gt;Utilización!$F$66,AC23&lt;=Utilización!$G$66),("En progreso"),(IF(AND(AC23&lt;Utilización!$F$66,AC23&lt;Utilización!$G$66),(""),(IF(AND(AC23&gt;Utilización!$F$66,AC23&gt;Utilización!$G$66),("Finalizado"),(""))))))))</f>
        <v/>
      </c>
      <c r="AD25" t="str">
        <f>IF(AND(AD23=Utilización!$F$66),("Inicio"),(IF(AND(AD23&gt;Utilización!$F$66,AD23&lt;=Utilización!$G$66),("En progreso"),(IF(AND(AD23&lt;Utilización!$F$66,AD23&lt;Utilización!$G$66),(""),(IF(AND(AD23&gt;Utilización!$F$66,AD23&gt;Utilización!$G$66),("Finalizado"),(""))))))))</f>
        <v/>
      </c>
      <c r="AE25" t="str">
        <f>IF(AND(AE23=Utilización!$F$66),("Inicio"),(IF(AND(AE23&gt;Utilización!$F$66,AE23&lt;=Utilización!$G$66),("En progreso"),(IF(AND(AE23&lt;Utilización!$F$66,AE23&lt;Utilización!$G$66),(""),(IF(AND(AE23&gt;Utilización!$F$66,AE23&gt;Utilización!$G$66),("Finalizado"),(""))))))))</f>
        <v/>
      </c>
      <c r="AF25" t="str">
        <f>IF(AND(AF23=Utilización!$F$66),("Inicio"),(IF(AND(AF23&gt;Utilización!$F$66,AF23&lt;=Utilización!$G$66),("En progreso"),(IF(AND(AF23&lt;Utilización!$F$66,AF23&lt;Utilización!$G$66),(""),(IF(AND(AF23&gt;Utilización!$F$66,AF23&gt;Utilización!$G$66),("Finalizado"),(""))))))))</f>
        <v/>
      </c>
      <c r="AG25" t="str">
        <f>IF(AND(AG23=Utilización!$F$66),("Inicio"),(IF(AND(AG23&gt;Utilización!$F$66,AG23&lt;=Utilización!$G$66),("En progreso"),(IF(AND(AG23&lt;Utilización!$F$66,AG23&lt;Utilización!$G$66),(""),(IF(AND(AG23&gt;Utilización!$F$66,AG23&gt;Utilización!$G$66),("Finalizado"),(""))))))))</f>
        <v/>
      </c>
      <c r="AH25" t="str">
        <f>IF(AND(AH23=Utilización!$F$66),("Inicio"),(IF(AND(AH23&gt;Utilización!$F$66,AH23&lt;=Utilización!$G$66),("En progreso"),(IF(AND(AH23&lt;Utilización!$F$66,AH23&lt;Utilización!$G$66),(""),(IF(AND(AH23&gt;Utilización!$F$66,AH23&gt;Utilización!$G$66),("Finalizado"),(""))))))))</f>
        <v/>
      </c>
      <c r="AI25" t="str">
        <f>IF(AND(AI23=Utilización!$F$66),("Inicio"),(IF(AND(AI23&gt;Utilización!$F$66,AI23&lt;=Utilización!$G$66),("En progreso"),(IF(AND(AI23&lt;Utilización!$F$66,AI23&lt;Utilización!$G$66),(""),(IF(AND(AI23&gt;Utilización!$F$66,AI23&gt;Utilización!$G$66),("Finalizado"),(""))))))))</f>
        <v/>
      </c>
      <c r="AJ25" t="str">
        <f>IF(AND(AJ23=Utilización!$F$66),("Inicio"),(IF(AND(AJ23&gt;Utilización!$F$66,AJ23&lt;=Utilización!$G$66),("En progreso"),(IF(AND(AJ23&lt;Utilización!$F$66,AJ23&lt;Utilización!$G$66),(""),(IF(AND(AJ23&gt;Utilización!$F$66,AJ23&gt;Utilización!$G$66),("Finalizado"),(""))))))))</f>
        <v/>
      </c>
      <c r="AK25" t="str">
        <f>IF(AND(AK23=Utilización!$F$66),("Inicio"),(IF(AND(AK23&gt;Utilización!$F$66,AK23&lt;=Utilización!$G$66),("En progreso"),(IF(AND(AK23&lt;Utilización!$F$66,AK23&lt;Utilización!$G$66),(""),(IF(AND(AK23&gt;Utilización!$F$66,AK23&gt;Utilización!$G$66),("Finalizado"),(""))))))))</f>
        <v/>
      </c>
      <c r="AL25" t="str">
        <f>IF(AND(AL23=Utilización!$F$66),("Inicio"),(IF(AND(AL23&gt;Utilización!$F$66,AL23&lt;=Utilización!$G$66),("En progreso"),(IF(AND(AL23&lt;Utilización!$F$66,AL23&lt;Utilización!$G$66),(""),(IF(AND(AL23&gt;Utilización!$F$66,AL23&gt;Utilización!$G$66),("Finalizado"),(""))))))))</f>
        <v/>
      </c>
      <c r="AM25" t="str">
        <f>IF(AND(AM23=Utilización!$F$66),("Inicio"),(IF(AND(AM23&gt;Utilización!$F$66,AM23&lt;=Utilización!$G$66),("En progreso"),(IF(AND(AM23&lt;Utilización!$F$66,AM23&lt;Utilización!$G$66),(""),(IF(AND(AM23&gt;Utilización!$F$66,AM23&gt;Utilización!$G$66),("Finalizado"),(""))))))))</f>
        <v/>
      </c>
      <c r="AN25" t="str">
        <f>IF(AND(AN23=Utilización!$F$66),("Inicio"),(IF(AND(AN23&gt;Utilización!$F$66,AN23&lt;=Utilización!$G$66),("En progreso"),(IF(AND(AN23&lt;Utilización!$F$66,AN23&lt;Utilización!$G$66),(""),(IF(AND(AN23&gt;Utilización!$F$66,AN23&gt;Utilización!$G$66),("Finalizado"),(""))))))))</f>
        <v/>
      </c>
      <c r="AO25" t="str">
        <f>IF(AND(AO23=Utilización!$F$66),("Inicio"),(IF(AND(AO23&gt;Utilización!$F$66,AO23&lt;=Utilización!$G$66),("En progreso"),(IF(AND(AO23&lt;Utilización!$F$66,AO23&lt;Utilización!$G$66),(""),(IF(AND(AO23&gt;Utilización!$F$66,AO23&gt;Utilización!$G$66),("Finalizado"),(""))))))))</f>
        <v/>
      </c>
      <c r="AP25" t="str">
        <f>IF(AND(AP23=Utilización!$F$66),("Inicio"),(IF(AND(AP23&gt;Utilización!$F$66,AP23&lt;=Utilización!$G$66),("En progreso"),(IF(AND(AP23&lt;Utilización!$F$66,AP23&lt;Utilización!$G$66),(""),(IF(AND(AP23&gt;Utilización!$F$66,AP23&gt;Utilización!$G$66),("Finalizado"),(""))))))))</f>
        <v/>
      </c>
      <c r="AQ25" t="str">
        <f>IF(AND(AQ23=Utilización!$F$66),("Inicio"),(IF(AND(AQ23&gt;Utilización!$F$66,AQ23&lt;=Utilización!$G$66),("En progreso"),(IF(AND(AQ23&lt;Utilización!$F$66,AQ23&lt;Utilización!$G$66),(""),(IF(AND(AQ23&gt;Utilización!$F$66,AQ23&gt;Utilización!$G$66),("Finalizado"),(""))))))))</f>
        <v/>
      </c>
      <c r="AR25" t="str">
        <f>IF(AND(AR23=Utilización!$F$66),("Inicio"),(IF(AND(AR23&gt;Utilización!$F$66,AR23&lt;=Utilización!$G$66),("En progreso"),(IF(AND(AR23&lt;Utilización!$F$66,AR23&lt;Utilización!$G$66),(""),(IF(AND(AR23&gt;Utilización!$F$66,AR23&gt;Utilización!$G$66),("Finalizado"),(""))))))))</f>
        <v/>
      </c>
      <c r="AS25" t="str">
        <f>IF(AND(AS23=Utilización!$F$66),("Inicio"),(IF(AND(AS23&gt;Utilización!$F$66,AS23&lt;=Utilización!$G$66),("En progreso"),(IF(AND(AS23&lt;Utilización!$F$66,AS23&lt;Utilización!$G$66),(""),(IF(AND(AS23&gt;Utilización!$F$66,AS23&gt;Utilización!$G$66),("Finalizado"),(""))))))))</f>
        <v/>
      </c>
      <c r="AT25" t="str">
        <f>IF(AND(AT23=Utilización!$F$66),("Inicio"),(IF(AND(AT23&gt;Utilización!$F$66,AT23&lt;=Utilización!$G$66),("En progreso"),(IF(AND(AT23&lt;Utilización!$F$66,AT23&lt;Utilización!$G$66),(""),(IF(AND(AT23&gt;Utilización!$F$66,AT23&gt;Utilización!$G$66),("Finalizado"),(""))))))))</f>
        <v/>
      </c>
      <c r="AU25" t="str">
        <f>IF(AND(AU23=Utilización!$F$66),("Inicio"),(IF(AND(AU23&gt;Utilización!$F$66,AU23&lt;=Utilización!$G$66),("En progreso"),(IF(AND(AU23&lt;Utilización!$F$66,AU23&lt;Utilización!$G$66),(""),(IF(AND(AU23&gt;Utilización!$F$66,AU23&gt;Utilización!$G$66),("Finalizado"),(""))))))))</f>
        <v/>
      </c>
      <c r="AV25" t="str">
        <f>IF(AND(AV23=Utilización!$F$66),("Inicio"),(IF(AND(AV23&gt;Utilización!$F$66,AV23&lt;=Utilización!$G$66),("En progreso"),(IF(AND(AV23&lt;Utilización!$F$66,AV23&lt;Utilización!$G$66),(""),(IF(AND(AV23&gt;Utilización!$F$66,AV23&gt;Utilización!$G$66),("Finalizado"),(""))))))))</f>
        <v/>
      </c>
    </row>
    <row r="26" spans="1:48" x14ac:dyDescent="0.25">
      <c r="A26" s="40" t="str">
        <f>Utilización!A14</f>
        <v>C</v>
      </c>
      <c r="D26" t="str">
        <f>IF(AND(D23=Utilización!$F$67),("Inicio"),(IF(AND(D23&gt;Utilización!$F$67,D23&lt;=Utilización!$G$67),("En progreso"),(IF(AND(D23&lt;Utilización!$F$67,D23&lt;Utilización!$G$67),(""),(IF(AND(D23&gt;Utilización!$F$67,D23&gt;Utilización!$G$67),("Finalizado"),(""))))))))</f>
        <v/>
      </c>
      <c r="E26" t="str">
        <f>IF(AND(E23=Utilización!$F$67),("Inicio"),(IF(AND(E23&gt;Utilización!$F$67,E23&lt;=Utilización!$G$67),("En progreso"),(IF(AND(E23&lt;Utilización!$F$67,E23&lt;Utilización!$G$67),(""),(IF(AND(E23&gt;Utilización!$F$67,E23&gt;Utilización!$G$67),("Finalizado"),(""))))))))</f>
        <v/>
      </c>
      <c r="F26" t="str">
        <f>IF(AND(F23=Utilización!$F$67),("Inicio"),(IF(AND(F23&gt;Utilización!$F$67,F23&lt;=Utilización!$G$67),("En progreso"),(IF(AND(F23&lt;Utilización!$F$67,F23&lt;Utilización!$G$67),(""),(IF(AND(F23&gt;Utilización!$F$67,F23&gt;Utilización!$G$67),("Finalizado"),(""))))))))</f>
        <v/>
      </c>
      <c r="G26" t="str">
        <f>IF(AND(G23=Utilización!$F$67),("Inicio"),(IF(AND(G23&gt;Utilización!$F$67,G23&lt;=Utilización!$G$67),("En progreso"),(IF(AND(G23&lt;Utilización!$F$67,G23&lt;Utilización!$G$67),(""),(IF(AND(G23&gt;Utilización!$F$67,G23&gt;Utilización!$G$67),("Finalizado"),(""))))))))</f>
        <v/>
      </c>
      <c r="H26" t="str">
        <f>IF(AND(H23=Utilización!$F$67),("Inicio"),(IF(AND(H23&gt;Utilización!$F$67,H23&lt;=Utilización!$G$67),("En progreso"),(IF(AND(H23&lt;Utilización!$F$67,H23&lt;Utilización!$G$67),(""),(IF(AND(H23&gt;Utilización!$F$67,H23&gt;Utilización!$G$67),("Finalizado"),(""))))))))</f>
        <v/>
      </c>
      <c r="I26" t="str">
        <f>IF(AND(I23=Utilización!$F$67),("Inicio"),(IF(AND(I23&gt;Utilización!$F$67,I23&lt;=Utilización!$G$67),("En progreso"),(IF(AND(I23&lt;Utilización!$F$67,I23&lt;Utilización!$G$67),(""),(IF(AND(I23&gt;Utilización!$F$67,I23&gt;Utilización!$G$67),("Finalizado"),(""))))))))</f>
        <v/>
      </c>
      <c r="J26" t="str">
        <f>IF(AND(J23=Utilización!$F$67),("Inicio"),(IF(AND(J23&gt;Utilización!$F$67,J23&lt;=Utilización!$G$67),("En progreso"),(IF(AND(J23&lt;Utilización!$F$67,J23&lt;Utilización!$G$67),(""),(IF(AND(J23&gt;Utilización!$F$67,J23&gt;Utilización!$G$67),("Finalizado"),(""))))))))</f>
        <v/>
      </c>
      <c r="K26" t="str">
        <f>IF(AND(K23=Utilización!$F$67),("Inicio"),(IF(AND(K23&gt;Utilización!$F$67,K23&lt;=Utilización!$G$67),("En progreso"),(IF(AND(K23&lt;Utilización!$F$67,K23&lt;Utilización!$G$67),(""),(IF(AND(K23&gt;Utilización!$F$67,K23&gt;Utilización!$G$67),("Finalizado"),(""))))))))</f>
        <v/>
      </c>
      <c r="L26" t="str">
        <f>IF(AND(L23=Utilización!$F$67),("Inicio"),(IF(AND(L23&gt;Utilización!$F$67,L23&lt;=Utilización!$G$67),("En progreso"),(IF(AND(L23&lt;Utilización!$F$67,L23&lt;Utilización!$G$67),(""),(IF(AND(L23&gt;Utilización!$F$67,L23&gt;Utilización!$G$67),("Finalizado"),(""))))))))</f>
        <v/>
      </c>
      <c r="M26" t="str">
        <f>IF(AND(M23=Utilización!$F$67),("Inicio"),(IF(AND(M23&gt;Utilización!$F$67,M23&lt;=Utilización!$G$67),("En progreso"),(IF(AND(M23&lt;Utilización!$F$67,M23&lt;Utilización!$G$67),(""),(IF(AND(M23&gt;Utilización!$F$67,M23&gt;Utilización!$G$67),("Finalizado"),(""))))))))</f>
        <v/>
      </c>
      <c r="N26" t="str">
        <f>IF(AND(N23=Utilización!$F$67),("Inicio"),(IF(AND(N23&gt;Utilización!$F$67,N23&lt;=Utilización!$G$67),("En progreso"),(IF(AND(N23&lt;Utilización!$F$67,N23&lt;Utilización!$G$67),(""),(IF(AND(N23&gt;Utilización!$F$67,N23&gt;Utilización!$G$67),("Finalizado"),(""))))))))</f>
        <v/>
      </c>
      <c r="O26" t="str">
        <f>IF(AND(O23=Utilización!$F$67),("Inicio"),(IF(AND(O23&gt;Utilización!$F$67,O23&lt;=Utilización!$G$67),("En progreso"),(IF(AND(O23&lt;Utilización!$F$67,O23&lt;Utilización!$G$67),(""),(IF(AND(O23&gt;Utilización!$F$67,O23&gt;Utilización!$G$67),("Finalizado"),(""))))))))</f>
        <v/>
      </c>
      <c r="P26" t="str">
        <f>IF(AND(P23=Utilización!$F$67),("Inicio"),(IF(AND(P23&gt;Utilización!$F$67,P23&lt;=Utilización!$G$67),("En progreso"),(IF(AND(P23&lt;Utilización!$F$67,P23&lt;Utilización!$G$67),(""),(IF(AND(P23&gt;Utilización!$F$67,P23&gt;Utilización!$G$67),("Finalizado"),(""))))))))</f>
        <v/>
      </c>
      <c r="Q26" t="str">
        <f>IF(AND(Q23=Utilización!$F$67),("Inicio"),(IF(AND(Q23&gt;Utilización!$F$67,Q23&lt;=Utilización!$G$67),("En progreso"),(IF(AND(Q23&lt;Utilización!$F$67,Q23&lt;Utilización!$G$67),(""),(IF(AND(Q23&gt;Utilización!$F$67,Q23&gt;Utilización!$G$67),("Finalizado"),(""))))))))</f>
        <v/>
      </c>
      <c r="R26" t="str">
        <f>IF(AND(R23=Utilización!$F$67),("Inicio"),(IF(AND(R23&gt;Utilización!$F$67,R23&lt;=Utilización!$G$67),("En progreso"),(IF(AND(R23&lt;Utilización!$F$67,R23&lt;Utilización!$G$67),(""),(IF(AND(R23&gt;Utilización!$F$67,R23&gt;Utilización!$G$67),("Finalizado"),(""))))))))</f>
        <v/>
      </c>
      <c r="S26" t="str">
        <f>IF(AND(S23=Utilización!$F$67),("Inicio"),(IF(AND(S23&gt;Utilización!$F$67,S23&lt;=Utilización!$G$67),("En progreso"),(IF(AND(S23&lt;Utilización!$F$67,S23&lt;Utilización!$G$67),(""),(IF(AND(S23&gt;Utilización!$F$67,S23&gt;Utilización!$G$67),("Finalizado"),(""))))))))</f>
        <v/>
      </c>
      <c r="T26" t="str">
        <f>IF(AND(T23=Utilización!$F$67),("Inicio"),(IF(AND(T23&gt;Utilización!$F$67,T23&lt;=Utilización!$G$67),("En progreso"),(IF(AND(T23&lt;Utilización!$F$67,T23&lt;Utilización!$G$67),(""),(IF(AND(T23&gt;Utilización!$F$67,T23&gt;Utilización!$G$67),("Finalizado"),(""))))))))</f>
        <v/>
      </c>
      <c r="U26" t="str">
        <f>IF(AND(U23=Utilización!$F$67),("Inicio"),(IF(AND(U23&gt;Utilización!$F$67,U23&lt;=Utilización!$G$67),("En progreso"),(IF(AND(U23&lt;Utilización!$F$67,U23&lt;Utilización!$G$67),(""),(IF(AND(U23&gt;Utilización!$F$67,U23&gt;Utilización!$G$67),("Finalizado"),(""))))))))</f>
        <v/>
      </c>
      <c r="V26" t="str">
        <f>IF(AND(V23=Utilización!$F$67),("Inicio"),(IF(AND(V23&gt;Utilización!$F$67,V23&lt;=Utilización!$G$67),("En progreso"),(IF(AND(V23&lt;Utilización!$F$67,V23&lt;Utilización!$G$67),(""),(IF(AND(V23&gt;Utilización!$F$67,V23&gt;Utilización!$G$67),("Finalizado"),(""))))))))</f>
        <v/>
      </c>
      <c r="W26" t="str">
        <f>IF(AND(W23=Utilización!$F$67),("Inicio"),(IF(AND(W23&gt;Utilización!$F$67,W23&lt;=Utilización!$G$67),("En progreso"),(IF(AND(W23&lt;Utilización!$F$67,W23&lt;Utilización!$G$67),(""),(IF(AND(W23&gt;Utilización!$F$67,W23&gt;Utilización!$G$67),("Finalizado"),(""))))))))</f>
        <v/>
      </c>
      <c r="X26" t="str">
        <f>IF(AND(X23=Utilización!$F$67),("Inicio"),(IF(AND(X23&gt;Utilización!$F$67,X23&lt;=Utilización!$G$67),("En progreso"),(IF(AND(X23&lt;Utilización!$F$67,X23&lt;Utilización!$G$67),(""),(IF(AND(X23&gt;Utilización!$F$67,X23&gt;Utilización!$G$67),("Finalizado"),(""))))))))</f>
        <v/>
      </c>
      <c r="Y26" t="str">
        <f>IF(AND(Y23=Utilización!$F$67),("Inicio"),(IF(AND(Y23&gt;Utilización!$F$67,Y23&lt;=Utilización!$G$67),("En progreso"),(IF(AND(Y23&lt;Utilización!$F$67,Y23&lt;Utilización!$G$67),(""),(IF(AND(Y23&gt;Utilización!$F$67,Y23&gt;Utilización!$G$67),("Finalizado"),(""))))))))</f>
        <v/>
      </c>
      <c r="Z26" t="str">
        <f>IF(AND(Z23=Utilización!$F$67),("Inicio"),(IF(AND(Z23&gt;Utilización!$F$67,Z23&lt;=Utilización!$G$67),("En progreso"),(IF(AND(Z23&lt;Utilización!$F$67,Z23&lt;Utilización!$G$67),(""),(IF(AND(Z23&gt;Utilización!$F$67,Z23&gt;Utilización!$G$67),("Finalizado"),(""))))))))</f>
        <v/>
      </c>
      <c r="AA26" t="str">
        <f>IF(AND(AA23=Utilización!$F$67),("Inicio"),(IF(AND(AA23&gt;Utilización!$F$67,AA23&lt;=Utilización!$G$67),("En progreso"),(IF(AND(AA23&lt;Utilización!$F$67,AA23&lt;Utilización!$G$67),(""),(IF(AND(AA23&gt;Utilización!$F$67,AA23&gt;Utilización!$G$67),("Finalizado"),(""))))))))</f>
        <v/>
      </c>
      <c r="AB26" t="str">
        <f>IF(AND(AB23=Utilización!$F$67),("Inicio"),(IF(AND(AB23&gt;Utilización!$F$67,AB23&lt;=Utilización!$G$67),("En progreso"),(IF(AND(AB23&lt;Utilización!$F$67,AB23&lt;Utilización!$G$67),(""),(IF(AND(AB23&gt;Utilización!$F$67,AB23&gt;Utilización!$G$67),("Finalizado"),(""))))))))</f>
        <v/>
      </c>
      <c r="AC26" t="str">
        <f>IF(AND(AC23=Utilización!$F$67),("Inicio"),(IF(AND(AC23&gt;Utilización!$F$67,AC23&lt;=Utilización!$G$67),("En progreso"),(IF(AND(AC23&lt;Utilización!$F$67,AC23&lt;Utilización!$G$67),(""),(IF(AND(AC23&gt;Utilización!$F$67,AC23&gt;Utilización!$G$67),("Finalizado"),(""))))))))</f>
        <v/>
      </c>
      <c r="AD26" t="str">
        <f>IF(AND(AD23=Utilización!$F$67),("Inicio"),(IF(AND(AD23&gt;Utilización!$F$67,AD23&lt;=Utilización!$G$67),("En progreso"),(IF(AND(AD23&lt;Utilización!$F$67,AD23&lt;Utilización!$G$67),(""),(IF(AND(AD23&gt;Utilización!$F$67,AD23&gt;Utilización!$G$67),("Finalizado"),(""))))))))</f>
        <v/>
      </c>
      <c r="AE26" t="str">
        <f>IF(AND(AE23=Utilización!$F$67),("Inicio"),(IF(AND(AE23&gt;Utilización!$F$67,AE23&lt;=Utilización!$G$67),("En progreso"),(IF(AND(AE23&lt;Utilización!$F$67,AE23&lt;Utilización!$G$67),(""),(IF(AND(AE23&gt;Utilización!$F$67,AE23&gt;Utilización!$G$67),("Finalizado"),(""))))))))</f>
        <v/>
      </c>
      <c r="AF26" t="str">
        <f>IF(AND(AF23=Utilización!$F$67),("Inicio"),(IF(AND(AF23&gt;Utilización!$F$67,AF23&lt;=Utilización!$G$67),("En progreso"),(IF(AND(AF23&lt;Utilización!$F$67,AF23&lt;Utilización!$G$67),(""),(IF(AND(AF23&gt;Utilización!$F$67,AF23&gt;Utilización!$G$67),("Finalizado"),(""))))))))</f>
        <v/>
      </c>
      <c r="AG26" t="str">
        <f>IF(AND(AG23=Utilización!$F$67),("Inicio"),(IF(AND(AG23&gt;Utilización!$F$67,AG23&lt;=Utilización!$G$67),("En progreso"),(IF(AND(AG23&lt;Utilización!$F$67,AG23&lt;Utilización!$G$67),(""),(IF(AND(AG23&gt;Utilización!$F$67,AG23&gt;Utilización!$G$67),("Finalizado"),(""))))))))</f>
        <v/>
      </c>
      <c r="AH26" t="str">
        <f>IF(AND(AH23=Utilización!$F$67),("Inicio"),(IF(AND(AH23&gt;Utilización!$F$67,AH23&lt;=Utilización!$G$67),("En progreso"),(IF(AND(AH23&lt;Utilización!$F$67,AH23&lt;Utilización!$G$67),(""),(IF(AND(AH23&gt;Utilización!$F$67,AH23&gt;Utilización!$G$67),("Finalizado"),(""))))))))</f>
        <v/>
      </c>
      <c r="AI26" t="str">
        <f>IF(AND(AI23=Utilización!$F$67),("Inicio"),(IF(AND(AI23&gt;Utilización!$F$67,AI23&lt;=Utilización!$G$67),("En progreso"),(IF(AND(AI23&lt;Utilización!$F$67,AI23&lt;Utilización!$G$67),(""),(IF(AND(AI23&gt;Utilización!$F$67,AI23&gt;Utilización!$G$67),("Finalizado"),(""))))))))</f>
        <v/>
      </c>
      <c r="AJ26" t="str">
        <f>IF(AND(AJ23=Utilización!$F$67),("Inicio"),(IF(AND(AJ23&gt;Utilización!$F$67,AJ23&lt;=Utilización!$G$67),("En progreso"),(IF(AND(AJ23&lt;Utilización!$F$67,AJ23&lt;Utilización!$G$67),(""),(IF(AND(AJ23&gt;Utilización!$F$67,AJ23&gt;Utilización!$G$67),("Finalizado"),(""))))))))</f>
        <v/>
      </c>
      <c r="AK26" t="str">
        <f>IF(AND(AK23=Utilización!$F$67),("Inicio"),(IF(AND(AK23&gt;Utilización!$F$67,AK23&lt;=Utilización!$G$67),("En progreso"),(IF(AND(AK23&lt;Utilización!$F$67,AK23&lt;Utilización!$G$67),(""),(IF(AND(AK23&gt;Utilización!$F$67,AK23&gt;Utilización!$G$67),("Finalizado"),(""))))))))</f>
        <v/>
      </c>
      <c r="AL26" t="str">
        <f>IF(AND(AL23=Utilización!$F$67),("Inicio"),(IF(AND(AL23&gt;Utilización!$F$67,AL23&lt;=Utilización!$G$67),("En progreso"),(IF(AND(AL23&lt;Utilización!$F$67,AL23&lt;Utilización!$G$67),(""),(IF(AND(AL23&gt;Utilización!$F$67,AL23&gt;Utilización!$G$67),("Finalizado"),(""))))))))</f>
        <v/>
      </c>
      <c r="AM26" t="str">
        <f>IF(AND(AM23=Utilización!$F$67),("Inicio"),(IF(AND(AM23&gt;Utilización!$F$67,AM23&lt;=Utilización!$G$67),("En progreso"),(IF(AND(AM23&lt;Utilización!$F$67,AM23&lt;Utilización!$G$67),(""),(IF(AND(AM23&gt;Utilización!$F$67,AM23&gt;Utilización!$G$67),("Finalizado"),(""))))))))</f>
        <v/>
      </c>
      <c r="AN26" t="str">
        <f>IF(AND(AN23=Utilización!$F$67),("Inicio"),(IF(AND(AN23&gt;Utilización!$F$67,AN23&lt;=Utilización!$G$67),("En progreso"),(IF(AND(AN23&lt;Utilización!$F$67,AN23&lt;Utilización!$G$67),(""),(IF(AND(AN23&gt;Utilización!$F$67,AN23&gt;Utilización!$G$67),("Finalizado"),(""))))))))</f>
        <v/>
      </c>
      <c r="AO26" t="str">
        <f>IF(AND(AO23=Utilización!$F$67),("Inicio"),(IF(AND(AO23&gt;Utilización!$F$67,AO23&lt;=Utilización!$G$67),("En progreso"),(IF(AND(AO23&lt;Utilización!$F$67,AO23&lt;Utilización!$G$67),(""),(IF(AND(AO23&gt;Utilización!$F$67,AO23&gt;Utilización!$G$67),("Finalizado"),(""))))))))</f>
        <v/>
      </c>
      <c r="AP26" t="str">
        <f>IF(AND(AP23=Utilización!$F$67),("Inicio"),(IF(AND(AP23&gt;Utilización!$F$67,AP23&lt;=Utilización!$G$67),("En progreso"),(IF(AND(AP23&lt;Utilización!$F$67,AP23&lt;Utilización!$G$67),(""),(IF(AND(AP23&gt;Utilización!$F$67,AP23&gt;Utilización!$G$67),("Finalizado"),(""))))))))</f>
        <v/>
      </c>
      <c r="AQ26" t="str">
        <f>IF(AND(AQ23=Utilización!$F$67),("Inicio"),(IF(AND(AQ23&gt;Utilización!$F$67,AQ23&lt;=Utilización!$G$67),("En progreso"),(IF(AND(AQ23&lt;Utilización!$F$67,AQ23&lt;Utilización!$G$67),(""),(IF(AND(AQ23&gt;Utilización!$F$67,AQ23&gt;Utilización!$G$67),("Finalizado"),(""))))))))</f>
        <v/>
      </c>
      <c r="AR26" t="str">
        <f>IF(AND(AR23=Utilización!$F$67),("Inicio"),(IF(AND(AR23&gt;Utilización!$F$67,AR23&lt;=Utilización!$G$67),("En progreso"),(IF(AND(AR23&lt;Utilización!$F$67,AR23&lt;Utilización!$G$67),(""),(IF(AND(AR23&gt;Utilización!$F$67,AR23&gt;Utilización!$G$67),("Finalizado"),(""))))))))</f>
        <v/>
      </c>
      <c r="AS26" t="str">
        <f>IF(AND(AS23=Utilización!$F$67),("Inicio"),(IF(AND(AS23&gt;Utilización!$F$67,AS23&lt;=Utilización!$G$67),("En progreso"),(IF(AND(AS23&lt;Utilización!$F$67,AS23&lt;Utilización!$G$67),(""),(IF(AND(AS23&gt;Utilización!$F$67,AS23&gt;Utilización!$G$67),("Finalizado"),(""))))))))</f>
        <v/>
      </c>
      <c r="AT26" t="str">
        <f>IF(AND(AT23=Utilización!$F$67),("Inicio"),(IF(AND(AT23&gt;Utilización!$F$67,AT23&lt;=Utilización!$G$67),("En progreso"),(IF(AND(AT23&lt;Utilización!$F$67,AT23&lt;Utilización!$G$67),(""),(IF(AND(AT23&gt;Utilización!$F$67,AT23&gt;Utilización!$G$67),("Finalizado"),(""))))))))</f>
        <v/>
      </c>
      <c r="AU26" t="str">
        <f>IF(AND(AU23=Utilización!$F$67),("Inicio"),(IF(AND(AU23&gt;Utilización!$F$67,AU23&lt;=Utilización!$G$67),("En progreso"),(IF(AND(AU23&lt;Utilización!$F$67,AU23&lt;Utilización!$G$67),(""),(IF(AND(AU23&gt;Utilización!$F$67,AU23&gt;Utilización!$G$67),("Finalizado"),(""))))))))</f>
        <v/>
      </c>
      <c r="AV26" t="str">
        <f>IF(AND(AV23=Utilización!$F$67),("Inicio"),(IF(AND(AV23&gt;Utilización!$F$67,AV23&lt;=Utilización!$G$67),("En progreso"),(IF(AND(AV23&lt;Utilización!$F$67,AV23&lt;Utilización!$G$67),(""),(IF(AND(AV23&gt;Utilización!$F$67,AV23&gt;Utilización!$G$67),("Finalizado"),(""))))))))</f>
        <v/>
      </c>
    </row>
    <row r="27" spans="1:48" x14ac:dyDescent="0.25">
      <c r="A27" s="40" t="str">
        <f>Utilización!A15</f>
        <v>D</v>
      </c>
      <c r="D27" t="str">
        <f>IF(AND(D23=Utilización!$F$68),("Inicio"),(IF(AND(D23&gt;Utilización!$F$68,D23&lt;=Utilización!$G$68),("En progreso"),(IF(AND(D23&lt;Utilización!$F$68,D23&lt;Utilización!$G$68),(""),(IF(AND(D23&gt;Utilización!$F$68,D23&gt;Utilización!$G$68),("Finalizado"),(""))))))))</f>
        <v/>
      </c>
      <c r="E27" t="str">
        <f>IF(AND(E23=Utilización!$F$68),("Inicio"),(IF(AND(E23&gt;Utilización!$F$68,E23&lt;=Utilización!$G$68),("En progreso"),(IF(AND(E23&lt;Utilización!$F$68,E23&lt;Utilización!$G$68),(""),(IF(AND(E23&gt;Utilización!$F$68,E23&gt;Utilización!$G$68),("Finalizado"),(""))))))))</f>
        <v/>
      </c>
      <c r="F27" t="str">
        <f>IF(AND(F23=Utilización!$F$68),("Inicio"),(IF(AND(F23&gt;Utilización!$F$68,F23&lt;=Utilización!$G$68),("En progreso"),(IF(AND(F23&lt;Utilización!$F$68,F23&lt;Utilización!$G$68),(""),(IF(AND(F23&gt;Utilización!$F$68,F23&gt;Utilización!$G$68),("Finalizado"),(""))))))))</f>
        <v/>
      </c>
      <c r="G27" t="str">
        <f>IF(AND(G23=Utilización!$F$68),("Inicio"),(IF(AND(G23&gt;Utilización!$F$68,G23&lt;=Utilización!$G$68),("En progreso"),(IF(AND(G23&lt;Utilización!$F$68,G23&lt;Utilización!$G$68),(""),(IF(AND(G23&gt;Utilización!$F$68,G23&gt;Utilización!$G$68),("Finalizado"),(""))))))))</f>
        <v/>
      </c>
      <c r="H27" t="str">
        <f>IF(AND(H23=Utilización!$F$68),("Inicio"),(IF(AND(H23&gt;Utilización!$F$68,H23&lt;=Utilización!$G$68),("En progreso"),(IF(AND(H23&lt;Utilización!$F$68,H23&lt;Utilización!$G$68),(""),(IF(AND(H23&gt;Utilización!$F$68,H23&gt;Utilización!$G$68),("Finalizado"),(""))))))))</f>
        <v/>
      </c>
      <c r="I27" t="str">
        <f>IF(AND(I23=Utilización!$F$68),("Inicio"),(IF(AND(I23&gt;Utilización!$F$68,I23&lt;=Utilización!$G$68),("En progreso"),(IF(AND(I23&lt;Utilización!$F$68,I23&lt;Utilización!$G$68),(""),(IF(AND(I23&gt;Utilización!$F$68,I23&gt;Utilización!$G$68),("Finalizado"),(""))))))))</f>
        <v/>
      </c>
      <c r="J27" t="str">
        <f>IF(AND(J23=Utilización!$F$68),("Inicio"),(IF(AND(J23&gt;Utilización!$F$68,J23&lt;=Utilización!$G$68),("En progreso"),(IF(AND(J23&lt;Utilización!$F$68,J23&lt;Utilización!$G$68),(""),(IF(AND(J23&gt;Utilización!$F$68,J23&gt;Utilización!$G$68),("Finalizado"),(""))))))))</f>
        <v/>
      </c>
      <c r="K27" t="str">
        <f>IF(AND(K23=Utilización!$F$68),("Inicio"),(IF(AND(K23&gt;Utilización!$F$68,K23&lt;=Utilización!$G$68),("En progreso"),(IF(AND(K23&lt;Utilización!$F$68,K23&lt;Utilización!$G$68),(""),(IF(AND(K23&gt;Utilización!$F$68,K23&gt;Utilización!$G$68),("Finalizado"),(""))))))))</f>
        <v/>
      </c>
      <c r="L27" t="str">
        <f>IF(AND(L23=Utilización!$F$68),("Inicio"),(IF(AND(L23&gt;Utilización!$F$68,L23&lt;=Utilización!$G$68),("En progreso"),(IF(AND(L23&lt;Utilización!$F$68,L23&lt;Utilización!$G$68),(""),(IF(AND(L23&gt;Utilización!$F$68,L23&gt;Utilización!$G$68),("Finalizado"),(""))))))))</f>
        <v/>
      </c>
      <c r="M27" t="str">
        <f>IF(AND(M23=Utilización!$F$68),("Inicio"),(IF(AND(M23&gt;Utilización!$F$68,M23&lt;=Utilización!$G$68),("En progreso"),(IF(AND(M23&lt;Utilización!$F$68,M23&lt;Utilización!$G$68),(""),(IF(AND(M23&gt;Utilización!$F$68,M23&gt;Utilización!$G$68),("Finalizado"),(""))))))))</f>
        <v/>
      </c>
      <c r="N27" t="str">
        <f>IF(AND(N23=Utilización!$F$68),("Inicio"),(IF(AND(N23&gt;Utilización!$F$68,N23&lt;=Utilización!$G$68),("En progreso"),(IF(AND(N23&lt;Utilización!$F$68,N23&lt;Utilización!$G$68),(""),(IF(AND(N23&gt;Utilización!$F$68,N23&gt;Utilización!$G$68),("Finalizado"),(""))))))))</f>
        <v/>
      </c>
      <c r="O27" t="str">
        <f>IF(AND(O23=Utilización!$F$68),("Inicio"),(IF(AND(O23&gt;Utilización!$F$68,O23&lt;=Utilización!$G$68),("En progreso"),(IF(AND(O23&lt;Utilización!$F$68,O23&lt;Utilización!$G$68),(""),(IF(AND(O23&gt;Utilización!$F$68,O23&gt;Utilización!$G$68),("Finalizado"),(""))))))))</f>
        <v/>
      </c>
      <c r="P27" t="str">
        <f>IF(AND(P23=Utilización!$F$68),("Inicio"),(IF(AND(P23&gt;Utilización!$F$68,P23&lt;=Utilización!$G$68),("En progreso"),(IF(AND(P23&lt;Utilización!$F$68,P23&lt;Utilización!$G$68),(""),(IF(AND(P23&gt;Utilización!$F$68,P23&gt;Utilización!$G$68),("Finalizado"),(""))))))))</f>
        <v/>
      </c>
      <c r="Q27" t="str">
        <f>IF(AND(Q23=Utilización!$F$68),("Inicio"),(IF(AND(Q23&gt;Utilización!$F$68,Q23&lt;=Utilización!$G$68),("En progreso"),(IF(AND(Q23&lt;Utilización!$F$68,Q23&lt;Utilización!$G$68),(""),(IF(AND(Q23&gt;Utilización!$F$68,Q23&gt;Utilización!$G$68),("Finalizado"),(""))))))))</f>
        <v/>
      </c>
      <c r="R27" t="str">
        <f>IF(AND(R23=Utilización!$F$68),("Inicio"),(IF(AND(R23&gt;Utilización!$F$68,R23&lt;=Utilización!$G$68),("En progreso"),(IF(AND(R23&lt;Utilización!$F$68,R23&lt;Utilización!$G$68),(""),(IF(AND(R23&gt;Utilización!$F$68,R23&gt;Utilización!$G$68),("Finalizado"),(""))))))))</f>
        <v/>
      </c>
      <c r="S27" t="str">
        <f>IF(AND(S23=Utilización!$F$68),("Inicio"),(IF(AND(S23&gt;Utilización!$F$68,S23&lt;=Utilización!$G$68),("En progreso"),(IF(AND(S23&lt;Utilización!$F$68,S23&lt;Utilización!$G$68),(""),(IF(AND(S23&gt;Utilización!$F$68,S23&gt;Utilización!$G$68),("Finalizado"),(""))))))))</f>
        <v/>
      </c>
      <c r="T27" t="str">
        <f>IF(AND(T23=Utilización!$F$68),("Inicio"),(IF(AND(T23&gt;Utilización!$F$68,T23&lt;=Utilización!$G$68),("En progreso"),(IF(AND(T23&lt;Utilización!$F$68,T23&lt;Utilización!$G$68),(""),(IF(AND(T23&gt;Utilización!$F$68,T23&gt;Utilización!$G$68),("Finalizado"),(""))))))))</f>
        <v/>
      </c>
      <c r="U27" t="str">
        <f>IF(AND(U23=Utilización!$F$68),("Inicio"),(IF(AND(U23&gt;Utilización!$F$68,U23&lt;=Utilización!$G$68),("En progreso"),(IF(AND(U23&lt;Utilización!$F$68,U23&lt;Utilización!$G$68),(""),(IF(AND(U23&gt;Utilización!$F$68,U23&gt;Utilización!$G$68),("Finalizado"),(""))))))))</f>
        <v/>
      </c>
      <c r="V27" t="str">
        <f>IF(AND(V23=Utilización!$F$68),("Inicio"),(IF(AND(V23&gt;Utilización!$F$68,V23&lt;=Utilización!$G$68),("En progreso"),(IF(AND(V23&lt;Utilización!$F$68,V23&lt;Utilización!$G$68),(""),(IF(AND(V23&gt;Utilización!$F$68,V23&gt;Utilización!$G$68),("Finalizado"),(""))))))))</f>
        <v/>
      </c>
      <c r="W27" t="str">
        <f>IF(AND(W23=Utilización!$F$68),("Inicio"),(IF(AND(W23&gt;Utilización!$F$68,W23&lt;=Utilización!$G$68),("En progreso"),(IF(AND(W23&lt;Utilización!$F$68,W23&lt;Utilización!$G$68),(""),(IF(AND(W23&gt;Utilización!$F$68,W23&gt;Utilización!$G$68),("Finalizado"),(""))))))))</f>
        <v/>
      </c>
      <c r="X27" t="str">
        <f>IF(AND(X23=Utilización!$F$68),("Inicio"),(IF(AND(X23&gt;Utilización!$F$68,X23&lt;=Utilización!$G$68),("En progreso"),(IF(AND(X23&lt;Utilización!$F$68,X23&lt;Utilización!$G$68),(""),(IF(AND(X23&gt;Utilización!$F$68,X23&gt;Utilización!$G$68),("Finalizado"),(""))))))))</f>
        <v/>
      </c>
      <c r="Y27" t="str">
        <f>IF(AND(Y23=Utilización!$F$68),("Inicio"),(IF(AND(Y23&gt;Utilización!$F$68,Y23&lt;=Utilización!$G$68),("En progreso"),(IF(AND(Y23&lt;Utilización!$F$68,Y23&lt;Utilización!$G$68),(""),(IF(AND(Y23&gt;Utilización!$F$68,Y23&gt;Utilización!$G$68),("Finalizado"),(""))))))))</f>
        <v/>
      </c>
      <c r="Z27" t="str">
        <f>IF(AND(Z23=Utilización!$F$68),("Inicio"),(IF(AND(Z23&gt;Utilización!$F$68,Z23&lt;=Utilización!$G$68),("En progreso"),(IF(AND(Z23&lt;Utilización!$F$68,Z23&lt;Utilización!$G$68),(""),(IF(AND(Z23&gt;Utilización!$F$68,Z23&gt;Utilización!$G$68),("Finalizado"),(""))))))))</f>
        <v/>
      </c>
      <c r="AA27" t="str">
        <f>IF(AND(AA23=Utilización!$F$68),("Inicio"),(IF(AND(AA23&gt;Utilización!$F$68,AA23&lt;=Utilización!$G$68),("En progreso"),(IF(AND(AA23&lt;Utilización!$F$68,AA23&lt;Utilización!$G$68),(""),(IF(AND(AA23&gt;Utilización!$F$68,AA23&gt;Utilización!$G$68),("Finalizado"),(""))))))))</f>
        <v/>
      </c>
      <c r="AB27" t="str">
        <f>IF(AND(AB23=Utilización!$F$68),("Inicio"),(IF(AND(AB23&gt;Utilización!$F$68,AB23&lt;=Utilización!$G$68),("En progreso"),(IF(AND(AB23&lt;Utilización!$F$68,AB23&lt;Utilización!$G$68),(""),(IF(AND(AB23&gt;Utilización!$F$68,AB23&gt;Utilización!$G$68),("Finalizado"),(""))))))))</f>
        <v/>
      </c>
      <c r="AC27" t="str">
        <f>IF(AND(AC23=Utilización!$F$68),("Inicio"),(IF(AND(AC23&gt;Utilización!$F$68,AC23&lt;=Utilización!$G$68),("En progreso"),(IF(AND(AC23&lt;Utilización!$F$68,AC23&lt;Utilización!$G$68),(""),(IF(AND(AC23&gt;Utilización!$F$68,AC23&gt;Utilización!$G$68),("Finalizado"),(""))))))))</f>
        <v/>
      </c>
      <c r="AD27" t="str">
        <f>IF(AND(AD23=Utilización!$F$68),("Inicio"),(IF(AND(AD23&gt;Utilización!$F$68,AD23&lt;=Utilización!$G$68),("En progreso"),(IF(AND(AD23&lt;Utilización!$F$68,AD23&lt;Utilización!$G$68),(""),(IF(AND(AD23&gt;Utilización!$F$68,AD23&gt;Utilización!$G$68),("Finalizado"),(""))))))))</f>
        <v/>
      </c>
      <c r="AE27" t="str">
        <f>IF(AND(AE23=Utilización!$F$68),("Inicio"),(IF(AND(AE23&gt;Utilización!$F$68,AE23&lt;=Utilización!$G$68),("En progreso"),(IF(AND(AE23&lt;Utilización!$F$68,AE23&lt;Utilización!$G$68),(""),(IF(AND(AE23&gt;Utilización!$F$68,AE23&gt;Utilización!$G$68),("Finalizado"),(""))))))))</f>
        <v/>
      </c>
      <c r="AF27" t="str">
        <f>IF(AND(AF23=Utilización!$F$68),("Inicio"),(IF(AND(AF23&gt;Utilización!$F$68,AF23&lt;=Utilización!$G$68),("En progreso"),(IF(AND(AF23&lt;Utilización!$F$68,AF23&lt;Utilización!$G$68),(""),(IF(AND(AF23&gt;Utilización!$F$68,AF23&gt;Utilización!$G$68),("Finalizado"),(""))))))))</f>
        <v/>
      </c>
      <c r="AG27" t="str">
        <f>IF(AND(AG23=Utilización!$F$68),("Inicio"),(IF(AND(AG23&gt;Utilización!$F$68,AG23&lt;=Utilización!$G$68),("En progreso"),(IF(AND(AG23&lt;Utilización!$F$68,AG23&lt;Utilización!$G$68),(""),(IF(AND(AG23&gt;Utilización!$F$68,AG23&gt;Utilización!$G$68),("Finalizado"),(""))))))))</f>
        <v/>
      </c>
      <c r="AH27" t="str">
        <f>IF(AND(AH23=Utilización!$F$68),("Inicio"),(IF(AND(AH23&gt;Utilización!$F$68,AH23&lt;=Utilización!$G$68),("En progreso"),(IF(AND(AH23&lt;Utilización!$F$68,AH23&lt;Utilización!$G$68),(""),(IF(AND(AH23&gt;Utilización!$F$68,AH23&gt;Utilización!$G$68),("Finalizado"),(""))))))))</f>
        <v/>
      </c>
      <c r="AI27" t="str">
        <f>IF(AND(AI23=Utilización!$F$68),("Inicio"),(IF(AND(AI23&gt;Utilización!$F$68,AI23&lt;=Utilización!$G$68),("En progreso"),(IF(AND(AI23&lt;Utilización!$F$68,AI23&lt;Utilización!$G$68),(""),(IF(AND(AI23&gt;Utilización!$F$68,AI23&gt;Utilización!$G$68),("Finalizado"),(""))))))))</f>
        <v/>
      </c>
      <c r="AJ27" t="str">
        <f>IF(AND(AJ23=Utilización!$F$68),("Inicio"),(IF(AND(AJ23&gt;Utilización!$F$68,AJ23&lt;=Utilización!$G$68),("En progreso"),(IF(AND(AJ23&lt;Utilización!$F$68,AJ23&lt;Utilización!$G$68),(""),(IF(AND(AJ23&gt;Utilización!$F$68,AJ23&gt;Utilización!$G$68),("Finalizado"),(""))))))))</f>
        <v/>
      </c>
      <c r="AK27" t="str">
        <f>IF(AND(AK23=Utilización!$F$68),("Inicio"),(IF(AND(AK23&gt;Utilización!$F$68,AK23&lt;=Utilización!$G$68),("En progreso"),(IF(AND(AK23&lt;Utilización!$F$68,AK23&lt;Utilización!$G$68),(""),(IF(AND(AK23&gt;Utilización!$F$68,AK23&gt;Utilización!$G$68),("Finalizado"),(""))))))))</f>
        <v/>
      </c>
      <c r="AL27" t="str">
        <f>IF(AND(AL23=Utilización!$F$68),("Inicio"),(IF(AND(AL23&gt;Utilización!$F$68,AL23&lt;=Utilización!$G$68),("En progreso"),(IF(AND(AL23&lt;Utilización!$F$68,AL23&lt;Utilización!$G$68),(""),(IF(AND(AL23&gt;Utilización!$F$68,AL23&gt;Utilización!$G$68),("Finalizado"),(""))))))))</f>
        <v/>
      </c>
      <c r="AM27" t="str">
        <f>IF(AND(AM23=Utilización!$F$68),("Inicio"),(IF(AND(AM23&gt;Utilización!$F$68,AM23&lt;=Utilización!$G$68),("En progreso"),(IF(AND(AM23&lt;Utilización!$F$68,AM23&lt;Utilización!$G$68),(""),(IF(AND(AM23&gt;Utilización!$F$68,AM23&gt;Utilización!$G$68),("Finalizado"),(""))))))))</f>
        <v/>
      </c>
      <c r="AN27" t="str">
        <f>IF(AND(AN23=Utilización!$F$68),("Inicio"),(IF(AND(AN23&gt;Utilización!$F$68,AN23&lt;=Utilización!$G$68),("En progreso"),(IF(AND(AN23&lt;Utilización!$F$68,AN23&lt;Utilización!$G$68),(""),(IF(AND(AN23&gt;Utilización!$F$68,AN23&gt;Utilización!$G$68),("Finalizado"),(""))))))))</f>
        <v/>
      </c>
      <c r="AO27" t="str">
        <f>IF(AND(AO23=Utilización!$F$68),("Inicio"),(IF(AND(AO23&gt;Utilización!$F$68,AO23&lt;=Utilización!$G$68),("En progreso"),(IF(AND(AO23&lt;Utilización!$F$68,AO23&lt;Utilización!$G$68),(""),(IF(AND(AO23&gt;Utilización!$F$68,AO23&gt;Utilización!$G$68),("Finalizado"),(""))))))))</f>
        <v/>
      </c>
      <c r="AP27" t="str">
        <f>IF(AND(AP23=Utilización!$F$68),("Inicio"),(IF(AND(AP23&gt;Utilización!$F$68,AP23&lt;=Utilización!$G$68),("En progreso"),(IF(AND(AP23&lt;Utilización!$F$68,AP23&lt;Utilización!$G$68),(""),(IF(AND(AP23&gt;Utilización!$F$68,AP23&gt;Utilización!$G$68),("Finalizado"),(""))))))))</f>
        <v/>
      </c>
      <c r="AQ27" t="str">
        <f>IF(AND(AQ23=Utilización!$F$68),("Inicio"),(IF(AND(AQ23&gt;Utilización!$F$68,AQ23&lt;=Utilización!$G$68),("En progreso"),(IF(AND(AQ23&lt;Utilización!$F$68,AQ23&lt;Utilización!$G$68),(""),(IF(AND(AQ23&gt;Utilización!$F$68,AQ23&gt;Utilización!$G$68),("Finalizado"),(""))))))))</f>
        <v/>
      </c>
      <c r="AR27" t="str">
        <f>IF(AND(AR23=Utilización!$F$68),("Inicio"),(IF(AND(AR23&gt;Utilización!$F$68,AR23&lt;=Utilización!$G$68),("En progreso"),(IF(AND(AR23&lt;Utilización!$F$68,AR23&lt;Utilización!$G$68),(""),(IF(AND(AR23&gt;Utilización!$F$68,AR23&gt;Utilización!$G$68),("Finalizado"),(""))))))))</f>
        <v/>
      </c>
      <c r="AS27" t="str">
        <f>IF(AND(AS23=Utilización!$F$68),("Inicio"),(IF(AND(AS23&gt;Utilización!$F$68,AS23&lt;=Utilización!$G$68),("En progreso"),(IF(AND(AS23&lt;Utilización!$F$68,AS23&lt;Utilización!$G$68),(""),(IF(AND(AS23&gt;Utilización!$F$68,AS23&gt;Utilización!$G$68),("Finalizado"),(""))))))))</f>
        <v/>
      </c>
      <c r="AT27" t="str">
        <f>IF(AND(AT23=Utilización!$F$68),("Inicio"),(IF(AND(AT23&gt;Utilización!$F$68,AT23&lt;=Utilización!$G$68),("En progreso"),(IF(AND(AT23&lt;Utilización!$F$68,AT23&lt;Utilización!$G$68),(""),(IF(AND(AT23&gt;Utilización!$F$68,AT23&gt;Utilización!$G$68),("Finalizado"),(""))))))))</f>
        <v/>
      </c>
      <c r="AU27" t="str">
        <f>IF(AND(AU23=Utilización!$F$68),("Inicio"),(IF(AND(AU23&gt;Utilización!$F$68,AU23&lt;=Utilización!$G$68),("En progreso"),(IF(AND(AU23&lt;Utilización!$F$68,AU23&lt;Utilización!$G$68),(""),(IF(AND(AU23&gt;Utilización!$F$68,AU23&gt;Utilización!$G$68),("Finalizado"),(""))))))))</f>
        <v/>
      </c>
      <c r="AV27" t="str">
        <f>IF(AND(AV23=Utilización!$F$68),("Inicio"),(IF(AND(AV23&gt;Utilización!$F$68,AV23&lt;=Utilización!$G$68),("En progreso"),(IF(AND(AV23&lt;Utilización!$F$68,AV23&lt;Utilización!$G$68),(""),(IF(AND(AV23&gt;Utilización!$F$68,AV23&gt;Utilización!$G$68),("Finalizado"),(""))))))))</f>
        <v/>
      </c>
    </row>
    <row r="28" spans="1:48" x14ac:dyDescent="0.25">
      <c r="A28" s="40" t="str">
        <f>Utilización!A16</f>
        <v>E</v>
      </c>
      <c r="D28" s="74" t="str">
        <f>IF(AND(D23=Utilización!$F$69),("Inicio"),(IF(AND(D23&gt;Utilización!$F$69,D23&lt;=Utilización!$G$69),("En progreso"),(IF(AND(D23&lt;Utilización!$F$69,D23&lt;Utilización!$G$69),(""),(IF(AND(D23&gt;Utilización!$F$69,D23&gt;Utilización!$G$69),("Finalizado"),(""))))))))</f>
        <v/>
      </c>
      <c r="E28" s="74" t="str">
        <f>IF(AND(E23=Utilización!$F$69),("Inicio"),(IF(AND(E23&gt;Utilización!$F$69,E23&lt;=Utilización!$G$69),("En progreso"),(IF(AND(E23&lt;Utilización!$F$69,E23&lt;Utilización!$G$69),(""),(IF(AND(E23&gt;Utilización!$F$69,E23&gt;Utilización!$G$69),("Finalizado"),(""))))))))</f>
        <v/>
      </c>
      <c r="F28" s="74" t="str">
        <f>IF(AND(F23=Utilización!$F$69),("Inicio"),(IF(AND(F23&gt;Utilización!$F$69,F23&lt;=Utilización!$G$69),("En progreso"),(IF(AND(F23&lt;Utilización!$F$69,F23&lt;Utilización!$G$69),(""),(IF(AND(F23&gt;Utilización!$F$69,F23&gt;Utilización!$G$69),("Finalizado"),(""))))))))</f>
        <v/>
      </c>
      <c r="G28" s="74" t="str">
        <f>IF(AND(G23=Utilización!$F$69),("Inicio"),(IF(AND(G23&gt;Utilización!$F$69,G23&lt;=Utilización!$G$69),("En progreso"),(IF(AND(G23&lt;Utilización!$F$69,G23&lt;Utilización!$G$69),(""),(IF(AND(G23&gt;Utilización!$F$69,G23&gt;Utilización!$G$69),("Finalizado"),(""))))))))</f>
        <v/>
      </c>
      <c r="H28" s="74" t="str">
        <f>IF(AND(H23=Utilización!$F$69),("Inicio"),(IF(AND(H23&gt;Utilización!$F$69,H23&lt;=Utilización!$G$69),("En progreso"),(IF(AND(H23&lt;Utilización!$F$69,H23&lt;Utilización!$G$69),(""),(IF(AND(H23&gt;Utilización!$F$69,H23&gt;Utilización!$G$69),("Finalizado"),(""))))))))</f>
        <v/>
      </c>
      <c r="I28" s="74" t="str">
        <f>IF(AND(I23=Utilización!$F$69),("Inicio"),(IF(AND(I23&gt;Utilización!$F$69,I23&lt;=Utilización!$G$69),("En progreso"),(IF(AND(I23&lt;Utilización!$F$69,I23&lt;Utilización!$G$69),(""),(IF(AND(I23&gt;Utilización!$F$69,I23&gt;Utilización!$G$69),("Finalizado"),(""))))))))</f>
        <v/>
      </c>
      <c r="J28" s="74" t="str">
        <f>IF(AND(J23=Utilización!$F$69),("Inicio"),(IF(AND(J23&gt;Utilización!$F$69,J23&lt;=Utilización!$G$69),("En progreso"),(IF(AND(J23&lt;Utilización!$F$69,J23&lt;Utilización!$G$69),(""),(IF(AND(J23&gt;Utilización!$F$69,J23&gt;Utilización!$G$69),("Finalizado"),(""))))))))</f>
        <v/>
      </c>
      <c r="K28" s="74" t="str">
        <f>IF(AND(K23=Utilización!$F$69),("Inicio"),(IF(AND(K23&gt;Utilización!$F$69,K23&lt;=Utilización!$G$69),("En progreso"),(IF(AND(K23&lt;Utilización!$F$69,K23&lt;Utilización!$G$69),(""),(IF(AND(K23&gt;Utilización!$F$69,K23&gt;Utilización!$G$69),("Finalizado"),(""))))))))</f>
        <v/>
      </c>
      <c r="L28" s="74" t="str">
        <f>IF(AND(L23=Utilización!$F$69),("Inicio"),(IF(AND(L23&gt;Utilización!$F$69,L23&lt;=Utilización!$G$69),("En progreso"),(IF(AND(L23&lt;Utilización!$F$69,L23&lt;Utilización!$G$69),(""),(IF(AND(L23&gt;Utilización!$F$69,L23&gt;Utilización!$G$69),("Finalizado"),(""))))))))</f>
        <v/>
      </c>
      <c r="M28" s="74" t="str">
        <f>IF(AND(M23=Utilización!$F$69),("Inicio"),(IF(AND(M23&gt;Utilización!$F$69,M23&lt;=Utilización!$G$69),("En progreso"),(IF(AND(M23&lt;Utilización!$F$69,M23&lt;Utilización!$G$69),(""),(IF(AND(M23&gt;Utilización!$F$69,M23&gt;Utilización!$G$69),("Finalizado"),(""))))))))</f>
        <v/>
      </c>
      <c r="N28" s="74" t="str">
        <f>IF(AND(N23=Utilización!$F$69),("Inicio"),(IF(AND(N23&gt;Utilización!$F$69,N23&lt;=Utilización!$G$69),("En progreso"),(IF(AND(N23&lt;Utilización!$F$69,N23&lt;Utilización!$G$69),(""),(IF(AND(N23&gt;Utilización!$F$69,N23&gt;Utilización!$G$69),("Finalizado"),(""))))))))</f>
        <v/>
      </c>
      <c r="O28" s="74" t="str">
        <f>IF(AND(O23=Utilización!$F$69),("Inicio"),(IF(AND(O23&gt;Utilización!$F$69,O23&lt;=Utilización!$G$69),("En progreso"),(IF(AND(O23&lt;Utilización!$F$69,O23&lt;Utilización!$G$69),(""),(IF(AND(O23&gt;Utilización!$F$69,O23&gt;Utilización!$G$69),("Finalizado"),(""))))))))</f>
        <v/>
      </c>
      <c r="P28" s="74" t="str">
        <f>IF(AND(P23=Utilización!$F$69),("Inicio"),(IF(AND(P23&gt;Utilización!$F$69,P23&lt;=Utilización!$G$69),("En progreso"),(IF(AND(P23&lt;Utilización!$F$69,P23&lt;Utilización!$G$69),(""),(IF(AND(P23&gt;Utilización!$F$69,P23&gt;Utilización!$G$69),("Finalizado"),(""))))))))</f>
        <v/>
      </c>
      <c r="Q28" s="74" t="str">
        <f>IF(AND(Q23=Utilización!$F$69),("Inicio"),(IF(AND(Q23&gt;Utilización!$F$69,Q23&lt;=Utilización!$G$69),("En progreso"),(IF(AND(Q23&lt;Utilización!$F$69,Q23&lt;Utilización!$G$69),(""),(IF(AND(Q23&gt;Utilización!$F$69,Q23&gt;Utilización!$G$69),("Finalizado"),(""))))))))</f>
        <v/>
      </c>
      <c r="R28" s="74" t="str">
        <f>IF(AND(R23=Utilización!$F$69),("Inicio"),(IF(AND(R23&gt;Utilización!$F$69,R23&lt;=Utilización!$G$69),("En progreso"),(IF(AND(R23&lt;Utilización!$F$69,R23&lt;Utilización!$G$69),(""),(IF(AND(R23&gt;Utilización!$F$69,R23&gt;Utilización!$G$69),("Finalizado"),(""))))))))</f>
        <v/>
      </c>
      <c r="S28" t="str">
        <f>IF(AND(S23=Utilización!$F$69),("Inicio"),(IF(AND(S23&gt;Utilización!$F$69,S23&lt;=Utilización!$G$69),("En progreso"),(IF(AND(S23&lt;Utilización!$F$69,S23&lt;Utilización!$G$69),(""),(IF(AND(S23&gt;Utilización!$F$69,S23&gt;Utilización!$G$69),("Finalizado"),(""))))))))</f>
        <v/>
      </c>
      <c r="T28" t="str">
        <f>IF(AND(T23=Utilización!$F$69),("Inicio"),(IF(AND(T23&gt;Utilización!$F$69,T23&lt;=Utilización!$G$69),("En progreso"),(IF(AND(T23&lt;Utilización!$F$69,T23&lt;Utilización!$G$69),(""),(IF(AND(T23&gt;Utilización!$F$69,T23&gt;Utilización!$G$69),("Finalizado"),(""))))))))</f>
        <v/>
      </c>
      <c r="U28" t="str">
        <f>IF(AND(U23=Utilización!$F$69),("Inicio"),(IF(AND(U23&gt;Utilización!$F$69,U23&lt;=Utilización!$G$69),("En progreso"),(IF(AND(U23&lt;Utilización!$F$69,U23&lt;Utilización!$G$69),(""),(IF(AND(U23&gt;Utilización!$F$69,U23&gt;Utilización!$G$69),("Finalizado"),(""))))))))</f>
        <v/>
      </c>
      <c r="V28" t="str">
        <f>IF(AND(V23=Utilización!$F$69),("Inicio"),(IF(AND(V23&gt;Utilización!$F$69,V23&lt;=Utilización!$G$69),("En progreso"),(IF(AND(V23&lt;Utilización!$F$69,V23&lt;Utilización!$G$69),(""),(IF(AND(V23&gt;Utilización!$F$69,V23&gt;Utilización!$G$69),("Finalizado"),(""))))))))</f>
        <v/>
      </c>
      <c r="W28" t="str">
        <f>IF(AND(W23=Utilización!$F$69),("Inicio"),(IF(AND(W23&gt;Utilización!$F$69,W23&lt;=Utilización!$G$69),("En progreso"),(IF(AND(W23&lt;Utilización!$F$69,W23&lt;Utilización!$G$69),(""),(IF(AND(W23&gt;Utilización!$F$69,W23&gt;Utilización!$G$69),("Finalizado"),(""))))))))</f>
        <v/>
      </c>
      <c r="X28" t="str">
        <f>IF(AND(X23=Utilización!$F$69),("Inicio"),(IF(AND(X23&gt;Utilización!$F$69,X23&lt;=Utilización!$G$69),("En progreso"),(IF(AND(X23&lt;Utilización!$F$69,X23&lt;Utilización!$G$69),(""),(IF(AND(X23&gt;Utilización!$F$69,X23&gt;Utilización!$G$69),("Finalizado"),(""))))))))</f>
        <v/>
      </c>
      <c r="Y28" t="str">
        <f>IF(AND(Y23=Utilización!$F$69),("Inicio"),(IF(AND(Y23&gt;Utilización!$F$69,Y23&lt;=Utilización!$G$69),("En progreso"),(IF(AND(Y23&lt;Utilización!$F$69,Y23&lt;Utilización!$G$69),(""),(IF(AND(Y23&gt;Utilización!$F$69,Y23&gt;Utilización!$G$69),("Finalizado"),(""))))))))</f>
        <v/>
      </c>
      <c r="Z28" t="str">
        <f>IF(AND(Z23=Utilización!$F$69),("Inicio"),(IF(AND(Z23&gt;Utilización!$F$69,Z23&lt;=Utilización!$G$69),("En progreso"),(IF(AND(Z23&lt;Utilización!$F$69,Z23&lt;Utilización!$G$69),(""),(IF(AND(Z23&gt;Utilización!$F$69,Z23&gt;Utilización!$G$69),("Finalizado"),(""))))))))</f>
        <v/>
      </c>
      <c r="AA28" t="str">
        <f>IF(AND(AA23=Utilización!$F$69),("Inicio"),(IF(AND(AA23&gt;Utilización!$F$69,AA23&lt;=Utilización!$G$69),("En progreso"),(IF(AND(AA23&lt;Utilización!$F$69,AA23&lt;Utilización!$G$69),(""),(IF(AND(AA23&gt;Utilización!$F$69,AA23&gt;Utilización!$G$69),("Finalizado"),(""))))))))</f>
        <v/>
      </c>
      <c r="AB28" t="str">
        <f>IF(AND(AB23=Utilización!$F$69),("Inicio"),(IF(AND(AB23&gt;Utilización!$F$69,AB23&lt;=Utilización!$G$69),("En progreso"),(IF(AND(AB23&lt;Utilización!$F$69,AB23&lt;Utilización!$G$69),(""),(IF(AND(AB23&gt;Utilización!$F$69,AB23&gt;Utilización!$G$69),("Finalizado"),(""))))))))</f>
        <v/>
      </c>
      <c r="AC28" t="str">
        <f>IF(AND(AC23=Utilización!$F$69),("Inicio"),(IF(AND(AC23&gt;Utilización!$F$69,AC23&lt;=Utilización!$G$69),("En progreso"),(IF(AND(AC23&lt;Utilización!$F$69,AC23&lt;Utilización!$G$69),(""),(IF(AND(AC23&gt;Utilización!$F$69,AC23&gt;Utilización!$G$69),("Finalizado"),(""))))))))</f>
        <v/>
      </c>
      <c r="AD28" t="str">
        <f>IF(AND(AD23=Utilización!$F$69),("Inicio"),(IF(AND(AD23&gt;Utilización!$F$69,AD23&lt;=Utilización!$G$69),("En progreso"),(IF(AND(AD23&lt;Utilización!$F$69,AD23&lt;Utilización!$G$69),(""),(IF(AND(AD23&gt;Utilización!$F$69,AD23&gt;Utilización!$G$69),("Finalizado"),(""))))))))</f>
        <v/>
      </c>
      <c r="AE28" t="str">
        <f>IF(AND(AE23=Utilización!$F$69),("Inicio"),(IF(AND(AE23&gt;Utilización!$F$69,AE23&lt;=Utilización!$G$69),("En progreso"),(IF(AND(AE23&lt;Utilización!$F$69,AE23&lt;Utilización!$G$69),(""),(IF(AND(AE23&gt;Utilización!$F$69,AE23&gt;Utilización!$G$69),("Finalizado"),(""))))))))</f>
        <v/>
      </c>
      <c r="AF28" t="str">
        <f>IF(AND(AF23=Utilización!$F$69),("Inicio"),(IF(AND(AF23&gt;Utilización!$F$69,AF23&lt;=Utilización!$G$69),("En progreso"),(IF(AND(AF23&lt;Utilización!$F$69,AF23&lt;Utilización!$G$69),(""),(IF(AND(AF23&gt;Utilización!$F$69,AF23&gt;Utilización!$G$69),("Finalizado"),(""))))))))</f>
        <v/>
      </c>
      <c r="AG28" t="str">
        <f>IF(AND(AG23=Utilización!$F$69),("Inicio"),(IF(AND(AG23&gt;Utilización!$F$69,AG23&lt;=Utilización!$G$69),("En progreso"),(IF(AND(AG23&lt;Utilización!$F$69,AG23&lt;Utilización!$G$69),(""),(IF(AND(AG23&gt;Utilización!$F$69,AG23&gt;Utilización!$G$69),("Finalizado"),(""))))))))</f>
        <v/>
      </c>
      <c r="AH28" t="str">
        <f>IF(AND(AH23=Utilización!$F$69),("Inicio"),(IF(AND(AH23&gt;Utilización!$F$69,AH23&lt;=Utilización!$G$69),("En progreso"),(IF(AND(AH23&lt;Utilización!$F$69,AH23&lt;Utilización!$G$69),(""),(IF(AND(AH23&gt;Utilización!$F$69,AH23&gt;Utilización!$G$69),("Finalizado"),(""))))))))</f>
        <v/>
      </c>
      <c r="AI28" t="str">
        <f>IF(AND(AI23=Utilización!$F$69),("Inicio"),(IF(AND(AI23&gt;Utilización!$F$69,AI23&lt;=Utilización!$G$69),("En progreso"),(IF(AND(AI23&lt;Utilización!$F$69,AI23&lt;Utilización!$G$69),(""),(IF(AND(AI23&gt;Utilización!$F$69,AI23&gt;Utilización!$G$69),("Finalizado"),(""))))))))</f>
        <v/>
      </c>
      <c r="AJ28" t="str">
        <f>IF(AND(AJ23=Utilización!$F$69),("Inicio"),(IF(AND(AJ23&gt;Utilización!$F$69,AJ23&lt;=Utilización!$G$69),("En progreso"),(IF(AND(AJ23&lt;Utilización!$F$69,AJ23&lt;Utilización!$G$69),(""),(IF(AND(AJ23&gt;Utilización!$F$69,AJ23&gt;Utilización!$G$69),("Finalizado"),(""))))))))</f>
        <v/>
      </c>
      <c r="AK28" t="str">
        <f>IF(AND(AK23=Utilización!$F$69),("Inicio"),(IF(AND(AK23&gt;Utilización!$F$69,AK23&lt;=Utilización!$G$69),("En progreso"),(IF(AND(AK23&lt;Utilización!$F$69,AK23&lt;Utilización!$G$69),(""),(IF(AND(AK23&gt;Utilización!$F$69,AK23&gt;Utilización!$G$69),("Finalizado"),(""))))))))</f>
        <v/>
      </c>
      <c r="AL28" t="str">
        <f>IF(AND(AL23=Utilización!$F$69),("Inicio"),(IF(AND(AL23&gt;Utilización!$F$69,AL23&lt;=Utilización!$G$69),("En progreso"),(IF(AND(AL23&lt;Utilización!$F$69,AL23&lt;Utilización!$G$69),(""),(IF(AND(AL23&gt;Utilización!$F$69,AL23&gt;Utilización!$G$69),("Finalizado"),(""))))))))</f>
        <v/>
      </c>
      <c r="AM28" t="str">
        <f>IF(AND(AM23=Utilización!$F$69),("Inicio"),(IF(AND(AM23&gt;Utilización!$F$69,AM23&lt;=Utilización!$G$69),("En progreso"),(IF(AND(AM23&lt;Utilización!$F$69,AM23&lt;Utilización!$G$69),(""),(IF(AND(AM23&gt;Utilización!$F$69,AM23&gt;Utilización!$G$69),("Finalizado"),(""))))))))</f>
        <v/>
      </c>
      <c r="AN28" t="str">
        <f>IF(AND(AN23=Utilización!$F$69),("Inicio"),(IF(AND(AN23&gt;Utilización!$F$69,AN23&lt;=Utilización!$G$69),("En progreso"),(IF(AND(AN23&lt;Utilización!$F$69,AN23&lt;Utilización!$G$69),(""),(IF(AND(AN23&gt;Utilización!$F$69,AN23&gt;Utilización!$G$69),("Finalizado"),(""))))))))</f>
        <v/>
      </c>
      <c r="AO28" t="str">
        <f>IF(AND(AO23=Utilización!$F$69),("Inicio"),(IF(AND(AO23&gt;Utilización!$F$69,AO23&lt;=Utilización!$G$69),("En progreso"),(IF(AND(AO23&lt;Utilización!$F$69,AO23&lt;Utilización!$G$69),(""),(IF(AND(AO23&gt;Utilización!$F$69,AO23&gt;Utilización!$G$69),("Finalizado"),(""))))))))</f>
        <v/>
      </c>
      <c r="AP28" t="str">
        <f>IF(AND(AP23=Utilización!$F$69),("Inicio"),(IF(AND(AP23&gt;Utilización!$F$69,AP23&lt;=Utilización!$G$69),("En progreso"),(IF(AND(AP23&lt;Utilización!$F$69,AP23&lt;Utilización!$G$69),(""),(IF(AND(AP23&gt;Utilización!$F$69,AP23&gt;Utilización!$G$69),("Finalizado"),(""))))))))</f>
        <v/>
      </c>
      <c r="AQ28" t="str">
        <f>IF(AND(AQ23=Utilización!$F$69),("Inicio"),(IF(AND(AQ23&gt;Utilización!$F$69,AQ23&lt;=Utilización!$G$69),("En progreso"),(IF(AND(AQ23&lt;Utilización!$F$69,AQ23&lt;Utilización!$G$69),(""),(IF(AND(AQ23&gt;Utilización!$F$69,AQ23&gt;Utilización!$G$69),("Finalizado"),(""))))))))</f>
        <v/>
      </c>
      <c r="AR28" t="str">
        <f>IF(AND(AR23=Utilización!$F$69),("Inicio"),(IF(AND(AR23&gt;Utilización!$F$69,AR23&lt;=Utilización!$G$69),("En progreso"),(IF(AND(AR23&lt;Utilización!$F$69,AR23&lt;Utilización!$G$69),(""),(IF(AND(AR23&gt;Utilización!$F$69,AR23&gt;Utilización!$G$69),("Finalizado"),(""))))))))</f>
        <v/>
      </c>
      <c r="AS28" t="str">
        <f>IF(AND(AS23=Utilización!$F$69),("Inicio"),(IF(AND(AS23&gt;Utilización!$F$69,AS23&lt;=Utilización!$G$69),("En progreso"),(IF(AND(AS23&lt;Utilización!$F$69,AS23&lt;Utilización!$G$69),(""),(IF(AND(AS23&gt;Utilización!$F$69,AS23&gt;Utilización!$G$69),("Finalizado"),(""))))))))</f>
        <v/>
      </c>
      <c r="AT28" t="str">
        <f>IF(AND(AT23=Utilización!$F$69),("Inicio"),(IF(AND(AT23&gt;Utilización!$F$69,AT23&lt;=Utilización!$G$69),("En progreso"),(IF(AND(AT23&lt;Utilización!$F$69,AT23&lt;Utilización!$G$69),(""),(IF(AND(AT23&gt;Utilización!$F$69,AT23&gt;Utilización!$G$69),("Finalizado"),(""))))))))</f>
        <v/>
      </c>
      <c r="AU28" t="str">
        <f>IF(AND(AU23=Utilización!$F$69),("Inicio"),(IF(AND(AU23&gt;Utilización!$F$69,AU23&lt;=Utilización!$G$69),("En progreso"),(IF(AND(AU23&lt;Utilización!$F$69,AU23&lt;Utilización!$G$69),(""),(IF(AND(AU23&gt;Utilización!$F$69,AU23&gt;Utilización!$G$69),("Finalizado"),(""))))))))</f>
        <v/>
      </c>
      <c r="AV28" t="str">
        <f>IF(AND(AV23=Utilización!$F$69),("Inicio"),(IF(AND(AV23&gt;Utilización!$F$69,AV23&lt;=Utilización!$G$69),("En progreso"),(IF(AND(AV23&lt;Utilización!$F$69,AV23&lt;Utilización!$G$69),(""),(IF(AND(AV23&gt;Utilización!$F$69,AV23&gt;Utilización!$G$69),("Finalizado"),(""))))))))</f>
        <v/>
      </c>
    </row>
    <row r="29" spans="1:48" x14ac:dyDescent="0.25">
      <c r="A29" s="40" t="str">
        <f>Utilización!A17</f>
        <v>F</v>
      </c>
      <c r="D29" s="74" t="str">
        <f>IF(AND(D23=Utilización!$F$70),("Inicio"),(IF(AND(D23&gt;Utilización!$F$70,D23&lt;=Utilización!$G$70),("En progreso"),(IF(AND(D23&lt;Utilización!$F$70,D23&lt;Utilización!$G$70),(""),(IF(AND(D23&gt;Utilización!$F$70,D23&gt;Utilización!$G$70),("Finalizado"),(""))))))))</f>
        <v/>
      </c>
      <c r="E29" s="74" t="str">
        <f>IF(AND(E23=Utilización!$F$70),("Inicio"),(IF(AND(E23&gt;Utilización!$F$70,E23&lt;=Utilización!$G$70),("En progreso"),(IF(AND(E23&lt;Utilización!$F$70,E23&lt;Utilización!$G$70),(""),(IF(AND(E23&gt;Utilización!$F$70,E23&gt;Utilización!$G$70),("Finalizado"),(""))))))))</f>
        <v/>
      </c>
      <c r="F29" s="74" t="str">
        <f>IF(AND(F23=Utilización!$F$70),("Inicio"),(IF(AND(F23&gt;Utilización!$F$70,F23&lt;=Utilización!$G$70),("En progreso"),(IF(AND(F23&lt;Utilización!$F$70,F23&lt;Utilización!$G$70),(""),(IF(AND(F23&gt;Utilización!$F$70,F23&gt;Utilización!$G$70),("Finalizado"),(""))))))))</f>
        <v/>
      </c>
      <c r="G29" s="74" t="str">
        <f>IF(AND(G23=Utilización!$F$70),("Inicio"),(IF(AND(G23&gt;Utilización!$F$70,G23&lt;=Utilización!$G$70),("En progreso"),(IF(AND(G23&lt;Utilización!$F$70,G23&lt;Utilización!$G$70),(""),(IF(AND(G23&gt;Utilización!$F$70,G23&gt;Utilización!$G$70),("Finalizado"),(""))))))))</f>
        <v/>
      </c>
      <c r="H29" s="74" t="str">
        <f>IF(AND(H23=Utilización!$F$70),("Inicio"),(IF(AND(H23&gt;Utilización!$F$70,H23&lt;=Utilización!$G$70),("En progreso"),(IF(AND(H23&lt;Utilización!$F$70,H23&lt;Utilización!$G$70),(""),(IF(AND(H23&gt;Utilización!$F$70,H23&gt;Utilización!$G$70),("Finalizado"),(""))))))))</f>
        <v/>
      </c>
      <c r="I29" s="74" t="str">
        <f>IF(AND(I23=Utilización!$F$70),("Inicio"),(IF(AND(I23&gt;Utilización!$F$70,I23&lt;=Utilización!$G$70),("En progreso"),(IF(AND(I23&lt;Utilización!$F$70,I23&lt;Utilización!$G$70),(""),(IF(AND(I23&gt;Utilización!$F$70,I23&gt;Utilización!$G$70),("Finalizado"),(""))))))))</f>
        <v/>
      </c>
      <c r="J29" s="74" t="str">
        <f>IF(AND(J23=Utilización!$F$70),("Inicio"),(IF(AND(J23&gt;Utilización!$F$70,J23&lt;=Utilización!$G$70),("En progreso"),(IF(AND(J23&lt;Utilización!$F$70,J23&lt;Utilización!$G$70),(""),(IF(AND(J23&gt;Utilización!$F$70,J23&gt;Utilización!$G$70),("Finalizado"),(""))))))))</f>
        <v/>
      </c>
      <c r="K29" s="74" t="str">
        <f>IF(AND(K23=Utilización!$F$70),("Inicio"),(IF(AND(K23&gt;Utilización!$F$70,K23&lt;=Utilización!$G$70),("En progreso"),(IF(AND(K23&lt;Utilización!$F$70,K23&lt;Utilización!$G$70),(""),(IF(AND(K23&gt;Utilización!$F$70,K23&gt;Utilización!$G$70),("Finalizado"),(""))))))))</f>
        <v/>
      </c>
      <c r="L29" s="74" t="str">
        <f>IF(AND(L23=Utilización!$F$70),("Inicio"),(IF(AND(L23&gt;Utilización!$F$70,L23&lt;=Utilización!$G$70),("En progreso"),(IF(AND(L23&lt;Utilización!$F$70,L23&lt;Utilización!$G$70),(""),(IF(AND(L23&gt;Utilización!$F$70,L23&gt;Utilización!$G$70),("Finalizado"),(""))))))))</f>
        <v/>
      </c>
      <c r="M29" s="74" t="str">
        <f>IF(AND(M23=Utilización!$F$70),("Inicio"),(IF(AND(M23&gt;Utilización!$F$70,M23&lt;=Utilización!$G$70),("En progreso"),(IF(AND(M23&lt;Utilización!$F$70,M23&lt;Utilización!$G$70),(""),(IF(AND(M23&gt;Utilización!$F$70,M23&gt;Utilización!$G$70),("Finalizado"),(""))))))))</f>
        <v/>
      </c>
      <c r="N29" s="74" t="str">
        <f>IF(AND(N23=Utilización!$F$70),("Inicio"),(IF(AND(N23&gt;Utilización!$F$70,N23&lt;=Utilización!$G$70),("En progreso"),(IF(AND(N23&lt;Utilización!$F$70,N23&lt;Utilización!$G$70),(""),(IF(AND(N23&gt;Utilización!$F$70,N23&gt;Utilización!$G$70),("Finalizado"),(""))))))))</f>
        <v/>
      </c>
      <c r="O29" s="74" t="str">
        <f>IF(AND(O23=Utilización!$F$70),("Inicio"),(IF(AND(O23&gt;Utilización!$F$70,O23&lt;=Utilización!$G$70),("En progreso"),(IF(AND(O23&lt;Utilización!$F$70,O23&lt;Utilización!$G$70),(""),(IF(AND(O23&gt;Utilización!$F$70,O23&gt;Utilización!$G$70),("Finalizado"),(""))))))))</f>
        <v/>
      </c>
      <c r="P29" s="74" t="str">
        <f>IF(AND(P23=Utilización!$F$70),("Inicio"),(IF(AND(P23&gt;Utilización!$F$70,P23&lt;=Utilización!$G$70),("En progreso"),(IF(AND(P23&lt;Utilización!$F$70,P23&lt;Utilización!$G$70),(""),(IF(AND(P23&gt;Utilización!$F$70,P23&gt;Utilización!$G$70),("Finalizado"),(""))))))))</f>
        <v/>
      </c>
      <c r="Q29" s="74" t="str">
        <f>IF(AND(Q23=Utilización!$F$70),("Inicio"),(IF(AND(Q23&gt;Utilización!$F$70,Q23&lt;=Utilización!$G$70),("En progreso"),(IF(AND(Q23&lt;Utilización!$F$70,Q23&lt;Utilización!$G$70),(""),(IF(AND(Q23&gt;Utilización!$F$70,Q23&gt;Utilización!$G$70),("Finalizado"),(""))))))))</f>
        <v/>
      </c>
      <c r="R29" s="74" t="str">
        <f>IF(AND(R23=Utilización!$F$70),("Inicio"),(IF(AND(R23&gt;Utilización!$F$70,R23&lt;=Utilización!$G$70),("En progreso"),(IF(AND(R23&lt;Utilización!$F$70,R23&lt;Utilización!$G$70),(""),(IF(AND(R23&gt;Utilización!$F$70,R23&gt;Utilización!$G$70),("Finalizado"),(""))))))))</f>
        <v/>
      </c>
      <c r="S29" t="str">
        <f>IF(AND(S23=Utilización!$F$70),("Inicio"),(IF(AND(S23&gt;Utilización!$F$70,S23&lt;=Utilización!$G$70),("En progreso"),(IF(AND(S23&lt;Utilización!$F$70,S23&lt;Utilización!$G$70),(""),(IF(AND(S23&gt;Utilización!$F$70,S23&gt;Utilización!$G$70),("Finalizado"),(""))))))))</f>
        <v/>
      </c>
      <c r="T29" t="str">
        <f>IF(AND(T23=Utilización!$F$70),("Inicio"),(IF(AND(T23&gt;Utilización!$F$70,T23&lt;=Utilización!$G$70),("En progreso"),(IF(AND(T23&lt;Utilización!$F$70,T23&lt;Utilización!$G$70),(""),(IF(AND(T23&gt;Utilización!$F$70,T23&gt;Utilización!$G$70),("Finalizado"),(""))))))))</f>
        <v/>
      </c>
      <c r="U29" t="str">
        <f>IF(AND(U23=Utilización!$F$70),("Inicio"),(IF(AND(U23&gt;Utilización!$F$70,U23&lt;=Utilización!$G$70),("En progreso"),(IF(AND(U23&lt;Utilización!$F$70,U23&lt;Utilización!$G$70),(""),(IF(AND(U23&gt;Utilización!$F$70,U23&gt;Utilización!$G$70),("Finalizado"),(""))))))))</f>
        <v/>
      </c>
      <c r="V29" t="str">
        <f>IF(AND(V23=Utilización!$F$70),("Inicio"),(IF(AND(V23&gt;Utilización!$F$70,V23&lt;=Utilización!$G$70),("En progreso"),(IF(AND(V23&lt;Utilización!$F$70,V23&lt;Utilización!$G$70),(""),(IF(AND(V23&gt;Utilización!$F$70,V23&gt;Utilización!$G$70),("Finalizado"),(""))))))))</f>
        <v/>
      </c>
      <c r="W29" t="str">
        <f>IF(AND(W23=Utilización!$F$70),("Inicio"),(IF(AND(W23&gt;Utilización!$F$70,W23&lt;=Utilización!$G$70),("En progreso"),(IF(AND(W23&lt;Utilización!$F$70,W23&lt;Utilización!$G$70),(""),(IF(AND(W23&gt;Utilización!$F$70,W23&gt;Utilización!$G$70),("Finalizado"),(""))))))))</f>
        <v/>
      </c>
      <c r="X29" t="str">
        <f>IF(AND(X23=Utilización!$F$70),("Inicio"),(IF(AND(X23&gt;Utilización!$F$70,X23&lt;=Utilización!$G$70),("En progreso"),(IF(AND(X23&lt;Utilización!$F$70,X23&lt;Utilización!$G$70),(""),(IF(AND(X23&gt;Utilización!$F$70,X23&gt;Utilización!$G$70),("Finalizado"),(""))))))))</f>
        <v/>
      </c>
      <c r="Y29" t="str">
        <f>IF(AND(Y23=Utilización!$F$70),("Inicio"),(IF(AND(Y23&gt;Utilización!$F$70,Y23&lt;=Utilización!$G$70),("En progreso"),(IF(AND(Y23&lt;Utilización!$F$70,Y23&lt;Utilización!$G$70),(""),(IF(AND(Y23&gt;Utilización!$F$70,Y23&gt;Utilización!$G$70),("Finalizado"),(""))))))))</f>
        <v/>
      </c>
      <c r="Z29" t="str">
        <f>IF(AND(Z23=Utilización!$F$70),("Inicio"),(IF(AND(Z23&gt;Utilización!$F$70,Z23&lt;=Utilización!$G$70),("En progreso"),(IF(AND(Z23&lt;Utilización!$F$70,Z23&lt;Utilización!$G$70),(""),(IF(AND(Z23&gt;Utilización!$F$70,Z23&gt;Utilización!$G$70),("Finalizado"),(""))))))))</f>
        <v/>
      </c>
      <c r="AA29" t="str">
        <f>IF(AND(AA23=Utilización!$F$70),("Inicio"),(IF(AND(AA23&gt;Utilización!$F$70,AA23&lt;=Utilización!$G$70),("En progreso"),(IF(AND(AA23&lt;Utilización!$F$70,AA23&lt;Utilización!$G$70),(""),(IF(AND(AA23&gt;Utilización!$F$70,AA23&gt;Utilización!$G$70),("Finalizado"),(""))))))))</f>
        <v/>
      </c>
      <c r="AB29" t="str">
        <f>IF(AND(AB23=Utilización!$F$70),("Inicio"),(IF(AND(AB23&gt;Utilización!$F$70,AB23&lt;=Utilización!$G$70),("En progreso"),(IF(AND(AB23&lt;Utilización!$F$70,AB23&lt;Utilización!$G$70),(""),(IF(AND(AB23&gt;Utilización!$F$70,AB23&gt;Utilización!$G$70),("Finalizado"),(""))))))))</f>
        <v/>
      </c>
      <c r="AC29" t="str">
        <f>IF(AND(AC23=Utilización!$F$70),("Inicio"),(IF(AND(AC23&gt;Utilización!$F$70,AC23&lt;=Utilización!$G$70),("En progreso"),(IF(AND(AC23&lt;Utilización!$F$70,AC23&lt;Utilización!$G$70),(""),(IF(AND(AC23&gt;Utilización!$F$70,AC23&gt;Utilización!$G$70),("Finalizado"),(""))))))))</f>
        <v/>
      </c>
      <c r="AD29" t="str">
        <f>IF(AND(AD23=Utilización!$F$70),("Inicio"),(IF(AND(AD23&gt;Utilización!$F$70,AD23&lt;=Utilización!$G$70),("En progreso"),(IF(AND(AD23&lt;Utilización!$F$70,AD23&lt;Utilización!$G$70),(""),(IF(AND(AD23&gt;Utilización!$F$70,AD23&gt;Utilización!$G$70),("Finalizado"),(""))))))))</f>
        <v/>
      </c>
      <c r="AE29" t="str">
        <f>IF(AND(AE23=Utilización!$F$70),("Inicio"),(IF(AND(AE23&gt;Utilización!$F$70,AE23&lt;=Utilización!$G$70),("En progreso"),(IF(AND(AE23&lt;Utilización!$F$70,AE23&lt;Utilización!$G$70),(""),(IF(AND(AE23&gt;Utilización!$F$70,AE23&gt;Utilización!$G$70),("Finalizado"),(""))))))))</f>
        <v/>
      </c>
      <c r="AF29" t="str">
        <f>IF(AND(AF23=Utilización!$F$70),("Inicio"),(IF(AND(AF23&gt;Utilización!$F$70,AF23&lt;=Utilización!$G$70),("En progreso"),(IF(AND(AF23&lt;Utilización!$F$70,AF23&lt;Utilización!$G$70),(""),(IF(AND(AF23&gt;Utilización!$F$70,AF23&gt;Utilización!$G$70),("Finalizado"),(""))))))))</f>
        <v/>
      </c>
      <c r="AG29" t="str">
        <f>IF(AND(AG23=Utilización!$F$70),("Inicio"),(IF(AND(AG23&gt;Utilización!$F$70,AG23&lt;=Utilización!$G$70),("En progreso"),(IF(AND(AG23&lt;Utilización!$F$70,AG23&lt;Utilización!$G$70),(""),(IF(AND(AG23&gt;Utilización!$F$70,AG23&gt;Utilización!$G$70),("Finalizado"),(""))))))))</f>
        <v/>
      </c>
      <c r="AH29" t="str">
        <f>IF(AND(AH23=Utilización!$F$70),("Inicio"),(IF(AND(AH23&gt;Utilización!$F$70,AH23&lt;=Utilización!$G$70),("En progreso"),(IF(AND(AH23&lt;Utilización!$F$70,AH23&lt;Utilización!$G$70),(""),(IF(AND(AH23&gt;Utilización!$F$70,AH23&gt;Utilización!$G$70),("Finalizado"),(""))))))))</f>
        <v/>
      </c>
      <c r="AI29" t="str">
        <f>IF(AND(AI23=Utilización!$F$70),("Inicio"),(IF(AND(AI23&gt;Utilización!$F$70,AI23&lt;=Utilización!$G$70),("En progreso"),(IF(AND(AI23&lt;Utilización!$F$70,AI23&lt;Utilización!$G$70),(""),(IF(AND(AI23&gt;Utilización!$F$70,AI23&gt;Utilización!$G$70),("Finalizado"),(""))))))))</f>
        <v/>
      </c>
      <c r="AJ29" t="str">
        <f>IF(AND(AJ23=Utilización!$F$70),("Inicio"),(IF(AND(AJ23&gt;Utilización!$F$70,AJ23&lt;=Utilización!$G$70),("En progreso"),(IF(AND(AJ23&lt;Utilización!$F$70,AJ23&lt;Utilización!$G$70),(""),(IF(AND(AJ23&gt;Utilización!$F$70,AJ23&gt;Utilización!$G$70),("Finalizado"),(""))))))))</f>
        <v/>
      </c>
      <c r="AK29" t="str">
        <f>IF(AND(AK23=Utilización!$F$70),("Inicio"),(IF(AND(AK23&gt;Utilización!$F$70,AK23&lt;=Utilización!$G$70),("En progreso"),(IF(AND(AK23&lt;Utilización!$F$70,AK23&lt;Utilización!$G$70),(""),(IF(AND(AK23&gt;Utilización!$F$70,AK23&gt;Utilización!$G$70),("Finalizado"),(""))))))))</f>
        <v/>
      </c>
      <c r="AL29" t="str">
        <f>IF(AND(AL23=Utilización!$F$70),("Inicio"),(IF(AND(AL23&gt;Utilización!$F$70,AL23&lt;=Utilización!$G$70),("En progreso"),(IF(AND(AL23&lt;Utilización!$F$70,AL23&lt;Utilización!$G$70),(""),(IF(AND(AL23&gt;Utilización!$F$70,AL23&gt;Utilización!$G$70),("Finalizado"),(""))))))))</f>
        <v/>
      </c>
      <c r="AM29" t="str">
        <f>IF(AND(AM23=Utilización!$F$70),("Inicio"),(IF(AND(AM23&gt;Utilización!$F$70,AM23&lt;=Utilización!$G$70),("En progreso"),(IF(AND(AM23&lt;Utilización!$F$70,AM23&lt;Utilización!$G$70),(""),(IF(AND(AM23&gt;Utilización!$F$70,AM23&gt;Utilización!$G$70),("Finalizado"),(""))))))))</f>
        <v/>
      </c>
      <c r="AN29" t="str">
        <f>IF(AND(AN23=Utilización!$F$70),("Inicio"),(IF(AND(AN23&gt;Utilización!$F$70,AN23&lt;=Utilización!$G$70),("En progreso"),(IF(AND(AN23&lt;Utilización!$F$70,AN23&lt;Utilización!$G$70),(""),(IF(AND(AN23&gt;Utilización!$F$70,AN23&gt;Utilización!$G$70),("Finalizado"),(""))))))))</f>
        <v/>
      </c>
      <c r="AO29" t="str">
        <f>IF(AND(AO23=Utilización!$F$70),("Inicio"),(IF(AND(AO23&gt;Utilización!$F$70,AO23&lt;=Utilización!$G$70),("En progreso"),(IF(AND(AO23&lt;Utilización!$F$70,AO23&lt;Utilización!$G$70),(""),(IF(AND(AO23&gt;Utilización!$F$70,AO23&gt;Utilización!$G$70),("Finalizado"),(""))))))))</f>
        <v/>
      </c>
      <c r="AP29" t="str">
        <f>IF(AND(AP23=Utilización!$F$70),("Inicio"),(IF(AND(AP23&gt;Utilización!$F$70,AP23&lt;=Utilización!$G$70),("En progreso"),(IF(AND(AP23&lt;Utilización!$F$70,AP23&lt;Utilización!$G$70),(""),(IF(AND(AP23&gt;Utilización!$F$70,AP23&gt;Utilización!$G$70),("Finalizado"),(""))))))))</f>
        <v/>
      </c>
      <c r="AQ29" t="str">
        <f>IF(AND(AQ23=Utilización!$F$70),("Inicio"),(IF(AND(AQ23&gt;Utilización!$F$70,AQ23&lt;=Utilización!$G$70),("En progreso"),(IF(AND(AQ23&lt;Utilización!$F$70,AQ23&lt;Utilización!$G$70),(""),(IF(AND(AQ23&gt;Utilización!$F$70,AQ23&gt;Utilización!$G$70),("Finalizado"),(""))))))))</f>
        <v/>
      </c>
      <c r="AR29" t="str">
        <f>IF(AND(AR23=Utilización!$F$70),("Inicio"),(IF(AND(AR23&gt;Utilización!$F$70,AR23&lt;=Utilización!$G$70),("En progreso"),(IF(AND(AR23&lt;Utilización!$F$70,AR23&lt;Utilización!$G$70),(""),(IF(AND(AR23&gt;Utilización!$F$70,AR23&gt;Utilización!$G$70),("Finalizado"),(""))))))))</f>
        <v/>
      </c>
      <c r="AS29" t="str">
        <f>IF(AND(AS23=Utilización!$F$70),("Inicio"),(IF(AND(AS23&gt;Utilización!$F$70,AS23&lt;=Utilización!$G$70),("En progreso"),(IF(AND(AS23&lt;Utilización!$F$70,AS23&lt;Utilización!$G$70),(""),(IF(AND(AS23&gt;Utilización!$F$70,AS23&gt;Utilización!$G$70),("Finalizado"),(""))))))))</f>
        <v/>
      </c>
      <c r="AT29" t="str">
        <f>IF(AND(AT23=Utilización!$F$70),("Inicio"),(IF(AND(AT23&gt;Utilización!$F$70,AT23&lt;=Utilización!$G$70),("En progreso"),(IF(AND(AT23&lt;Utilización!$F$70,AT23&lt;Utilización!$G$70),(""),(IF(AND(AT23&gt;Utilización!$F$70,AT23&gt;Utilización!$G$70),("Finalizado"),(""))))))))</f>
        <v/>
      </c>
      <c r="AU29" t="str">
        <f>IF(AND(AU23=Utilización!$F$70),("Inicio"),(IF(AND(AU23&gt;Utilización!$F$70,AU23&lt;=Utilización!$G$70),("En progreso"),(IF(AND(AU23&lt;Utilización!$F$70,AU23&lt;Utilización!$G$70),(""),(IF(AND(AU23&gt;Utilización!$F$70,AU23&gt;Utilización!$G$70),("Finalizado"),(""))))))))</f>
        <v/>
      </c>
      <c r="AV29" t="str">
        <f>IF(AND(AV23=Utilización!$F$70),("Inicio"),(IF(AND(AV23&gt;Utilización!$F$70,AV23&lt;=Utilización!$G$70),("En progreso"),(IF(AND(AV23&lt;Utilización!$F$70,AV23&lt;Utilización!$G$70),(""),(IF(AND(AV23&gt;Utilización!$F$70,AV23&gt;Utilización!$G$70),("Finalizado"),(""))))))))</f>
        <v/>
      </c>
    </row>
    <row r="30" spans="1:48" x14ac:dyDescent="0.25">
      <c r="A30" s="40" t="str">
        <f>Utilización!A18</f>
        <v>G</v>
      </c>
      <c r="D30" s="74" t="str">
        <f>IF(AND(D23=Utilización!$F$71),("Inicio"),(IF(AND(D23&gt;Utilización!$F$71,D23&lt;=Utilización!$G$71),("En progreso"),(IF(AND(D23&lt;Utilización!$F$71,D23&lt;Utilización!$G$71),(""),(IF(AND(D23&gt;Utilización!$F$71,D23&gt;Utilización!$G$71),("Finalizado"),(""))))))))</f>
        <v/>
      </c>
      <c r="E30" s="74" t="str">
        <f>IF(AND(E23=Utilización!$F$71),("Inicio"),(IF(AND(E23&gt;Utilización!$F$71,E23&lt;=Utilización!$G$71),("En progreso"),(IF(AND(E23&lt;Utilización!$F$71,E23&lt;Utilización!$G$71),(""),(IF(AND(E23&gt;Utilización!$F$71,E23&gt;Utilización!$G$71),("Finalizado"),(""))))))))</f>
        <v/>
      </c>
      <c r="F30" s="74" t="str">
        <f>IF(AND(F23=Utilización!$F$71),("Inicio"),(IF(AND(F23&gt;Utilización!$F$71,F23&lt;=Utilización!$G$71),("En progreso"),(IF(AND(F23&lt;Utilización!$F$71,F23&lt;Utilización!$G$71),(""),(IF(AND(F23&gt;Utilización!$F$71,F23&gt;Utilización!$G$71),("Finalizado"),(""))))))))</f>
        <v/>
      </c>
      <c r="G30" s="74" t="str">
        <f>IF(AND(G23=Utilización!$F$71),("Inicio"),(IF(AND(G23&gt;Utilización!$F$71,G23&lt;=Utilización!$G$71),("En progreso"),(IF(AND(G23&lt;Utilización!$F$71,G23&lt;Utilización!$G$71),(""),(IF(AND(G23&gt;Utilización!$F$71,G23&gt;Utilización!$G$71),("Finalizado"),(""))))))))</f>
        <v/>
      </c>
      <c r="H30" s="74" t="str">
        <f>IF(AND(H23=Utilización!$F$71),("Inicio"),(IF(AND(H23&gt;Utilización!$F$71,H23&lt;=Utilización!$G$71),("En progreso"),(IF(AND(H23&lt;Utilización!$F$71,H23&lt;Utilización!$G$71),(""),(IF(AND(H23&gt;Utilización!$F$71,H23&gt;Utilización!$G$71),("Finalizado"),(""))))))))</f>
        <v/>
      </c>
      <c r="I30" s="74" t="str">
        <f>IF(AND(I23=Utilización!$F$71),("Inicio"),(IF(AND(I23&gt;Utilización!$F$71,I23&lt;=Utilización!$G$71),("En progreso"),(IF(AND(I23&lt;Utilización!$F$71,I23&lt;Utilización!$G$71),(""),(IF(AND(I23&gt;Utilización!$F$71,I23&gt;Utilización!$G$71),("Finalizado"),(""))))))))</f>
        <v/>
      </c>
      <c r="J30" s="74" t="str">
        <f>IF(AND(J23=Utilización!$F$71),("Inicio"),(IF(AND(J23&gt;Utilización!$F$71,J23&lt;=Utilización!$G$71),("En progreso"),(IF(AND(J23&lt;Utilización!$F$71,J23&lt;Utilización!$G$71),(""),(IF(AND(J23&gt;Utilización!$F$71,J23&gt;Utilización!$G$71),("Finalizado"),(""))))))))</f>
        <v/>
      </c>
      <c r="K30" s="74" t="str">
        <f>IF(AND(K23=Utilización!$F$71),("Inicio"),(IF(AND(K23&gt;Utilización!$F$71,K23&lt;=Utilización!$G$71),("En progreso"),(IF(AND(K23&lt;Utilización!$F$71,K23&lt;Utilización!$G$71),(""),(IF(AND(K23&gt;Utilización!$F$71,K23&gt;Utilización!$G$71),("Finalizado"),(""))))))))</f>
        <v/>
      </c>
      <c r="L30" s="74" t="str">
        <f>IF(AND(L23=Utilización!$F$71),("Inicio"),(IF(AND(L23&gt;Utilización!$F$71,L23&lt;=Utilización!$G$71),("En progreso"),(IF(AND(L23&lt;Utilización!$F$71,L23&lt;Utilización!$G$71),(""),(IF(AND(L23&gt;Utilización!$F$71,L23&gt;Utilización!$G$71),("Finalizado"),(""))))))))</f>
        <v/>
      </c>
      <c r="M30" s="74" t="str">
        <f>IF(AND(M23=Utilización!$F$71),("Inicio"),(IF(AND(M23&gt;Utilización!$F$71,M23&lt;=Utilización!$G$71),("En progreso"),(IF(AND(M23&lt;Utilización!$F$71,M23&lt;Utilización!$G$71),(""),(IF(AND(M23&gt;Utilización!$F$71,M23&gt;Utilización!$G$71),("Finalizado"),(""))))))))</f>
        <v/>
      </c>
      <c r="N30" s="74" t="str">
        <f>IF(AND(N23=Utilización!$F$71),("Inicio"),(IF(AND(N23&gt;Utilización!$F$71,N23&lt;=Utilización!$G$71),("En progreso"),(IF(AND(N23&lt;Utilización!$F$71,N23&lt;Utilización!$G$71),(""),(IF(AND(N23&gt;Utilización!$F$71,N23&gt;Utilización!$G$71),("Finalizado"),(""))))))))</f>
        <v/>
      </c>
      <c r="O30" s="74" t="str">
        <f>IF(AND(O23=Utilización!$F$71),("Inicio"),(IF(AND(O23&gt;Utilización!$F$71,O23&lt;=Utilización!$G$71),("En progreso"),(IF(AND(O23&lt;Utilización!$F$71,O23&lt;Utilización!$G$71),(""),(IF(AND(O23&gt;Utilización!$F$71,O23&gt;Utilización!$G$71),("Finalizado"),(""))))))))</f>
        <v/>
      </c>
      <c r="P30" s="74" t="str">
        <f>IF(AND(P23=Utilización!$F$71),("Inicio"),(IF(AND(P23&gt;Utilización!$F$71,P23&lt;=Utilización!$G$71),("En progreso"),(IF(AND(P23&lt;Utilización!$F$71,P23&lt;Utilización!$G$71),(""),(IF(AND(P23&gt;Utilización!$F$71,P23&gt;Utilización!$G$71),("Finalizado"),(""))))))))</f>
        <v/>
      </c>
      <c r="Q30" s="74" t="str">
        <f>IF(AND(Q23=Utilización!$F$71),("Inicio"),(IF(AND(Q23&gt;Utilización!$F$71,Q23&lt;=Utilización!$G$71),("En progreso"),(IF(AND(Q23&lt;Utilización!$F$71,Q23&lt;Utilización!$G$71),(""),(IF(AND(Q23&gt;Utilización!$F$71,Q23&gt;Utilización!$G$71),("Finalizado"),(""))))))))</f>
        <v/>
      </c>
      <c r="R30" s="74" t="str">
        <f>IF(AND(R23=Utilización!$F$71),("Inicio"),(IF(AND(R23&gt;Utilización!$F$71,R23&lt;=Utilización!$G$71),("En progreso"),(IF(AND(R23&lt;Utilización!$F$71,R23&lt;Utilización!$G$71),(""),(IF(AND(R23&gt;Utilización!$F$71,R23&gt;Utilización!$G$71),("Finalizado"),(""))))))))</f>
        <v/>
      </c>
      <c r="S30" t="str">
        <f>IF(AND(S23=Utilización!$F$71),("Inicio"),(IF(AND(S23&gt;Utilización!$F$71,S23&lt;=Utilización!$G$71),("En progreso"),(IF(AND(S23&lt;Utilización!$F$71,S23&lt;Utilización!$G$71),(""),(IF(AND(S23&gt;Utilización!$F$71,S23&gt;Utilización!$G$71),("Finalizado"),(""))))))))</f>
        <v/>
      </c>
      <c r="T30" t="str">
        <f>IF(AND(T23=Utilización!$F$71),("Inicio"),(IF(AND(T23&gt;Utilización!$F$71,T23&lt;=Utilización!$G$71),("En progreso"),(IF(AND(T23&lt;Utilización!$F$71,T23&lt;Utilización!$G$71),(""),(IF(AND(T23&gt;Utilización!$F$71,T23&gt;Utilización!$G$71),("Finalizado"),(""))))))))</f>
        <v/>
      </c>
      <c r="U30" t="str">
        <f>IF(AND(U23=Utilización!$F$71),("Inicio"),(IF(AND(U23&gt;Utilización!$F$71,U23&lt;=Utilización!$G$71),("En progreso"),(IF(AND(U23&lt;Utilización!$F$71,U23&lt;Utilización!$G$71),(""),(IF(AND(U23&gt;Utilización!$F$71,U23&gt;Utilización!$G$71),("Finalizado"),(""))))))))</f>
        <v/>
      </c>
      <c r="V30" t="str">
        <f>IF(AND(V23=Utilización!$F$71),("Inicio"),(IF(AND(V23&gt;Utilización!$F$71,V23&lt;=Utilización!$G$71),("En progreso"),(IF(AND(V23&lt;Utilización!$F$71,V23&lt;Utilización!$G$71),(""),(IF(AND(V23&gt;Utilización!$F$71,V23&gt;Utilización!$G$71),("Finalizado"),(""))))))))</f>
        <v/>
      </c>
      <c r="W30" t="str">
        <f>IF(AND(W23=Utilización!$F$71),("Inicio"),(IF(AND(W23&gt;Utilización!$F$71,W23&lt;=Utilización!$G$71),("En progreso"),(IF(AND(W23&lt;Utilización!$F$71,W23&lt;Utilización!$G$71),(""),(IF(AND(W23&gt;Utilización!$F$71,W23&gt;Utilización!$G$71),("Finalizado"),(""))))))))</f>
        <v/>
      </c>
      <c r="X30" t="str">
        <f>IF(AND(X23=Utilización!$F$71),("Inicio"),(IF(AND(X23&gt;Utilización!$F$71,X23&lt;=Utilización!$G$71),("En progreso"),(IF(AND(X23&lt;Utilización!$F$71,X23&lt;Utilización!$G$71),(""),(IF(AND(X23&gt;Utilización!$F$71,X23&gt;Utilización!$G$71),("Finalizado"),(""))))))))</f>
        <v/>
      </c>
      <c r="Y30" t="str">
        <f>IF(AND(Y23=Utilización!$F$71),("Inicio"),(IF(AND(Y23&gt;Utilización!$F$71,Y23&lt;=Utilización!$G$71),("En progreso"),(IF(AND(Y23&lt;Utilización!$F$71,Y23&lt;Utilización!$G$71),(""),(IF(AND(Y23&gt;Utilización!$F$71,Y23&gt;Utilización!$G$71),("Finalizado"),(""))))))))</f>
        <v/>
      </c>
      <c r="Z30" t="str">
        <f>IF(AND(Z23=Utilización!$F$71),("Inicio"),(IF(AND(Z23&gt;Utilización!$F$71,Z23&lt;=Utilización!$G$71),("En progreso"),(IF(AND(Z23&lt;Utilización!$F$71,Z23&lt;Utilización!$G$71),(""),(IF(AND(Z23&gt;Utilización!$F$71,Z23&gt;Utilización!$G$71),("Finalizado"),(""))))))))</f>
        <v/>
      </c>
      <c r="AA30" t="str">
        <f>IF(AND(AA23=Utilización!$F$71),("Inicio"),(IF(AND(AA23&gt;Utilización!$F$71,AA23&lt;=Utilización!$G$71),("En progreso"),(IF(AND(AA23&lt;Utilización!$F$71,AA23&lt;Utilización!$G$71),(""),(IF(AND(AA23&gt;Utilización!$F$71,AA23&gt;Utilización!$G$71),("Finalizado"),(""))))))))</f>
        <v/>
      </c>
      <c r="AB30" t="str">
        <f>IF(AND(AB23=Utilización!$F$71),("Inicio"),(IF(AND(AB23&gt;Utilización!$F$71,AB23&lt;=Utilización!$G$71),("En progreso"),(IF(AND(AB23&lt;Utilización!$F$71,AB23&lt;Utilización!$G$71),(""),(IF(AND(AB23&gt;Utilización!$F$71,AB23&gt;Utilización!$G$71),("Finalizado"),(""))))))))</f>
        <v/>
      </c>
      <c r="AC30" t="str">
        <f>IF(AND(AC23=Utilización!$F$71),("Inicio"),(IF(AND(AC23&gt;Utilización!$F$71,AC23&lt;=Utilización!$G$71),("En progreso"),(IF(AND(AC23&lt;Utilización!$F$71,AC23&lt;Utilización!$G$71),(""),(IF(AND(AC23&gt;Utilización!$F$71,AC23&gt;Utilización!$G$71),("Finalizado"),(""))))))))</f>
        <v/>
      </c>
      <c r="AD30" t="str">
        <f>IF(AND(AD23=Utilización!$F$71),("Inicio"),(IF(AND(AD23&gt;Utilización!$F$71,AD23&lt;=Utilización!$G$71),("En progreso"),(IF(AND(AD23&lt;Utilización!$F$71,AD23&lt;Utilización!$G$71),(""),(IF(AND(AD23&gt;Utilización!$F$71,AD23&gt;Utilización!$G$71),("Finalizado"),(""))))))))</f>
        <v/>
      </c>
      <c r="AE30" t="str">
        <f>IF(AND(AE23=Utilización!$F$71),("Inicio"),(IF(AND(AE23&gt;Utilización!$F$71,AE23&lt;=Utilización!$G$71),("En progreso"),(IF(AND(AE23&lt;Utilización!$F$71,AE23&lt;Utilización!$G$71),(""),(IF(AND(AE23&gt;Utilización!$F$71,AE23&gt;Utilización!$G$71),("Finalizado"),(""))))))))</f>
        <v/>
      </c>
      <c r="AF30" t="str">
        <f>IF(AND(AF23=Utilización!$F$71),("Inicio"),(IF(AND(AF23&gt;Utilización!$F$71,AF23&lt;=Utilización!$G$71),("En progreso"),(IF(AND(AF23&lt;Utilización!$F$71,AF23&lt;Utilización!$G$71),(""),(IF(AND(AF23&gt;Utilización!$F$71,AF23&gt;Utilización!$G$71),("Finalizado"),(""))))))))</f>
        <v/>
      </c>
      <c r="AG30" t="str">
        <f>IF(AND(AG23=Utilización!$F$71),("Inicio"),(IF(AND(AG23&gt;Utilización!$F$71,AG23&lt;=Utilización!$G$71),("En progreso"),(IF(AND(AG23&lt;Utilización!$F$71,AG23&lt;Utilización!$G$71),(""),(IF(AND(AG23&gt;Utilización!$F$71,AG23&gt;Utilización!$G$71),("Finalizado"),(""))))))))</f>
        <v/>
      </c>
      <c r="AH30" t="str">
        <f>IF(AND(AH23=Utilización!$F$71),("Inicio"),(IF(AND(AH23&gt;Utilización!$F$71,AH23&lt;=Utilización!$G$71),("En progreso"),(IF(AND(AH23&lt;Utilización!$F$71,AH23&lt;Utilización!$G$71),(""),(IF(AND(AH23&gt;Utilización!$F$71,AH23&gt;Utilización!$G$71),("Finalizado"),(""))))))))</f>
        <v/>
      </c>
      <c r="AI30" t="str">
        <f>IF(AND(AI23=Utilización!$F$71),("Inicio"),(IF(AND(AI23&gt;Utilización!$F$71,AI23&lt;=Utilización!$G$71),("En progreso"),(IF(AND(AI23&lt;Utilización!$F$71,AI23&lt;Utilización!$G$71),(""),(IF(AND(AI23&gt;Utilización!$F$71,AI23&gt;Utilización!$G$71),("Finalizado"),(""))))))))</f>
        <v/>
      </c>
      <c r="AJ30" t="str">
        <f>IF(AND(AJ23=Utilización!$F$71),("Inicio"),(IF(AND(AJ23&gt;Utilización!$F$71,AJ23&lt;=Utilización!$G$71),("En progreso"),(IF(AND(AJ23&lt;Utilización!$F$71,AJ23&lt;Utilización!$G$71),(""),(IF(AND(AJ23&gt;Utilización!$F$71,AJ23&gt;Utilización!$G$71),("Finalizado"),(""))))))))</f>
        <v/>
      </c>
      <c r="AK30" t="str">
        <f>IF(AND(AK23=Utilización!$F$71),("Inicio"),(IF(AND(AK23&gt;Utilización!$F$71,AK23&lt;=Utilización!$G$71),("En progreso"),(IF(AND(AK23&lt;Utilización!$F$71,AK23&lt;Utilización!$G$71),(""),(IF(AND(AK23&gt;Utilización!$F$71,AK23&gt;Utilización!$G$71),("Finalizado"),(""))))))))</f>
        <v/>
      </c>
      <c r="AL30" t="str">
        <f>IF(AND(AL23=Utilización!$F$71),("Inicio"),(IF(AND(AL23&gt;Utilización!$F$71,AL23&lt;=Utilización!$G$71),("En progreso"),(IF(AND(AL23&lt;Utilización!$F$71,AL23&lt;Utilización!$G$71),(""),(IF(AND(AL23&gt;Utilización!$F$71,AL23&gt;Utilización!$G$71),("Finalizado"),(""))))))))</f>
        <v/>
      </c>
      <c r="AM30" t="str">
        <f>IF(AND(AM23=Utilización!$F$71),("Inicio"),(IF(AND(AM23&gt;Utilización!$F$71,AM23&lt;=Utilización!$G$71),("En progreso"),(IF(AND(AM23&lt;Utilización!$F$71,AM23&lt;Utilización!$G$71),(""),(IF(AND(AM23&gt;Utilización!$F$71,AM23&gt;Utilización!$G$71),("Finalizado"),(""))))))))</f>
        <v/>
      </c>
      <c r="AN30" t="str">
        <f>IF(AND(AN23=Utilización!$F$71),("Inicio"),(IF(AND(AN23&gt;Utilización!$F$71,AN23&lt;=Utilización!$G$71),("En progreso"),(IF(AND(AN23&lt;Utilización!$F$71,AN23&lt;Utilización!$G$71),(""),(IF(AND(AN23&gt;Utilización!$F$71,AN23&gt;Utilización!$G$71),("Finalizado"),(""))))))))</f>
        <v/>
      </c>
      <c r="AO30" t="str">
        <f>IF(AND(AO23=Utilización!$F$71),("Inicio"),(IF(AND(AO23&gt;Utilización!$F$71,AO23&lt;=Utilización!$G$71),("En progreso"),(IF(AND(AO23&lt;Utilización!$F$71,AO23&lt;Utilización!$G$71),(""),(IF(AND(AO23&gt;Utilización!$F$71,AO23&gt;Utilización!$G$71),("Finalizado"),(""))))))))</f>
        <v/>
      </c>
      <c r="AP30" t="str">
        <f>IF(AND(AP23=Utilización!$F$71),("Inicio"),(IF(AND(AP23&gt;Utilización!$F$71,AP23&lt;=Utilización!$G$71),("En progreso"),(IF(AND(AP23&lt;Utilización!$F$71,AP23&lt;Utilización!$G$71),(""),(IF(AND(AP23&gt;Utilización!$F$71,AP23&gt;Utilización!$G$71),("Finalizado"),(""))))))))</f>
        <v/>
      </c>
      <c r="AQ30" t="str">
        <f>IF(AND(AQ23=Utilización!$F$71),("Inicio"),(IF(AND(AQ23&gt;Utilización!$F$71,AQ23&lt;=Utilización!$G$71),("En progreso"),(IF(AND(AQ23&lt;Utilización!$F$71,AQ23&lt;Utilización!$G$71),(""),(IF(AND(AQ23&gt;Utilización!$F$71,AQ23&gt;Utilización!$G$71),("Finalizado"),(""))))))))</f>
        <v/>
      </c>
      <c r="AR30" t="str">
        <f>IF(AND(AR23=Utilización!$F$71),("Inicio"),(IF(AND(AR23&gt;Utilización!$F$71,AR23&lt;=Utilización!$G$71),("En progreso"),(IF(AND(AR23&lt;Utilización!$F$71,AR23&lt;Utilización!$G$71),(""),(IF(AND(AR23&gt;Utilización!$F$71,AR23&gt;Utilización!$G$71),("Finalizado"),(""))))))))</f>
        <v/>
      </c>
      <c r="AS30" t="str">
        <f>IF(AND(AS23=Utilización!$F$71),("Inicio"),(IF(AND(AS23&gt;Utilización!$F$71,AS23&lt;=Utilización!$G$71),("En progreso"),(IF(AND(AS23&lt;Utilización!$F$71,AS23&lt;Utilización!$G$71),(""),(IF(AND(AS23&gt;Utilización!$F$71,AS23&gt;Utilización!$G$71),("Finalizado"),(""))))))))</f>
        <v/>
      </c>
      <c r="AT30" t="str">
        <f>IF(AND(AT23=Utilización!$F$71),("Inicio"),(IF(AND(AT23&gt;Utilización!$F$71,AT23&lt;=Utilización!$G$71),("En progreso"),(IF(AND(AT23&lt;Utilización!$F$71,AT23&lt;Utilización!$G$71),(""),(IF(AND(AT23&gt;Utilización!$F$71,AT23&gt;Utilización!$G$71),("Finalizado"),(""))))))))</f>
        <v/>
      </c>
      <c r="AU30" t="str">
        <f>IF(AND(AU23=Utilización!$F$71),("Inicio"),(IF(AND(AU23&gt;Utilización!$F$71,AU23&lt;=Utilización!$G$71),("En progreso"),(IF(AND(AU23&lt;Utilización!$F$71,AU23&lt;Utilización!$G$71),(""),(IF(AND(AU23&gt;Utilización!$F$71,AU23&gt;Utilización!$G$71),("Finalizado"),(""))))))))</f>
        <v/>
      </c>
      <c r="AV30" t="str">
        <f>IF(AND(AV23=Utilización!$F$71),("Inicio"),(IF(AND(AV23&gt;Utilización!$F$71,AV23&lt;=Utilización!$G$71),("En progreso"),(IF(AND(AV23&lt;Utilización!$F$71,AV23&lt;Utilización!$G$71),(""),(IF(AND(AV23&gt;Utilización!$F$71,AV23&gt;Utilización!$G$71),("Finalizado"),(""))))))))</f>
        <v/>
      </c>
    </row>
    <row r="31" spans="1:48" x14ac:dyDescent="0.25">
      <c r="A31" s="40" t="str">
        <f>Utilización!A19</f>
        <v>H</v>
      </c>
      <c r="D31" s="74" t="str">
        <f>IF(AND(D23=Utilización!$F$72),("Inicio"),(IF(AND(D23&gt;Utilización!$F$72,D23&lt;=Utilización!$G$72),("En progreso"),(IF(AND(D23&lt;Utilización!$F$72,D23&lt;Utilización!$G$72),(""),(IF(AND(D23&gt;Utilización!$F$72,D23&gt;Utilización!$G$72),("Finalizado"),(""))))))))</f>
        <v/>
      </c>
      <c r="E31" s="74" t="str">
        <f>IF(AND(E23=Utilización!$F$72),("Inicio"),(IF(AND(E23&gt;Utilización!$F$72,E23&lt;=Utilización!$G$72),("En progreso"),(IF(AND(E23&lt;Utilización!$F$72,E23&lt;Utilización!$G$72),(""),(IF(AND(E23&gt;Utilización!$F$72,E23&gt;Utilización!$G$72),("Finalizado"),(""))))))))</f>
        <v/>
      </c>
      <c r="F31" s="74" t="str">
        <f>IF(AND(F23=Utilización!$F$72),("Inicio"),(IF(AND(F23&gt;Utilización!$F$72,F23&lt;=Utilización!$G$72),("En progreso"),(IF(AND(F23&lt;Utilización!$F$72,F23&lt;Utilización!$G$72),(""),(IF(AND(F23&gt;Utilización!$F$72,F23&gt;Utilización!$G$72),("Finalizado"),(""))))))))</f>
        <v/>
      </c>
      <c r="G31" s="74" t="str">
        <f>IF(AND(G23=Utilización!$F$72),("Inicio"),(IF(AND(G23&gt;Utilización!$F$72,G23&lt;=Utilización!$G$72),("En progreso"),(IF(AND(G23&lt;Utilización!$F$72,G23&lt;Utilización!$G$72),(""),(IF(AND(G23&gt;Utilización!$F$72,G23&gt;Utilización!$G$72),("Finalizado"),(""))))))))</f>
        <v/>
      </c>
      <c r="H31" s="74" t="str">
        <f>IF(AND(H23=Utilización!$F$72),("Inicio"),(IF(AND(H23&gt;Utilización!$F$72,H23&lt;=Utilización!$G$72),("En progreso"),(IF(AND(H23&lt;Utilización!$F$72,H23&lt;Utilización!$G$72),(""),(IF(AND(H23&gt;Utilización!$F$72,H23&gt;Utilización!$G$72),("Finalizado"),(""))))))))</f>
        <v/>
      </c>
      <c r="I31" s="74" t="str">
        <f>IF(AND(I23=Utilización!$F$72),("Inicio"),(IF(AND(I23&gt;Utilización!$F$72,I23&lt;=Utilización!$G$72),("En progreso"),(IF(AND(I23&lt;Utilización!$F$72,I23&lt;Utilización!$G$72),(""),(IF(AND(I23&gt;Utilización!$F$72,I23&gt;Utilización!$G$72),("Finalizado"),(""))))))))</f>
        <v/>
      </c>
      <c r="J31" s="74" t="str">
        <f>IF(AND(J23=Utilización!$F$72),("Inicio"),(IF(AND(J23&gt;Utilización!$F$72,J23&lt;=Utilización!$G$72),("En progreso"),(IF(AND(J23&lt;Utilización!$F$72,J23&lt;Utilización!$G$72),(""),(IF(AND(J23&gt;Utilización!$F$72,J23&gt;Utilización!$G$72),("Finalizado"),(""))))))))</f>
        <v/>
      </c>
      <c r="K31" s="74" t="str">
        <f>IF(AND(K23=Utilización!$F$72),("Inicio"),(IF(AND(K23&gt;Utilización!$F$72,K23&lt;=Utilización!$G$72),("En progreso"),(IF(AND(K23&lt;Utilización!$F$72,K23&lt;Utilización!$G$72),(""),(IF(AND(K23&gt;Utilización!$F$72,K23&gt;Utilización!$G$72),("Finalizado"),(""))))))))</f>
        <v/>
      </c>
      <c r="L31" s="74" t="str">
        <f>IF(AND(L23=Utilización!$F$72),("Inicio"),(IF(AND(L23&gt;Utilización!$F$72,L23&lt;=Utilización!$G$72),("En progreso"),(IF(AND(L23&lt;Utilización!$F$72,L23&lt;Utilización!$G$72),(""),(IF(AND(L23&gt;Utilización!$F$72,L23&gt;Utilización!$G$72),("Finalizado"),(""))))))))</f>
        <v/>
      </c>
      <c r="M31" s="74" t="str">
        <f>IF(AND(M23=Utilización!$F$72),("Inicio"),(IF(AND(M23&gt;Utilización!$F$72,M23&lt;=Utilización!$G$72),("En progreso"),(IF(AND(M23&lt;Utilización!$F$72,M23&lt;Utilización!$G$72),(""),(IF(AND(M23&gt;Utilización!$F$72,M23&gt;Utilización!$G$72),("Finalizado"),(""))))))))</f>
        <v/>
      </c>
      <c r="N31" s="74" t="str">
        <f>IF(AND(N23=Utilización!$F$72),("Inicio"),(IF(AND(N23&gt;Utilización!$F$72,N23&lt;=Utilización!$G$72),("En progreso"),(IF(AND(N23&lt;Utilización!$F$72,N23&lt;Utilización!$G$72),(""),(IF(AND(N23&gt;Utilización!$F$72,N23&gt;Utilización!$G$72),("Finalizado"),(""))))))))</f>
        <v/>
      </c>
      <c r="O31" s="74" t="str">
        <f>IF(AND(O23=Utilización!$F$72),("Inicio"),(IF(AND(O23&gt;Utilización!$F$72,O23&lt;=Utilización!$G$72),("En progreso"),(IF(AND(O23&lt;Utilización!$F$72,O23&lt;Utilización!$G$72),(""),(IF(AND(O23&gt;Utilización!$F$72,O23&gt;Utilización!$G$72),("Finalizado"),(""))))))))</f>
        <v/>
      </c>
      <c r="P31" s="74" t="str">
        <f>IF(AND(P23=Utilización!$F$72),("Inicio"),(IF(AND(P23&gt;Utilización!$F$72,P23&lt;=Utilización!$G$72),("En progreso"),(IF(AND(P23&lt;Utilización!$F$72,P23&lt;Utilización!$G$72),(""),(IF(AND(P23&gt;Utilización!$F$72,P23&gt;Utilización!$G$72),("Finalizado"),(""))))))))</f>
        <v/>
      </c>
      <c r="Q31" s="74" t="str">
        <f>IF(AND(Q23=Utilización!$F$72),("Inicio"),(IF(AND(Q23&gt;Utilización!$F$72,Q23&lt;=Utilización!$G$72),("En progreso"),(IF(AND(Q23&lt;Utilización!$F$72,Q23&lt;Utilización!$G$72),(""),(IF(AND(Q23&gt;Utilización!$F$72,Q23&gt;Utilización!$G$72),("Finalizado"),(""))))))))</f>
        <v/>
      </c>
      <c r="R31" s="74" t="str">
        <f>IF(AND(R23=Utilización!$F$72),("Inicio"),(IF(AND(R23&gt;Utilización!$F$72,R23&lt;=Utilización!$G$72),("En progreso"),(IF(AND(R23&lt;Utilización!$F$72,R23&lt;Utilización!$G$72),(""),(IF(AND(R23&gt;Utilización!$F$72,R23&gt;Utilización!$G$72),("Finalizado"),(""))))))))</f>
        <v/>
      </c>
      <c r="S31" t="str">
        <f>IF(AND(S23=Utilización!$F$72),("Inicio"),(IF(AND(S23&gt;Utilización!$F$72,S23&lt;=Utilización!$G$72),("En progreso"),(IF(AND(S23&lt;Utilización!$F$72,S23&lt;Utilización!$G$72),(""),(IF(AND(S23&gt;Utilización!$F$72,S23&gt;Utilización!$G$72),("Finalizado"),(""))))))))</f>
        <v/>
      </c>
      <c r="T31" t="str">
        <f>IF(AND(T23=Utilización!$F$72),("Inicio"),(IF(AND(T23&gt;Utilización!$F$72,T23&lt;=Utilización!$G$72),("En progreso"),(IF(AND(T23&lt;Utilización!$F$72,T23&lt;Utilización!$G$72),(""),(IF(AND(T23&gt;Utilización!$F$72,T23&gt;Utilización!$G$72),("Finalizado"),(""))))))))</f>
        <v/>
      </c>
      <c r="U31" t="str">
        <f>IF(AND(U23=Utilización!$F$72),("Inicio"),(IF(AND(U23&gt;Utilización!$F$72,U23&lt;=Utilización!$G$72),("En progreso"),(IF(AND(U23&lt;Utilización!$F$72,U23&lt;Utilización!$G$72),(""),(IF(AND(U23&gt;Utilización!$F$72,U23&gt;Utilización!$G$72),("Finalizado"),(""))))))))</f>
        <v/>
      </c>
      <c r="V31" t="str">
        <f>IF(AND(V23=Utilización!$F$72),("Inicio"),(IF(AND(V23&gt;Utilización!$F$72,V23&lt;=Utilización!$G$72),("En progreso"),(IF(AND(V23&lt;Utilización!$F$72,V23&lt;Utilización!$G$72),(""),(IF(AND(V23&gt;Utilización!$F$72,V23&gt;Utilización!$G$72),("Finalizado"),(""))))))))</f>
        <v/>
      </c>
      <c r="W31" t="str">
        <f>IF(AND(W23=Utilización!$F$72),("Inicio"),(IF(AND(W23&gt;Utilización!$F$72,W23&lt;=Utilización!$G$72),("En progreso"),(IF(AND(W23&lt;Utilización!$F$72,W23&lt;Utilización!$G$72),(""),(IF(AND(W23&gt;Utilización!$F$72,W23&gt;Utilización!$G$72),("Finalizado"),(""))))))))</f>
        <v/>
      </c>
      <c r="X31" t="str">
        <f>IF(AND(X23=Utilización!$F$72),("Inicio"),(IF(AND(X23&gt;Utilización!$F$72,X23&lt;=Utilización!$G$72),("En progreso"),(IF(AND(X23&lt;Utilización!$F$72,X23&lt;Utilización!$G$72),(""),(IF(AND(X23&gt;Utilización!$F$72,X23&gt;Utilización!$G$72),("Finalizado"),(""))))))))</f>
        <v/>
      </c>
      <c r="Y31" t="str">
        <f>IF(AND(Y23=Utilización!$F$72),("Inicio"),(IF(AND(Y23&gt;Utilización!$F$72,Y23&lt;=Utilización!$G$72),("En progreso"),(IF(AND(Y23&lt;Utilización!$F$72,Y23&lt;Utilización!$G$72),(""),(IF(AND(Y23&gt;Utilización!$F$72,Y23&gt;Utilización!$G$72),("Finalizado"),(""))))))))</f>
        <v/>
      </c>
      <c r="Z31" t="str">
        <f>IF(AND(Z23=Utilización!$F$72),("Inicio"),(IF(AND(Z23&gt;Utilización!$F$72,Z23&lt;=Utilización!$G$72),("En progreso"),(IF(AND(Z23&lt;Utilización!$F$72,Z23&lt;Utilización!$G$72),(""),(IF(AND(Z23&gt;Utilización!$F$72,Z23&gt;Utilización!$G$72),("Finalizado"),(""))))))))</f>
        <v/>
      </c>
      <c r="AA31" t="str">
        <f>IF(AND(AA23=Utilización!$F$72),("Inicio"),(IF(AND(AA23&gt;Utilización!$F$72,AA23&lt;=Utilización!$G$72),("En progreso"),(IF(AND(AA23&lt;Utilización!$F$72,AA23&lt;Utilización!$G$72),(""),(IF(AND(AA23&gt;Utilización!$F$72,AA23&gt;Utilización!$G$72),("Finalizado"),(""))))))))</f>
        <v/>
      </c>
      <c r="AB31" t="str">
        <f>IF(AND(AB23=Utilización!$F$72),("Inicio"),(IF(AND(AB23&gt;Utilización!$F$72,AB23&lt;=Utilización!$G$72),("En progreso"),(IF(AND(AB23&lt;Utilización!$F$72,AB23&lt;Utilización!$G$72),(""),(IF(AND(AB23&gt;Utilización!$F$72,AB23&gt;Utilización!$G$72),("Finalizado"),(""))))))))</f>
        <v/>
      </c>
      <c r="AC31" t="str">
        <f>IF(AND(AC23=Utilización!$F$72),("Inicio"),(IF(AND(AC23&gt;Utilización!$F$72,AC23&lt;=Utilización!$G$72),("En progreso"),(IF(AND(AC23&lt;Utilización!$F$72,AC23&lt;Utilización!$G$72),(""),(IF(AND(AC23&gt;Utilización!$F$72,AC23&gt;Utilización!$G$72),("Finalizado"),(""))))))))</f>
        <v/>
      </c>
      <c r="AD31" t="str">
        <f>IF(AND(AD23=Utilización!$F$72),("Inicio"),(IF(AND(AD23&gt;Utilización!$F$72,AD23&lt;=Utilización!$G$72),("En progreso"),(IF(AND(AD23&lt;Utilización!$F$72,AD23&lt;Utilización!$G$72),(""),(IF(AND(AD23&gt;Utilización!$F$72,AD23&gt;Utilización!$G$72),("Finalizado"),(""))))))))</f>
        <v/>
      </c>
      <c r="AE31" t="str">
        <f>IF(AND(AE23=Utilización!$F$72),("Inicio"),(IF(AND(AE23&gt;Utilización!$F$72,AE23&lt;=Utilización!$G$72),("En progreso"),(IF(AND(AE23&lt;Utilización!$F$72,AE23&lt;Utilización!$G$72),(""),(IF(AND(AE23&gt;Utilización!$F$72,AE23&gt;Utilización!$G$72),("Finalizado"),(""))))))))</f>
        <v/>
      </c>
      <c r="AF31" t="str">
        <f>IF(AND(AF23=Utilización!$F$72),("Inicio"),(IF(AND(AF23&gt;Utilización!$F$72,AF23&lt;=Utilización!$G$72),("En progreso"),(IF(AND(AF23&lt;Utilización!$F$72,AF23&lt;Utilización!$G$72),(""),(IF(AND(AF23&gt;Utilización!$F$72,AF23&gt;Utilización!$G$72),("Finalizado"),(""))))))))</f>
        <v/>
      </c>
      <c r="AG31" t="str">
        <f>IF(AND(AG23=Utilización!$F$72),("Inicio"),(IF(AND(AG23&gt;Utilización!$F$72,AG23&lt;=Utilización!$G$72),("En progreso"),(IF(AND(AG23&lt;Utilización!$F$72,AG23&lt;Utilización!$G$72),(""),(IF(AND(AG23&gt;Utilización!$F$72,AG23&gt;Utilización!$G$72),("Finalizado"),(""))))))))</f>
        <v/>
      </c>
      <c r="AH31" t="str">
        <f>IF(AND(AH23=Utilización!$F$72),("Inicio"),(IF(AND(AH23&gt;Utilización!$F$72,AH23&lt;=Utilización!$G$72),("En progreso"),(IF(AND(AH23&lt;Utilización!$F$72,AH23&lt;Utilización!$G$72),(""),(IF(AND(AH23&gt;Utilización!$F$72,AH23&gt;Utilización!$G$72),("Finalizado"),(""))))))))</f>
        <v/>
      </c>
      <c r="AI31" t="str">
        <f>IF(AND(AI23=Utilización!$F$72),("Inicio"),(IF(AND(AI23&gt;Utilización!$F$72,AI23&lt;=Utilización!$G$72),("En progreso"),(IF(AND(AI23&lt;Utilización!$F$72,AI23&lt;Utilización!$G$72),(""),(IF(AND(AI23&gt;Utilización!$F$72,AI23&gt;Utilización!$G$72),("Finalizado"),(""))))))))</f>
        <v/>
      </c>
      <c r="AJ31" t="str">
        <f>IF(AND(AJ23=Utilización!$F$72),("Inicio"),(IF(AND(AJ23&gt;Utilización!$F$72,AJ23&lt;=Utilización!$G$72),("En progreso"),(IF(AND(AJ23&lt;Utilización!$F$72,AJ23&lt;Utilización!$G$72),(""),(IF(AND(AJ23&gt;Utilización!$F$72,AJ23&gt;Utilización!$G$72),("Finalizado"),(""))))))))</f>
        <v/>
      </c>
      <c r="AK31" t="str">
        <f>IF(AND(AK23=Utilización!$F$72),("Inicio"),(IF(AND(AK23&gt;Utilización!$F$72,AK23&lt;=Utilización!$G$72),("En progreso"),(IF(AND(AK23&lt;Utilización!$F$72,AK23&lt;Utilización!$G$72),(""),(IF(AND(AK23&gt;Utilización!$F$72,AK23&gt;Utilización!$G$72),("Finalizado"),(""))))))))</f>
        <v/>
      </c>
      <c r="AL31" t="str">
        <f>IF(AND(AL23=Utilización!$F$72),("Inicio"),(IF(AND(AL23&gt;Utilización!$F$72,AL23&lt;=Utilización!$G$72),("En progreso"),(IF(AND(AL23&lt;Utilización!$F$72,AL23&lt;Utilización!$G$72),(""),(IF(AND(AL23&gt;Utilización!$F$72,AL23&gt;Utilización!$G$72),("Finalizado"),(""))))))))</f>
        <v/>
      </c>
      <c r="AM31" t="str">
        <f>IF(AND(AM23=Utilización!$F$72),("Inicio"),(IF(AND(AM23&gt;Utilización!$F$72,AM23&lt;=Utilización!$G$72),("En progreso"),(IF(AND(AM23&lt;Utilización!$F$72,AM23&lt;Utilización!$G$72),(""),(IF(AND(AM23&gt;Utilización!$F$72,AM23&gt;Utilización!$G$72),("Finalizado"),(""))))))))</f>
        <v/>
      </c>
      <c r="AN31" t="str">
        <f>IF(AND(AN23=Utilización!$F$72),("Inicio"),(IF(AND(AN23&gt;Utilización!$F$72,AN23&lt;=Utilización!$G$72),("En progreso"),(IF(AND(AN23&lt;Utilización!$F$72,AN23&lt;Utilización!$G$72),(""),(IF(AND(AN23&gt;Utilización!$F$72,AN23&gt;Utilización!$G$72),("Finalizado"),(""))))))))</f>
        <v/>
      </c>
      <c r="AO31" t="str">
        <f>IF(AND(AO23=Utilización!$F$72),("Inicio"),(IF(AND(AO23&gt;Utilización!$F$72,AO23&lt;=Utilización!$G$72),("En progreso"),(IF(AND(AO23&lt;Utilización!$F$72,AO23&lt;Utilización!$G$72),(""),(IF(AND(AO23&gt;Utilización!$F$72,AO23&gt;Utilización!$G$72),("Finalizado"),(""))))))))</f>
        <v/>
      </c>
      <c r="AP31" t="str">
        <f>IF(AND(AP23=Utilización!$F$72),("Inicio"),(IF(AND(AP23&gt;Utilización!$F$72,AP23&lt;=Utilización!$G$72),("En progreso"),(IF(AND(AP23&lt;Utilización!$F$72,AP23&lt;Utilización!$G$72),(""),(IF(AND(AP23&gt;Utilización!$F$72,AP23&gt;Utilización!$G$72),("Finalizado"),(""))))))))</f>
        <v/>
      </c>
      <c r="AQ31" t="str">
        <f>IF(AND(AQ23=Utilización!$F$72),("Inicio"),(IF(AND(AQ23&gt;Utilización!$F$72,AQ23&lt;=Utilización!$G$72),("En progreso"),(IF(AND(AQ23&lt;Utilización!$F$72,AQ23&lt;Utilización!$G$72),(""),(IF(AND(AQ23&gt;Utilización!$F$72,AQ23&gt;Utilización!$G$72),("Finalizado"),(""))))))))</f>
        <v/>
      </c>
      <c r="AR31" t="str">
        <f>IF(AND(AR23=Utilización!$F$72),("Inicio"),(IF(AND(AR23&gt;Utilización!$F$72,AR23&lt;=Utilización!$G$72),("En progreso"),(IF(AND(AR23&lt;Utilización!$F$72,AR23&lt;Utilización!$G$72),(""),(IF(AND(AR23&gt;Utilización!$F$72,AR23&gt;Utilización!$G$72),("Finalizado"),(""))))))))</f>
        <v/>
      </c>
      <c r="AS31" t="str">
        <f>IF(AND(AS23=Utilización!$F$72),("Inicio"),(IF(AND(AS23&gt;Utilización!$F$72,AS23&lt;=Utilización!$G$72),("En progreso"),(IF(AND(AS23&lt;Utilización!$F$72,AS23&lt;Utilización!$G$72),(""),(IF(AND(AS23&gt;Utilización!$F$72,AS23&gt;Utilización!$G$72),("Finalizado"),(""))))))))</f>
        <v/>
      </c>
      <c r="AT31" t="str">
        <f>IF(AND(AT23=Utilización!$F$72),("Inicio"),(IF(AND(AT23&gt;Utilización!$F$72,AT23&lt;=Utilización!$G$72),("En progreso"),(IF(AND(AT23&lt;Utilización!$F$72,AT23&lt;Utilización!$G$72),(""),(IF(AND(AT23&gt;Utilización!$F$72,AT23&gt;Utilización!$G$72),("Finalizado"),(""))))))))</f>
        <v/>
      </c>
      <c r="AU31" t="str">
        <f>IF(AND(AU23=Utilización!$F$72),("Inicio"),(IF(AND(AU23&gt;Utilización!$F$72,AU23&lt;=Utilización!$G$72),("En progreso"),(IF(AND(AU23&lt;Utilización!$F$72,AU23&lt;Utilización!$G$72),(""),(IF(AND(AU23&gt;Utilización!$F$72,AU23&gt;Utilización!$G$72),("Finalizado"),(""))))))))</f>
        <v/>
      </c>
      <c r="AV31" t="str">
        <f>IF(AND(AV23=Utilización!$F$72),("Inicio"),(IF(AND(AV23&gt;Utilización!$F$72,AV23&lt;=Utilización!$G$72),("En progreso"),(IF(AND(AV23&lt;Utilización!$F$72,AV23&lt;Utilización!$G$72),(""),(IF(AND(AV23&gt;Utilización!$F$72,AV23&gt;Utilización!$G$72),("Finalizado"),(""))))))))</f>
        <v/>
      </c>
    </row>
    <row r="32" spans="1:48" x14ac:dyDescent="0.25">
      <c r="A32" s="40" t="str">
        <f>Utilización!A20</f>
        <v>I</v>
      </c>
      <c r="D32" s="74" t="str">
        <f>IF(AND(D23=Utilización!$F$73),("Inicio"),(IF(AND(D23&gt;Utilización!$F$73,D23&lt;=Utilización!$G$73),("En progreso"),(IF(AND(D23&lt;Utilización!$F$73,D23&lt;Utilización!$G$73),(""),(IF(AND(D23&gt;Utilización!$F$73,D23&gt;Utilización!$G$73),("Finalizado"),(""))))))))</f>
        <v/>
      </c>
      <c r="E32" s="74" t="str">
        <f>IF(AND(E23=Utilización!$F$73),("Inicio"),(IF(AND(E23&gt;Utilización!$F$73,E23&lt;=Utilización!$G$73),("En progreso"),(IF(AND(E23&lt;Utilización!$F$73,E23&lt;Utilización!$G$73),(""),(IF(AND(E23&gt;Utilización!$F$73,E23&gt;Utilización!$G$73),("Finalizado"),(""))))))))</f>
        <v/>
      </c>
      <c r="F32" s="74" t="str">
        <f>IF(AND(F23=Utilización!$F$73),("Inicio"),(IF(AND(F23&gt;Utilización!$F$73,F23&lt;=Utilización!$G$73),("En progreso"),(IF(AND(F23&lt;Utilización!$F$73,F23&lt;Utilización!$G$73),(""),(IF(AND(F23&gt;Utilización!$F$73,F23&gt;Utilización!$G$73),("Finalizado"),(""))))))))</f>
        <v/>
      </c>
      <c r="G32" s="74" t="str">
        <f>IF(AND(G23=Utilización!$F$73),("Inicio"),(IF(AND(G23&gt;Utilización!$F$73,G23&lt;=Utilización!$G$73),("En progreso"),(IF(AND(G23&lt;Utilización!$F$73,G23&lt;Utilización!$G$73),(""),(IF(AND(G23&gt;Utilización!$F$73,G23&gt;Utilización!$G$73),("Finalizado"),(""))))))))</f>
        <v/>
      </c>
      <c r="H32" s="74" t="str">
        <f>IF(AND(H23=Utilización!$F$73),("Inicio"),(IF(AND(H23&gt;Utilización!$F$73,H23&lt;=Utilización!$G$73),("En progreso"),(IF(AND(H23&lt;Utilización!$F$73,H23&lt;Utilización!$G$73),(""),(IF(AND(H23&gt;Utilización!$F$73,H23&gt;Utilización!$G$73),("Finalizado"),(""))))))))</f>
        <v/>
      </c>
      <c r="I32" s="74" t="str">
        <f>IF(AND(I23=Utilización!$F$73),("Inicio"),(IF(AND(I23&gt;Utilización!$F$73,I23&lt;=Utilización!$G$73),("En progreso"),(IF(AND(I23&lt;Utilización!$F$73,I23&lt;Utilización!$G$73),(""),(IF(AND(I23&gt;Utilización!$F$73,I23&gt;Utilización!$G$73),("Finalizado"),(""))))))))</f>
        <v/>
      </c>
      <c r="J32" s="74" t="str">
        <f>IF(AND(J23=Utilización!$F$73),("Inicio"),(IF(AND(J23&gt;Utilización!$F$73,J23&lt;=Utilización!$G$73),("En progreso"),(IF(AND(J23&lt;Utilización!$F$73,J23&lt;Utilización!$G$73),(""),(IF(AND(J23&gt;Utilización!$F$73,J23&gt;Utilización!$G$73),("Finalizado"),(""))))))))</f>
        <v/>
      </c>
      <c r="K32" s="74" t="str">
        <f>IF(AND(K23=Utilización!$F$73),("Inicio"),(IF(AND(K23&gt;Utilización!$F$73,K23&lt;=Utilización!$G$73),("En progreso"),(IF(AND(K23&lt;Utilización!$F$73,K23&lt;Utilización!$G$73),(""),(IF(AND(K23&gt;Utilización!$F$73,K23&gt;Utilización!$G$73),("Finalizado"),(""))))))))</f>
        <v/>
      </c>
      <c r="L32" s="74" t="str">
        <f>IF(AND(L23=Utilización!$F$73),("Inicio"),(IF(AND(L23&gt;Utilización!$F$73,L23&lt;=Utilización!$G$73),("En progreso"),(IF(AND(L23&lt;Utilización!$F$73,L23&lt;Utilización!$G$73),(""),(IF(AND(L23&gt;Utilización!$F$73,L23&gt;Utilización!$G$73),("Finalizado"),(""))))))))</f>
        <v/>
      </c>
      <c r="M32" s="74" t="str">
        <f>IF(AND(M23=Utilización!$F$73),("Inicio"),(IF(AND(M23&gt;Utilización!$F$73,M23&lt;=Utilización!$G$73),("En progreso"),(IF(AND(M23&lt;Utilización!$F$73,M23&lt;Utilización!$G$73),(""),(IF(AND(M23&gt;Utilización!$F$73,M23&gt;Utilización!$G$73),("Finalizado"),(""))))))))</f>
        <v/>
      </c>
      <c r="N32" s="74" t="str">
        <f>IF(AND(N23=Utilización!$F$73),("Inicio"),(IF(AND(N23&gt;Utilización!$F$73,N23&lt;=Utilización!$G$73),("En progreso"),(IF(AND(N23&lt;Utilización!$F$73,N23&lt;Utilización!$G$73),(""),(IF(AND(N23&gt;Utilización!$F$73,N23&gt;Utilización!$G$73),("Finalizado"),(""))))))))</f>
        <v/>
      </c>
      <c r="O32" s="74" t="str">
        <f>IF(AND(O23=Utilización!$F$73),("Inicio"),(IF(AND(O23&gt;Utilización!$F$73,O23&lt;=Utilización!$G$73),("En progreso"),(IF(AND(O23&lt;Utilización!$F$73,O23&lt;Utilización!$G$73),(""),(IF(AND(O23&gt;Utilización!$F$73,O23&gt;Utilización!$G$73),("Finalizado"),(""))))))))</f>
        <v/>
      </c>
      <c r="P32" s="74" t="str">
        <f>IF(AND(P23=Utilización!$F$73),("Inicio"),(IF(AND(P23&gt;Utilización!$F$73,P23&lt;=Utilización!$G$73),("En progreso"),(IF(AND(P23&lt;Utilización!$F$73,P23&lt;Utilización!$G$73),(""),(IF(AND(P23&gt;Utilización!$F$73,P23&gt;Utilización!$G$73),("Finalizado"),(""))))))))</f>
        <v/>
      </c>
      <c r="Q32" s="74" t="str">
        <f>IF(AND(Q23=Utilización!$F$73),("Inicio"),(IF(AND(Q23&gt;Utilización!$F$73,Q23&lt;=Utilización!$G$73),("En progreso"),(IF(AND(Q23&lt;Utilización!$F$73,Q23&lt;Utilización!$G$73),(""),(IF(AND(Q23&gt;Utilización!$F$73,Q23&gt;Utilización!$G$73),("Finalizado"),(""))))))))</f>
        <v/>
      </c>
      <c r="R32" s="74" t="str">
        <f>IF(AND(R23=Utilización!$F$73),("Inicio"),(IF(AND(R23&gt;Utilización!$F$73,R23&lt;=Utilización!$G$73),("En progreso"),(IF(AND(R23&lt;Utilización!$F$73,R23&lt;Utilización!$G$73),(""),(IF(AND(R23&gt;Utilización!$F$73,R23&gt;Utilización!$G$73),("Finalizado"),(""))))))))</f>
        <v/>
      </c>
      <c r="S32" t="str">
        <f>IF(AND(S23=Utilización!$F$73),("Inicio"),(IF(AND(S23&gt;Utilización!$F$73,S23&lt;=Utilización!$G$73),("En progreso"),(IF(AND(S23&lt;Utilización!$F$73,S23&lt;Utilización!$G$73),(""),(IF(AND(S23&gt;Utilización!$F$73,S23&gt;Utilización!$G$73),("Finalizado"),(""))))))))</f>
        <v/>
      </c>
      <c r="T32" t="str">
        <f>IF(AND(T23=Utilización!$F$73),("Inicio"),(IF(AND(T23&gt;Utilización!$F$73,T23&lt;=Utilización!$G$73),("En progreso"),(IF(AND(T23&lt;Utilización!$F$73,T23&lt;Utilización!$G$73),(""),(IF(AND(T23&gt;Utilización!$F$73,T23&gt;Utilización!$G$73),("Finalizado"),(""))))))))</f>
        <v/>
      </c>
      <c r="U32" t="str">
        <f>IF(AND(U23=Utilización!$F$73),("Inicio"),(IF(AND(U23&gt;Utilización!$F$73,U23&lt;=Utilización!$G$73),("En progreso"),(IF(AND(U23&lt;Utilización!$F$73,U23&lt;Utilización!$G$73),(""),(IF(AND(U23&gt;Utilización!$F$73,U23&gt;Utilización!$G$73),("Finalizado"),(""))))))))</f>
        <v/>
      </c>
      <c r="V32" t="str">
        <f>IF(AND(V23=Utilización!$F$73),("Inicio"),(IF(AND(V23&gt;Utilización!$F$73,V23&lt;=Utilización!$G$73),("En progreso"),(IF(AND(V23&lt;Utilización!$F$73,V23&lt;Utilización!$G$73),(""),(IF(AND(V23&gt;Utilización!$F$73,V23&gt;Utilización!$G$73),("Finalizado"),(""))))))))</f>
        <v/>
      </c>
      <c r="W32" t="str">
        <f>IF(AND(W23=Utilización!$F$73),("Inicio"),(IF(AND(W23&gt;Utilización!$F$73,W23&lt;=Utilización!$G$73),("En progreso"),(IF(AND(W23&lt;Utilización!$F$73,W23&lt;Utilización!$G$73),(""),(IF(AND(W23&gt;Utilización!$F$73,W23&gt;Utilización!$G$73),("Finalizado"),(""))))))))</f>
        <v/>
      </c>
      <c r="X32" t="str">
        <f>IF(AND(X23=Utilización!$F$73),("Inicio"),(IF(AND(X23&gt;Utilización!$F$73,X23&lt;=Utilización!$G$73),("En progreso"),(IF(AND(X23&lt;Utilización!$F$73,X23&lt;Utilización!$G$73),(""),(IF(AND(X23&gt;Utilización!$F$73,X23&gt;Utilización!$G$73),("Finalizado"),(""))))))))</f>
        <v/>
      </c>
      <c r="Y32" t="str">
        <f>IF(AND(Y23=Utilización!$F$73),("Inicio"),(IF(AND(Y23&gt;Utilización!$F$73,Y23&lt;=Utilización!$G$73),("En progreso"),(IF(AND(Y23&lt;Utilización!$F$73,Y23&lt;Utilización!$G$73),(""),(IF(AND(Y23&gt;Utilización!$F$73,Y23&gt;Utilización!$G$73),("Finalizado"),(""))))))))</f>
        <v/>
      </c>
      <c r="Z32" t="str">
        <f>IF(AND(Z23=Utilización!$F$73),("Inicio"),(IF(AND(Z23&gt;Utilización!$F$73,Z23&lt;=Utilización!$G$73),("En progreso"),(IF(AND(Z23&lt;Utilización!$F$73,Z23&lt;Utilización!$G$73),(""),(IF(AND(Z23&gt;Utilización!$F$73,Z23&gt;Utilización!$G$73),("Finalizado"),(""))))))))</f>
        <v/>
      </c>
      <c r="AA32" t="str">
        <f>IF(AND(AA23=Utilización!$F$73),("Inicio"),(IF(AND(AA23&gt;Utilización!$F$73,AA23&lt;=Utilización!$G$73),("En progreso"),(IF(AND(AA23&lt;Utilización!$F$73,AA23&lt;Utilización!$G$73),(""),(IF(AND(AA23&gt;Utilización!$F$73,AA23&gt;Utilización!$G$73),("Finalizado"),(""))))))))</f>
        <v/>
      </c>
      <c r="AB32" t="str">
        <f>IF(AND(AB23=Utilización!$F$73),("Inicio"),(IF(AND(AB23&gt;Utilización!$F$73,AB23&lt;=Utilización!$G$73),("En progreso"),(IF(AND(AB23&lt;Utilización!$F$73,AB23&lt;Utilización!$G$73),(""),(IF(AND(AB23&gt;Utilización!$F$73,AB23&gt;Utilización!$G$73),("Finalizado"),(""))))))))</f>
        <v/>
      </c>
      <c r="AC32" t="str">
        <f>IF(AND(AC23=Utilización!$F$73),("Inicio"),(IF(AND(AC23&gt;Utilización!$F$73,AC23&lt;=Utilización!$G$73),("En progreso"),(IF(AND(AC23&lt;Utilización!$F$73,AC23&lt;Utilización!$G$73),(""),(IF(AND(AC23&gt;Utilización!$F$73,AC23&gt;Utilización!$G$73),("Finalizado"),(""))))))))</f>
        <v/>
      </c>
      <c r="AD32" t="str">
        <f>IF(AND(AD23=Utilización!$F$73),("Inicio"),(IF(AND(AD23&gt;Utilización!$F$73,AD23&lt;=Utilización!$G$73),("En progreso"),(IF(AND(AD23&lt;Utilización!$F$73,AD23&lt;Utilización!$G$73),(""),(IF(AND(AD23&gt;Utilización!$F$73,AD23&gt;Utilización!$G$73),("Finalizado"),(""))))))))</f>
        <v/>
      </c>
      <c r="AE32" t="str">
        <f>IF(AND(AE23=Utilización!$F$73),("Inicio"),(IF(AND(AE23&gt;Utilización!$F$73,AE23&lt;=Utilización!$G$73),("En progreso"),(IF(AND(AE23&lt;Utilización!$F$73,AE23&lt;Utilización!$G$73),(""),(IF(AND(AE23&gt;Utilización!$F$73,AE23&gt;Utilización!$G$73),("Finalizado"),(""))))))))</f>
        <v/>
      </c>
      <c r="AF32" t="str">
        <f>IF(AND(AF23=Utilización!$F$73),("Inicio"),(IF(AND(AF23&gt;Utilización!$F$73,AF23&lt;=Utilización!$G$73),("En progreso"),(IF(AND(AF23&lt;Utilización!$F$73,AF23&lt;Utilización!$G$73),(""),(IF(AND(AF23&gt;Utilización!$F$73,AF23&gt;Utilización!$G$73),("Finalizado"),(""))))))))</f>
        <v/>
      </c>
      <c r="AG32" t="str">
        <f>IF(AND(AG23=Utilización!$F$73),("Inicio"),(IF(AND(AG23&gt;Utilización!$F$73,AG23&lt;=Utilización!$G$73),("En progreso"),(IF(AND(AG23&lt;Utilización!$F$73,AG23&lt;Utilización!$G$73),(""),(IF(AND(AG23&gt;Utilización!$F$73,AG23&gt;Utilización!$G$73),("Finalizado"),(""))))))))</f>
        <v/>
      </c>
      <c r="AH32" t="str">
        <f>IF(AND(AH23=Utilización!$F$73),("Inicio"),(IF(AND(AH23&gt;Utilización!$F$73,AH23&lt;=Utilización!$G$73),("En progreso"),(IF(AND(AH23&lt;Utilización!$F$73,AH23&lt;Utilización!$G$73),(""),(IF(AND(AH23&gt;Utilización!$F$73,AH23&gt;Utilización!$G$73),("Finalizado"),(""))))))))</f>
        <v/>
      </c>
      <c r="AI32" t="str">
        <f>IF(AND(AI23=Utilización!$F$73),("Inicio"),(IF(AND(AI23&gt;Utilización!$F$73,AI23&lt;=Utilización!$G$73),("En progreso"),(IF(AND(AI23&lt;Utilización!$F$73,AI23&lt;Utilización!$G$73),(""),(IF(AND(AI23&gt;Utilización!$F$73,AI23&gt;Utilización!$G$73),("Finalizado"),(""))))))))</f>
        <v/>
      </c>
      <c r="AJ32" t="str">
        <f>IF(AND(AJ23=Utilización!$F$73),("Inicio"),(IF(AND(AJ23&gt;Utilización!$F$73,AJ23&lt;=Utilización!$G$73),("En progreso"),(IF(AND(AJ23&lt;Utilización!$F$73,AJ23&lt;Utilización!$G$73),(""),(IF(AND(AJ23&gt;Utilización!$F$73,AJ23&gt;Utilización!$G$73),("Finalizado"),(""))))))))</f>
        <v/>
      </c>
      <c r="AK32" t="str">
        <f>IF(AND(AK23=Utilización!$F$73),("Inicio"),(IF(AND(AK23&gt;Utilización!$F$73,AK23&lt;=Utilización!$G$73),("En progreso"),(IF(AND(AK23&lt;Utilización!$F$73,AK23&lt;Utilización!$G$73),(""),(IF(AND(AK23&gt;Utilización!$F$73,AK23&gt;Utilización!$G$73),("Finalizado"),(""))))))))</f>
        <v/>
      </c>
      <c r="AL32" t="str">
        <f>IF(AND(AL23=Utilización!$F$73),("Inicio"),(IF(AND(AL23&gt;Utilización!$F$73,AL23&lt;=Utilización!$G$73),("En progreso"),(IF(AND(AL23&lt;Utilización!$F$73,AL23&lt;Utilización!$G$73),(""),(IF(AND(AL23&gt;Utilización!$F$73,AL23&gt;Utilización!$G$73),("Finalizado"),(""))))))))</f>
        <v/>
      </c>
      <c r="AM32" t="str">
        <f>IF(AND(AM23=Utilización!$F$73),("Inicio"),(IF(AND(AM23&gt;Utilización!$F$73,AM23&lt;=Utilización!$G$73),("En progreso"),(IF(AND(AM23&lt;Utilización!$F$73,AM23&lt;Utilización!$G$73),(""),(IF(AND(AM23&gt;Utilización!$F$73,AM23&gt;Utilización!$G$73),("Finalizado"),(""))))))))</f>
        <v/>
      </c>
      <c r="AN32" t="str">
        <f>IF(AND(AN23=Utilización!$F$73),("Inicio"),(IF(AND(AN23&gt;Utilización!$F$73,AN23&lt;=Utilización!$G$73),("En progreso"),(IF(AND(AN23&lt;Utilización!$F$73,AN23&lt;Utilización!$G$73),(""),(IF(AND(AN23&gt;Utilización!$F$73,AN23&gt;Utilización!$G$73),("Finalizado"),(""))))))))</f>
        <v/>
      </c>
      <c r="AO32" t="str">
        <f>IF(AND(AO23=Utilización!$F$73),("Inicio"),(IF(AND(AO23&gt;Utilización!$F$73,AO23&lt;=Utilización!$G$73),("En progreso"),(IF(AND(AO23&lt;Utilización!$F$73,AO23&lt;Utilización!$G$73),(""),(IF(AND(AO23&gt;Utilización!$F$73,AO23&gt;Utilización!$G$73),("Finalizado"),(""))))))))</f>
        <v/>
      </c>
      <c r="AP32" t="str">
        <f>IF(AND(AP23=Utilización!$F$73),("Inicio"),(IF(AND(AP23&gt;Utilización!$F$73,AP23&lt;=Utilización!$G$73),("En progreso"),(IF(AND(AP23&lt;Utilización!$F$73,AP23&lt;Utilización!$G$73),(""),(IF(AND(AP23&gt;Utilización!$F$73,AP23&gt;Utilización!$G$73),("Finalizado"),(""))))))))</f>
        <v/>
      </c>
      <c r="AQ32" t="str">
        <f>IF(AND(AQ23=Utilización!$F$73),("Inicio"),(IF(AND(AQ23&gt;Utilización!$F$73,AQ23&lt;=Utilización!$G$73),("En progreso"),(IF(AND(AQ23&lt;Utilización!$F$73,AQ23&lt;Utilización!$G$73),(""),(IF(AND(AQ23&gt;Utilización!$F$73,AQ23&gt;Utilización!$G$73),("Finalizado"),(""))))))))</f>
        <v/>
      </c>
      <c r="AR32" t="str">
        <f>IF(AND(AR23=Utilización!$F$73),("Inicio"),(IF(AND(AR23&gt;Utilización!$F$73,AR23&lt;=Utilización!$G$73),("En progreso"),(IF(AND(AR23&lt;Utilización!$F$73,AR23&lt;Utilización!$G$73),(""),(IF(AND(AR23&gt;Utilización!$F$73,AR23&gt;Utilización!$G$73),("Finalizado"),(""))))))))</f>
        <v/>
      </c>
      <c r="AS32" t="str">
        <f>IF(AND(AS23=Utilización!$F$73),("Inicio"),(IF(AND(AS23&gt;Utilización!$F$73,AS23&lt;=Utilización!$G$73),("En progreso"),(IF(AND(AS23&lt;Utilización!$F$73,AS23&lt;Utilización!$G$73),(""),(IF(AND(AS23&gt;Utilización!$F$73,AS23&gt;Utilización!$G$73),("Finalizado"),(""))))))))</f>
        <v/>
      </c>
      <c r="AT32" t="str">
        <f>IF(AND(AT23=Utilización!$F$73),("Inicio"),(IF(AND(AT23&gt;Utilización!$F$73,AT23&lt;=Utilización!$G$73),("En progreso"),(IF(AND(AT23&lt;Utilización!$F$73,AT23&lt;Utilización!$G$73),(""),(IF(AND(AT23&gt;Utilización!$F$73,AT23&gt;Utilización!$G$73),("Finalizado"),(""))))))))</f>
        <v/>
      </c>
      <c r="AU32" t="str">
        <f>IF(AND(AU23=Utilización!$F$73),("Inicio"),(IF(AND(AU23&gt;Utilización!$F$73,AU23&lt;=Utilización!$G$73),("En progreso"),(IF(AND(AU23&lt;Utilización!$F$73,AU23&lt;Utilización!$G$73),(""),(IF(AND(AU23&gt;Utilización!$F$73,AU23&gt;Utilización!$G$73),("Finalizado"),(""))))))))</f>
        <v/>
      </c>
      <c r="AV32" t="str">
        <f>IF(AND(AV23=Utilización!$F$73),("Inicio"),(IF(AND(AV23&gt;Utilización!$F$73,AV23&lt;=Utilización!$G$73),("En progreso"),(IF(AND(AV23&lt;Utilización!$F$73,AV23&lt;Utilización!$G$73),(""),(IF(AND(AV23&gt;Utilización!$F$73,AV23&gt;Utilización!$G$73),("Finalizado"),(""))))))))</f>
        <v/>
      </c>
    </row>
    <row r="33" spans="1:48" x14ac:dyDescent="0.25">
      <c r="A33" s="40" t="str">
        <f>Utilización!A21</f>
        <v>J</v>
      </c>
      <c r="D33" s="74" t="str">
        <f>IF(AND(D23=Utilización!$F$74),("Inicio"),(IF(AND(D23&gt;Utilización!$F$74,D23&lt;=Utilización!$G$74),("En progreso"),(IF(AND(D23&lt;Utilización!$F$74,D23&lt;Utilización!$G$74),(""),(IF(AND(D23&gt;Utilización!$F$74,D23&gt;Utilización!$G$74),("Finalizado"),(""))))))))</f>
        <v/>
      </c>
      <c r="E33" s="74" t="str">
        <f>IF(AND(E23=Utilización!$F$74),("Inicio"),(IF(AND(E23&gt;Utilización!$F$74,E23&lt;=Utilización!$G$74),("En progreso"),(IF(AND(E23&lt;Utilización!$F$74,E23&lt;Utilización!$G$74),(""),(IF(AND(E23&gt;Utilización!$F$74,E23&gt;Utilización!$G$74),("Finalizado"),(""))))))))</f>
        <v/>
      </c>
      <c r="F33" s="74" t="str">
        <f>IF(AND(F23=Utilización!$F$74),("Inicio"),(IF(AND(F23&gt;Utilización!$F$74,F23&lt;=Utilización!$G$74),("En progreso"),(IF(AND(F23&lt;Utilización!$F$74,F23&lt;Utilización!$G$74),(""),(IF(AND(F23&gt;Utilización!$F$74,F23&gt;Utilización!$G$74),("Finalizado"),(""))))))))</f>
        <v/>
      </c>
      <c r="G33" s="74" t="str">
        <f>IF(AND(G23=Utilización!$F$74),("Inicio"),(IF(AND(G23&gt;Utilización!$F$74,G23&lt;=Utilización!$G$74),("En progreso"),(IF(AND(G23&lt;Utilización!$F$74,G23&lt;Utilización!$G$74),(""),(IF(AND(G23&gt;Utilización!$F$74,G23&gt;Utilización!$G$74),("Finalizado"),(""))))))))</f>
        <v/>
      </c>
      <c r="H33" s="74" t="str">
        <f>IF(AND(H23=Utilización!$F$74),("Inicio"),(IF(AND(H23&gt;Utilización!$F$74,H23&lt;=Utilización!$G$74),("En progreso"),(IF(AND(H23&lt;Utilización!$F$74,H23&lt;Utilización!$G$74),(""),(IF(AND(H23&gt;Utilización!$F$74,H23&gt;Utilización!$G$74),("Finalizado"),(""))))))))</f>
        <v/>
      </c>
      <c r="I33" s="74" t="str">
        <f>IF(AND(I23=Utilización!$F$74),("Inicio"),(IF(AND(I23&gt;Utilización!$F$74,I23&lt;=Utilización!$G$74),("En progreso"),(IF(AND(I23&lt;Utilización!$F$74,I23&lt;Utilización!$G$74),(""),(IF(AND(I23&gt;Utilización!$F$74,I23&gt;Utilización!$G$74),("Finalizado"),(""))))))))</f>
        <v/>
      </c>
      <c r="J33" s="74" t="str">
        <f>IF(AND(J23=Utilización!$F$74),("Inicio"),(IF(AND(J23&gt;Utilización!$F$74,J23&lt;=Utilización!$G$74),("En progreso"),(IF(AND(J23&lt;Utilización!$F$74,J23&lt;Utilización!$G$74),(""),(IF(AND(J23&gt;Utilización!$F$74,J23&gt;Utilización!$G$74),("Finalizado"),(""))))))))</f>
        <v/>
      </c>
      <c r="K33" s="74" t="str">
        <f>IF(AND(K23=Utilización!$F$74),("Inicio"),(IF(AND(K23&gt;Utilización!$F$74,K23&lt;=Utilización!$G$74),("En progreso"),(IF(AND(K23&lt;Utilización!$F$74,K23&lt;Utilización!$G$74),(""),(IF(AND(K23&gt;Utilización!$F$74,K23&gt;Utilización!$G$74),("Finalizado"),(""))))))))</f>
        <v/>
      </c>
      <c r="L33" s="74" t="str">
        <f>IF(AND(L23=Utilización!$F$74),("Inicio"),(IF(AND(L23&gt;Utilización!$F$74,L23&lt;=Utilización!$G$74),("En progreso"),(IF(AND(L23&lt;Utilización!$F$74,L23&lt;Utilización!$G$74),(""),(IF(AND(L23&gt;Utilización!$F$74,L23&gt;Utilización!$G$74),("Finalizado"),(""))))))))</f>
        <v/>
      </c>
      <c r="M33" s="74" t="str">
        <f>IF(AND(M23=Utilización!$F$74),("Inicio"),(IF(AND(M23&gt;Utilización!$F$74,M23&lt;=Utilización!$G$74),("En progreso"),(IF(AND(M23&lt;Utilización!$F$74,M23&lt;Utilización!$G$74),(""),(IF(AND(M23&gt;Utilización!$F$74,M23&gt;Utilización!$G$74),("Finalizado"),(""))))))))</f>
        <v/>
      </c>
      <c r="N33" s="74" t="str">
        <f>IF(AND(N23=Utilización!$F$74),("Inicio"),(IF(AND(N23&gt;Utilización!$F$74,N23&lt;=Utilización!$G$74),("En progreso"),(IF(AND(N23&lt;Utilización!$F$74,N23&lt;Utilización!$G$74),(""),(IF(AND(N23&gt;Utilización!$F$74,N23&gt;Utilización!$G$74),("Finalizado"),(""))))))))</f>
        <v/>
      </c>
      <c r="O33" s="74" t="str">
        <f>IF(AND(O23=Utilización!$F$74),("Inicio"),(IF(AND(O23&gt;Utilización!$F$74,O23&lt;=Utilización!$G$74),("En progreso"),(IF(AND(O23&lt;Utilización!$F$74,O23&lt;Utilización!$G$74),(""),(IF(AND(O23&gt;Utilización!$F$74,O23&gt;Utilización!$G$74),("Finalizado"),(""))))))))</f>
        <v/>
      </c>
      <c r="P33" s="74" t="str">
        <f>IF(AND(P23=Utilización!$F$74),("Inicio"),(IF(AND(P23&gt;Utilización!$F$74,P23&lt;=Utilización!$G$74),("En progreso"),(IF(AND(P23&lt;Utilización!$F$74,P23&lt;Utilización!$G$74),(""),(IF(AND(P23&gt;Utilización!$F$74,P23&gt;Utilización!$G$74),("Finalizado"),(""))))))))</f>
        <v/>
      </c>
      <c r="Q33" s="74" t="str">
        <f>IF(AND(Q23=Utilización!$F$74),("Inicio"),(IF(AND(Q23&gt;Utilización!$F$74,Q23&lt;=Utilización!$G$74),("En progreso"),(IF(AND(Q23&lt;Utilización!$F$74,Q23&lt;Utilización!$G$74),(""),(IF(AND(Q23&gt;Utilización!$F$74,Q23&gt;Utilización!$G$74),("Finalizado"),(""))))))))</f>
        <v/>
      </c>
      <c r="R33" s="74" t="str">
        <f>IF(AND(R23=Utilización!$F$74),("Inicio"),(IF(AND(R23&gt;Utilización!$F$74,R23&lt;=Utilización!$G$74),("En progreso"),(IF(AND(R23&lt;Utilización!$F$74,R23&lt;Utilización!$G$74),(""),(IF(AND(R23&gt;Utilización!$F$74,R23&gt;Utilización!$G$74),("Finalizado"),(""))))))))</f>
        <v/>
      </c>
      <c r="S33" t="str">
        <f>IF(AND(S23=Utilización!$F$74),("Inicio"),(IF(AND(S23&gt;Utilización!$F$74,S23&lt;=Utilización!$G$74),("En progreso"),(IF(AND(S23&lt;Utilización!$F$74,S23&lt;Utilización!$G$74),(""),(IF(AND(S23&gt;Utilización!$F$74,S23&gt;Utilización!$G$74),("Finalizado"),(""))))))))</f>
        <v/>
      </c>
      <c r="T33" t="str">
        <f>IF(AND(T23=Utilización!$F$74),("Inicio"),(IF(AND(T23&gt;Utilización!$F$74,T23&lt;=Utilización!$G$74),("En progreso"),(IF(AND(T23&lt;Utilización!$F$74,T23&lt;Utilización!$G$74),(""),(IF(AND(T23&gt;Utilización!$F$74,T23&gt;Utilización!$G$74),("Finalizado"),(""))))))))</f>
        <v/>
      </c>
      <c r="U33" t="str">
        <f>IF(AND(U23=Utilización!$F$74),("Inicio"),(IF(AND(U23&gt;Utilización!$F$74,U23&lt;=Utilización!$G$74),("En progreso"),(IF(AND(U23&lt;Utilización!$F$74,U23&lt;Utilización!$G$74),(""),(IF(AND(U23&gt;Utilización!$F$74,U23&gt;Utilización!$G$74),("Finalizado"),(""))))))))</f>
        <v/>
      </c>
      <c r="V33" t="str">
        <f>IF(AND(V23=Utilización!$F$74),("Inicio"),(IF(AND(V23&gt;Utilización!$F$74,V23&lt;=Utilización!$G$74),("En progreso"),(IF(AND(V23&lt;Utilización!$F$74,V23&lt;Utilización!$G$74),(""),(IF(AND(V23&gt;Utilización!$F$74,V23&gt;Utilización!$G$74),("Finalizado"),(""))))))))</f>
        <v/>
      </c>
      <c r="W33" t="str">
        <f>IF(AND(W23=Utilización!$F$74),("Inicio"),(IF(AND(W23&gt;Utilización!$F$74,W23&lt;=Utilización!$G$74),("En progreso"),(IF(AND(W23&lt;Utilización!$F$74,W23&lt;Utilización!$G$74),(""),(IF(AND(W23&gt;Utilización!$F$74,W23&gt;Utilización!$G$74),("Finalizado"),(""))))))))</f>
        <v/>
      </c>
      <c r="X33" t="str">
        <f>IF(AND(X23=Utilización!$F$74),("Inicio"),(IF(AND(X23&gt;Utilización!$F$74,X23&lt;=Utilización!$G$74),("En progreso"),(IF(AND(X23&lt;Utilización!$F$74,X23&lt;Utilización!$G$74),(""),(IF(AND(X23&gt;Utilización!$F$74,X23&gt;Utilización!$G$74),("Finalizado"),(""))))))))</f>
        <v/>
      </c>
      <c r="Y33" t="str">
        <f>IF(AND(Y23=Utilización!$F$74),("Inicio"),(IF(AND(Y23&gt;Utilización!$F$74,Y23&lt;=Utilización!$G$74),("En progreso"),(IF(AND(Y23&lt;Utilización!$F$74,Y23&lt;Utilización!$G$74),(""),(IF(AND(Y23&gt;Utilización!$F$74,Y23&gt;Utilización!$G$74),("Finalizado"),(""))))))))</f>
        <v/>
      </c>
      <c r="Z33" t="str">
        <f>IF(AND(Z23=Utilización!$F$74),("Inicio"),(IF(AND(Z23&gt;Utilización!$F$74,Z23&lt;=Utilización!$G$74),("En progreso"),(IF(AND(Z23&lt;Utilización!$F$74,Z23&lt;Utilización!$G$74),(""),(IF(AND(Z23&gt;Utilización!$F$74,Z23&gt;Utilización!$G$74),("Finalizado"),(""))))))))</f>
        <v/>
      </c>
      <c r="AA33" t="str">
        <f>IF(AND(AA23=Utilización!$F$74),("Inicio"),(IF(AND(AA23&gt;Utilización!$F$74,AA23&lt;=Utilización!$G$74),("En progreso"),(IF(AND(AA23&lt;Utilización!$F$74,AA23&lt;Utilización!$G$74),(""),(IF(AND(AA23&gt;Utilización!$F$74,AA23&gt;Utilización!$G$74),("Finalizado"),(""))))))))</f>
        <v/>
      </c>
      <c r="AB33" t="str">
        <f>IF(AND(AB23=Utilización!$F$74),("Inicio"),(IF(AND(AB23&gt;Utilización!$F$74,AB23&lt;=Utilización!$G$74),("En progreso"),(IF(AND(AB23&lt;Utilización!$F$74,AB23&lt;Utilización!$G$74),(""),(IF(AND(AB23&gt;Utilización!$F$74,AB23&gt;Utilización!$G$74),("Finalizado"),(""))))))))</f>
        <v/>
      </c>
      <c r="AC33" t="str">
        <f>IF(AND(AC23=Utilización!$F$74),("Inicio"),(IF(AND(AC23&gt;Utilización!$F$74,AC23&lt;=Utilización!$G$74),("En progreso"),(IF(AND(AC23&lt;Utilización!$F$74,AC23&lt;Utilización!$G$74),(""),(IF(AND(AC23&gt;Utilización!$F$74,AC23&gt;Utilización!$G$74),("Finalizado"),(""))))))))</f>
        <v/>
      </c>
      <c r="AD33" t="str">
        <f>IF(AND(AD23=Utilización!$F$74),("Inicio"),(IF(AND(AD23&gt;Utilización!$F$74,AD23&lt;=Utilización!$G$74),("En progreso"),(IF(AND(AD23&lt;Utilización!$F$74,AD23&lt;Utilización!$G$74),(""),(IF(AND(AD23&gt;Utilización!$F$74,AD23&gt;Utilización!$G$74),("Finalizado"),(""))))))))</f>
        <v/>
      </c>
      <c r="AE33" t="str">
        <f>IF(AND(AE23=Utilización!$F$74),("Inicio"),(IF(AND(AE23&gt;Utilización!$F$74,AE23&lt;=Utilización!$G$74),("En progreso"),(IF(AND(AE23&lt;Utilización!$F$74,AE23&lt;Utilización!$G$74),(""),(IF(AND(AE23&gt;Utilización!$F$74,AE23&gt;Utilización!$G$74),("Finalizado"),(""))))))))</f>
        <v/>
      </c>
      <c r="AF33" t="str">
        <f>IF(AND(AF23=Utilización!$F$74),("Inicio"),(IF(AND(AF23&gt;Utilización!$F$74,AF23&lt;=Utilización!$G$74),("En progreso"),(IF(AND(AF23&lt;Utilización!$F$74,AF23&lt;Utilización!$G$74),(""),(IF(AND(AF23&gt;Utilización!$F$74,AF23&gt;Utilización!$G$74),("Finalizado"),(""))))))))</f>
        <v/>
      </c>
      <c r="AG33" t="str">
        <f>IF(AND(AG23=Utilización!$F$74),("Inicio"),(IF(AND(AG23&gt;Utilización!$F$74,AG23&lt;=Utilización!$G$74),("En progreso"),(IF(AND(AG23&lt;Utilización!$F$74,AG23&lt;Utilización!$G$74),(""),(IF(AND(AG23&gt;Utilización!$F$74,AG23&gt;Utilización!$G$74),("Finalizado"),(""))))))))</f>
        <v/>
      </c>
      <c r="AH33" t="str">
        <f>IF(AND(AH23=Utilización!$F$74),("Inicio"),(IF(AND(AH23&gt;Utilización!$F$74,AH23&lt;=Utilización!$G$74),("En progreso"),(IF(AND(AH23&lt;Utilización!$F$74,AH23&lt;Utilización!$G$74),(""),(IF(AND(AH23&gt;Utilización!$F$74,AH23&gt;Utilización!$G$74),("Finalizado"),(""))))))))</f>
        <v/>
      </c>
      <c r="AI33" t="str">
        <f>IF(AND(AI23=Utilización!$F$74),("Inicio"),(IF(AND(AI23&gt;Utilización!$F$74,AI23&lt;=Utilización!$G$74),("En progreso"),(IF(AND(AI23&lt;Utilización!$F$74,AI23&lt;Utilización!$G$74),(""),(IF(AND(AI23&gt;Utilización!$F$74,AI23&gt;Utilización!$G$74),("Finalizado"),(""))))))))</f>
        <v/>
      </c>
      <c r="AJ33" t="str">
        <f>IF(AND(AJ23=Utilización!$F$74),("Inicio"),(IF(AND(AJ23&gt;Utilización!$F$74,AJ23&lt;=Utilización!$G$74),("En progreso"),(IF(AND(AJ23&lt;Utilización!$F$74,AJ23&lt;Utilización!$G$74),(""),(IF(AND(AJ23&gt;Utilización!$F$74,AJ23&gt;Utilización!$G$74),("Finalizado"),(""))))))))</f>
        <v/>
      </c>
      <c r="AK33" t="str">
        <f>IF(AND(AK23=Utilización!$F$74),("Inicio"),(IF(AND(AK23&gt;Utilización!$F$74,AK23&lt;=Utilización!$G$74),("En progreso"),(IF(AND(AK23&lt;Utilización!$F$74,AK23&lt;Utilización!$G$74),(""),(IF(AND(AK23&gt;Utilización!$F$74,AK23&gt;Utilización!$G$74),("Finalizado"),(""))))))))</f>
        <v/>
      </c>
      <c r="AL33" t="str">
        <f>IF(AND(AL23=Utilización!$F$74),("Inicio"),(IF(AND(AL23&gt;Utilización!$F$74,AL23&lt;=Utilización!$G$74),("En progreso"),(IF(AND(AL23&lt;Utilización!$F$74,AL23&lt;Utilización!$G$74),(""),(IF(AND(AL23&gt;Utilización!$F$74,AL23&gt;Utilización!$G$74),("Finalizado"),(""))))))))</f>
        <v/>
      </c>
      <c r="AM33" t="str">
        <f>IF(AND(AM23=Utilización!$F$74),("Inicio"),(IF(AND(AM23&gt;Utilización!$F$74,AM23&lt;=Utilización!$G$74),("En progreso"),(IF(AND(AM23&lt;Utilización!$F$74,AM23&lt;Utilización!$G$74),(""),(IF(AND(AM23&gt;Utilización!$F$74,AM23&gt;Utilización!$G$74),("Finalizado"),(""))))))))</f>
        <v/>
      </c>
      <c r="AN33" t="str">
        <f>IF(AND(AN23=Utilización!$F$74),("Inicio"),(IF(AND(AN23&gt;Utilización!$F$74,AN23&lt;=Utilización!$G$74),("En progreso"),(IF(AND(AN23&lt;Utilización!$F$74,AN23&lt;Utilización!$G$74),(""),(IF(AND(AN23&gt;Utilización!$F$74,AN23&gt;Utilización!$G$74),("Finalizado"),(""))))))))</f>
        <v/>
      </c>
      <c r="AO33" t="str">
        <f>IF(AND(AO23=Utilización!$F$74),("Inicio"),(IF(AND(AO23&gt;Utilización!$F$74,AO23&lt;=Utilización!$G$74),("En progreso"),(IF(AND(AO23&lt;Utilización!$F$74,AO23&lt;Utilización!$G$74),(""),(IF(AND(AO23&gt;Utilización!$F$74,AO23&gt;Utilización!$G$74),("Finalizado"),(""))))))))</f>
        <v/>
      </c>
      <c r="AP33" t="str">
        <f>IF(AND(AP23=Utilización!$F$74),("Inicio"),(IF(AND(AP23&gt;Utilización!$F$74,AP23&lt;=Utilización!$G$74),("En progreso"),(IF(AND(AP23&lt;Utilización!$F$74,AP23&lt;Utilización!$G$74),(""),(IF(AND(AP23&gt;Utilización!$F$74,AP23&gt;Utilización!$G$74),("Finalizado"),(""))))))))</f>
        <v/>
      </c>
      <c r="AQ33" t="str">
        <f>IF(AND(AQ23=Utilización!$F$74),("Inicio"),(IF(AND(AQ23&gt;Utilización!$F$74,AQ23&lt;=Utilización!$G$74),("En progreso"),(IF(AND(AQ23&lt;Utilización!$F$74,AQ23&lt;Utilización!$G$74),(""),(IF(AND(AQ23&gt;Utilización!$F$74,AQ23&gt;Utilización!$G$74),("Finalizado"),(""))))))))</f>
        <v/>
      </c>
      <c r="AR33" t="str">
        <f>IF(AND(AR23=Utilización!$F$74),("Inicio"),(IF(AND(AR23&gt;Utilización!$F$74,AR23&lt;=Utilización!$G$74),("En progreso"),(IF(AND(AR23&lt;Utilización!$F$74,AR23&lt;Utilización!$G$74),(""),(IF(AND(AR23&gt;Utilización!$F$74,AR23&gt;Utilización!$G$74),("Finalizado"),(""))))))))</f>
        <v/>
      </c>
      <c r="AS33" t="str">
        <f>IF(AND(AS23=Utilización!$F$74),("Inicio"),(IF(AND(AS23&gt;Utilización!$F$74,AS23&lt;=Utilización!$G$74),("En progreso"),(IF(AND(AS23&lt;Utilización!$F$74,AS23&lt;Utilización!$G$74),(""),(IF(AND(AS23&gt;Utilización!$F$74,AS23&gt;Utilización!$G$74),("Finalizado"),(""))))))))</f>
        <v/>
      </c>
      <c r="AT33" t="str">
        <f>IF(AND(AT23=Utilización!$F$74),("Inicio"),(IF(AND(AT23&gt;Utilización!$F$74,AT23&lt;=Utilización!$G$74),("En progreso"),(IF(AND(AT23&lt;Utilización!$F$74,AT23&lt;Utilización!$G$74),(""),(IF(AND(AT23&gt;Utilización!$F$74,AT23&gt;Utilización!$G$74),("Finalizado"),(""))))))))</f>
        <v/>
      </c>
      <c r="AU33" t="str">
        <f>IF(AND(AU23=Utilización!$F$74),("Inicio"),(IF(AND(AU23&gt;Utilización!$F$74,AU23&lt;=Utilización!$G$74),("En progreso"),(IF(AND(AU23&lt;Utilización!$F$74,AU23&lt;Utilización!$G$74),(""),(IF(AND(AU23&gt;Utilización!$F$74,AU23&gt;Utilización!$G$74),("Finalizado"),(""))))))))</f>
        <v/>
      </c>
      <c r="AV33" t="str">
        <f>IF(AND(AV23=Utilización!$F$74),("Inicio"),(IF(AND(AV23&gt;Utilización!$F$74,AV23&lt;=Utilización!$G$74),("En progreso"),(IF(AND(AV23&lt;Utilización!$F$74,AV23&lt;Utilización!$G$74),(""),(IF(AND(AV23&gt;Utilización!$F$74,AV23&gt;Utilización!$G$74),("Finalizado"),(""))))))))</f>
        <v/>
      </c>
    </row>
    <row r="34" spans="1:48" x14ac:dyDescent="0.25">
      <c r="A34" s="40" t="str">
        <f>Utilización!A22</f>
        <v>K</v>
      </c>
      <c r="D34" s="74" t="str">
        <f>IF(AND(D23=Utilización!$F$75),("Inicio"),(IF(AND(D23&gt;Utilización!$F$75,D23&lt;=Utilización!$G$75),("En progreso"),(IF(AND(D23&lt;Utilización!$F$75,D23&lt;Utilización!$G$75),(""),(IF(AND(D23&gt;Utilización!$F$75,D23&gt;Utilización!$G$75),("Finalizado"),(""))))))))</f>
        <v/>
      </c>
      <c r="E34" s="74" t="str">
        <f>IF(AND(E23=Utilización!$F$75),("Inicio"),(IF(AND(E23&gt;Utilización!$F$75,E23&lt;=Utilización!$G$75),("En progreso"),(IF(AND(E23&lt;Utilización!$F$75,E23&lt;Utilización!$G$75),(""),(IF(AND(E23&gt;Utilización!$F$75,E23&gt;Utilización!$G$75),("Finalizado"),(""))))))))</f>
        <v/>
      </c>
      <c r="F34" s="74" t="str">
        <f>IF(AND(F23=Utilización!$F$75),("Inicio"),(IF(AND(F23&gt;Utilización!$F$75,F23&lt;=Utilización!$G$75),("En progreso"),(IF(AND(F23&lt;Utilización!$F$75,F23&lt;Utilización!$G$75),(""),(IF(AND(F23&gt;Utilización!$F$75,F23&gt;Utilización!$G$75),("Finalizado"),(""))))))))</f>
        <v/>
      </c>
      <c r="G34" s="74" t="str">
        <f>IF(AND(G23=Utilización!$F$75),("Inicio"),(IF(AND(G23&gt;Utilización!$F$75,G23&lt;=Utilización!$G$75),("En progreso"),(IF(AND(G23&lt;Utilización!$F$75,G23&lt;Utilización!$G$75),(""),(IF(AND(G23&gt;Utilización!$F$75,G23&gt;Utilización!$G$75),("Finalizado"),(""))))))))</f>
        <v/>
      </c>
      <c r="H34" s="74" t="str">
        <f>IF(AND(H23=Utilización!$F$75),("Inicio"),(IF(AND(H23&gt;Utilización!$F$75,H23&lt;=Utilización!$G$75),("En progreso"),(IF(AND(H23&lt;Utilización!$F$75,H23&lt;Utilización!$G$75),(""),(IF(AND(H23&gt;Utilización!$F$75,H23&gt;Utilización!$G$75),("Finalizado"),(""))))))))</f>
        <v/>
      </c>
      <c r="I34" s="74" t="str">
        <f>IF(AND(I23=Utilización!$F$75),("Inicio"),(IF(AND(I23&gt;Utilización!$F$75,I23&lt;=Utilización!$G$75),("En progreso"),(IF(AND(I23&lt;Utilización!$F$75,I23&lt;Utilización!$G$75),(""),(IF(AND(I23&gt;Utilización!$F$75,I23&gt;Utilización!$G$75),("Finalizado"),(""))))))))</f>
        <v/>
      </c>
      <c r="J34" s="74" t="str">
        <f>IF(AND(J23=Utilización!$F$75),("Inicio"),(IF(AND(J23&gt;Utilización!$F$75,J23&lt;=Utilización!$G$75),("En progreso"),(IF(AND(J23&lt;Utilización!$F$75,J23&lt;Utilización!$G$75),(""),(IF(AND(J23&gt;Utilización!$F$75,J23&gt;Utilización!$G$75),("Finalizado"),(""))))))))</f>
        <v/>
      </c>
      <c r="K34" s="74" t="str">
        <f>IF(AND(K23=Utilización!$F$75),("Inicio"),(IF(AND(K23&gt;Utilización!$F$75,K23&lt;=Utilización!$G$75),("En progreso"),(IF(AND(K23&lt;Utilización!$F$75,K23&lt;Utilización!$G$75),(""),(IF(AND(K23&gt;Utilización!$F$75,K23&gt;Utilización!$G$75),("Finalizado"),(""))))))))</f>
        <v/>
      </c>
      <c r="L34" s="74" t="str">
        <f>IF(AND(L23=Utilización!$F$75),("Inicio"),(IF(AND(L23&gt;Utilización!$F$75,L23&lt;=Utilización!$G$75),("En progreso"),(IF(AND(L23&lt;Utilización!$F$75,L23&lt;Utilización!$G$75),(""),(IF(AND(L23&gt;Utilización!$F$75,L23&gt;Utilización!$G$75),("Finalizado"),(""))))))))</f>
        <v/>
      </c>
      <c r="M34" s="74" t="str">
        <f>IF(AND(M23=Utilización!$F$75),("Inicio"),(IF(AND(M23&gt;Utilización!$F$75,M23&lt;=Utilización!$G$75),("En progreso"),(IF(AND(M23&lt;Utilización!$F$75,M23&lt;Utilización!$G$75),(""),(IF(AND(M23&gt;Utilización!$F$75,M23&gt;Utilización!$G$75),("Finalizado"),(""))))))))</f>
        <v/>
      </c>
      <c r="N34" s="74" t="str">
        <f>IF(AND(N23=Utilización!$F$75),("Inicio"),(IF(AND(N23&gt;Utilización!$F$75,N23&lt;=Utilización!$G$75),("En progreso"),(IF(AND(N23&lt;Utilización!$F$75,N23&lt;Utilización!$G$75),(""),(IF(AND(N23&gt;Utilización!$F$75,N23&gt;Utilización!$G$75),("Finalizado"),(""))))))))</f>
        <v/>
      </c>
      <c r="O34" s="74" t="str">
        <f>IF(AND(O23=Utilización!$F$75),("Inicio"),(IF(AND(O23&gt;Utilización!$F$75,O23&lt;=Utilización!$G$75),("En progreso"),(IF(AND(O23&lt;Utilización!$F$75,O23&lt;Utilización!$G$75),(""),(IF(AND(O23&gt;Utilización!$F$75,O23&gt;Utilización!$G$75),("Finalizado"),(""))))))))</f>
        <v/>
      </c>
      <c r="P34" s="74" t="str">
        <f>IF(AND(P23=Utilización!$F$75),("Inicio"),(IF(AND(P23&gt;Utilización!$F$75,P23&lt;=Utilización!$G$75),("En progreso"),(IF(AND(P23&lt;Utilización!$F$75,P23&lt;Utilización!$G$75),(""),(IF(AND(P23&gt;Utilización!$F$75,P23&gt;Utilización!$G$75),("Finalizado"),(""))))))))</f>
        <v/>
      </c>
      <c r="Q34" s="74" t="str">
        <f>IF(AND(Q23=Utilización!$F$75),("Inicio"),(IF(AND(Q23&gt;Utilización!$F$75,Q23&lt;=Utilización!$G$75),("En progreso"),(IF(AND(Q23&lt;Utilización!$F$75,Q23&lt;Utilización!$G$75),(""),(IF(AND(Q23&gt;Utilización!$F$75,Q23&gt;Utilización!$G$75),("Finalizado"),(""))))))))</f>
        <v/>
      </c>
      <c r="R34" s="74" t="str">
        <f>IF(AND(R23=Utilización!$F$75),("Inicio"),(IF(AND(R23&gt;Utilización!$F$75,R23&lt;=Utilización!$G$75),("En progreso"),(IF(AND(R23&lt;Utilización!$F$75,R23&lt;Utilización!$G$75),(""),(IF(AND(R23&gt;Utilización!$F$75,R23&gt;Utilización!$G$75),("Finalizado"),(""))))))))</f>
        <v/>
      </c>
      <c r="S34" t="str">
        <f>IF(AND(S23=Utilización!$F$75),("Inicio"),(IF(AND(S23&gt;Utilización!$F$75,S23&lt;=Utilización!$G$75),("En progreso"),(IF(AND(S23&lt;Utilización!$F$75,S23&lt;Utilización!$G$75),(""),(IF(AND(S23&gt;Utilización!$F$75,S23&gt;Utilización!$G$75),("Finalizado"),(""))))))))</f>
        <v/>
      </c>
      <c r="T34" t="str">
        <f>IF(AND(T23=Utilización!$F$75),("Inicio"),(IF(AND(T23&gt;Utilización!$F$75,T23&lt;=Utilización!$G$75),("En progreso"),(IF(AND(T23&lt;Utilización!$F$75,T23&lt;Utilización!$G$75),(""),(IF(AND(T23&gt;Utilización!$F$75,T23&gt;Utilización!$G$75),("Finalizado"),(""))))))))</f>
        <v/>
      </c>
      <c r="U34" t="str">
        <f>IF(AND(U23=Utilización!$F$75),("Inicio"),(IF(AND(U23&gt;Utilización!$F$75,U23&lt;=Utilización!$G$75),("En progreso"),(IF(AND(U23&lt;Utilización!$F$75,U23&lt;Utilización!$G$75),(""),(IF(AND(U23&gt;Utilización!$F$75,U23&gt;Utilización!$G$75),("Finalizado"),(""))))))))</f>
        <v/>
      </c>
      <c r="V34" t="str">
        <f>IF(AND(V23=Utilización!$F$75),("Inicio"),(IF(AND(V23&gt;Utilización!$F$75,V23&lt;=Utilización!$G$75),("En progreso"),(IF(AND(V23&lt;Utilización!$F$75,V23&lt;Utilización!$G$75),(""),(IF(AND(V23&gt;Utilización!$F$75,V23&gt;Utilización!$G$75),("Finalizado"),(""))))))))</f>
        <v/>
      </c>
      <c r="W34" t="str">
        <f>IF(AND(W23=Utilización!$F$75),("Inicio"),(IF(AND(W23&gt;Utilización!$F$75,W23&lt;=Utilización!$G$75),("En progreso"),(IF(AND(W23&lt;Utilización!$F$75,W23&lt;Utilización!$G$75),(""),(IF(AND(W23&gt;Utilización!$F$75,W23&gt;Utilización!$G$75),("Finalizado"),(""))))))))</f>
        <v/>
      </c>
      <c r="X34" t="str">
        <f>IF(AND(X23=Utilización!$F$75),("Inicio"),(IF(AND(X23&gt;Utilización!$F$75,X23&lt;=Utilización!$G$75),("En progreso"),(IF(AND(X23&lt;Utilización!$F$75,X23&lt;Utilización!$G$75),(""),(IF(AND(X23&gt;Utilización!$F$75,X23&gt;Utilización!$G$75),("Finalizado"),(""))))))))</f>
        <v/>
      </c>
      <c r="Y34" t="str">
        <f>IF(AND(Y23=Utilización!$F$75),("Inicio"),(IF(AND(Y23&gt;Utilización!$F$75,Y23&lt;=Utilización!$G$75),("En progreso"),(IF(AND(Y23&lt;Utilización!$F$75,Y23&lt;Utilización!$G$75),(""),(IF(AND(Y23&gt;Utilización!$F$75,Y23&gt;Utilización!$G$75),("Finalizado"),(""))))))))</f>
        <v/>
      </c>
      <c r="Z34" t="str">
        <f>IF(AND(Z23=Utilización!$F$75),("Inicio"),(IF(AND(Z23&gt;Utilización!$F$75,Z23&lt;=Utilización!$G$75),("En progreso"),(IF(AND(Z23&lt;Utilización!$F$75,Z23&lt;Utilización!$G$75),(""),(IF(AND(Z23&gt;Utilización!$F$75,Z23&gt;Utilización!$G$75),("Finalizado"),(""))))))))</f>
        <v/>
      </c>
      <c r="AA34" t="str">
        <f>IF(AND(AA23=Utilización!$F$75),("Inicio"),(IF(AND(AA23&gt;Utilización!$F$75,AA23&lt;=Utilización!$G$75),("En progreso"),(IF(AND(AA23&lt;Utilización!$F$75,AA23&lt;Utilización!$G$75),(""),(IF(AND(AA23&gt;Utilización!$F$75,AA23&gt;Utilización!$G$75),("Finalizado"),(""))))))))</f>
        <v/>
      </c>
      <c r="AB34" t="str">
        <f>IF(AND(AB23=Utilización!$F$75),("Inicio"),(IF(AND(AB23&gt;Utilización!$F$75,AB23&lt;=Utilización!$G$75),("En progreso"),(IF(AND(AB23&lt;Utilización!$F$75,AB23&lt;Utilización!$G$75),(""),(IF(AND(AB23&gt;Utilización!$F$75,AB23&gt;Utilización!$G$75),("Finalizado"),(""))))))))</f>
        <v/>
      </c>
      <c r="AC34" t="str">
        <f>IF(AND(AC23=Utilización!$F$75),("Inicio"),(IF(AND(AC23&gt;Utilización!$F$75,AC23&lt;=Utilización!$G$75),("En progreso"),(IF(AND(AC23&lt;Utilización!$F$75,AC23&lt;Utilización!$G$75),(""),(IF(AND(AC23&gt;Utilización!$F$75,AC23&gt;Utilización!$G$75),("Finalizado"),(""))))))))</f>
        <v/>
      </c>
      <c r="AD34" t="str">
        <f>IF(AND(AD23=Utilización!$F$75),("Inicio"),(IF(AND(AD23&gt;Utilización!$F$75,AD23&lt;=Utilización!$G$75),("En progreso"),(IF(AND(AD23&lt;Utilización!$F$75,AD23&lt;Utilización!$G$75),(""),(IF(AND(AD23&gt;Utilización!$F$75,AD23&gt;Utilización!$G$75),("Finalizado"),(""))))))))</f>
        <v/>
      </c>
      <c r="AE34" t="str">
        <f>IF(AND(AE23=Utilización!$F$75),("Inicio"),(IF(AND(AE23&gt;Utilización!$F$75,AE23&lt;=Utilización!$G$75),("En progreso"),(IF(AND(AE23&lt;Utilización!$F$75,AE23&lt;Utilización!$G$75),(""),(IF(AND(AE23&gt;Utilización!$F$75,AE23&gt;Utilización!$G$75),("Finalizado"),(""))))))))</f>
        <v/>
      </c>
      <c r="AF34" t="str">
        <f>IF(AND(AF23=Utilización!$F$75),("Inicio"),(IF(AND(AF23&gt;Utilización!$F$75,AF23&lt;=Utilización!$G$75),("En progreso"),(IF(AND(AF23&lt;Utilización!$F$75,AF23&lt;Utilización!$G$75),(""),(IF(AND(AF23&gt;Utilización!$F$75,AF23&gt;Utilización!$G$75),("Finalizado"),(""))))))))</f>
        <v/>
      </c>
      <c r="AG34" t="str">
        <f>IF(AND(AG23=Utilización!$F$75),("Inicio"),(IF(AND(AG23&gt;Utilización!$F$75,AG23&lt;=Utilización!$G$75),("En progreso"),(IF(AND(AG23&lt;Utilización!$F$75,AG23&lt;Utilización!$G$75),(""),(IF(AND(AG23&gt;Utilización!$F$75,AG23&gt;Utilización!$G$75),("Finalizado"),(""))))))))</f>
        <v/>
      </c>
      <c r="AH34" t="str">
        <f>IF(AND(AH23=Utilización!$F$75),("Inicio"),(IF(AND(AH23&gt;Utilización!$F$75,AH23&lt;=Utilización!$G$75),("En progreso"),(IF(AND(AH23&lt;Utilización!$F$75,AH23&lt;Utilización!$G$75),(""),(IF(AND(AH23&gt;Utilización!$F$75,AH23&gt;Utilización!$G$75),("Finalizado"),(""))))))))</f>
        <v/>
      </c>
      <c r="AI34" t="str">
        <f>IF(AND(AI23=Utilización!$F$75),("Inicio"),(IF(AND(AI23&gt;Utilización!$F$75,AI23&lt;=Utilización!$G$75),("En progreso"),(IF(AND(AI23&lt;Utilización!$F$75,AI23&lt;Utilización!$G$75),(""),(IF(AND(AI23&gt;Utilización!$F$75,AI23&gt;Utilización!$G$75),("Finalizado"),(""))))))))</f>
        <v/>
      </c>
      <c r="AJ34" t="str">
        <f>IF(AND(AJ23=Utilización!$F$75),("Inicio"),(IF(AND(AJ23&gt;Utilización!$F$75,AJ23&lt;=Utilización!$G$75),("En progreso"),(IF(AND(AJ23&lt;Utilización!$F$75,AJ23&lt;Utilización!$G$75),(""),(IF(AND(AJ23&gt;Utilización!$F$75,AJ23&gt;Utilización!$G$75),("Finalizado"),(""))))))))</f>
        <v/>
      </c>
      <c r="AK34" t="str">
        <f>IF(AND(AK23=Utilización!$F$75),("Inicio"),(IF(AND(AK23&gt;Utilización!$F$75,AK23&lt;=Utilización!$G$75),("En progreso"),(IF(AND(AK23&lt;Utilización!$F$75,AK23&lt;Utilización!$G$75),(""),(IF(AND(AK23&gt;Utilización!$F$75,AK23&gt;Utilización!$G$75),("Finalizado"),(""))))))))</f>
        <v/>
      </c>
      <c r="AL34" t="str">
        <f>IF(AND(AL23=Utilización!$F$75),("Inicio"),(IF(AND(AL23&gt;Utilización!$F$75,AL23&lt;=Utilización!$G$75),("En progreso"),(IF(AND(AL23&lt;Utilización!$F$75,AL23&lt;Utilización!$G$75),(""),(IF(AND(AL23&gt;Utilización!$F$75,AL23&gt;Utilización!$G$75),("Finalizado"),(""))))))))</f>
        <v/>
      </c>
      <c r="AM34" t="str">
        <f>IF(AND(AM23=Utilización!$F$75),("Inicio"),(IF(AND(AM23&gt;Utilización!$F$75,AM23&lt;=Utilización!$G$75),("En progreso"),(IF(AND(AM23&lt;Utilización!$F$75,AM23&lt;Utilización!$G$75),(""),(IF(AND(AM23&gt;Utilización!$F$75,AM23&gt;Utilización!$G$75),("Finalizado"),(""))))))))</f>
        <v/>
      </c>
      <c r="AN34" t="str">
        <f>IF(AND(AN23=Utilización!$F$75),("Inicio"),(IF(AND(AN23&gt;Utilización!$F$75,AN23&lt;=Utilización!$G$75),("En progreso"),(IF(AND(AN23&lt;Utilización!$F$75,AN23&lt;Utilización!$G$75),(""),(IF(AND(AN23&gt;Utilización!$F$75,AN23&gt;Utilización!$G$75),("Finalizado"),(""))))))))</f>
        <v/>
      </c>
      <c r="AO34" t="str">
        <f>IF(AND(AO23=Utilización!$F$75),("Inicio"),(IF(AND(AO23&gt;Utilización!$F$75,AO23&lt;=Utilización!$G$75),("En progreso"),(IF(AND(AO23&lt;Utilización!$F$75,AO23&lt;Utilización!$G$75),(""),(IF(AND(AO23&gt;Utilización!$F$75,AO23&gt;Utilización!$G$75),("Finalizado"),(""))))))))</f>
        <v/>
      </c>
      <c r="AP34" t="str">
        <f>IF(AND(AP23=Utilización!$F$75),("Inicio"),(IF(AND(AP23&gt;Utilización!$F$75,AP23&lt;=Utilización!$G$75),("En progreso"),(IF(AND(AP23&lt;Utilización!$F$75,AP23&lt;Utilización!$G$75),(""),(IF(AND(AP23&gt;Utilización!$F$75,AP23&gt;Utilización!$G$75),("Finalizado"),(""))))))))</f>
        <v/>
      </c>
      <c r="AQ34" t="str">
        <f>IF(AND(AQ23=Utilización!$F$75),("Inicio"),(IF(AND(AQ23&gt;Utilización!$F$75,AQ23&lt;=Utilización!$G$75),("En progreso"),(IF(AND(AQ23&lt;Utilización!$F$75,AQ23&lt;Utilización!$G$75),(""),(IF(AND(AQ23&gt;Utilización!$F$75,AQ23&gt;Utilización!$G$75),("Finalizado"),(""))))))))</f>
        <v/>
      </c>
      <c r="AR34" t="str">
        <f>IF(AND(AR23=Utilización!$F$75),("Inicio"),(IF(AND(AR23&gt;Utilización!$F$75,AR23&lt;=Utilización!$G$75),("En progreso"),(IF(AND(AR23&lt;Utilización!$F$75,AR23&lt;Utilización!$G$75),(""),(IF(AND(AR23&gt;Utilización!$F$75,AR23&gt;Utilización!$G$75),("Finalizado"),(""))))))))</f>
        <v/>
      </c>
      <c r="AS34" t="str">
        <f>IF(AND(AS23=Utilización!$F$75),("Inicio"),(IF(AND(AS23&gt;Utilización!$F$75,AS23&lt;=Utilización!$G$75),("En progreso"),(IF(AND(AS23&lt;Utilización!$F$75,AS23&lt;Utilización!$G$75),(""),(IF(AND(AS23&gt;Utilización!$F$75,AS23&gt;Utilización!$G$75),("Finalizado"),(""))))))))</f>
        <v/>
      </c>
      <c r="AT34" t="str">
        <f>IF(AND(AT23=Utilización!$F$75),("Inicio"),(IF(AND(AT23&gt;Utilización!$F$75,AT23&lt;=Utilización!$G$75),("En progreso"),(IF(AND(AT23&lt;Utilización!$F$75,AT23&lt;Utilización!$G$75),(""),(IF(AND(AT23&gt;Utilización!$F$75,AT23&gt;Utilización!$G$75),("Finalizado"),(""))))))))</f>
        <v/>
      </c>
      <c r="AU34" t="str">
        <f>IF(AND(AU23=Utilización!$F$75),("Inicio"),(IF(AND(AU23&gt;Utilización!$F$75,AU23&lt;=Utilización!$G$75),("En progreso"),(IF(AND(AU23&lt;Utilización!$F$75,AU23&lt;Utilización!$G$75),(""),(IF(AND(AU23&gt;Utilización!$F$75,AU23&gt;Utilización!$G$75),("Finalizado"),(""))))))))</f>
        <v/>
      </c>
      <c r="AV34" t="str">
        <f>IF(AND(AV23=Utilización!$F$75),("Inicio"),(IF(AND(AV23&gt;Utilización!$F$75,AV23&lt;=Utilización!$G$75),("En progreso"),(IF(AND(AV23&lt;Utilización!$F$75,AV23&lt;Utilización!$G$75),(""),(IF(AND(AV23&gt;Utilización!$F$75,AV23&gt;Utilización!$G$75),("Finalizado"),(""))))))))</f>
        <v/>
      </c>
    </row>
    <row r="35" spans="1:48" x14ac:dyDescent="0.25">
      <c r="A35" s="40" t="str">
        <f>Utilización!A23</f>
        <v>L</v>
      </c>
      <c r="D35" s="74" t="str">
        <f>IF(AND(D23=Utilización!$F$76),("Inicio"),(IF(AND(D23&gt;Utilización!$F$76,D23&lt;=Utilización!$G$76),("En progreso"),(IF(AND(D23&lt;Utilización!$F$76,D23&lt;Utilización!$G$76),(""),(IF(AND(D23&gt;Utilización!$F$76,D23&gt;Utilización!$G$76),("Finalizado"),(""))))))))</f>
        <v/>
      </c>
      <c r="E35" s="74" t="str">
        <f>IF(AND(E23=Utilización!$F$76),("Inicio"),(IF(AND(E23&gt;Utilización!$F$76,E23&lt;=Utilización!$G$76),("En progreso"),(IF(AND(E23&lt;Utilización!$F$76,E23&lt;Utilización!$G$76),(""),(IF(AND(E23&gt;Utilización!$F$76,E23&gt;Utilización!$G$76),("Finalizado"),(""))))))))</f>
        <v/>
      </c>
      <c r="F35" s="74" t="str">
        <f>IF(AND(F23=Utilización!$F$76),("Inicio"),(IF(AND(F23&gt;Utilización!$F$76,F23&lt;=Utilización!$G$76),("En progreso"),(IF(AND(F23&lt;Utilización!$F$76,F23&lt;Utilización!$G$76),(""),(IF(AND(F23&gt;Utilización!$F$76,F23&gt;Utilización!$G$76),("Finalizado"),(""))))))))</f>
        <v/>
      </c>
      <c r="G35" s="74" t="str">
        <f>IF(AND(G23=Utilización!$F$76),("Inicio"),(IF(AND(G23&gt;Utilización!$F$76,G23&lt;=Utilización!$G$76),("En progreso"),(IF(AND(G23&lt;Utilización!$F$76,G23&lt;Utilización!$G$76),(""),(IF(AND(G23&gt;Utilización!$F$76,G23&gt;Utilización!$G$76),("Finalizado"),(""))))))))</f>
        <v/>
      </c>
      <c r="H35" s="74" t="str">
        <f>IF(AND(H23=Utilización!$F$76),("Inicio"),(IF(AND(H23&gt;Utilización!$F$76,H23&lt;=Utilización!$G$76),("En progreso"),(IF(AND(H23&lt;Utilización!$F$76,H23&lt;Utilización!$G$76),(""),(IF(AND(H23&gt;Utilización!$F$76,H23&gt;Utilización!$G$76),("Finalizado"),(""))))))))</f>
        <v/>
      </c>
      <c r="I35" s="74" t="str">
        <f>IF(AND(I23=Utilización!$F$76),("Inicio"),(IF(AND(I23&gt;Utilización!$F$76,I23&lt;=Utilización!$G$76),("En progreso"),(IF(AND(I23&lt;Utilización!$F$76,I23&lt;Utilización!$G$76),(""),(IF(AND(I23&gt;Utilización!$F$76,I23&gt;Utilización!$G$76),("Finalizado"),(""))))))))</f>
        <v/>
      </c>
      <c r="J35" s="74" t="str">
        <f>IF(AND(J23=Utilización!$F$76),("Inicio"),(IF(AND(J23&gt;Utilización!$F$76,J23&lt;=Utilización!$G$76),("En progreso"),(IF(AND(J23&lt;Utilización!$F$76,J23&lt;Utilización!$G$76),(""),(IF(AND(J23&gt;Utilización!$F$76,J23&gt;Utilización!$G$76),("Finalizado"),(""))))))))</f>
        <v/>
      </c>
      <c r="K35" s="74" t="str">
        <f>IF(AND(K23=Utilización!$F$76),("Inicio"),(IF(AND(K23&gt;Utilización!$F$76,K23&lt;=Utilización!$G$76),("En progreso"),(IF(AND(K23&lt;Utilización!$F$76,K23&lt;Utilización!$G$76),(""),(IF(AND(K23&gt;Utilización!$F$76,K23&gt;Utilización!$G$76),("Finalizado"),(""))))))))</f>
        <v/>
      </c>
      <c r="L35" s="74" t="str">
        <f>IF(AND(L23=Utilización!$F$76),("Inicio"),(IF(AND(L23&gt;Utilización!$F$76,L23&lt;=Utilización!$G$76),("En progreso"),(IF(AND(L23&lt;Utilización!$F$76,L23&lt;Utilización!$G$76),(""),(IF(AND(L23&gt;Utilización!$F$76,L23&gt;Utilización!$G$76),("Finalizado"),(""))))))))</f>
        <v/>
      </c>
      <c r="M35" s="74" t="str">
        <f>IF(AND(M23=Utilización!$F$76),("Inicio"),(IF(AND(M23&gt;Utilización!$F$76,M23&lt;=Utilización!$G$76),("En progreso"),(IF(AND(M23&lt;Utilización!$F$76,M23&lt;Utilización!$G$76),(""),(IF(AND(M23&gt;Utilización!$F$76,M23&gt;Utilización!$G$76),("Finalizado"),(""))))))))</f>
        <v/>
      </c>
      <c r="N35" s="74" t="str">
        <f>IF(AND(N23=Utilización!$F$76),("Inicio"),(IF(AND(N23&gt;Utilización!$F$76,N23&lt;=Utilización!$G$76),("En progreso"),(IF(AND(N23&lt;Utilización!$F$76,N23&lt;Utilización!$G$76),(""),(IF(AND(N23&gt;Utilización!$F$76,N23&gt;Utilización!$G$76),("Finalizado"),(""))))))))</f>
        <v/>
      </c>
      <c r="O35" s="74" t="str">
        <f>IF(AND(O23=Utilización!$F$76),("Inicio"),(IF(AND(O23&gt;Utilización!$F$76,O23&lt;=Utilización!$G$76),("En progreso"),(IF(AND(O23&lt;Utilización!$F$76,O23&lt;Utilización!$G$76),(""),(IF(AND(O23&gt;Utilización!$F$76,O23&gt;Utilización!$G$76),("Finalizado"),(""))))))))</f>
        <v/>
      </c>
      <c r="P35" s="74" t="str">
        <f>IF(AND(P23=Utilización!$F$76),("Inicio"),(IF(AND(P23&gt;Utilización!$F$76,P23&lt;=Utilización!$G$76),("En progreso"),(IF(AND(P23&lt;Utilización!$F$76,P23&lt;Utilización!$G$76),(""),(IF(AND(P23&gt;Utilización!$F$76,P23&gt;Utilización!$G$76),("Finalizado"),(""))))))))</f>
        <v/>
      </c>
      <c r="Q35" s="74" t="str">
        <f>IF(AND(Q23=Utilización!$F$76),("Inicio"),(IF(AND(Q23&gt;Utilización!$F$76,Q23&lt;=Utilización!$G$76),("En progreso"),(IF(AND(Q23&lt;Utilización!$F$76,Q23&lt;Utilización!$G$76),(""),(IF(AND(Q23&gt;Utilización!$F$76,Q23&gt;Utilización!$G$76),("Finalizado"),(""))))))))</f>
        <v/>
      </c>
      <c r="R35" s="74" t="str">
        <f>IF(AND(R23=Utilización!$F$76),("Inicio"),(IF(AND(R23&gt;Utilización!$F$76,R23&lt;=Utilización!$G$76),("En progreso"),(IF(AND(R23&lt;Utilización!$F$76,R23&lt;Utilización!$G$76),(""),(IF(AND(R23&gt;Utilización!$F$76,R23&gt;Utilización!$G$76),("Finalizado"),(""))))))))</f>
        <v/>
      </c>
      <c r="S35" t="str">
        <f>IF(AND(S23=Utilización!$F$76),("Inicio"),(IF(AND(S23&gt;Utilización!$F$76,S23&lt;=Utilización!$G$76),("En progreso"),(IF(AND(S23&lt;Utilización!$F$76,S23&lt;Utilización!$G$76),(""),(IF(AND(S23&gt;Utilización!$F$76,S23&gt;Utilización!$G$76),("Finalizado"),(""))))))))</f>
        <v/>
      </c>
      <c r="T35" t="str">
        <f>IF(AND(T23=Utilización!$F$76),("Inicio"),(IF(AND(T23&gt;Utilización!$F$76,T23&lt;=Utilización!$G$76),("En progreso"),(IF(AND(T23&lt;Utilización!$F$76,T23&lt;Utilización!$G$76),(""),(IF(AND(T23&gt;Utilización!$F$76,T23&gt;Utilización!$G$76),("Finalizado"),(""))))))))</f>
        <v/>
      </c>
      <c r="U35" t="str">
        <f>IF(AND(U23=Utilización!$F$76),("Inicio"),(IF(AND(U23&gt;Utilización!$F$76,U23&lt;=Utilización!$G$76),("En progreso"),(IF(AND(U23&lt;Utilización!$F$76,U23&lt;Utilización!$G$76),(""),(IF(AND(U23&gt;Utilización!$F$76,U23&gt;Utilización!$G$76),("Finalizado"),(""))))))))</f>
        <v/>
      </c>
      <c r="V35" t="str">
        <f>IF(AND(V23=Utilización!$F$76),("Inicio"),(IF(AND(V23&gt;Utilización!$F$76,V23&lt;=Utilización!$G$76),("En progreso"),(IF(AND(V23&lt;Utilización!$F$76,V23&lt;Utilización!$G$76),(""),(IF(AND(V23&gt;Utilización!$F$76,V23&gt;Utilización!$G$76),("Finalizado"),(""))))))))</f>
        <v/>
      </c>
      <c r="W35" t="str">
        <f>IF(AND(W23=Utilización!$F$76),("Inicio"),(IF(AND(W23&gt;Utilización!$F$76,W23&lt;=Utilización!$G$76),("En progreso"),(IF(AND(W23&lt;Utilización!$F$76,W23&lt;Utilización!$G$76),(""),(IF(AND(W23&gt;Utilización!$F$76,W23&gt;Utilización!$G$76),("Finalizado"),(""))))))))</f>
        <v/>
      </c>
      <c r="X35" t="str">
        <f>IF(AND(X23=Utilización!$F$76),("Inicio"),(IF(AND(X23&gt;Utilización!$F$76,X23&lt;=Utilización!$G$76),("En progreso"),(IF(AND(X23&lt;Utilización!$F$76,X23&lt;Utilización!$G$76),(""),(IF(AND(X23&gt;Utilización!$F$76,X23&gt;Utilización!$G$76),("Finalizado"),(""))))))))</f>
        <v/>
      </c>
      <c r="Y35" t="str">
        <f>IF(AND(Y23=Utilización!$F$76),("Inicio"),(IF(AND(Y23&gt;Utilización!$F$76,Y23&lt;=Utilización!$G$76),("En progreso"),(IF(AND(Y23&lt;Utilización!$F$76,Y23&lt;Utilización!$G$76),(""),(IF(AND(Y23&gt;Utilización!$F$76,Y23&gt;Utilización!$G$76),("Finalizado"),(""))))))))</f>
        <v/>
      </c>
      <c r="Z35" t="str">
        <f>IF(AND(Z23=Utilización!$F$76),("Inicio"),(IF(AND(Z23&gt;Utilización!$F$76,Z23&lt;=Utilización!$G$76),("En progreso"),(IF(AND(Z23&lt;Utilización!$F$76,Z23&lt;Utilización!$G$76),(""),(IF(AND(Z23&gt;Utilización!$F$76,Z23&gt;Utilización!$G$76),("Finalizado"),(""))))))))</f>
        <v/>
      </c>
      <c r="AA35" t="str">
        <f>IF(AND(AA23=Utilización!$F$76),("Inicio"),(IF(AND(AA23&gt;Utilización!$F$76,AA23&lt;=Utilización!$G$76),("En progreso"),(IF(AND(AA23&lt;Utilización!$F$76,AA23&lt;Utilización!$G$76),(""),(IF(AND(AA23&gt;Utilización!$F$76,AA23&gt;Utilización!$G$76),("Finalizado"),(""))))))))</f>
        <v/>
      </c>
      <c r="AB35" t="str">
        <f>IF(AND(AB23=Utilización!$F$76),("Inicio"),(IF(AND(AB23&gt;Utilización!$F$76,AB23&lt;=Utilización!$G$76),("En progreso"),(IF(AND(AB23&lt;Utilización!$F$76,AB23&lt;Utilización!$G$76),(""),(IF(AND(AB23&gt;Utilización!$F$76,AB23&gt;Utilización!$G$76),("Finalizado"),(""))))))))</f>
        <v/>
      </c>
      <c r="AC35" t="str">
        <f>IF(AND(AC23=Utilización!$F$76),("Inicio"),(IF(AND(AC23&gt;Utilización!$F$76,AC23&lt;=Utilización!$G$76),("En progreso"),(IF(AND(AC23&lt;Utilización!$F$76,AC23&lt;Utilización!$G$76),(""),(IF(AND(AC23&gt;Utilización!$F$76,AC23&gt;Utilización!$G$76),("Finalizado"),(""))))))))</f>
        <v/>
      </c>
      <c r="AD35" t="str">
        <f>IF(AND(AD23=Utilización!$F$76),("Inicio"),(IF(AND(AD23&gt;Utilización!$F$76,AD23&lt;=Utilización!$G$76),("En progreso"),(IF(AND(AD23&lt;Utilización!$F$76,AD23&lt;Utilización!$G$76),(""),(IF(AND(AD23&gt;Utilización!$F$76,AD23&gt;Utilización!$G$76),("Finalizado"),(""))))))))</f>
        <v/>
      </c>
      <c r="AE35" t="str">
        <f>IF(AND(AE23=Utilización!$F$76),("Inicio"),(IF(AND(AE23&gt;Utilización!$F$76,AE23&lt;=Utilización!$G$76),("En progreso"),(IF(AND(AE23&lt;Utilización!$F$76,AE23&lt;Utilización!$G$76),(""),(IF(AND(AE23&gt;Utilización!$F$76,AE23&gt;Utilización!$G$76),("Finalizado"),(""))))))))</f>
        <v/>
      </c>
      <c r="AF35" t="str">
        <f>IF(AND(AF23=Utilización!$F$76),("Inicio"),(IF(AND(AF23&gt;Utilización!$F$76,AF23&lt;=Utilización!$G$76),("En progreso"),(IF(AND(AF23&lt;Utilización!$F$76,AF23&lt;Utilización!$G$76),(""),(IF(AND(AF23&gt;Utilización!$F$76,AF23&gt;Utilización!$G$76),("Finalizado"),(""))))))))</f>
        <v/>
      </c>
      <c r="AG35" t="str">
        <f>IF(AND(AG23=Utilización!$F$76),("Inicio"),(IF(AND(AG23&gt;Utilización!$F$76,AG23&lt;=Utilización!$G$76),("En progreso"),(IF(AND(AG23&lt;Utilización!$F$76,AG23&lt;Utilización!$G$76),(""),(IF(AND(AG23&gt;Utilización!$F$76,AG23&gt;Utilización!$G$76),("Finalizado"),(""))))))))</f>
        <v/>
      </c>
      <c r="AH35" t="str">
        <f>IF(AND(AH23=Utilización!$F$76),("Inicio"),(IF(AND(AH23&gt;Utilización!$F$76,AH23&lt;=Utilización!$G$76),("En progreso"),(IF(AND(AH23&lt;Utilización!$F$76,AH23&lt;Utilización!$G$76),(""),(IF(AND(AH23&gt;Utilización!$F$76,AH23&gt;Utilización!$G$76),("Finalizado"),(""))))))))</f>
        <v/>
      </c>
      <c r="AI35" t="str">
        <f>IF(AND(AI23=Utilización!$F$76),("Inicio"),(IF(AND(AI23&gt;Utilización!$F$76,AI23&lt;=Utilización!$G$76),("En progreso"),(IF(AND(AI23&lt;Utilización!$F$76,AI23&lt;Utilización!$G$76),(""),(IF(AND(AI23&gt;Utilización!$F$76,AI23&gt;Utilización!$G$76),("Finalizado"),(""))))))))</f>
        <v/>
      </c>
      <c r="AJ35" t="str">
        <f>IF(AND(AJ23=Utilización!$F$76),("Inicio"),(IF(AND(AJ23&gt;Utilización!$F$76,AJ23&lt;=Utilización!$G$76),("En progreso"),(IF(AND(AJ23&lt;Utilización!$F$76,AJ23&lt;Utilización!$G$76),(""),(IF(AND(AJ23&gt;Utilización!$F$76,AJ23&gt;Utilización!$G$76),("Finalizado"),(""))))))))</f>
        <v/>
      </c>
      <c r="AK35" t="str">
        <f>IF(AND(AK23=Utilización!$F$76),("Inicio"),(IF(AND(AK23&gt;Utilización!$F$76,AK23&lt;=Utilización!$G$76),("En progreso"),(IF(AND(AK23&lt;Utilización!$F$76,AK23&lt;Utilización!$G$76),(""),(IF(AND(AK23&gt;Utilización!$F$76,AK23&gt;Utilización!$G$76),("Finalizado"),(""))))))))</f>
        <v/>
      </c>
      <c r="AL35" t="str">
        <f>IF(AND(AL23=Utilización!$F$76),("Inicio"),(IF(AND(AL23&gt;Utilización!$F$76,AL23&lt;=Utilización!$G$76),("En progreso"),(IF(AND(AL23&lt;Utilización!$F$76,AL23&lt;Utilización!$G$76),(""),(IF(AND(AL23&gt;Utilización!$F$76,AL23&gt;Utilización!$G$76),("Finalizado"),(""))))))))</f>
        <v/>
      </c>
      <c r="AM35" t="str">
        <f>IF(AND(AM23=Utilización!$F$76),("Inicio"),(IF(AND(AM23&gt;Utilización!$F$76,AM23&lt;=Utilización!$G$76),("En progreso"),(IF(AND(AM23&lt;Utilización!$F$76,AM23&lt;Utilización!$G$76),(""),(IF(AND(AM23&gt;Utilización!$F$76,AM23&gt;Utilización!$G$76),("Finalizado"),(""))))))))</f>
        <v/>
      </c>
      <c r="AN35" t="str">
        <f>IF(AND(AN23=Utilización!$F$76),("Inicio"),(IF(AND(AN23&gt;Utilización!$F$76,AN23&lt;=Utilización!$G$76),("En progreso"),(IF(AND(AN23&lt;Utilización!$F$76,AN23&lt;Utilización!$G$76),(""),(IF(AND(AN23&gt;Utilización!$F$76,AN23&gt;Utilización!$G$76),("Finalizado"),(""))))))))</f>
        <v/>
      </c>
      <c r="AO35" t="str">
        <f>IF(AND(AO23=Utilización!$F$76),("Inicio"),(IF(AND(AO23&gt;Utilización!$F$76,AO23&lt;=Utilización!$G$76),("En progreso"),(IF(AND(AO23&lt;Utilización!$F$76,AO23&lt;Utilización!$G$76),(""),(IF(AND(AO23&gt;Utilización!$F$76,AO23&gt;Utilización!$G$76),("Finalizado"),(""))))))))</f>
        <v/>
      </c>
      <c r="AP35" t="str">
        <f>IF(AND(AP23=Utilización!$F$76),("Inicio"),(IF(AND(AP23&gt;Utilización!$F$76,AP23&lt;=Utilización!$G$76),("En progreso"),(IF(AND(AP23&lt;Utilización!$F$76,AP23&lt;Utilización!$G$76),(""),(IF(AND(AP23&gt;Utilización!$F$76,AP23&gt;Utilización!$G$76),("Finalizado"),(""))))))))</f>
        <v/>
      </c>
      <c r="AQ35" t="str">
        <f>IF(AND(AQ23=Utilización!$F$76),("Inicio"),(IF(AND(AQ23&gt;Utilización!$F$76,AQ23&lt;=Utilización!$G$76),("En progreso"),(IF(AND(AQ23&lt;Utilización!$F$76,AQ23&lt;Utilización!$G$76),(""),(IF(AND(AQ23&gt;Utilización!$F$76,AQ23&gt;Utilización!$G$76),("Finalizado"),(""))))))))</f>
        <v/>
      </c>
      <c r="AR35" t="str">
        <f>IF(AND(AR23=Utilización!$F$76),("Inicio"),(IF(AND(AR23&gt;Utilización!$F$76,AR23&lt;=Utilización!$G$76),("En progreso"),(IF(AND(AR23&lt;Utilización!$F$76,AR23&lt;Utilización!$G$76),(""),(IF(AND(AR23&gt;Utilización!$F$76,AR23&gt;Utilización!$G$76),("Finalizado"),(""))))))))</f>
        <v/>
      </c>
      <c r="AS35" t="str">
        <f>IF(AND(AS23=Utilización!$F$76),("Inicio"),(IF(AND(AS23&gt;Utilización!$F$76,AS23&lt;=Utilización!$G$76),("En progreso"),(IF(AND(AS23&lt;Utilización!$F$76,AS23&lt;Utilización!$G$76),(""),(IF(AND(AS23&gt;Utilización!$F$76,AS23&gt;Utilización!$G$76),("Finalizado"),(""))))))))</f>
        <v/>
      </c>
      <c r="AT35" t="str">
        <f>IF(AND(AT23=Utilización!$F$76),("Inicio"),(IF(AND(AT23&gt;Utilización!$F$76,AT23&lt;=Utilización!$G$76),("En progreso"),(IF(AND(AT23&lt;Utilización!$F$76,AT23&lt;Utilización!$G$76),(""),(IF(AND(AT23&gt;Utilización!$F$76,AT23&gt;Utilización!$G$76),("Finalizado"),(""))))))))</f>
        <v/>
      </c>
      <c r="AU35" t="str">
        <f>IF(AND(AU23=Utilización!$F$76),("Inicio"),(IF(AND(AU23&gt;Utilización!$F$76,AU23&lt;=Utilización!$G$76),("En progreso"),(IF(AND(AU23&lt;Utilización!$F$76,AU23&lt;Utilización!$G$76),(""),(IF(AND(AU23&gt;Utilización!$F$76,AU23&gt;Utilización!$G$76),("Finalizado"),(""))))))))</f>
        <v/>
      </c>
      <c r="AV35" t="str">
        <f>IF(AND(AV23=Utilización!$F$76),("Inicio"),(IF(AND(AV23&gt;Utilización!$F$76,AV23&lt;=Utilización!$G$76),("En progreso"),(IF(AND(AV23&lt;Utilización!$F$76,AV23&lt;Utilización!$G$76),(""),(IF(AND(AV23&gt;Utilización!$F$76,AV23&gt;Utilización!$G$76),("Finalizado"),(""))))))))</f>
        <v/>
      </c>
    </row>
    <row r="36" spans="1:48" x14ac:dyDescent="0.25">
      <c r="A36" s="40" t="str">
        <f>Utilización!A24</f>
        <v>M</v>
      </c>
      <c r="D36" s="74" t="str">
        <f>IF(AND(D23=Utilización!$F$77),("Inicio"),(IF(AND(D23&gt;Utilización!$F$77,D23&lt;=Utilización!$G$77),("En progreso"),(IF(AND(D23&lt;Utilización!$F$77,D23&lt;Utilización!$G$77),(""),(IF(AND(D23&gt;Utilización!$F$77,D23&gt;Utilización!$G$77),("Finalizado"),(""))))))))</f>
        <v/>
      </c>
      <c r="E36" s="74" t="str">
        <f>IF(AND(E23=Utilización!$F$77),("Inicio"),(IF(AND(E23&gt;Utilización!$F$77,E23&lt;=Utilización!$G$77),("En progreso"),(IF(AND(E23&lt;Utilización!$F$77,E23&lt;Utilización!$G$77),(""),(IF(AND(E23&gt;Utilización!$F$77,E23&gt;Utilización!$G$77),("Finalizado"),(""))))))))</f>
        <v/>
      </c>
      <c r="F36" s="74" t="str">
        <f>IF(AND(F23=Utilización!$F$77),("Inicio"),(IF(AND(F23&gt;Utilización!$F$77,F23&lt;=Utilización!$G$77),("En progreso"),(IF(AND(F23&lt;Utilización!$F$77,F23&lt;Utilización!$G$77),(""),(IF(AND(F23&gt;Utilización!$F$77,F23&gt;Utilización!$G$77),("Finalizado"),(""))))))))</f>
        <v/>
      </c>
      <c r="G36" s="74" t="str">
        <f>IF(AND(G23=Utilización!$F$77),("Inicio"),(IF(AND(G23&gt;Utilización!$F$77,G23&lt;=Utilización!$G$77),("En progreso"),(IF(AND(G23&lt;Utilización!$F$77,G23&lt;Utilización!$G$77),(""),(IF(AND(G23&gt;Utilización!$F$77,G23&gt;Utilización!$G$77),("Finalizado"),(""))))))))</f>
        <v/>
      </c>
      <c r="H36" s="74" t="str">
        <f>IF(AND(H23=Utilización!$F$77),("Inicio"),(IF(AND(H23&gt;Utilización!$F$77,H23&lt;=Utilización!$G$77),("En progreso"),(IF(AND(H23&lt;Utilización!$F$77,H23&lt;Utilización!$G$77),(""),(IF(AND(H23&gt;Utilización!$F$77,H23&gt;Utilización!$G$77),("Finalizado"),(""))))))))</f>
        <v/>
      </c>
      <c r="I36" s="74" t="str">
        <f>IF(AND(I23=Utilización!$F$77),("Inicio"),(IF(AND(I23&gt;Utilización!$F$77,I23&lt;=Utilización!$G$77),("En progreso"),(IF(AND(I23&lt;Utilización!$F$77,I23&lt;Utilización!$G$77),(""),(IF(AND(I23&gt;Utilización!$F$77,I23&gt;Utilización!$G$77),("Finalizado"),(""))))))))</f>
        <v/>
      </c>
      <c r="J36" s="74" t="str">
        <f>IF(AND(J23=Utilización!$F$77),("Inicio"),(IF(AND(J23&gt;Utilización!$F$77,J23&lt;=Utilización!$G$77),("En progreso"),(IF(AND(J23&lt;Utilización!$F$77,J23&lt;Utilización!$G$77),(""),(IF(AND(J23&gt;Utilización!$F$77,J23&gt;Utilización!$G$77),("Finalizado"),(""))))))))</f>
        <v/>
      </c>
      <c r="K36" s="74" t="str">
        <f>IF(AND(K23=Utilización!$F$77),("Inicio"),(IF(AND(K23&gt;Utilización!$F$77,K23&lt;=Utilización!$G$77),("En progreso"),(IF(AND(K23&lt;Utilización!$F$77,K23&lt;Utilización!$G$77),(""),(IF(AND(K23&gt;Utilización!$F$77,K23&gt;Utilización!$G$77),("Finalizado"),(""))))))))</f>
        <v/>
      </c>
      <c r="L36" s="74" t="str">
        <f>IF(AND(L23=Utilización!$F$77),("Inicio"),(IF(AND(L23&gt;Utilización!$F$77,L23&lt;=Utilización!$G$77),("En progreso"),(IF(AND(L23&lt;Utilización!$F$77,L23&lt;Utilización!$G$77),(""),(IF(AND(L23&gt;Utilización!$F$77,L23&gt;Utilización!$G$77),("Finalizado"),(""))))))))</f>
        <v/>
      </c>
      <c r="M36" s="74" t="str">
        <f>IF(AND(M23=Utilización!$F$77),("Inicio"),(IF(AND(M23&gt;Utilización!$F$77,M23&lt;=Utilización!$G$77),("En progreso"),(IF(AND(M23&lt;Utilización!$F$77,M23&lt;Utilización!$G$77),(""),(IF(AND(M23&gt;Utilización!$F$77,M23&gt;Utilización!$G$77),("Finalizado"),(""))))))))</f>
        <v/>
      </c>
      <c r="N36" s="74" t="str">
        <f>IF(AND(N23=Utilización!$F$77),("Inicio"),(IF(AND(N23&gt;Utilización!$F$77,N23&lt;=Utilización!$G$77),("En progreso"),(IF(AND(N23&lt;Utilización!$F$77,N23&lt;Utilización!$G$77),(""),(IF(AND(N23&gt;Utilización!$F$77,N23&gt;Utilización!$G$77),("Finalizado"),(""))))))))</f>
        <v/>
      </c>
      <c r="O36" s="74" t="str">
        <f>IF(AND(O23=Utilización!$F$77),("Inicio"),(IF(AND(O23&gt;Utilización!$F$77,O23&lt;=Utilización!$G$77),("En progreso"),(IF(AND(O23&lt;Utilización!$F$77,O23&lt;Utilización!$G$77),(""),(IF(AND(O23&gt;Utilización!$F$77,O23&gt;Utilización!$G$77),("Finalizado"),(""))))))))</f>
        <v/>
      </c>
      <c r="P36" s="74" t="str">
        <f>IF(AND(P23=Utilización!$F$77),("Inicio"),(IF(AND(P23&gt;Utilización!$F$77,P23&lt;=Utilización!$G$77),("En progreso"),(IF(AND(P23&lt;Utilización!$F$77,P23&lt;Utilización!$G$77),(""),(IF(AND(P23&gt;Utilización!$F$77,P23&gt;Utilización!$G$77),("Finalizado"),(""))))))))</f>
        <v/>
      </c>
      <c r="Q36" s="74" t="str">
        <f>IF(AND(Q23=Utilización!$F$77),("Inicio"),(IF(AND(Q23&gt;Utilización!$F$77,Q23&lt;=Utilización!$G$77),("En progreso"),(IF(AND(Q23&lt;Utilización!$F$77,Q23&lt;Utilización!$G$77),(""),(IF(AND(Q23&gt;Utilización!$F$77,Q23&gt;Utilización!$G$77),("Finalizado"),(""))))))))</f>
        <v/>
      </c>
      <c r="R36" s="74" t="str">
        <f>IF(AND(R23=Utilización!$F$77),("Inicio"),(IF(AND(R23&gt;Utilización!$F$77,R23&lt;=Utilización!$G$77),("En progreso"),(IF(AND(R23&lt;Utilización!$F$77,R23&lt;Utilización!$G$77),(""),(IF(AND(R23&gt;Utilización!$F$77,R23&gt;Utilización!$G$77),("Finalizado"),(""))))))))</f>
        <v/>
      </c>
      <c r="S36" t="str">
        <f>IF(AND(S23=Utilización!$F$77),("Inicio"),(IF(AND(S23&gt;Utilización!$F$77,S23&lt;=Utilización!$G$77),("En progreso"),(IF(AND(S23&lt;Utilización!$F$77,S23&lt;Utilización!$G$77),(""),(IF(AND(S23&gt;Utilización!$F$77,S23&gt;Utilización!$G$77),("Finalizado"),(""))))))))</f>
        <v/>
      </c>
      <c r="T36" t="str">
        <f>IF(AND(T23=Utilización!$F$77),("Inicio"),(IF(AND(T23&gt;Utilización!$F$77,T23&lt;=Utilización!$G$77),("En progreso"),(IF(AND(T23&lt;Utilización!$F$77,T23&lt;Utilización!$G$77),(""),(IF(AND(T23&gt;Utilización!$F$77,T23&gt;Utilización!$G$77),("Finalizado"),(""))))))))</f>
        <v/>
      </c>
      <c r="U36" t="str">
        <f>IF(AND(U23=Utilización!$F$77),("Inicio"),(IF(AND(U23&gt;Utilización!$F$77,U23&lt;=Utilización!$G$77),("En progreso"),(IF(AND(U23&lt;Utilización!$F$77,U23&lt;Utilización!$G$77),(""),(IF(AND(U23&gt;Utilización!$F$77,U23&gt;Utilización!$G$77),("Finalizado"),(""))))))))</f>
        <v/>
      </c>
      <c r="V36" t="str">
        <f>IF(AND(V23=Utilización!$F$77),("Inicio"),(IF(AND(V23&gt;Utilización!$F$77,V23&lt;=Utilización!$G$77),("En progreso"),(IF(AND(V23&lt;Utilización!$F$77,V23&lt;Utilización!$G$77),(""),(IF(AND(V23&gt;Utilización!$F$77,V23&gt;Utilización!$G$77),("Finalizado"),(""))))))))</f>
        <v/>
      </c>
      <c r="W36" t="str">
        <f>IF(AND(W23=Utilización!$F$77),("Inicio"),(IF(AND(W23&gt;Utilización!$F$77,W23&lt;=Utilización!$G$77),("En progreso"),(IF(AND(W23&lt;Utilización!$F$77,W23&lt;Utilización!$G$77),(""),(IF(AND(W23&gt;Utilización!$F$77,W23&gt;Utilización!$G$77),("Finalizado"),(""))))))))</f>
        <v/>
      </c>
      <c r="X36" t="str">
        <f>IF(AND(X23=Utilización!$F$77),("Inicio"),(IF(AND(X23&gt;Utilización!$F$77,X23&lt;=Utilización!$G$77),("En progreso"),(IF(AND(X23&lt;Utilización!$F$77,X23&lt;Utilización!$G$77),(""),(IF(AND(X23&gt;Utilización!$F$77,X23&gt;Utilización!$G$77),("Finalizado"),(""))))))))</f>
        <v/>
      </c>
      <c r="Y36" t="str">
        <f>IF(AND(Y23=Utilización!$F$77),("Inicio"),(IF(AND(Y23&gt;Utilización!$F$77,Y23&lt;=Utilización!$G$77),("En progreso"),(IF(AND(Y23&lt;Utilización!$F$77,Y23&lt;Utilización!$G$77),(""),(IF(AND(Y23&gt;Utilización!$F$77,Y23&gt;Utilización!$G$77),("Finalizado"),(""))))))))</f>
        <v/>
      </c>
      <c r="Z36" t="str">
        <f>IF(AND(Z23=Utilización!$F$77),("Inicio"),(IF(AND(Z23&gt;Utilización!$F$77,Z23&lt;=Utilización!$G$77),("En progreso"),(IF(AND(Z23&lt;Utilización!$F$77,Z23&lt;Utilización!$G$77),(""),(IF(AND(Z23&gt;Utilización!$F$77,Z23&gt;Utilización!$G$77),("Finalizado"),(""))))))))</f>
        <v/>
      </c>
      <c r="AA36" t="str">
        <f>IF(AND(AA23=Utilización!$F$77),("Inicio"),(IF(AND(AA23&gt;Utilización!$F$77,AA23&lt;=Utilización!$G$77),("En progreso"),(IF(AND(AA23&lt;Utilización!$F$77,AA23&lt;Utilización!$G$77),(""),(IF(AND(AA23&gt;Utilización!$F$77,AA23&gt;Utilización!$G$77),("Finalizado"),(""))))))))</f>
        <v/>
      </c>
      <c r="AB36" t="str">
        <f>IF(AND(AB23=Utilización!$F$77),("Inicio"),(IF(AND(AB23&gt;Utilización!$F$77,AB23&lt;=Utilización!$G$77),("En progreso"),(IF(AND(AB23&lt;Utilización!$F$77,AB23&lt;Utilización!$G$77),(""),(IF(AND(AB23&gt;Utilización!$F$77,AB23&gt;Utilización!$G$77),("Finalizado"),(""))))))))</f>
        <v/>
      </c>
      <c r="AC36" t="str">
        <f>IF(AND(AC23=Utilización!$F$77),("Inicio"),(IF(AND(AC23&gt;Utilización!$F$77,AC23&lt;=Utilización!$G$77),("En progreso"),(IF(AND(AC23&lt;Utilización!$F$77,AC23&lt;Utilización!$G$77),(""),(IF(AND(AC23&gt;Utilización!$F$77,AC23&gt;Utilización!$G$77),("Finalizado"),(""))))))))</f>
        <v/>
      </c>
      <c r="AD36" t="str">
        <f>IF(AND(AD23=Utilización!$F$77),("Inicio"),(IF(AND(AD23&gt;Utilización!$F$77,AD23&lt;=Utilización!$G$77),("En progreso"),(IF(AND(AD23&lt;Utilización!$F$77,AD23&lt;Utilización!$G$77),(""),(IF(AND(AD23&gt;Utilización!$F$77,AD23&gt;Utilización!$G$77),("Finalizado"),(""))))))))</f>
        <v/>
      </c>
      <c r="AE36" t="str">
        <f>IF(AND(AE23=Utilización!$F$77),("Inicio"),(IF(AND(AE23&gt;Utilización!$F$77,AE23&lt;=Utilización!$G$77),("En progreso"),(IF(AND(AE23&lt;Utilización!$F$77,AE23&lt;Utilización!$G$77),(""),(IF(AND(AE23&gt;Utilización!$F$77,AE23&gt;Utilización!$G$77),("Finalizado"),(""))))))))</f>
        <v/>
      </c>
      <c r="AF36" t="str">
        <f>IF(AND(AF23=Utilización!$F$77),("Inicio"),(IF(AND(AF23&gt;Utilización!$F$77,AF23&lt;=Utilización!$G$77),("En progreso"),(IF(AND(AF23&lt;Utilización!$F$77,AF23&lt;Utilización!$G$77),(""),(IF(AND(AF23&gt;Utilización!$F$77,AF23&gt;Utilización!$G$77),("Finalizado"),(""))))))))</f>
        <v/>
      </c>
      <c r="AG36" t="str">
        <f>IF(AND(AG23=Utilización!$F$77),("Inicio"),(IF(AND(AG23&gt;Utilización!$F$77,AG23&lt;=Utilización!$G$77),("En progreso"),(IF(AND(AG23&lt;Utilización!$F$77,AG23&lt;Utilización!$G$77),(""),(IF(AND(AG23&gt;Utilización!$F$77,AG23&gt;Utilización!$G$77),("Finalizado"),(""))))))))</f>
        <v/>
      </c>
      <c r="AH36" t="str">
        <f>IF(AND(AH23=Utilización!$F$77),("Inicio"),(IF(AND(AH23&gt;Utilización!$F$77,AH23&lt;=Utilización!$G$77),("En progreso"),(IF(AND(AH23&lt;Utilización!$F$77,AH23&lt;Utilización!$G$77),(""),(IF(AND(AH23&gt;Utilización!$F$77,AH23&gt;Utilización!$G$77),("Finalizado"),(""))))))))</f>
        <v/>
      </c>
      <c r="AI36" t="str">
        <f>IF(AND(AI23=Utilización!$F$77),("Inicio"),(IF(AND(AI23&gt;Utilización!$F$77,AI23&lt;=Utilización!$G$77),("En progreso"),(IF(AND(AI23&lt;Utilización!$F$77,AI23&lt;Utilización!$G$77),(""),(IF(AND(AI23&gt;Utilización!$F$77,AI23&gt;Utilización!$G$77),("Finalizado"),(""))))))))</f>
        <v/>
      </c>
      <c r="AJ36" t="str">
        <f>IF(AND(AJ23=Utilización!$F$77),("Inicio"),(IF(AND(AJ23&gt;Utilización!$F$77,AJ23&lt;=Utilización!$G$77),("En progreso"),(IF(AND(AJ23&lt;Utilización!$F$77,AJ23&lt;Utilización!$G$77),(""),(IF(AND(AJ23&gt;Utilización!$F$77,AJ23&gt;Utilización!$G$77),("Finalizado"),(""))))))))</f>
        <v/>
      </c>
      <c r="AK36" t="str">
        <f>IF(AND(AK23=Utilización!$F$77),("Inicio"),(IF(AND(AK23&gt;Utilización!$F$77,AK23&lt;=Utilización!$G$77),("En progreso"),(IF(AND(AK23&lt;Utilización!$F$77,AK23&lt;Utilización!$G$77),(""),(IF(AND(AK23&gt;Utilización!$F$77,AK23&gt;Utilización!$G$77),("Finalizado"),(""))))))))</f>
        <v/>
      </c>
      <c r="AL36" t="str">
        <f>IF(AND(AL23=Utilización!$F$77),("Inicio"),(IF(AND(AL23&gt;Utilización!$F$77,AL23&lt;=Utilización!$G$77),("En progreso"),(IF(AND(AL23&lt;Utilización!$F$77,AL23&lt;Utilización!$G$77),(""),(IF(AND(AL23&gt;Utilización!$F$77,AL23&gt;Utilización!$G$77),("Finalizado"),(""))))))))</f>
        <v/>
      </c>
      <c r="AM36" t="str">
        <f>IF(AND(AM23=Utilización!$F$77),("Inicio"),(IF(AND(AM23&gt;Utilización!$F$77,AM23&lt;=Utilización!$G$77),("En progreso"),(IF(AND(AM23&lt;Utilización!$F$77,AM23&lt;Utilización!$G$77),(""),(IF(AND(AM23&gt;Utilización!$F$77,AM23&gt;Utilización!$G$77),("Finalizado"),(""))))))))</f>
        <v/>
      </c>
      <c r="AN36" t="str">
        <f>IF(AND(AN23=Utilización!$F$77),("Inicio"),(IF(AND(AN23&gt;Utilización!$F$77,AN23&lt;=Utilización!$G$77),("En progreso"),(IF(AND(AN23&lt;Utilización!$F$77,AN23&lt;Utilización!$G$77),(""),(IF(AND(AN23&gt;Utilización!$F$77,AN23&gt;Utilización!$G$77),("Finalizado"),(""))))))))</f>
        <v/>
      </c>
      <c r="AO36" t="str">
        <f>IF(AND(AO23=Utilización!$F$77),("Inicio"),(IF(AND(AO23&gt;Utilización!$F$77,AO23&lt;=Utilización!$G$77),("En progreso"),(IF(AND(AO23&lt;Utilización!$F$77,AO23&lt;Utilización!$G$77),(""),(IF(AND(AO23&gt;Utilización!$F$77,AO23&gt;Utilización!$G$77),("Finalizado"),(""))))))))</f>
        <v/>
      </c>
      <c r="AP36" t="str">
        <f>IF(AND(AP23=Utilización!$F$77),("Inicio"),(IF(AND(AP23&gt;Utilización!$F$77,AP23&lt;=Utilización!$G$77),("En progreso"),(IF(AND(AP23&lt;Utilización!$F$77,AP23&lt;Utilización!$G$77),(""),(IF(AND(AP23&gt;Utilización!$F$77,AP23&gt;Utilización!$G$77),("Finalizado"),(""))))))))</f>
        <v/>
      </c>
      <c r="AQ36" t="str">
        <f>IF(AND(AQ23=Utilización!$F$77),("Inicio"),(IF(AND(AQ23&gt;Utilización!$F$77,AQ23&lt;=Utilización!$G$77),("En progreso"),(IF(AND(AQ23&lt;Utilización!$F$77,AQ23&lt;Utilización!$G$77),(""),(IF(AND(AQ23&gt;Utilización!$F$77,AQ23&gt;Utilización!$G$77),("Finalizado"),(""))))))))</f>
        <v/>
      </c>
      <c r="AR36" t="str">
        <f>IF(AND(AR23=Utilización!$F$77),("Inicio"),(IF(AND(AR23&gt;Utilización!$F$77,AR23&lt;=Utilización!$G$77),("En progreso"),(IF(AND(AR23&lt;Utilización!$F$77,AR23&lt;Utilización!$G$77),(""),(IF(AND(AR23&gt;Utilización!$F$77,AR23&gt;Utilización!$G$77),("Finalizado"),(""))))))))</f>
        <v/>
      </c>
      <c r="AS36" t="str">
        <f>IF(AND(AS23=Utilización!$F$77),("Inicio"),(IF(AND(AS23&gt;Utilización!$F$77,AS23&lt;=Utilización!$G$77),("En progreso"),(IF(AND(AS23&lt;Utilización!$F$77,AS23&lt;Utilización!$G$77),(""),(IF(AND(AS23&gt;Utilización!$F$77,AS23&gt;Utilización!$G$77),("Finalizado"),(""))))))))</f>
        <v/>
      </c>
      <c r="AT36" t="str">
        <f>IF(AND(AT23=Utilización!$F$77),("Inicio"),(IF(AND(AT23&gt;Utilización!$F$77,AT23&lt;=Utilización!$G$77),("En progreso"),(IF(AND(AT23&lt;Utilización!$F$77,AT23&lt;Utilización!$G$77),(""),(IF(AND(AT23&gt;Utilización!$F$77,AT23&gt;Utilización!$G$77),("Finalizado"),(""))))))))</f>
        <v/>
      </c>
      <c r="AU36" t="str">
        <f>IF(AND(AU23=Utilización!$F$77),("Inicio"),(IF(AND(AU23&gt;Utilización!$F$77,AU23&lt;=Utilización!$G$77),("En progreso"),(IF(AND(AU23&lt;Utilización!$F$77,AU23&lt;Utilización!$G$77),(""),(IF(AND(AU23&gt;Utilización!$F$77,AU23&gt;Utilización!$G$77),("Finalizado"),(""))))))))</f>
        <v/>
      </c>
      <c r="AV36" t="str">
        <f>IF(AND(AV23=Utilización!$F$77),("Inicio"),(IF(AND(AV23&gt;Utilización!$F$77,AV23&lt;=Utilización!$G$77),("En progreso"),(IF(AND(AV23&lt;Utilización!$F$77,AV23&lt;Utilización!$G$77),(""),(IF(AND(AV23&gt;Utilización!$F$77,AV23&gt;Utilización!$G$77),("Finalizado"),(""))))))))</f>
        <v/>
      </c>
    </row>
    <row r="37" spans="1:48" x14ac:dyDescent="0.25">
      <c r="A37" s="40" t="str">
        <f>Utilización!A25</f>
        <v>N</v>
      </c>
      <c r="D37" s="74" t="str">
        <f>IF(AND(D23=Utilización!$F$78),("Inicio"),(IF(AND(D23&gt;Utilización!$F$78,D23&lt;=Utilización!$G$78),("En progreso"),(IF(AND(D23&lt;Utilización!$F$78,D23&lt;Utilización!$G$78),(""),(IF(AND(D23&gt;Utilización!$F$78,D23&gt;Utilización!$G$78),("Finalizado"),(""))))))))</f>
        <v/>
      </c>
      <c r="E37" s="74" t="str">
        <f>IF(AND(E23=Utilización!$F$78),("Inicio"),(IF(AND(E23&gt;Utilización!$F$78,E23&lt;=Utilización!$G$78),("En progreso"),(IF(AND(E23&lt;Utilización!$F$78,E23&lt;Utilización!$G$78),(""),(IF(AND(E23&gt;Utilización!$F$78,E23&gt;Utilización!$G$78),("Finalizado"),(""))))))))</f>
        <v/>
      </c>
      <c r="F37" s="74" t="str">
        <f>IF(AND(F23=Utilización!$F$78),("Inicio"),(IF(AND(F23&gt;Utilización!$F$78,F23&lt;=Utilización!$G$78),("En progreso"),(IF(AND(F23&lt;Utilización!$F$78,F23&lt;Utilización!$G$78),(""),(IF(AND(F23&gt;Utilización!$F$78,F23&gt;Utilización!$G$78),("Finalizado"),(""))))))))</f>
        <v/>
      </c>
      <c r="G37" s="74" t="str">
        <f>IF(AND(G23=Utilización!$F$78),("Inicio"),(IF(AND(G23&gt;Utilización!$F$78,G23&lt;=Utilización!$G$78),("En progreso"),(IF(AND(G23&lt;Utilización!$F$78,G23&lt;Utilización!$G$78),(""),(IF(AND(G23&gt;Utilización!$F$78,G23&gt;Utilización!$G$78),("Finalizado"),(""))))))))</f>
        <v/>
      </c>
      <c r="H37" s="74" t="str">
        <f>IF(AND(H23=Utilización!$F$78),("Inicio"),(IF(AND(H23&gt;Utilización!$F$78,H23&lt;=Utilización!$G$78),("En progreso"),(IF(AND(H23&lt;Utilización!$F$78,H23&lt;Utilización!$G$78),(""),(IF(AND(H23&gt;Utilización!$F$78,H23&gt;Utilización!$G$78),("Finalizado"),(""))))))))</f>
        <v/>
      </c>
      <c r="I37" s="74" t="str">
        <f>IF(AND(I23=Utilización!$F$78),("Inicio"),(IF(AND(I23&gt;Utilización!$F$78,I23&lt;=Utilización!$G$78),("En progreso"),(IF(AND(I23&lt;Utilización!$F$78,I23&lt;Utilización!$G$78),(""),(IF(AND(I23&gt;Utilización!$F$78,I23&gt;Utilización!$G$78),("Finalizado"),(""))))))))</f>
        <v/>
      </c>
      <c r="J37" s="74" t="str">
        <f>IF(AND(J23=Utilización!$F$78),("Inicio"),(IF(AND(J23&gt;Utilización!$F$78,J23&lt;=Utilización!$G$78),("En progreso"),(IF(AND(J23&lt;Utilización!$F$78,J23&lt;Utilización!$G$78),(""),(IF(AND(J23&gt;Utilización!$F$78,J23&gt;Utilización!$G$78),("Finalizado"),(""))))))))</f>
        <v/>
      </c>
      <c r="K37" s="74" t="str">
        <f>IF(AND(K23=Utilización!$F$78),("Inicio"),(IF(AND(K23&gt;Utilización!$F$78,K23&lt;=Utilización!$G$78),("En progreso"),(IF(AND(K23&lt;Utilización!$F$78,K23&lt;Utilización!$G$78),(""),(IF(AND(K23&gt;Utilización!$F$78,K23&gt;Utilización!$G$78),("Finalizado"),(""))))))))</f>
        <v/>
      </c>
      <c r="L37" s="74" t="str">
        <f>IF(AND(L23=Utilización!$F$78),("Inicio"),(IF(AND(L23&gt;Utilización!$F$78,L23&lt;=Utilización!$G$78),("En progreso"),(IF(AND(L23&lt;Utilización!$F$78,L23&lt;Utilización!$G$78),(""),(IF(AND(L23&gt;Utilización!$F$78,L23&gt;Utilización!$G$78),("Finalizado"),(""))))))))</f>
        <v/>
      </c>
      <c r="M37" s="74" t="str">
        <f>IF(AND(M23=Utilización!$F$78),("Inicio"),(IF(AND(M23&gt;Utilización!$F$78,M23&lt;=Utilización!$G$78),("En progreso"),(IF(AND(M23&lt;Utilización!$F$78,M23&lt;Utilización!$G$78),(""),(IF(AND(M23&gt;Utilización!$F$78,M23&gt;Utilización!$G$78),("Finalizado"),(""))))))))</f>
        <v/>
      </c>
      <c r="N37" s="74" t="str">
        <f>IF(AND(N23=Utilización!$F$78),("Inicio"),(IF(AND(N23&gt;Utilización!$F$78,N23&lt;=Utilización!$G$78),("En progreso"),(IF(AND(N23&lt;Utilización!$F$78,N23&lt;Utilización!$G$78),(""),(IF(AND(N23&gt;Utilización!$F$78,N23&gt;Utilización!$G$78),("Finalizado"),(""))))))))</f>
        <v/>
      </c>
      <c r="O37" s="74" t="str">
        <f>IF(AND(O23=Utilización!$F$78),("Inicio"),(IF(AND(O23&gt;Utilización!$F$78,O23&lt;=Utilización!$G$78),("En progreso"),(IF(AND(O23&lt;Utilización!$F$78,O23&lt;Utilización!$G$78),(""),(IF(AND(O23&gt;Utilización!$F$78,O23&gt;Utilización!$G$78),("Finalizado"),(""))))))))</f>
        <v/>
      </c>
      <c r="P37" s="74" t="str">
        <f>IF(AND(P23=Utilización!$F$78),("Inicio"),(IF(AND(P23&gt;Utilización!$F$78,P23&lt;=Utilización!$G$78),("En progreso"),(IF(AND(P23&lt;Utilización!$F$78,P23&lt;Utilización!$G$78),(""),(IF(AND(P23&gt;Utilización!$F$78,P23&gt;Utilización!$G$78),("Finalizado"),(""))))))))</f>
        <v/>
      </c>
      <c r="Q37" s="74" t="str">
        <f>IF(AND(Q23=Utilización!$F$78),("Inicio"),(IF(AND(Q23&gt;Utilización!$F$78,Q23&lt;=Utilización!$G$78),("En progreso"),(IF(AND(Q23&lt;Utilización!$F$78,Q23&lt;Utilización!$G$78),(""),(IF(AND(Q23&gt;Utilización!$F$78,Q23&gt;Utilización!$G$78),("Finalizado"),(""))))))))</f>
        <v/>
      </c>
      <c r="R37" s="74" t="str">
        <f>IF(AND(R23=Utilización!$F$78),("Inicio"),(IF(AND(R23&gt;Utilización!$F$78,R23&lt;=Utilización!$G$78),("En progreso"),(IF(AND(R23&lt;Utilización!$F$78,R23&lt;Utilización!$G$78),(""),(IF(AND(R23&gt;Utilización!$F$78,R23&gt;Utilización!$G$78),("Finalizado"),(""))))))))</f>
        <v/>
      </c>
      <c r="S37" t="str">
        <f>IF(AND(S23=Utilización!$F$78),("Inicio"),(IF(AND(S23&gt;Utilización!$F$78,S23&lt;=Utilización!$G$78),("En progreso"),(IF(AND(S23&lt;Utilización!$F$78,S23&lt;Utilización!$G$78),(""),(IF(AND(S23&gt;Utilización!$F$78,S23&gt;Utilización!$G$78),("Finalizado"),(""))))))))</f>
        <v/>
      </c>
      <c r="T37" t="str">
        <f>IF(AND(T23=Utilización!$F$78),("Inicio"),(IF(AND(T23&gt;Utilización!$F$78,T23&lt;=Utilización!$G$78),("En progreso"),(IF(AND(T23&lt;Utilización!$F$78,T23&lt;Utilización!$G$78),(""),(IF(AND(T23&gt;Utilización!$F$78,T23&gt;Utilización!$G$78),("Finalizado"),(""))))))))</f>
        <v/>
      </c>
      <c r="U37" t="str">
        <f>IF(AND(U23=Utilización!$F$78),("Inicio"),(IF(AND(U23&gt;Utilización!$F$78,U23&lt;=Utilización!$G$78),("En progreso"),(IF(AND(U23&lt;Utilización!$F$78,U23&lt;Utilización!$G$78),(""),(IF(AND(U23&gt;Utilización!$F$78,U23&gt;Utilización!$G$78),("Finalizado"),(""))))))))</f>
        <v/>
      </c>
      <c r="V37" t="str">
        <f>IF(AND(V23=Utilización!$F$78),("Inicio"),(IF(AND(V23&gt;Utilización!$F$78,V23&lt;=Utilización!$G$78),("En progreso"),(IF(AND(V23&lt;Utilización!$F$78,V23&lt;Utilización!$G$78),(""),(IF(AND(V23&gt;Utilización!$F$78,V23&gt;Utilización!$G$78),("Finalizado"),(""))))))))</f>
        <v/>
      </c>
      <c r="W37" t="str">
        <f>IF(AND(W23=Utilización!$F$78),("Inicio"),(IF(AND(W23&gt;Utilización!$F$78,W23&lt;=Utilización!$G$78),("En progreso"),(IF(AND(W23&lt;Utilización!$F$78,W23&lt;Utilización!$G$78),(""),(IF(AND(W23&gt;Utilización!$F$78,W23&gt;Utilización!$G$78),("Finalizado"),(""))))))))</f>
        <v/>
      </c>
      <c r="X37" t="str">
        <f>IF(AND(X23=Utilización!$F$78),("Inicio"),(IF(AND(X23&gt;Utilización!$F$78,X23&lt;=Utilización!$G$78),("En progreso"),(IF(AND(X23&lt;Utilización!$F$78,X23&lt;Utilización!$G$78),(""),(IF(AND(X23&gt;Utilización!$F$78,X23&gt;Utilización!$G$78),("Finalizado"),(""))))))))</f>
        <v/>
      </c>
      <c r="Y37" t="str">
        <f>IF(AND(Y23=Utilización!$F$78),("Inicio"),(IF(AND(Y23&gt;Utilización!$F$78,Y23&lt;=Utilización!$G$78),("En progreso"),(IF(AND(Y23&lt;Utilización!$F$78,Y23&lt;Utilización!$G$78),(""),(IF(AND(Y23&gt;Utilización!$F$78,Y23&gt;Utilización!$G$78),("Finalizado"),(""))))))))</f>
        <v/>
      </c>
      <c r="Z37" t="str">
        <f>IF(AND(Z23=Utilización!$F$78),("Inicio"),(IF(AND(Z23&gt;Utilización!$F$78,Z23&lt;=Utilización!$G$78),("En progreso"),(IF(AND(Z23&lt;Utilización!$F$78,Z23&lt;Utilización!$G$78),(""),(IF(AND(Z23&gt;Utilización!$F$78,Z23&gt;Utilización!$G$78),("Finalizado"),(""))))))))</f>
        <v/>
      </c>
      <c r="AA37" t="str">
        <f>IF(AND(AA23=Utilización!$F$78),("Inicio"),(IF(AND(AA23&gt;Utilización!$F$78,AA23&lt;=Utilización!$G$78),("En progreso"),(IF(AND(AA23&lt;Utilización!$F$78,AA23&lt;Utilización!$G$78),(""),(IF(AND(AA23&gt;Utilización!$F$78,AA23&gt;Utilización!$G$78),("Finalizado"),(""))))))))</f>
        <v/>
      </c>
      <c r="AB37" t="str">
        <f>IF(AND(AB23=Utilización!$F$78),("Inicio"),(IF(AND(AB23&gt;Utilización!$F$78,AB23&lt;=Utilización!$G$78),("En progreso"),(IF(AND(AB23&lt;Utilización!$F$78,AB23&lt;Utilización!$G$78),(""),(IF(AND(AB23&gt;Utilización!$F$78,AB23&gt;Utilización!$G$78),("Finalizado"),(""))))))))</f>
        <v/>
      </c>
      <c r="AC37" t="str">
        <f>IF(AND(AC23=Utilización!$F$78),("Inicio"),(IF(AND(AC23&gt;Utilización!$F$78,AC23&lt;=Utilización!$G$78),("En progreso"),(IF(AND(AC23&lt;Utilización!$F$78,AC23&lt;Utilización!$G$78),(""),(IF(AND(AC23&gt;Utilización!$F$78,AC23&gt;Utilización!$G$78),("Finalizado"),(""))))))))</f>
        <v/>
      </c>
      <c r="AD37" t="str">
        <f>IF(AND(AD23=Utilización!$F$78),("Inicio"),(IF(AND(AD23&gt;Utilización!$F$78,AD23&lt;=Utilización!$G$78),("En progreso"),(IF(AND(AD23&lt;Utilización!$F$78,AD23&lt;Utilización!$G$78),(""),(IF(AND(AD23&gt;Utilización!$F$78,AD23&gt;Utilización!$G$78),("Finalizado"),(""))))))))</f>
        <v/>
      </c>
      <c r="AE37" t="str">
        <f>IF(AND(AE23=Utilización!$F$78),("Inicio"),(IF(AND(AE23&gt;Utilización!$F$78,AE23&lt;=Utilización!$G$78),("En progreso"),(IF(AND(AE23&lt;Utilización!$F$78,AE23&lt;Utilización!$G$78),(""),(IF(AND(AE23&gt;Utilización!$F$78,AE23&gt;Utilización!$G$78),("Finalizado"),(""))))))))</f>
        <v/>
      </c>
      <c r="AF37" t="str">
        <f>IF(AND(AF23=Utilización!$F$78),("Inicio"),(IF(AND(AF23&gt;Utilización!$F$78,AF23&lt;=Utilización!$G$78),("En progreso"),(IF(AND(AF23&lt;Utilización!$F$78,AF23&lt;Utilización!$G$78),(""),(IF(AND(AF23&gt;Utilización!$F$78,AF23&gt;Utilización!$G$78),("Finalizado"),(""))))))))</f>
        <v/>
      </c>
      <c r="AG37" t="str">
        <f>IF(AND(AG23=Utilización!$F$78),("Inicio"),(IF(AND(AG23&gt;Utilización!$F$78,AG23&lt;=Utilización!$G$78),("En progreso"),(IF(AND(AG23&lt;Utilización!$F$78,AG23&lt;Utilización!$G$78),(""),(IF(AND(AG23&gt;Utilización!$F$78,AG23&gt;Utilización!$G$78),("Finalizado"),(""))))))))</f>
        <v/>
      </c>
      <c r="AH37" t="str">
        <f>IF(AND(AH23=Utilización!$F$78),("Inicio"),(IF(AND(AH23&gt;Utilización!$F$78,AH23&lt;=Utilización!$G$78),("En progreso"),(IF(AND(AH23&lt;Utilización!$F$78,AH23&lt;Utilización!$G$78),(""),(IF(AND(AH23&gt;Utilización!$F$78,AH23&gt;Utilización!$G$78),("Finalizado"),(""))))))))</f>
        <v/>
      </c>
      <c r="AI37" t="str">
        <f>IF(AND(AI23=Utilización!$F$78),("Inicio"),(IF(AND(AI23&gt;Utilización!$F$78,AI23&lt;=Utilización!$G$78),("En progreso"),(IF(AND(AI23&lt;Utilización!$F$78,AI23&lt;Utilización!$G$78),(""),(IF(AND(AI23&gt;Utilización!$F$78,AI23&gt;Utilización!$G$78),("Finalizado"),(""))))))))</f>
        <v/>
      </c>
      <c r="AJ37" t="str">
        <f>IF(AND(AJ23=Utilización!$F$78),("Inicio"),(IF(AND(AJ23&gt;Utilización!$F$78,AJ23&lt;=Utilización!$G$78),("En progreso"),(IF(AND(AJ23&lt;Utilización!$F$78,AJ23&lt;Utilización!$G$78),(""),(IF(AND(AJ23&gt;Utilización!$F$78,AJ23&gt;Utilización!$G$78),("Finalizado"),(""))))))))</f>
        <v/>
      </c>
      <c r="AK37" t="str">
        <f>IF(AND(AK23=Utilización!$F$78),("Inicio"),(IF(AND(AK23&gt;Utilización!$F$78,AK23&lt;=Utilización!$G$78),("En progreso"),(IF(AND(AK23&lt;Utilización!$F$78,AK23&lt;Utilización!$G$78),(""),(IF(AND(AK23&gt;Utilización!$F$78,AK23&gt;Utilización!$G$78),("Finalizado"),(""))))))))</f>
        <v/>
      </c>
      <c r="AL37" t="str">
        <f>IF(AND(AL23=Utilización!$F$78),("Inicio"),(IF(AND(AL23&gt;Utilización!$F$78,AL23&lt;=Utilización!$G$78),("En progreso"),(IF(AND(AL23&lt;Utilización!$F$78,AL23&lt;Utilización!$G$78),(""),(IF(AND(AL23&gt;Utilización!$F$78,AL23&gt;Utilización!$G$78),("Finalizado"),(""))))))))</f>
        <v/>
      </c>
      <c r="AM37" t="str">
        <f>IF(AND(AM23=Utilización!$F$78),("Inicio"),(IF(AND(AM23&gt;Utilización!$F$78,AM23&lt;=Utilización!$G$78),("En progreso"),(IF(AND(AM23&lt;Utilización!$F$78,AM23&lt;Utilización!$G$78),(""),(IF(AND(AM23&gt;Utilización!$F$78,AM23&gt;Utilización!$G$78),("Finalizado"),(""))))))))</f>
        <v/>
      </c>
      <c r="AN37" t="str">
        <f>IF(AND(AN23=Utilización!$F$78),("Inicio"),(IF(AND(AN23&gt;Utilización!$F$78,AN23&lt;=Utilización!$G$78),("En progreso"),(IF(AND(AN23&lt;Utilización!$F$78,AN23&lt;Utilización!$G$78),(""),(IF(AND(AN23&gt;Utilización!$F$78,AN23&gt;Utilización!$G$78),("Finalizado"),(""))))))))</f>
        <v/>
      </c>
      <c r="AO37" t="str">
        <f>IF(AND(AO23=Utilización!$F$78),("Inicio"),(IF(AND(AO23&gt;Utilización!$F$78,AO23&lt;=Utilización!$G$78),("En progreso"),(IF(AND(AO23&lt;Utilización!$F$78,AO23&lt;Utilización!$G$78),(""),(IF(AND(AO23&gt;Utilización!$F$78,AO23&gt;Utilización!$G$78),("Finalizado"),(""))))))))</f>
        <v/>
      </c>
      <c r="AP37" t="str">
        <f>IF(AND(AP23=Utilización!$F$78),("Inicio"),(IF(AND(AP23&gt;Utilización!$F$78,AP23&lt;=Utilización!$G$78),("En progreso"),(IF(AND(AP23&lt;Utilización!$F$78,AP23&lt;Utilización!$G$78),(""),(IF(AND(AP23&gt;Utilización!$F$78,AP23&gt;Utilización!$G$78),("Finalizado"),(""))))))))</f>
        <v/>
      </c>
      <c r="AQ37" t="str">
        <f>IF(AND(AQ23=Utilización!$F$78),("Inicio"),(IF(AND(AQ23&gt;Utilización!$F$78,AQ23&lt;=Utilización!$G$78),("En progreso"),(IF(AND(AQ23&lt;Utilización!$F$78,AQ23&lt;Utilización!$G$78),(""),(IF(AND(AQ23&gt;Utilización!$F$78,AQ23&gt;Utilización!$G$78),("Finalizado"),(""))))))))</f>
        <v/>
      </c>
      <c r="AR37" t="str">
        <f>IF(AND(AR23=Utilización!$F$78),("Inicio"),(IF(AND(AR23&gt;Utilización!$F$78,AR23&lt;=Utilización!$G$78),("En progreso"),(IF(AND(AR23&lt;Utilización!$F$78,AR23&lt;Utilización!$G$78),(""),(IF(AND(AR23&gt;Utilización!$F$78,AR23&gt;Utilización!$G$78),("Finalizado"),(""))))))))</f>
        <v/>
      </c>
      <c r="AS37" t="str">
        <f>IF(AND(AS23=Utilización!$F$78),("Inicio"),(IF(AND(AS23&gt;Utilización!$F$78,AS23&lt;=Utilización!$G$78),("En progreso"),(IF(AND(AS23&lt;Utilización!$F$78,AS23&lt;Utilización!$G$78),(""),(IF(AND(AS23&gt;Utilización!$F$78,AS23&gt;Utilización!$G$78),("Finalizado"),(""))))))))</f>
        <v/>
      </c>
      <c r="AT37" t="str">
        <f>IF(AND(AT23=Utilización!$F$78),("Inicio"),(IF(AND(AT23&gt;Utilización!$F$78,AT23&lt;=Utilización!$G$78),("En progreso"),(IF(AND(AT23&lt;Utilización!$F$78,AT23&lt;Utilización!$G$78),(""),(IF(AND(AT23&gt;Utilización!$F$78,AT23&gt;Utilización!$G$78),("Finalizado"),(""))))))))</f>
        <v/>
      </c>
      <c r="AU37" t="str">
        <f>IF(AND(AU23=Utilización!$F$78),("Inicio"),(IF(AND(AU23&gt;Utilización!$F$78,AU23&lt;=Utilización!$G$78),("En progreso"),(IF(AND(AU23&lt;Utilización!$F$78,AU23&lt;Utilización!$G$78),(""),(IF(AND(AU23&gt;Utilización!$F$78,AU23&gt;Utilización!$G$78),("Finalizado"),(""))))))))</f>
        <v/>
      </c>
      <c r="AV37" t="str">
        <f>IF(AND(AV23=Utilización!$F$78),("Inicio"),(IF(AND(AV23&gt;Utilización!$F$78,AV23&lt;=Utilización!$G$78),("En progreso"),(IF(AND(AV23&lt;Utilización!$F$78,AV23&lt;Utilización!$G$78),(""),(IF(AND(AV23&gt;Utilización!$F$78,AV23&gt;Utilización!$G$78),("Finalizado"),(""))))))))</f>
        <v/>
      </c>
    </row>
    <row r="38" spans="1:48" x14ac:dyDescent="0.25">
      <c r="A38" s="40" t="str">
        <f>Utilización!A26</f>
        <v>O</v>
      </c>
      <c r="D38" s="74" t="str">
        <f>IF(AND(D23=Utilización!$F$79),("Inicio"),(IF(AND(D23&gt;Utilización!$F$79,D23&lt;=Utilización!$G$79),("En progreso"),(IF(AND(D23&lt;Utilización!$F$79,D23&lt;Utilización!$G$79),(""),(IF(AND(D23&gt;Utilización!$F$79,D23&gt;Utilización!$G$79),("Finalizado"),(""))))))))</f>
        <v/>
      </c>
      <c r="E38" s="74" t="str">
        <f>IF(AND(E23=Utilización!$F$79),("Inicio"),(IF(AND(E23&gt;Utilización!$F$79,E23&lt;=Utilización!$G$79),("En progreso"),(IF(AND(E23&lt;Utilización!$F$79,E23&lt;Utilización!$G$79),(""),(IF(AND(E23&gt;Utilización!$F$79,E23&gt;Utilización!$G$79),("Finalizado"),(""))))))))</f>
        <v/>
      </c>
      <c r="F38" s="74" t="str">
        <f>IF(AND(F23=Utilización!$F$79),("Inicio"),(IF(AND(F23&gt;Utilización!$F$79,F23&lt;=Utilización!$G$79),("En progreso"),(IF(AND(F23&lt;Utilización!$F$79,F23&lt;Utilización!$G$79),(""),(IF(AND(F23&gt;Utilización!$F$79,F23&gt;Utilización!$G$79),("Finalizado"),(""))))))))</f>
        <v/>
      </c>
      <c r="G38" s="74" t="str">
        <f>IF(AND(G23=Utilización!$F$79),("Inicio"),(IF(AND(G23&gt;Utilización!$F$79,G23&lt;=Utilización!$G$79),("En progreso"),(IF(AND(G23&lt;Utilización!$F$79,G23&lt;Utilización!$G$79),(""),(IF(AND(G23&gt;Utilización!$F$79,G23&gt;Utilización!$G$79),("Finalizado"),(""))))))))</f>
        <v/>
      </c>
      <c r="H38" s="74" t="str">
        <f>IF(AND(H23=Utilización!$F$79),("Inicio"),(IF(AND(H23&gt;Utilización!$F$79,H23&lt;=Utilización!$G$79),("En progreso"),(IF(AND(H23&lt;Utilización!$F$79,H23&lt;Utilización!$G$79),(""),(IF(AND(H23&gt;Utilización!$F$79,H23&gt;Utilización!$G$79),("Finalizado"),(""))))))))</f>
        <v/>
      </c>
      <c r="I38" s="74" t="str">
        <f>IF(AND(I23=Utilización!$F$79),("Inicio"),(IF(AND(I23&gt;Utilización!$F$79,I23&lt;=Utilización!$G$79),("En progreso"),(IF(AND(I23&lt;Utilización!$F$79,I23&lt;Utilización!$G$79),(""),(IF(AND(I23&gt;Utilización!$F$79,I23&gt;Utilización!$G$79),("Finalizado"),(""))))))))</f>
        <v/>
      </c>
      <c r="J38" s="74" t="str">
        <f>IF(AND(J23=Utilización!$F$79),("Inicio"),(IF(AND(J23&gt;Utilización!$F$79,J23&lt;=Utilización!$G$79),("En progreso"),(IF(AND(J23&lt;Utilización!$F$79,J23&lt;Utilización!$G$79),(""),(IF(AND(J23&gt;Utilización!$F$79,J23&gt;Utilización!$G$79),("Finalizado"),(""))))))))</f>
        <v/>
      </c>
      <c r="K38" s="74" t="str">
        <f>IF(AND(K23=Utilización!$F$79),("Inicio"),(IF(AND(K23&gt;Utilización!$F$79,K23&lt;=Utilización!$G$79),("En progreso"),(IF(AND(K23&lt;Utilización!$F$79,K23&lt;Utilización!$G$79),(""),(IF(AND(K23&gt;Utilización!$F$79,K23&gt;Utilización!$G$79),("Finalizado"),(""))))))))</f>
        <v/>
      </c>
      <c r="L38" s="74" t="str">
        <f>IF(AND(L23=Utilización!$F$79),("Inicio"),(IF(AND(L23&gt;Utilización!$F$79,L23&lt;=Utilización!$G$79),("En progreso"),(IF(AND(L23&lt;Utilización!$F$79,L23&lt;Utilización!$G$79),(""),(IF(AND(L23&gt;Utilización!$F$79,L23&gt;Utilización!$G$79),("Finalizado"),(""))))))))</f>
        <v/>
      </c>
      <c r="M38" s="74" t="str">
        <f>IF(AND(M23=Utilización!$F$79),("Inicio"),(IF(AND(M23&gt;Utilización!$F$79,M23&lt;=Utilización!$G$79),("En progreso"),(IF(AND(M23&lt;Utilización!$F$79,M23&lt;Utilización!$G$79),(""),(IF(AND(M23&gt;Utilización!$F$79,M23&gt;Utilización!$G$79),("Finalizado"),(""))))))))</f>
        <v/>
      </c>
      <c r="N38" s="74" t="str">
        <f>IF(AND(N23=Utilización!$F$79),("Inicio"),(IF(AND(N23&gt;Utilización!$F$79,N23&lt;=Utilización!$G$79),("En progreso"),(IF(AND(N23&lt;Utilización!$F$79,N23&lt;Utilización!$G$79),(""),(IF(AND(N23&gt;Utilización!$F$79,N23&gt;Utilización!$G$79),("Finalizado"),(""))))))))</f>
        <v/>
      </c>
      <c r="O38" s="74" t="str">
        <f>IF(AND(O23=Utilización!$F$79),("Inicio"),(IF(AND(O23&gt;Utilización!$F$79,O23&lt;=Utilización!$G$79),("En progreso"),(IF(AND(O23&lt;Utilización!$F$79,O23&lt;Utilización!$G$79),(""),(IF(AND(O23&gt;Utilización!$F$79,O23&gt;Utilización!$G$79),("Finalizado"),(""))))))))</f>
        <v/>
      </c>
      <c r="P38" s="74" t="str">
        <f>IF(AND(P23=Utilización!$F$79),("Inicio"),(IF(AND(P23&gt;Utilización!$F$79,P23&lt;=Utilización!$G$79),("En progreso"),(IF(AND(P23&lt;Utilización!$F$79,P23&lt;Utilización!$G$79),(""),(IF(AND(P23&gt;Utilización!$F$79,P23&gt;Utilización!$G$79),("Finalizado"),(""))))))))</f>
        <v/>
      </c>
      <c r="Q38" s="74" t="str">
        <f>IF(AND(Q23=Utilización!$F$79),("Inicio"),(IF(AND(Q23&gt;Utilización!$F$79,Q23&lt;=Utilización!$G$79),("En progreso"),(IF(AND(Q23&lt;Utilización!$F$79,Q23&lt;Utilización!$G$79),(""),(IF(AND(Q23&gt;Utilización!$F$79,Q23&gt;Utilización!$G$79),("Finalizado"),(""))))))))</f>
        <v/>
      </c>
      <c r="R38" s="74" t="str">
        <f>IF(AND(R23=Utilización!$F$79),("Inicio"),(IF(AND(R23&gt;Utilización!$F$79,R23&lt;=Utilización!$G$79),("En progreso"),(IF(AND(R23&lt;Utilización!$F$79,R23&lt;Utilización!$G$79),(""),(IF(AND(R23&gt;Utilización!$F$79,R23&gt;Utilización!$G$79),("Finalizado"),(""))))))))</f>
        <v/>
      </c>
      <c r="S38" t="str">
        <f>IF(AND(S23=Utilización!$F$79),("Inicio"),(IF(AND(S23&gt;Utilización!$F$79,S23&lt;=Utilización!$G$79),("En progreso"),(IF(AND(S23&lt;Utilización!$F$79,S23&lt;Utilización!$G$79),(""),(IF(AND(S23&gt;Utilización!$F$79,S23&gt;Utilización!$G$79),("Finalizado"),(""))))))))</f>
        <v/>
      </c>
      <c r="T38" t="str">
        <f>IF(AND(T23=Utilización!$F$79),("Inicio"),(IF(AND(T23&gt;Utilización!$F$79,T23&lt;=Utilización!$G$79),("En progreso"),(IF(AND(T23&lt;Utilización!$F$79,T23&lt;Utilización!$G$79),(""),(IF(AND(T23&gt;Utilización!$F$79,T23&gt;Utilización!$G$79),("Finalizado"),(""))))))))</f>
        <v/>
      </c>
      <c r="U38" t="str">
        <f>IF(AND(U23=Utilización!$F$79),("Inicio"),(IF(AND(U23&gt;Utilización!$F$79,U23&lt;=Utilización!$G$79),("En progreso"),(IF(AND(U23&lt;Utilización!$F$79,U23&lt;Utilización!$G$79),(""),(IF(AND(U23&gt;Utilización!$F$79,U23&gt;Utilización!$G$79),("Finalizado"),(""))))))))</f>
        <v/>
      </c>
      <c r="V38" t="str">
        <f>IF(AND(V23=Utilización!$F$79),("Inicio"),(IF(AND(V23&gt;Utilización!$F$79,V23&lt;=Utilización!$G$79),("En progreso"),(IF(AND(V23&lt;Utilización!$F$79,V23&lt;Utilización!$G$79),(""),(IF(AND(V23&gt;Utilización!$F$79,V23&gt;Utilización!$G$79),("Finalizado"),(""))))))))</f>
        <v/>
      </c>
      <c r="W38" t="str">
        <f>IF(AND(W23=Utilización!$F$79),("Inicio"),(IF(AND(W23&gt;Utilización!$F$79,W23&lt;=Utilización!$G$79),("En progreso"),(IF(AND(W23&lt;Utilización!$F$79,W23&lt;Utilización!$G$79),(""),(IF(AND(W23&gt;Utilización!$F$79,W23&gt;Utilización!$G$79),("Finalizado"),(""))))))))</f>
        <v/>
      </c>
      <c r="X38" t="str">
        <f>IF(AND(X23=Utilización!$F$79),("Inicio"),(IF(AND(X23&gt;Utilización!$F$79,X23&lt;=Utilización!$G$79),("En progreso"),(IF(AND(X23&lt;Utilización!$F$79,X23&lt;Utilización!$G$79),(""),(IF(AND(X23&gt;Utilización!$F$79,X23&gt;Utilización!$G$79),("Finalizado"),(""))))))))</f>
        <v/>
      </c>
      <c r="Y38" t="str">
        <f>IF(AND(Y23=Utilización!$F$79),("Inicio"),(IF(AND(Y23&gt;Utilización!$F$79,Y23&lt;=Utilización!$G$79),("En progreso"),(IF(AND(Y23&lt;Utilización!$F$79,Y23&lt;Utilización!$G$79),(""),(IF(AND(Y23&gt;Utilización!$F$79,Y23&gt;Utilización!$G$79),("Finalizado"),(""))))))))</f>
        <v/>
      </c>
      <c r="Z38" t="str">
        <f>IF(AND(Z23=Utilización!$F$79),("Inicio"),(IF(AND(Z23&gt;Utilización!$F$79,Z23&lt;=Utilización!$G$79),("En progreso"),(IF(AND(Z23&lt;Utilización!$F$79,Z23&lt;Utilización!$G$79),(""),(IF(AND(Z23&gt;Utilización!$F$79,Z23&gt;Utilización!$G$79),("Finalizado"),(""))))))))</f>
        <v/>
      </c>
      <c r="AA38" t="str">
        <f>IF(AND(AA23=Utilización!$F$79),("Inicio"),(IF(AND(AA23&gt;Utilización!$F$79,AA23&lt;=Utilización!$G$79),("En progreso"),(IF(AND(AA23&lt;Utilización!$F$79,AA23&lt;Utilización!$G$79),(""),(IF(AND(AA23&gt;Utilización!$F$79,AA23&gt;Utilización!$G$79),("Finalizado"),(""))))))))</f>
        <v/>
      </c>
      <c r="AB38" t="str">
        <f>IF(AND(AB23=Utilización!$F$79),("Inicio"),(IF(AND(AB23&gt;Utilización!$F$79,AB23&lt;=Utilización!$G$79),("En progreso"),(IF(AND(AB23&lt;Utilización!$F$79,AB23&lt;Utilización!$G$79),(""),(IF(AND(AB23&gt;Utilización!$F$79,AB23&gt;Utilización!$G$79),("Finalizado"),(""))))))))</f>
        <v/>
      </c>
      <c r="AC38" t="str">
        <f>IF(AND(AC23=Utilización!$F$79),("Inicio"),(IF(AND(AC23&gt;Utilización!$F$79,AC23&lt;=Utilización!$G$79),("En progreso"),(IF(AND(AC23&lt;Utilización!$F$79,AC23&lt;Utilización!$G$79),(""),(IF(AND(AC23&gt;Utilización!$F$79,AC23&gt;Utilización!$G$79),("Finalizado"),(""))))))))</f>
        <v/>
      </c>
      <c r="AD38" t="str">
        <f>IF(AND(AD23=Utilización!$F$79),("Inicio"),(IF(AND(AD23&gt;Utilización!$F$79,AD23&lt;=Utilización!$G$79),("En progreso"),(IF(AND(AD23&lt;Utilización!$F$79,AD23&lt;Utilización!$G$79),(""),(IF(AND(AD23&gt;Utilización!$F$79,AD23&gt;Utilización!$G$79),("Finalizado"),(""))))))))</f>
        <v/>
      </c>
      <c r="AE38" t="str">
        <f>IF(AND(AE23=Utilización!$F$79),("Inicio"),(IF(AND(AE23&gt;Utilización!$F$79,AE23&lt;=Utilización!$G$79),("En progreso"),(IF(AND(AE23&lt;Utilización!$F$79,AE23&lt;Utilización!$G$79),(""),(IF(AND(AE23&gt;Utilización!$F$79,AE23&gt;Utilización!$G$79),("Finalizado"),(""))))))))</f>
        <v/>
      </c>
      <c r="AF38" t="str">
        <f>IF(AND(AF23=Utilización!$F$79),("Inicio"),(IF(AND(AF23&gt;Utilización!$F$79,AF23&lt;=Utilización!$G$79),("En progreso"),(IF(AND(AF23&lt;Utilización!$F$79,AF23&lt;Utilización!$G$79),(""),(IF(AND(AF23&gt;Utilización!$F$79,AF23&gt;Utilización!$G$79),("Finalizado"),(""))))))))</f>
        <v/>
      </c>
      <c r="AG38" t="str">
        <f>IF(AND(AG23=Utilización!$F$79),("Inicio"),(IF(AND(AG23&gt;Utilización!$F$79,AG23&lt;=Utilización!$G$79),("En progreso"),(IF(AND(AG23&lt;Utilización!$F$79,AG23&lt;Utilización!$G$79),(""),(IF(AND(AG23&gt;Utilización!$F$79,AG23&gt;Utilización!$G$79),("Finalizado"),(""))))))))</f>
        <v/>
      </c>
      <c r="AH38" t="str">
        <f>IF(AND(AH23=Utilización!$F$79),("Inicio"),(IF(AND(AH23&gt;Utilización!$F$79,AH23&lt;=Utilización!$G$79),("En progreso"),(IF(AND(AH23&lt;Utilización!$F$79,AH23&lt;Utilización!$G$79),(""),(IF(AND(AH23&gt;Utilización!$F$79,AH23&gt;Utilización!$G$79),("Finalizado"),(""))))))))</f>
        <v/>
      </c>
      <c r="AI38" t="str">
        <f>IF(AND(AI23=Utilización!$F$79),("Inicio"),(IF(AND(AI23&gt;Utilización!$F$79,AI23&lt;=Utilización!$G$79),("En progreso"),(IF(AND(AI23&lt;Utilización!$F$79,AI23&lt;Utilización!$G$79),(""),(IF(AND(AI23&gt;Utilización!$F$79,AI23&gt;Utilización!$G$79),("Finalizado"),(""))))))))</f>
        <v/>
      </c>
      <c r="AJ38" t="str">
        <f>IF(AND(AJ23=Utilización!$F$79),("Inicio"),(IF(AND(AJ23&gt;Utilización!$F$79,AJ23&lt;=Utilización!$G$79),("En progreso"),(IF(AND(AJ23&lt;Utilización!$F$79,AJ23&lt;Utilización!$G$79),(""),(IF(AND(AJ23&gt;Utilización!$F$79,AJ23&gt;Utilización!$G$79),("Finalizado"),(""))))))))</f>
        <v/>
      </c>
      <c r="AK38" t="str">
        <f>IF(AND(AK23=Utilización!$F$79),("Inicio"),(IF(AND(AK23&gt;Utilización!$F$79,AK23&lt;=Utilización!$G$79),("En progreso"),(IF(AND(AK23&lt;Utilización!$F$79,AK23&lt;Utilización!$G$79),(""),(IF(AND(AK23&gt;Utilización!$F$79,AK23&gt;Utilización!$G$79),("Finalizado"),(""))))))))</f>
        <v/>
      </c>
      <c r="AL38" t="str">
        <f>IF(AND(AL23=Utilización!$F$79),("Inicio"),(IF(AND(AL23&gt;Utilización!$F$79,AL23&lt;=Utilización!$G$79),("En progreso"),(IF(AND(AL23&lt;Utilización!$F$79,AL23&lt;Utilización!$G$79),(""),(IF(AND(AL23&gt;Utilización!$F$79,AL23&gt;Utilización!$G$79),("Finalizado"),(""))))))))</f>
        <v/>
      </c>
      <c r="AM38" t="str">
        <f>IF(AND(AM23=Utilización!$F$79),("Inicio"),(IF(AND(AM23&gt;Utilización!$F$79,AM23&lt;=Utilización!$G$79),("En progreso"),(IF(AND(AM23&lt;Utilización!$F$79,AM23&lt;Utilización!$G$79),(""),(IF(AND(AM23&gt;Utilización!$F$79,AM23&gt;Utilización!$G$79),("Finalizado"),(""))))))))</f>
        <v/>
      </c>
      <c r="AN38" t="str">
        <f>IF(AND(AN23=Utilización!$F$79),("Inicio"),(IF(AND(AN23&gt;Utilización!$F$79,AN23&lt;=Utilización!$G$79),("En progreso"),(IF(AND(AN23&lt;Utilización!$F$79,AN23&lt;Utilización!$G$79),(""),(IF(AND(AN23&gt;Utilización!$F$79,AN23&gt;Utilización!$G$79),("Finalizado"),(""))))))))</f>
        <v/>
      </c>
      <c r="AO38" t="str">
        <f>IF(AND(AO23=Utilización!$F$79),("Inicio"),(IF(AND(AO23&gt;Utilización!$F$79,AO23&lt;=Utilización!$G$79),("En progreso"),(IF(AND(AO23&lt;Utilización!$F$79,AO23&lt;Utilización!$G$79),(""),(IF(AND(AO23&gt;Utilización!$F$79,AO23&gt;Utilización!$G$79),("Finalizado"),(""))))))))</f>
        <v/>
      </c>
      <c r="AP38" t="str">
        <f>IF(AND(AP23=Utilización!$F$79),("Inicio"),(IF(AND(AP23&gt;Utilización!$F$79,AP23&lt;=Utilización!$G$79),("En progreso"),(IF(AND(AP23&lt;Utilización!$F$79,AP23&lt;Utilización!$G$79),(""),(IF(AND(AP23&gt;Utilización!$F$79,AP23&gt;Utilización!$G$79),("Finalizado"),(""))))))))</f>
        <v/>
      </c>
      <c r="AQ38" t="str">
        <f>IF(AND(AQ23=Utilización!$F$79),("Inicio"),(IF(AND(AQ23&gt;Utilización!$F$79,AQ23&lt;=Utilización!$G$79),("En progreso"),(IF(AND(AQ23&lt;Utilización!$F$79,AQ23&lt;Utilización!$G$79),(""),(IF(AND(AQ23&gt;Utilización!$F$79,AQ23&gt;Utilización!$G$79),("Finalizado"),(""))))))))</f>
        <v/>
      </c>
      <c r="AR38" t="str">
        <f>IF(AND(AR23=Utilización!$F$79),("Inicio"),(IF(AND(AR23&gt;Utilización!$F$79,AR23&lt;=Utilización!$G$79),("En progreso"),(IF(AND(AR23&lt;Utilización!$F$79,AR23&lt;Utilización!$G$79),(""),(IF(AND(AR23&gt;Utilización!$F$79,AR23&gt;Utilización!$G$79),("Finalizado"),(""))))))))</f>
        <v/>
      </c>
      <c r="AS38" t="str">
        <f>IF(AND(AS23=Utilización!$F$79),("Inicio"),(IF(AND(AS23&gt;Utilización!$F$79,AS23&lt;=Utilización!$G$79),("En progreso"),(IF(AND(AS23&lt;Utilización!$F$79,AS23&lt;Utilización!$G$79),(""),(IF(AND(AS23&gt;Utilización!$F$79,AS23&gt;Utilización!$G$79),("Finalizado"),(""))))))))</f>
        <v/>
      </c>
      <c r="AT38" t="str">
        <f>IF(AND(AT23=Utilización!$F$79),("Inicio"),(IF(AND(AT23&gt;Utilización!$F$79,AT23&lt;=Utilización!$G$79),("En progreso"),(IF(AND(AT23&lt;Utilización!$F$79,AT23&lt;Utilización!$G$79),(""),(IF(AND(AT23&gt;Utilización!$F$79,AT23&gt;Utilización!$G$79),("Finalizado"),(""))))))))</f>
        <v/>
      </c>
      <c r="AU38" t="str">
        <f>IF(AND(AU23=Utilización!$F$79),("Inicio"),(IF(AND(AU23&gt;Utilización!$F$79,AU23&lt;=Utilización!$G$79),("En progreso"),(IF(AND(AU23&lt;Utilización!$F$79,AU23&lt;Utilización!$G$79),(""),(IF(AND(AU23&gt;Utilización!$F$79,AU23&gt;Utilización!$G$79),("Finalizado"),(""))))))))</f>
        <v/>
      </c>
      <c r="AV38" t="str">
        <f>IF(AND(AV23=Utilización!$F$79),("Inicio"),(IF(AND(AV23&gt;Utilización!$F$79,AV23&lt;=Utilización!$G$79),("En progreso"),(IF(AND(AV23&lt;Utilización!$F$79,AV23&lt;Utilización!$G$79),(""),(IF(AND(AV23&gt;Utilización!$F$79,AV23&gt;Utilización!$G$79),("Finalizado"),(""))))))))</f>
        <v/>
      </c>
    </row>
    <row r="39" spans="1:48" x14ac:dyDescent="0.25">
      <c r="A39" s="40" t="str">
        <f>Utilización!A27</f>
        <v>P</v>
      </c>
      <c r="D39" s="74" t="str">
        <f>IF(AND(D23=Utilización!$F$80),("Inicio"),(IF(AND(D23&gt;Utilización!$F$80,D23&lt;=Utilización!$G$80),("En progreso"),(IF(AND(D23&lt;Utilización!$F$80,D23&lt;Utilización!$G$80),(""),(IF(AND(D23&gt;Utilización!$F$80,D23&gt;Utilización!$G$80),("Finalizado"),(""))))))))</f>
        <v/>
      </c>
      <c r="E39" s="74" t="str">
        <f>IF(AND(E23=Utilización!$F$80),("Inicio"),(IF(AND(E23&gt;Utilización!$F$80,E23&lt;=Utilización!$G$80),("En progreso"),(IF(AND(E23&lt;Utilización!$F$80,E23&lt;Utilización!$G$80),(""),(IF(AND(E23&gt;Utilización!$F$80,E23&gt;Utilización!$G$80),("Finalizado"),(""))))))))</f>
        <v/>
      </c>
      <c r="F39" s="74" t="str">
        <f>IF(AND(F23=Utilización!$F$80),("Inicio"),(IF(AND(F23&gt;Utilización!$F$80,F23&lt;=Utilización!$G$80),("En progreso"),(IF(AND(F23&lt;Utilización!$F$80,F23&lt;Utilización!$G$80),(""),(IF(AND(F23&gt;Utilización!$F$80,F23&gt;Utilización!$G$80),("Finalizado"),(""))))))))</f>
        <v/>
      </c>
      <c r="G39" s="74" t="str">
        <f>IF(AND(G23=Utilización!$F$80),("Inicio"),(IF(AND(G23&gt;Utilización!$F$80,G23&lt;=Utilización!$G$80),("En progreso"),(IF(AND(G23&lt;Utilización!$F$80,G23&lt;Utilización!$G$80),(""),(IF(AND(G23&gt;Utilización!$F$80,G23&gt;Utilización!$G$80),("Finalizado"),(""))))))))</f>
        <v/>
      </c>
      <c r="H39" s="74" t="str">
        <f>IF(AND(H23=Utilización!$F$80),("Inicio"),(IF(AND(H23&gt;Utilización!$F$80,H23&lt;=Utilización!$G$80),("En progreso"),(IF(AND(H23&lt;Utilización!$F$80,H23&lt;Utilización!$G$80),(""),(IF(AND(H23&gt;Utilización!$F$80,H23&gt;Utilización!$G$80),("Finalizado"),(""))))))))</f>
        <v/>
      </c>
      <c r="I39" s="74" t="str">
        <f>IF(AND(I23=Utilización!$F$80),("Inicio"),(IF(AND(I23&gt;Utilización!$F$80,I23&lt;=Utilización!$G$80),("En progreso"),(IF(AND(I23&lt;Utilización!$F$80,I23&lt;Utilización!$G$80),(""),(IF(AND(I23&gt;Utilización!$F$80,I23&gt;Utilización!$G$80),("Finalizado"),(""))))))))</f>
        <v/>
      </c>
      <c r="J39" s="74" t="str">
        <f>IF(AND(J23=Utilización!$F$80),("Inicio"),(IF(AND(J23&gt;Utilización!$F$80,J23&lt;=Utilización!$G$80),("En progreso"),(IF(AND(J23&lt;Utilización!$F$80,J23&lt;Utilización!$G$80),(""),(IF(AND(J23&gt;Utilización!$F$80,J23&gt;Utilización!$G$80),("Finalizado"),(""))))))))</f>
        <v/>
      </c>
      <c r="K39" s="74" t="str">
        <f>IF(AND(K23=Utilización!$F$80),("Inicio"),(IF(AND(K23&gt;Utilización!$F$80,K23&lt;=Utilización!$G$80),("En progreso"),(IF(AND(K23&lt;Utilización!$F$80,K23&lt;Utilización!$G$80),(""),(IF(AND(K23&gt;Utilización!$F$80,K23&gt;Utilización!$G$80),("Finalizado"),(""))))))))</f>
        <v/>
      </c>
      <c r="L39" s="74" t="str">
        <f>IF(AND(L23=Utilización!$F$80),("Inicio"),(IF(AND(L23&gt;Utilización!$F$80,L23&lt;=Utilización!$G$80),("En progreso"),(IF(AND(L23&lt;Utilización!$F$80,L23&lt;Utilización!$G$80),(""),(IF(AND(L23&gt;Utilización!$F$80,L23&gt;Utilización!$G$80),("Finalizado"),(""))))))))</f>
        <v/>
      </c>
      <c r="M39" s="74" t="str">
        <f>IF(AND(M23=Utilización!$F$80),("Inicio"),(IF(AND(M23&gt;Utilización!$F$80,M23&lt;=Utilización!$G$80),("En progreso"),(IF(AND(M23&lt;Utilización!$F$80,M23&lt;Utilización!$G$80),(""),(IF(AND(M23&gt;Utilización!$F$80,M23&gt;Utilización!$G$80),("Finalizado"),(""))))))))</f>
        <v/>
      </c>
      <c r="N39" s="74" t="str">
        <f>IF(AND(N23=Utilización!$F$80),("Inicio"),(IF(AND(N23&gt;Utilización!$F$80,N23&lt;=Utilización!$G$80),("En progreso"),(IF(AND(N23&lt;Utilización!$F$80,N23&lt;Utilización!$G$80),(""),(IF(AND(N23&gt;Utilización!$F$80,N23&gt;Utilización!$G$80),("Finalizado"),(""))))))))</f>
        <v/>
      </c>
      <c r="O39" s="74" t="str">
        <f>IF(AND(O23=Utilización!$F$80),("Inicio"),(IF(AND(O23&gt;Utilización!$F$80,O23&lt;=Utilización!$G$80),("En progreso"),(IF(AND(O23&lt;Utilización!$F$80,O23&lt;Utilización!$G$80),(""),(IF(AND(O23&gt;Utilización!$F$80,O23&gt;Utilización!$G$80),("Finalizado"),(""))))))))</f>
        <v/>
      </c>
      <c r="P39" s="74" t="str">
        <f>IF(AND(P23=Utilización!$F$80),("Inicio"),(IF(AND(P23&gt;Utilización!$F$80,P23&lt;=Utilización!$G$80),("En progreso"),(IF(AND(P23&lt;Utilización!$F$80,P23&lt;Utilización!$G$80),(""),(IF(AND(P23&gt;Utilización!$F$80,P23&gt;Utilización!$G$80),("Finalizado"),(""))))))))</f>
        <v/>
      </c>
      <c r="Q39" s="74" t="str">
        <f>IF(AND(Q23=Utilización!$F$80),("Inicio"),(IF(AND(Q23&gt;Utilización!$F$80,Q23&lt;=Utilización!$G$80),("En progreso"),(IF(AND(Q23&lt;Utilización!$F$80,Q23&lt;Utilización!$G$80),(""),(IF(AND(Q23&gt;Utilización!$F$80,Q23&gt;Utilización!$G$80),("Finalizado"),(""))))))))</f>
        <v/>
      </c>
      <c r="R39" s="74" t="str">
        <f>IF(AND(R23=Utilización!$F$80),("Inicio"),(IF(AND(R23&gt;Utilización!$F$80,R23&lt;=Utilización!$G$80),("En progreso"),(IF(AND(R23&lt;Utilización!$F$80,R23&lt;Utilización!$G$80),(""),(IF(AND(R23&gt;Utilización!$F$80,R23&gt;Utilización!$G$80),("Finalizado"),(""))))))))</f>
        <v/>
      </c>
      <c r="S39" t="str">
        <f>IF(AND(S23=Utilización!$F$80),("Inicio"),(IF(AND(S23&gt;Utilización!$F$80,S23&lt;=Utilización!$G$80),("En progreso"),(IF(AND(S23&lt;Utilización!$F$80,S23&lt;Utilización!$G$80),(""),(IF(AND(S23&gt;Utilización!$F$80,S23&gt;Utilización!$G$80),("Finalizado"),(""))))))))</f>
        <v/>
      </c>
      <c r="T39" t="str">
        <f>IF(AND(T23=Utilización!$F$80),("Inicio"),(IF(AND(T23&gt;Utilización!$F$80,T23&lt;=Utilización!$G$80),("En progreso"),(IF(AND(T23&lt;Utilización!$F$80,T23&lt;Utilización!$G$80),(""),(IF(AND(T23&gt;Utilización!$F$80,T23&gt;Utilización!$G$80),("Finalizado"),(""))))))))</f>
        <v/>
      </c>
      <c r="U39" t="str">
        <f>IF(AND(U23=Utilización!$F$80),("Inicio"),(IF(AND(U23&gt;Utilización!$F$80,U23&lt;=Utilización!$G$80),("En progreso"),(IF(AND(U23&lt;Utilización!$F$80,U23&lt;Utilización!$G$80),(""),(IF(AND(U23&gt;Utilización!$F$80,U23&gt;Utilización!$G$80),("Finalizado"),(""))))))))</f>
        <v/>
      </c>
      <c r="V39" t="str">
        <f>IF(AND(V23=Utilización!$F$80),("Inicio"),(IF(AND(V23&gt;Utilización!$F$80,V23&lt;=Utilización!$G$80),("En progreso"),(IF(AND(V23&lt;Utilización!$F$80,V23&lt;Utilización!$G$80),(""),(IF(AND(V23&gt;Utilización!$F$80,V23&gt;Utilización!$G$80),("Finalizado"),(""))))))))</f>
        <v/>
      </c>
      <c r="W39" t="str">
        <f>IF(AND(W23=Utilización!$F$80),("Inicio"),(IF(AND(W23&gt;Utilización!$F$80,W23&lt;=Utilización!$G$80),("En progreso"),(IF(AND(W23&lt;Utilización!$F$80,W23&lt;Utilización!$G$80),(""),(IF(AND(W23&gt;Utilización!$F$80,W23&gt;Utilización!$G$80),("Finalizado"),(""))))))))</f>
        <v/>
      </c>
      <c r="X39" t="str">
        <f>IF(AND(X23=Utilización!$F$80),("Inicio"),(IF(AND(X23&gt;Utilización!$F$80,X23&lt;=Utilización!$G$80),("En progreso"),(IF(AND(X23&lt;Utilización!$F$80,X23&lt;Utilización!$G$80),(""),(IF(AND(X23&gt;Utilización!$F$80,X23&gt;Utilización!$G$80),("Finalizado"),(""))))))))</f>
        <v/>
      </c>
      <c r="Y39" t="str">
        <f>IF(AND(Y23=Utilización!$F$80),("Inicio"),(IF(AND(Y23&gt;Utilización!$F$80,Y23&lt;=Utilización!$G$80),("En progreso"),(IF(AND(Y23&lt;Utilización!$F$80,Y23&lt;Utilización!$G$80),(""),(IF(AND(Y23&gt;Utilización!$F$80,Y23&gt;Utilización!$G$80),("Finalizado"),(""))))))))</f>
        <v/>
      </c>
      <c r="Z39" t="str">
        <f>IF(AND(Z23=Utilización!$F$80),("Inicio"),(IF(AND(Z23&gt;Utilización!$F$80,Z23&lt;=Utilización!$G$80),("En progreso"),(IF(AND(Z23&lt;Utilización!$F$80,Z23&lt;Utilización!$G$80),(""),(IF(AND(Z23&gt;Utilización!$F$80,Z23&gt;Utilización!$G$80),("Finalizado"),(""))))))))</f>
        <v/>
      </c>
      <c r="AA39" t="str">
        <f>IF(AND(AA23=Utilización!$F$80),("Inicio"),(IF(AND(AA23&gt;Utilización!$F$80,AA23&lt;=Utilización!$G$80),("En progreso"),(IF(AND(AA23&lt;Utilización!$F$80,AA23&lt;Utilización!$G$80),(""),(IF(AND(AA23&gt;Utilización!$F$80,AA23&gt;Utilización!$G$80),("Finalizado"),(""))))))))</f>
        <v/>
      </c>
      <c r="AB39" t="str">
        <f>IF(AND(AB23=Utilización!$F$80),("Inicio"),(IF(AND(AB23&gt;Utilización!$F$80,AB23&lt;=Utilización!$G$80),("En progreso"),(IF(AND(AB23&lt;Utilización!$F$80,AB23&lt;Utilización!$G$80),(""),(IF(AND(AB23&gt;Utilización!$F$80,AB23&gt;Utilización!$G$80),("Finalizado"),(""))))))))</f>
        <v/>
      </c>
      <c r="AC39" t="str">
        <f>IF(AND(AC23=Utilización!$F$80),("Inicio"),(IF(AND(AC23&gt;Utilización!$F$80,AC23&lt;=Utilización!$G$80),("En progreso"),(IF(AND(AC23&lt;Utilización!$F$80,AC23&lt;Utilización!$G$80),(""),(IF(AND(AC23&gt;Utilización!$F$80,AC23&gt;Utilización!$G$80),("Finalizado"),(""))))))))</f>
        <v/>
      </c>
      <c r="AD39" t="str">
        <f>IF(AND(AD23=Utilización!$F$80),("Inicio"),(IF(AND(AD23&gt;Utilización!$F$80,AD23&lt;=Utilización!$G$80),("En progreso"),(IF(AND(AD23&lt;Utilización!$F$80,AD23&lt;Utilización!$G$80),(""),(IF(AND(AD23&gt;Utilización!$F$80,AD23&gt;Utilización!$G$80),("Finalizado"),(""))))))))</f>
        <v/>
      </c>
      <c r="AE39" t="str">
        <f>IF(AND(AE23=Utilización!$F$80),("Inicio"),(IF(AND(AE23&gt;Utilización!$F$80,AE23&lt;=Utilización!$G$80),("En progreso"),(IF(AND(AE23&lt;Utilización!$F$80,AE23&lt;Utilización!$G$80),(""),(IF(AND(AE23&gt;Utilización!$F$80,AE23&gt;Utilización!$G$80),("Finalizado"),(""))))))))</f>
        <v/>
      </c>
      <c r="AF39" t="str">
        <f>IF(AND(AF23=Utilización!$F$80),("Inicio"),(IF(AND(AF23&gt;Utilización!$F$80,AF23&lt;=Utilización!$G$80),("En progreso"),(IF(AND(AF23&lt;Utilización!$F$80,AF23&lt;Utilización!$G$80),(""),(IF(AND(AF23&gt;Utilización!$F$80,AF23&gt;Utilización!$G$80),("Finalizado"),(""))))))))</f>
        <v/>
      </c>
      <c r="AG39" t="str">
        <f>IF(AND(AG23=Utilización!$F$80),("Inicio"),(IF(AND(AG23&gt;Utilización!$F$80,AG23&lt;=Utilización!$G$80),("En progreso"),(IF(AND(AG23&lt;Utilización!$F$80,AG23&lt;Utilización!$G$80),(""),(IF(AND(AG23&gt;Utilización!$F$80,AG23&gt;Utilización!$G$80),("Finalizado"),(""))))))))</f>
        <v/>
      </c>
      <c r="AH39" t="str">
        <f>IF(AND(AH23=Utilización!$F$80),("Inicio"),(IF(AND(AH23&gt;Utilización!$F$80,AH23&lt;=Utilización!$G$80),("En progreso"),(IF(AND(AH23&lt;Utilización!$F$80,AH23&lt;Utilización!$G$80),(""),(IF(AND(AH23&gt;Utilización!$F$80,AH23&gt;Utilización!$G$80),("Finalizado"),(""))))))))</f>
        <v/>
      </c>
      <c r="AI39" t="str">
        <f>IF(AND(AI23=Utilización!$F$80),("Inicio"),(IF(AND(AI23&gt;Utilización!$F$80,AI23&lt;=Utilización!$G$80),("En progreso"),(IF(AND(AI23&lt;Utilización!$F$80,AI23&lt;Utilización!$G$80),(""),(IF(AND(AI23&gt;Utilización!$F$80,AI23&gt;Utilización!$G$80),("Finalizado"),(""))))))))</f>
        <v/>
      </c>
      <c r="AJ39" t="str">
        <f>IF(AND(AJ23=Utilización!$F$80),("Inicio"),(IF(AND(AJ23&gt;Utilización!$F$80,AJ23&lt;=Utilización!$G$80),("En progreso"),(IF(AND(AJ23&lt;Utilización!$F$80,AJ23&lt;Utilización!$G$80),(""),(IF(AND(AJ23&gt;Utilización!$F$80,AJ23&gt;Utilización!$G$80),("Finalizado"),(""))))))))</f>
        <v/>
      </c>
      <c r="AK39" t="str">
        <f>IF(AND(AK23=Utilización!$F$80),("Inicio"),(IF(AND(AK23&gt;Utilización!$F$80,AK23&lt;=Utilización!$G$80),("En progreso"),(IF(AND(AK23&lt;Utilización!$F$80,AK23&lt;Utilización!$G$80),(""),(IF(AND(AK23&gt;Utilización!$F$80,AK23&gt;Utilización!$G$80),("Finalizado"),(""))))))))</f>
        <v/>
      </c>
      <c r="AL39" t="str">
        <f>IF(AND(AL23=Utilización!$F$80),("Inicio"),(IF(AND(AL23&gt;Utilización!$F$80,AL23&lt;=Utilización!$G$80),("En progreso"),(IF(AND(AL23&lt;Utilización!$F$80,AL23&lt;Utilización!$G$80),(""),(IF(AND(AL23&gt;Utilización!$F$80,AL23&gt;Utilización!$G$80),("Finalizado"),(""))))))))</f>
        <v/>
      </c>
      <c r="AM39" t="str">
        <f>IF(AND(AM23=Utilización!$F$80),("Inicio"),(IF(AND(AM23&gt;Utilización!$F$80,AM23&lt;=Utilización!$G$80),("En progreso"),(IF(AND(AM23&lt;Utilización!$F$80,AM23&lt;Utilización!$G$80),(""),(IF(AND(AM23&gt;Utilización!$F$80,AM23&gt;Utilización!$G$80),("Finalizado"),(""))))))))</f>
        <v/>
      </c>
      <c r="AN39" t="str">
        <f>IF(AND(AN23=Utilización!$F$80),("Inicio"),(IF(AND(AN23&gt;Utilización!$F$80,AN23&lt;=Utilización!$G$80),("En progreso"),(IF(AND(AN23&lt;Utilización!$F$80,AN23&lt;Utilización!$G$80),(""),(IF(AND(AN23&gt;Utilización!$F$80,AN23&gt;Utilización!$G$80),("Finalizado"),(""))))))))</f>
        <v/>
      </c>
      <c r="AO39" t="str">
        <f>IF(AND(AO23=Utilización!$F$80),("Inicio"),(IF(AND(AO23&gt;Utilización!$F$80,AO23&lt;=Utilización!$G$80),("En progreso"),(IF(AND(AO23&lt;Utilización!$F$80,AO23&lt;Utilización!$G$80),(""),(IF(AND(AO23&gt;Utilización!$F$80,AO23&gt;Utilización!$G$80),("Finalizado"),(""))))))))</f>
        <v/>
      </c>
      <c r="AP39" t="str">
        <f>IF(AND(AP23=Utilización!$F$80),("Inicio"),(IF(AND(AP23&gt;Utilización!$F$80,AP23&lt;=Utilización!$G$80),("En progreso"),(IF(AND(AP23&lt;Utilización!$F$80,AP23&lt;Utilización!$G$80),(""),(IF(AND(AP23&gt;Utilización!$F$80,AP23&gt;Utilización!$G$80),("Finalizado"),(""))))))))</f>
        <v/>
      </c>
      <c r="AQ39" t="str">
        <f>IF(AND(AQ23=Utilización!$F$80),("Inicio"),(IF(AND(AQ23&gt;Utilización!$F$80,AQ23&lt;=Utilización!$G$80),("En progreso"),(IF(AND(AQ23&lt;Utilización!$F$80,AQ23&lt;Utilización!$G$80),(""),(IF(AND(AQ23&gt;Utilización!$F$80,AQ23&gt;Utilización!$G$80),("Finalizado"),(""))))))))</f>
        <v/>
      </c>
      <c r="AR39" t="str">
        <f>IF(AND(AR23=Utilización!$F$80),("Inicio"),(IF(AND(AR23&gt;Utilización!$F$80,AR23&lt;=Utilización!$G$80),("En progreso"),(IF(AND(AR23&lt;Utilización!$F$80,AR23&lt;Utilización!$G$80),(""),(IF(AND(AR23&gt;Utilización!$F$80,AR23&gt;Utilización!$G$80),("Finalizado"),(""))))))))</f>
        <v/>
      </c>
      <c r="AS39" t="str">
        <f>IF(AND(AS23=Utilización!$F$80),("Inicio"),(IF(AND(AS23&gt;Utilización!$F$80,AS23&lt;=Utilización!$G$80),("En progreso"),(IF(AND(AS23&lt;Utilización!$F$80,AS23&lt;Utilización!$G$80),(""),(IF(AND(AS23&gt;Utilización!$F$80,AS23&gt;Utilización!$G$80),("Finalizado"),(""))))))))</f>
        <v/>
      </c>
      <c r="AT39" t="str">
        <f>IF(AND(AT23=Utilización!$F$80),("Inicio"),(IF(AND(AT23&gt;Utilización!$F$80,AT23&lt;=Utilización!$G$80),("En progreso"),(IF(AND(AT23&lt;Utilización!$F$80,AT23&lt;Utilización!$G$80),(""),(IF(AND(AT23&gt;Utilización!$F$80,AT23&gt;Utilización!$G$80),("Finalizado"),(""))))))))</f>
        <v/>
      </c>
      <c r="AU39" t="str">
        <f>IF(AND(AU23=Utilización!$F$80),("Inicio"),(IF(AND(AU23&gt;Utilización!$F$80,AU23&lt;=Utilización!$G$80),("En progreso"),(IF(AND(AU23&lt;Utilización!$F$80,AU23&lt;Utilización!$G$80),(""),(IF(AND(AU23&gt;Utilización!$F$80,AU23&gt;Utilización!$G$80),("Finalizado"),(""))))))))</f>
        <v/>
      </c>
      <c r="AV39" t="str">
        <f>IF(AND(AV23=Utilización!$F$80),("Inicio"),(IF(AND(AV23&gt;Utilización!$F$80,AV23&lt;=Utilización!$G$80),("En progreso"),(IF(AND(AV23&lt;Utilización!$F$80,AV23&lt;Utilización!$G$80),(""),(IF(AND(AV23&gt;Utilización!$F$80,AV23&gt;Utilización!$G$80),("Finalizado"),(""))))))))</f>
        <v/>
      </c>
    </row>
    <row r="40" spans="1:48" x14ac:dyDescent="0.25">
      <c r="A40" s="40" t="str">
        <f>Utilización!A28</f>
        <v>Q</v>
      </c>
      <c r="D40" s="74" t="str">
        <f>IF(AND(D23=Utilización!$F$81),("Inicio"),(IF(AND(D23&gt;Utilización!$F$81,D23&lt;=Utilización!$G$81),("En progreso"),(IF(AND(D23&lt;Utilización!$F$81,D23&lt;Utilización!$G$81),(""),(IF(AND(D23&gt;Utilización!$F$81,D23&gt;Utilización!$G$81),("Finalizado"),(""))))))))</f>
        <v/>
      </c>
      <c r="E40" s="74" t="str">
        <f>IF(AND(E23=Utilización!$F$81),("Inicio"),(IF(AND(E23&gt;Utilización!$F$81,E23&lt;=Utilización!$G$81),("En progreso"),(IF(AND(E23&lt;Utilización!$F$81,E23&lt;Utilización!$G$81),(""),(IF(AND(E23&gt;Utilización!$F$81,E23&gt;Utilización!$G$81),("Finalizado"),(""))))))))</f>
        <v/>
      </c>
      <c r="F40" s="74" t="str">
        <f>IF(AND(F23=Utilización!$F$81),("Inicio"),(IF(AND(F23&gt;Utilización!$F$81,F23&lt;=Utilización!$G$81),("En progreso"),(IF(AND(F23&lt;Utilización!$F$81,F23&lt;Utilización!$G$81),(""),(IF(AND(F23&gt;Utilización!$F$81,F23&gt;Utilización!$G$81),("Finalizado"),(""))))))))</f>
        <v/>
      </c>
      <c r="G40" s="74" t="str">
        <f>IF(AND(G23=Utilización!$F$81),("Inicio"),(IF(AND(G23&gt;Utilización!$F$81,G23&lt;=Utilización!$G$81),("En progreso"),(IF(AND(G23&lt;Utilización!$F$81,G23&lt;Utilización!$G$81),(""),(IF(AND(G23&gt;Utilización!$F$81,G23&gt;Utilización!$G$81),("Finalizado"),(""))))))))</f>
        <v/>
      </c>
      <c r="H40" s="74" t="str">
        <f>IF(AND(H23=Utilización!$F$81),("Inicio"),(IF(AND(H23&gt;Utilización!$F$81,H23&lt;=Utilización!$G$81),("En progreso"),(IF(AND(H23&lt;Utilización!$F$81,H23&lt;Utilización!$G$81),(""),(IF(AND(H23&gt;Utilización!$F$81,H23&gt;Utilización!$G$81),("Finalizado"),(""))))))))</f>
        <v/>
      </c>
      <c r="I40" s="74" t="str">
        <f>IF(AND(I23=Utilización!$F$81),("Inicio"),(IF(AND(I23&gt;Utilización!$F$81,I23&lt;=Utilización!$G$81),("En progreso"),(IF(AND(I23&lt;Utilización!$F$81,I23&lt;Utilización!$G$81),(""),(IF(AND(I23&gt;Utilización!$F$81,I23&gt;Utilización!$G$81),("Finalizado"),(""))))))))</f>
        <v/>
      </c>
      <c r="J40" s="74" t="str">
        <f>IF(AND(J23=Utilización!$F$81),("Inicio"),(IF(AND(J23&gt;Utilización!$F$81,J23&lt;=Utilización!$G$81),("En progreso"),(IF(AND(J23&lt;Utilización!$F$81,J23&lt;Utilización!$G$81),(""),(IF(AND(J23&gt;Utilización!$F$81,J23&gt;Utilización!$G$81),("Finalizado"),(""))))))))</f>
        <v/>
      </c>
      <c r="K40" s="74" t="str">
        <f>IF(AND(K23=Utilización!$F$81),("Inicio"),(IF(AND(K23&gt;Utilización!$F$81,K23&lt;=Utilización!$G$81),("En progreso"),(IF(AND(K23&lt;Utilización!$F$81,K23&lt;Utilización!$G$81),(""),(IF(AND(K23&gt;Utilización!$F$81,K23&gt;Utilización!$G$81),("Finalizado"),(""))))))))</f>
        <v/>
      </c>
      <c r="L40" s="74" t="str">
        <f>IF(AND(L23=Utilización!$F$81),("Inicio"),(IF(AND(L23&gt;Utilización!$F$81,L23&lt;=Utilización!$G$81),("En progreso"),(IF(AND(L23&lt;Utilización!$F$81,L23&lt;Utilización!$G$81),(""),(IF(AND(L23&gt;Utilización!$F$81,L23&gt;Utilización!$G$81),("Finalizado"),(""))))))))</f>
        <v/>
      </c>
      <c r="M40" s="74" t="str">
        <f>IF(AND(M23=Utilización!$F$81),("Inicio"),(IF(AND(M23&gt;Utilización!$F$81,M23&lt;=Utilización!$G$81),("En progreso"),(IF(AND(M23&lt;Utilización!$F$81,M23&lt;Utilización!$G$81),(""),(IF(AND(M23&gt;Utilización!$F$81,M23&gt;Utilización!$G$81),("Finalizado"),(""))))))))</f>
        <v/>
      </c>
      <c r="N40" s="74" t="str">
        <f>IF(AND(N23=Utilización!$F$81),("Inicio"),(IF(AND(N23&gt;Utilización!$F$81,N23&lt;=Utilización!$G$81),("En progreso"),(IF(AND(N23&lt;Utilización!$F$81,N23&lt;Utilización!$G$81),(""),(IF(AND(N23&gt;Utilización!$F$81,N23&gt;Utilización!$G$81),("Finalizado"),(""))))))))</f>
        <v/>
      </c>
      <c r="O40" s="74" t="str">
        <f>IF(AND(O23=Utilización!$F$81),("Inicio"),(IF(AND(O23&gt;Utilización!$F$81,O23&lt;=Utilización!$G$81),("En progreso"),(IF(AND(O23&lt;Utilización!$F$81,O23&lt;Utilización!$G$81),(""),(IF(AND(O23&gt;Utilización!$F$81,O23&gt;Utilización!$G$81),("Finalizado"),(""))))))))</f>
        <v/>
      </c>
      <c r="P40" s="74" t="str">
        <f>IF(AND(P23=Utilización!$F$81),("Inicio"),(IF(AND(P23&gt;Utilización!$F$81,P23&lt;=Utilización!$G$81),("En progreso"),(IF(AND(P23&lt;Utilización!$F$81,P23&lt;Utilización!$G$81),(""),(IF(AND(P23&gt;Utilización!$F$81,P23&gt;Utilización!$G$81),("Finalizado"),(""))))))))</f>
        <v/>
      </c>
      <c r="Q40" s="74" t="str">
        <f>IF(AND(Q23=Utilización!$F$81),("Inicio"),(IF(AND(Q23&gt;Utilización!$F$81,Q23&lt;=Utilización!$G$81),("En progreso"),(IF(AND(Q23&lt;Utilización!$F$81,Q23&lt;Utilización!$G$81),(""),(IF(AND(Q23&gt;Utilización!$F$81,Q23&gt;Utilización!$G$81),("Finalizado"),(""))))))))</f>
        <v/>
      </c>
      <c r="R40" s="74" t="str">
        <f>IF(AND(R23=Utilización!$F$81),("Inicio"),(IF(AND(R23&gt;Utilización!$F$81,R23&lt;=Utilización!$G$81),("En progreso"),(IF(AND(R23&lt;Utilización!$F$81,R23&lt;Utilización!$G$81),(""),(IF(AND(R23&gt;Utilización!$F$81,R23&gt;Utilización!$G$81),("Finalizado"),(""))))))))</f>
        <v/>
      </c>
      <c r="S40" t="str">
        <f>IF(AND(S23=Utilización!$F$81),("Inicio"),(IF(AND(S23&gt;Utilización!$F$81,S23&lt;=Utilización!$G$81),("En progreso"),(IF(AND(S23&lt;Utilización!$F$81,S23&lt;Utilización!$G$81),(""),(IF(AND(S23&gt;Utilización!$F$81,S23&gt;Utilización!$G$81),("Finalizado"),(""))))))))</f>
        <v/>
      </c>
      <c r="T40" t="str">
        <f>IF(AND(T23=Utilización!$F$81),("Inicio"),(IF(AND(T23&gt;Utilización!$F$81,T23&lt;=Utilización!$G$81),("En progreso"),(IF(AND(T23&lt;Utilización!$F$81,T23&lt;Utilización!$G$81),(""),(IF(AND(T23&gt;Utilización!$F$81,T23&gt;Utilización!$G$81),("Finalizado"),(""))))))))</f>
        <v/>
      </c>
      <c r="U40" t="str">
        <f>IF(AND(U23=Utilización!$F$81),("Inicio"),(IF(AND(U23&gt;Utilización!$F$81,U23&lt;=Utilización!$G$81),("En progreso"),(IF(AND(U23&lt;Utilización!$F$81,U23&lt;Utilización!$G$81),(""),(IF(AND(U23&gt;Utilización!$F$81,U23&gt;Utilización!$G$81),("Finalizado"),(""))))))))</f>
        <v/>
      </c>
      <c r="V40" t="str">
        <f>IF(AND(V23=Utilización!$F$81),("Inicio"),(IF(AND(V23&gt;Utilización!$F$81,V23&lt;=Utilización!$G$81),("En progreso"),(IF(AND(V23&lt;Utilización!$F$81,V23&lt;Utilización!$G$81),(""),(IF(AND(V23&gt;Utilización!$F$81,V23&gt;Utilización!$G$81),("Finalizado"),(""))))))))</f>
        <v/>
      </c>
      <c r="W40" t="str">
        <f>IF(AND(W23=Utilización!$F$81),("Inicio"),(IF(AND(W23&gt;Utilización!$F$81,W23&lt;=Utilización!$G$81),("En progreso"),(IF(AND(W23&lt;Utilización!$F$81,W23&lt;Utilización!$G$81),(""),(IF(AND(W23&gt;Utilización!$F$81,W23&gt;Utilización!$G$81),("Finalizado"),(""))))))))</f>
        <v/>
      </c>
      <c r="X40" t="str">
        <f>IF(AND(X23=Utilización!$F$81),("Inicio"),(IF(AND(X23&gt;Utilización!$F$81,X23&lt;=Utilización!$G$81),("En progreso"),(IF(AND(X23&lt;Utilización!$F$81,X23&lt;Utilización!$G$81),(""),(IF(AND(X23&gt;Utilización!$F$81,X23&gt;Utilización!$G$81),("Finalizado"),(""))))))))</f>
        <v/>
      </c>
      <c r="Y40" t="str">
        <f>IF(AND(Y23=Utilización!$F$81),("Inicio"),(IF(AND(Y23&gt;Utilización!$F$81,Y23&lt;=Utilización!$G$81),("En progreso"),(IF(AND(Y23&lt;Utilización!$F$81,Y23&lt;Utilización!$G$81),(""),(IF(AND(Y23&gt;Utilización!$F$81,Y23&gt;Utilización!$G$81),("Finalizado"),(""))))))))</f>
        <v/>
      </c>
      <c r="Z40" t="str">
        <f>IF(AND(Z23=Utilización!$F$81),("Inicio"),(IF(AND(Z23&gt;Utilización!$F$81,Z23&lt;=Utilización!$G$81),("En progreso"),(IF(AND(Z23&lt;Utilización!$F$81,Z23&lt;Utilización!$G$81),(""),(IF(AND(Z23&gt;Utilización!$F$81,Z23&gt;Utilización!$G$81),("Finalizado"),(""))))))))</f>
        <v/>
      </c>
      <c r="AA40" t="str">
        <f>IF(AND(AA23=Utilización!$F$81),("Inicio"),(IF(AND(AA23&gt;Utilización!$F$81,AA23&lt;=Utilización!$G$81),("En progreso"),(IF(AND(AA23&lt;Utilización!$F$81,AA23&lt;Utilización!$G$81),(""),(IF(AND(AA23&gt;Utilización!$F$81,AA23&gt;Utilización!$G$81),("Finalizado"),(""))))))))</f>
        <v/>
      </c>
      <c r="AB40" t="str">
        <f>IF(AND(AB23=Utilización!$F$81),("Inicio"),(IF(AND(AB23&gt;Utilización!$F$81,AB23&lt;=Utilización!$G$81),("En progreso"),(IF(AND(AB23&lt;Utilización!$F$81,AB23&lt;Utilización!$G$81),(""),(IF(AND(AB23&gt;Utilización!$F$81,AB23&gt;Utilización!$G$81),("Finalizado"),(""))))))))</f>
        <v/>
      </c>
      <c r="AC40" t="str">
        <f>IF(AND(AC23=Utilización!$F$81),("Inicio"),(IF(AND(AC23&gt;Utilización!$F$81,AC23&lt;=Utilización!$G$81),("En progreso"),(IF(AND(AC23&lt;Utilización!$F$81,AC23&lt;Utilización!$G$81),(""),(IF(AND(AC23&gt;Utilización!$F$81,AC23&gt;Utilización!$G$81),("Finalizado"),(""))))))))</f>
        <v/>
      </c>
      <c r="AD40" t="str">
        <f>IF(AND(AD23=Utilización!$F$81),("Inicio"),(IF(AND(AD23&gt;Utilización!$F$81,AD23&lt;=Utilización!$G$81),("En progreso"),(IF(AND(AD23&lt;Utilización!$F$81,AD23&lt;Utilización!$G$81),(""),(IF(AND(AD23&gt;Utilización!$F$81,AD23&gt;Utilización!$G$81),("Finalizado"),(""))))))))</f>
        <v/>
      </c>
      <c r="AE40" t="str">
        <f>IF(AND(AE23=Utilización!$F$81),("Inicio"),(IF(AND(AE23&gt;Utilización!$F$81,AE23&lt;=Utilización!$G$81),("En progreso"),(IF(AND(AE23&lt;Utilización!$F$81,AE23&lt;Utilización!$G$81),(""),(IF(AND(AE23&gt;Utilización!$F$81,AE23&gt;Utilización!$G$81),("Finalizado"),(""))))))))</f>
        <v/>
      </c>
      <c r="AF40" t="str">
        <f>IF(AND(AF23=Utilización!$F$81),("Inicio"),(IF(AND(AF23&gt;Utilización!$F$81,AF23&lt;=Utilización!$G$81),("En progreso"),(IF(AND(AF23&lt;Utilización!$F$81,AF23&lt;Utilización!$G$81),(""),(IF(AND(AF23&gt;Utilización!$F$81,AF23&gt;Utilización!$G$81),("Finalizado"),(""))))))))</f>
        <v/>
      </c>
      <c r="AG40" t="str">
        <f>IF(AND(AG23=Utilización!$F$81),("Inicio"),(IF(AND(AG23&gt;Utilización!$F$81,AG23&lt;=Utilización!$G$81),("En progreso"),(IF(AND(AG23&lt;Utilización!$F$81,AG23&lt;Utilización!$G$81),(""),(IF(AND(AG23&gt;Utilización!$F$81,AG23&gt;Utilización!$G$81),("Finalizado"),(""))))))))</f>
        <v/>
      </c>
      <c r="AH40" t="str">
        <f>IF(AND(AH23=Utilización!$F$81),("Inicio"),(IF(AND(AH23&gt;Utilización!$F$81,AH23&lt;=Utilización!$G$81),("En progreso"),(IF(AND(AH23&lt;Utilización!$F$81,AH23&lt;Utilización!$G$81),(""),(IF(AND(AH23&gt;Utilización!$F$81,AH23&gt;Utilización!$G$81),("Finalizado"),(""))))))))</f>
        <v/>
      </c>
      <c r="AI40" t="str">
        <f>IF(AND(AI23=Utilización!$F$81),("Inicio"),(IF(AND(AI23&gt;Utilización!$F$81,AI23&lt;=Utilización!$G$81),("En progreso"),(IF(AND(AI23&lt;Utilización!$F$81,AI23&lt;Utilización!$G$81),(""),(IF(AND(AI23&gt;Utilización!$F$81,AI23&gt;Utilización!$G$81),("Finalizado"),(""))))))))</f>
        <v/>
      </c>
      <c r="AJ40" t="str">
        <f>IF(AND(AJ23=Utilización!$F$81),("Inicio"),(IF(AND(AJ23&gt;Utilización!$F$81,AJ23&lt;=Utilización!$G$81),("En progreso"),(IF(AND(AJ23&lt;Utilización!$F$81,AJ23&lt;Utilización!$G$81),(""),(IF(AND(AJ23&gt;Utilización!$F$81,AJ23&gt;Utilización!$G$81),("Finalizado"),(""))))))))</f>
        <v/>
      </c>
      <c r="AK40" t="str">
        <f>IF(AND(AK23=Utilización!$F$81),("Inicio"),(IF(AND(AK23&gt;Utilización!$F$81,AK23&lt;=Utilización!$G$81),("En progreso"),(IF(AND(AK23&lt;Utilización!$F$81,AK23&lt;Utilización!$G$81),(""),(IF(AND(AK23&gt;Utilización!$F$81,AK23&gt;Utilización!$G$81),("Finalizado"),(""))))))))</f>
        <v/>
      </c>
      <c r="AL40" t="str">
        <f>IF(AND(AL23=Utilización!$F$81),("Inicio"),(IF(AND(AL23&gt;Utilización!$F$81,AL23&lt;=Utilización!$G$81),("En progreso"),(IF(AND(AL23&lt;Utilización!$F$81,AL23&lt;Utilización!$G$81),(""),(IF(AND(AL23&gt;Utilización!$F$81,AL23&gt;Utilización!$G$81),("Finalizado"),(""))))))))</f>
        <v/>
      </c>
      <c r="AM40" t="str">
        <f>IF(AND(AM23=Utilización!$F$81),("Inicio"),(IF(AND(AM23&gt;Utilización!$F$81,AM23&lt;=Utilización!$G$81),("En progreso"),(IF(AND(AM23&lt;Utilización!$F$81,AM23&lt;Utilización!$G$81),(""),(IF(AND(AM23&gt;Utilización!$F$81,AM23&gt;Utilización!$G$81),("Finalizado"),(""))))))))</f>
        <v/>
      </c>
      <c r="AN40" t="str">
        <f>IF(AND(AN23=Utilización!$F$81),("Inicio"),(IF(AND(AN23&gt;Utilización!$F$81,AN23&lt;=Utilización!$G$81),("En progreso"),(IF(AND(AN23&lt;Utilización!$F$81,AN23&lt;Utilización!$G$81),(""),(IF(AND(AN23&gt;Utilización!$F$81,AN23&gt;Utilización!$G$81),("Finalizado"),(""))))))))</f>
        <v/>
      </c>
      <c r="AO40" t="str">
        <f>IF(AND(AO23=Utilización!$F$81),("Inicio"),(IF(AND(AO23&gt;Utilización!$F$81,AO23&lt;=Utilización!$G$81),("En progreso"),(IF(AND(AO23&lt;Utilización!$F$81,AO23&lt;Utilización!$G$81),(""),(IF(AND(AO23&gt;Utilización!$F$81,AO23&gt;Utilización!$G$81),("Finalizado"),(""))))))))</f>
        <v/>
      </c>
      <c r="AP40" t="str">
        <f>IF(AND(AP23=Utilización!$F$81),("Inicio"),(IF(AND(AP23&gt;Utilización!$F$81,AP23&lt;=Utilización!$G$81),("En progreso"),(IF(AND(AP23&lt;Utilización!$F$81,AP23&lt;Utilización!$G$81),(""),(IF(AND(AP23&gt;Utilización!$F$81,AP23&gt;Utilización!$G$81),("Finalizado"),(""))))))))</f>
        <v/>
      </c>
      <c r="AQ40" t="str">
        <f>IF(AND(AQ23=Utilización!$F$81),("Inicio"),(IF(AND(AQ23&gt;Utilización!$F$81,AQ23&lt;=Utilización!$G$81),("En progreso"),(IF(AND(AQ23&lt;Utilización!$F$81,AQ23&lt;Utilización!$G$81),(""),(IF(AND(AQ23&gt;Utilización!$F$81,AQ23&gt;Utilización!$G$81),("Finalizado"),(""))))))))</f>
        <v/>
      </c>
      <c r="AR40" t="str">
        <f>IF(AND(AR23=Utilización!$F$81),("Inicio"),(IF(AND(AR23&gt;Utilización!$F$81,AR23&lt;=Utilización!$G$81),("En progreso"),(IF(AND(AR23&lt;Utilización!$F$81,AR23&lt;Utilización!$G$81),(""),(IF(AND(AR23&gt;Utilización!$F$81,AR23&gt;Utilización!$G$81),("Finalizado"),(""))))))))</f>
        <v/>
      </c>
      <c r="AS40" t="str">
        <f>IF(AND(AS23=Utilización!$F$81),("Inicio"),(IF(AND(AS23&gt;Utilización!$F$81,AS23&lt;=Utilización!$G$81),("En progreso"),(IF(AND(AS23&lt;Utilización!$F$81,AS23&lt;Utilización!$G$81),(""),(IF(AND(AS23&gt;Utilización!$F$81,AS23&gt;Utilización!$G$81),("Finalizado"),(""))))))))</f>
        <v/>
      </c>
      <c r="AT40" t="str">
        <f>IF(AND(AT23=Utilización!$F$81),("Inicio"),(IF(AND(AT23&gt;Utilización!$F$81,AT23&lt;=Utilización!$G$81),("En progreso"),(IF(AND(AT23&lt;Utilización!$F$81,AT23&lt;Utilización!$G$81),(""),(IF(AND(AT23&gt;Utilización!$F$81,AT23&gt;Utilización!$G$81),("Finalizado"),(""))))))))</f>
        <v/>
      </c>
      <c r="AU40" t="str">
        <f>IF(AND(AU23=Utilización!$F$81),("Inicio"),(IF(AND(AU23&gt;Utilización!$F$81,AU23&lt;=Utilización!$G$81),("En progreso"),(IF(AND(AU23&lt;Utilización!$F$81,AU23&lt;Utilización!$G$81),(""),(IF(AND(AU23&gt;Utilización!$F$81,AU23&gt;Utilización!$G$81),("Finalizado"),(""))))))))</f>
        <v/>
      </c>
      <c r="AV40" t="str">
        <f>IF(AND(AV23=Utilización!$F$81),("Inicio"),(IF(AND(AV23&gt;Utilización!$F$81,AV23&lt;=Utilización!$G$81),("En progreso"),(IF(AND(AV23&lt;Utilización!$F$81,AV23&lt;Utilización!$G$81),(""),(IF(AND(AV23&gt;Utilización!$F$81,AV23&gt;Utilización!$G$81),("Finalizado"),(""))))))))</f>
        <v/>
      </c>
    </row>
    <row r="41" spans="1:48" x14ac:dyDescent="0.25">
      <c r="A41" s="40" t="str">
        <f>Utilización!A29</f>
        <v>R</v>
      </c>
      <c r="D41" t="str">
        <f>IF(AND(D23=Utilización!$F$82),("Inicio"),(IF(AND(D23&gt;Utilización!$F$82,D23&lt;=Utilización!$G$82),("En progreso"),(IF(AND(D23&lt;Utilización!$F$82,D23&lt;Utilización!$G$82),(""),(IF(AND(D23&gt;Utilización!$F$82,D23&gt;Utilización!$G$82),("Finalizado"),(""))))))))</f>
        <v/>
      </c>
      <c r="E41" t="str">
        <f>IF(AND(E23=Utilización!$F$82),("Inicio"),(IF(AND(E23&gt;Utilización!$F$82,E23&lt;=Utilización!$G$82),("En progreso"),(IF(AND(E23&lt;Utilización!$F$82,E23&lt;Utilización!$G$82),(""),(IF(AND(E23&gt;Utilización!$F$82,E23&gt;Utilización!$G$82),("Finalizado"),(""))))))))</f>
        <v/>
      </c>
      <c r="F41" t="str">
        <f>IF(AND(F23=Utilización!$F$82),("Inicio"),(IF(AND(F23&gt;Utilización!$F$82,F23&lt;=Utilización!$G$82),("En progreso"),(IF(AND(F23&lt;Utilización!$F$82,F23&lt;Utilización!$G$82),(""),(IF(AND(F23&gt;Utilización!$F$82,F23&gt;Utilización!$G$82),("Finalizado"),(""))))))))</f>
        <v/>
      </c>
      <c r="G41" t="str">
        <f>IF(AND(G23=Utilización!$F$82),("Inicio"),(IF(AND(G23&gt;Utilización!$F$82,G23&lt;=Utilización!$G$82),("En progreso"),(IF(AND(G23&lt;Utilización!$F$82,G23&lt;Utilización!$G$82),(""),(IF(AND(G23&gt;Utilización!$F$82,G23&gt;Utilización!$G$82),("Finalizado"),(""))))))))</f>
        <v/>
      </c>
      <c r="H41" t="str">
        <f>IF(AND(H23=Utilización!$F$82),("Inicio"),(IF(AND(H23&gt;Utilización!$F$82,H23&lt;=Utilización!$G$82),("En progreso"),(IF(AND(H23&lt;Utilización!$F$82,H23&lt;Utilización!$G$82),(""),(IF(AND(H23&gt;Utilización!$F$82,H23&gt;Utilización!$G$82),("Finalizado"),(""))))))))</f>
        <v/>
      </c>
      <c r="I41" t="str">
        <f>IF(AND(I23=Utilización!$F$82),("Inicio"),(IF(AND(I23&gt;Utilización!$F$82,I23&lt;=Utilización!$G$82),("En progreso"),(IF(AND(I23&lt;Utilización!$F$82,I23&lt;Utilización!$G$82),(""),(IF(AND(I23&gt;Utilización!$F$82,I23&gt;Utilización!$G$82),("Finalizado"),(""))))))))</f>
        <v/>
      </c>
      <c r="J41" t="str">
        <f>IF(AND(J23=Utilización!$F$82),("Inicio"),(IF(AND(J23&gt;Utilización!$F$82,J23&lt;=Utilización!$G$82),("En progreso"),(IF(AND(J23&lt;Utilización!$F$82,J23&lt;Utilización!$G$82),(""),(IF(AND(J23&gt;Utilización!$F$82,J23&gt;Utilización!$G$82),("Finalizado"),(""))))))))</f>
        <v/>
      </c>
      <c r="K41" t="str">
        <f>IF(AND(K23=Utilización!$F$82),("Inicio"),(IF(AND(K23&gt;Utilización!$F$82,K23&lt;=Utilización!$G$82),("En progreso"),(IF(AND(K23&lt;Utilización!$F$82,K23&lt;Utilización!$G$82),(""),(IF(AND(K23&gt;Utilización!$F$82,K23&gt;Utilización!$G$82),("Finalizado"),(""))))))))</f>
        <v/>
      </c>
      <c r="L41" t="str">
        <f>IF(AND(L23=Utilización!$F$82),("Inicio"),(IF(AND(L23&gt;Utilización!$F$82,L23&lt;=Utilización!$G$82),("En progreso"),(IF(AND(L23&lt;Utilización!$F$82,L23&lt;Utilización!$G$82),(""),(IF(AND(L23&gt;Utilización!$F$82,L23&gt;Utilización!$G$82),("Finalizado"),(""))))))))</f>
        <v/>
      </c>
      <c r="M41" t="str">
        <f>IF(AND(M23=Utilización!$F$82),("Inicio"),(IF(AND(M23&gt;Utilización!$F$82,M23&lt;=Utilización!$G$82),("En progreso"),(IF(AND(M23&lt;Utilización!$F$82,M23&lt;Utilización!$G$82),(""),(IF(AND(M23&gt;Utilización!$F$82,M23&gt;Utilización!$G$82),("Finalizado"),(""))))))))</f>
        <v/>
      </c>
      <c r="N41" t="str">
        <f>IF(AND(N23=Utilización!$F$82),("Inicio"),(IF(AND(N23&gt;Utilización!$F$82,N23&lt;=Utilización!$G$82),("En progreso"),(IF(AND(N23&lt;Utilización!$F$82,N23&lt;Utilización!$G$82),(""),(IF(AND(N23&gt;Utilización!$F$82,N23&gt;Utilización!$G$82),("Finalizado"),(""))))))))</f>
        <v/>
      </c>
      <c r="O41" t="str">
        <f>IF(AND(O23=Utilización!$F$82),("Inicio"),(IF(AND(O23&gt;Utilización!$F$82,O23&lt;=Utilización!$G$82),("En progreso"),(IF(AND(O23&lt;Utilización!$F$82,O23&lt;Utilización!$G$82),(""),(IF(AND(O23&gt;Utilización!$F$82,O23&gt;Utilización!$G$82),("Finalizado"),(""))))))))</f>
        <v/>
      </c>
      <c r="P41" t="str">
        <f>IF(AND(P23=Utilización!$F$82),("Inicio"),(IF(AND(P23&gt;Utilización!$F$82,P23&lt;=Utilización!$G$82),("En progreso"),(IF(AND(P23&lt;Utilización!$F$82,P23&lt;Utilización!$G$82),(""),(IF(AND(P23&gt;Utilización!$F$82,P23&gt;Utilización!$G$82),("Finalizado"),(""))))))))</f>
        <v/>
      </c>
      <c r="Q41" t="str">
        <f>IF(AND(Q23=Utilización!$F$82),("Inicio"),(IF(AND(Q23&gt;Utilización!$F$82,Q23&lt;=Utilización!$G$82),("En progreso"),(IF(AND(Q23&lt;Utilización!$F$82,Q23&lt;Utilización!$G$82),(""),(IF(AND(Q23&gt;Utilización!$F$82,Q23&gt;Utilización!$G$82),("Finalizado"),(""))))))))</f>
        <v/>
      </c>
      <c r="R41" t="str">
        <f>IF(AND(R23=Utilización!$F$82),("Inicio"),(IF(AND(R23&gt;Utilización!$F$82,R23&lt;=Utilización!$G$82),("En progreso"),(IF(AND(R23&lt;Utilización!$F$82,R23&lt;Utilización!$G$82),(""),(IF(AND(R23&gt;Utilización!$F$82,R23&gt;Utilización!$G$82),("Finalizado"),(""))))))))</f>
        <v/>
      </c>
      <c r="S41" t="str">
        <f>IF(AND(S23=Utilización!$F$82),("Inicio"),(IF(AND(S23&gt;Utilización!$F$82,S23&lt;=Utilización!$G$82),("En progreso"),(IF(AND(S23&lt;Utilización!$F$82,S23&lt;Utilización!$G$82),(""),(IF(AND(S23&gt;Utilización!$F$82,S23&gt;Utilización!$G$82),("Finalizado"),(""))))))))</f>
        <v/>
      </c>
      <c r="T41" t="str">
        <f>IF(AND(T23=Utilización!$F$82),("Inicio"),(IF(AND(T23&gt;Utilización!$F$82,T23&lt;=Utilización!$G$82),("En progreso"),(IF(AND(T23&lt;Utilización!$F$82,T23&lt;Utilización!$G$82),(""),(IF(AND(T23&gt;Utilización!$F$82,T23&gt;Utilización!$G$82),("Finalizado"),(""))))))))</f>
        <v/>
      </c>
      <c r="U41" t="str">
        <f>IF(AND(U23=Utilización!$F$82),("Inicio"),(IF(AND(U23&gt;Utilización!$F$82,U23&lt;=Utilización!$G$82),("En progreso"),(IF(AND(U23&lt;Utilización!$F$82,U23&lt;Utilización!$G$82),(""),(IF(AND(U23&gt;Utilización!$F$82,U23&gt;Utilización!$G$82),("Finalizado"),(""))))))))</f>
        <v/>
      </c>
      <c r="V41" t="str">
        <f>IF(AND(V23=Utilización!$F$82),("Inicio"),(IF(AND(V23&gt;Utilización!$F$82,V23&lt;=Utilización!$G$82),("En progreso"),(IF(AND(V23&lt;Utilización!$F$82,V23&lt;Utilización!$G$82),(""),(IF(AND(V23&gt;Utilización!$F$82,V23&gt;Utilización!$G$82),("Finalizado"),(""))))))))</f>
        <v/>
      </c>
      <c r="W41" t="str">
        <f>IF(AND(W23=Utilización!$F$82),("Inicio"),(IF(AND(W23&gt;Utilización!$F$82,W23&lt;=Utilización!$G$82),("En progreso"),(IF(AND(W23&lt;Utilización!$F$82,W23&lt;Utilización!$G$82),(""),(IF(AND(W23&gt;Utilización!$F$82,W23&gt;Utilización!$G$82),("Finalizado"),(""))))))))</f>
        <v/>
      </c>
      <c r="X41" t="str">
        <f>IF(AND(X23=Utilización!$F$82),("Inicio"),(IF(AND(X23&gt;Utilización!$F$82,X23&lt;=Utilización!$G$82),("En progreso"),(IF(AND(X23&lt;Utilización!$F$82,X23&lt;Utilización!$G$82),(""),(IF(AND(X23&gt;Utilización!$F$82,X23&gt;Utilización!$G$82),("Finalizado"),(""))))))))</f>
        <v/>
      </c>
      <c r="Y41" t="str">
        <f>IF(AND(Y23=Utilización!$F$82),("Inicio"),(IF(AND(Y23&gt;Utilización!$F$82,Y23&lt;=Utilización!$G$82),("En progreso"),(IF(AND(Y23&lt;Utilización!$F$82,Y23&lt;Utilización!$G$82),(""),(IF(AND(Y23&gt;Utilización!$F$82,Y23&gt;Utilización!$G$82),("Finalizado"),(""))))))))</f>
        <v/>
      </c>
      <c r="Z41" t="str">
        <f>IF(AND(Z23=Utilización!$F$82),("Inicio"),(IF(AND(Z23&gt;Utilización!$F$82,Z23&lt;=Utilización!$G$82),("En progreso"),(IF(AND(Z23&lt;Utilización!$F$82,Z23&lt;Utilización!$G$82),(""),(IF(AND(Z23&gt;Utilización!$F$82,Z23&gt;Utilización!$G$82),("Finalizado"),(""))))))))</f>
        <v/>
      </c>
      <c r="AA41" t="str">
        <f>IF(AND(AA23=Utilización!$F$82),("Inicio"),(IF(AND(AA23&gt;Utilización!$F$82,AA23&lt;=Utilización!$G$82),("En progreso"),(IF(AND(AA23&lt;Utilización!$F$82,AA23&lt;Utilización!$G$82),(""),(IF(AND(AA23&gt;Utilización!$F$82,AA23&gt;Utilización!$G$82),("Finalizado"),(""))))))))</f>
        <v/>
      </c>
      <c r="AB41" t="str">
        <f>IF(AND(AB23=Utilización!$F$82),("Inicio"),(IF(AND(AB23&gt;Utilización!$F$82,AB23&lt;=Utilización!$G$82),("En progreso"),(IF(AND(AB23&lt;Utilización!$F$82,AB23&lt;Utilización!$G$82),(""),(IF(AND(AB23&gt;Utilización!$F$82,AB23&gt;Utilización!$G$82),("Finalizado"),(""))))))))</f>
        <v/>
      </c>
      <c r="AC41" t="str">
        <f>IF(AND(AC23=Utilización!$F$82),("Inicio"),(IF(AND(AC23&gt;Utilización!$F$82,AC23&lt;=Utilización!$G$82),("En progreso"),(IF(AND(AC23&lt;Utilización!$F$82,AC23&lt;Utilización!$G$82),(""),(IF(AND(AC23&gt;Utilización!$F$82,AC23&gt;Utilización!$G$82),("Finalizado"),(""))))))))</f>
        <v/>
      </c>
      <c r="AD41" t="str">
        <f>IF(AND(AD23=Utilización!$F$82),("Inicio"),(IF(AND(AD23&gt;Utilización!$F$82,AD23&lt;=Utilización!$G$82),("En progreso"),(IF(AND(AD23&lt;Utilización!$F$82,AD23&lt;Utilización!$G$82),(""),(IF(AND(AD23&gt;Utilización!$F$82,AD23&gt;Utilización!$G$82),("Finalizado"),(""))))))))</f>
        <v/>
      </c>
      <c r="AE41" t="str">
        <f>IF(AND(AE23=Utilización!$F$82),("Inicio"),(IF(AND(AE23&gt;Utilización!$F$82,AE23&lt;=Utilización!$G$82),("En progreso"),(IF(AND(AE23&lt;Utilización!$F$82,AE23&lt;Utilización!$G$82),(""),(IF(AND(AE23&gt;Utilización!$F$82,AE23&gt;Utilización!$G$82),("Finalizado"),(""))))))))</f>
        <v/>
      </c>
      <c r="AF41" t="str">
        <f>IF(AND(AF23=Utilización!$F$82),("Inicio"),(IF(AND(AF23&gt;Utilización!$F$82,AF23&lt;=Utilización!$G$82),("En progreso"),(IF(AND(AF23&lt;Utilización!$F$82,AF23&lt;Utilización!$G$82),(""),(IF(AND(AF23&gt;Utilización!$F$82,AF23&gt;Utilización!$G$82),("Finalizado"),(""))))))))</f>
        <v/>
      </c>
      <c r="AG41" t="str">
        <f>IF(AND(AG23=Utilización!$F$82),("Inicio"),(IF(AND(AG23&gt;Utilización!$F$82,AG23&lt;=Utilización!$G$82),("En progreso"),(IF(AND(AG23&lt;Utilización!$F$82,AG23&lt;Utilización!$G$82),(""),(IF(AND(AG23&gt;Utilización!$F$82,AG23&gt;Utilización!$G$82),("Finalizado"),(""))))))))</f>
        <v/>
      </c>
      <c r="AH41" t="str">
        <f>IF(AND(AH23=Utilización!$F$82),("Inicio"),(IF(AND(AH23&gt;Utilización!$F$82,AH23&lt;=Utilización!$G$82),("En progreso"),(IF(AND(AH23&lt;Utilización!$F$82,AH23&lt;Utilización!$G$82),(""),(IF(AND(AH23&gt;Utilización!$F$82,AH23&gt;Utilización!$G$82),("Finalizado"),(""))))))))</f>
        <v/>
      </c>
      <c r="AI41" t="str">
        <f>IF(AND(AI23=Utilización!$F$82),("Inicio"),(IF(AND(AI23&gt;Utilización!$F$82,AI23&lt;=Utilización!$G$82),("En progreso"),(IF(AND(AI23&lt;Utilización!$F$82,AI23&lt;Utilización!$G$82),(""),(IF(AND(AI23&gt;Utilización!$F$82,AI23&gt;Utilización!$G$82),("Finalizado"),(""))))))))</f>
        <v/>
      </c>
      <c r="AJ41" t="str">
        <f>IF(AND(AJ23=Utilización!$F$82),("Inicio"),(IF(AND(AJ23&gt;Utilización!$F$82,AJ23&lt;=Utilización!$G$82),("En progreso"),(IF(AND(AJ23&lt;Utilización!$F$82,AJ23&lt;Utilización!$G$82),(""),(IF(AND(AJ23&gt;Utilización!$F$82,AJ23&gt;Utilización!$G$82),("Finalizado"),(""))))))))</f>
        <v/>
      </c>
      <c r="AK41" t="str">
        <f>IF(AND(AK23=Utilización!$F$82),("Inicio"),(IF(AND(AK23&gt;Utilización!$F$82,AK23&lt;=Utilización!$G$82),("En progreso"),(IF(AND(AK23&lt;Utilización!$F$82,AK23&lt;Utilización!$G$82),(""),(IF(AND(AK23&gt;Utilización!$F$82,AK23&gt;Utilización!$G$82),("Finalizado"),(""))))))))</f>
        <v/>
      </c>
      <c r="AL41" t="str">
        <f>IF(AND(AL23=Utilización!$F$82),("Inicio"),(IF(AND(AL23&gt;Utilización!$F$82,AL23&lt;=Utilización!$G$82),("En progreso"),(IF(AND(AL23&lt;Utilización!$F$82,AL23&lt;Utilización!$G$82),(""),(IF(AND(AL23&gt;Utilización!$F$82,AL23&gt;Utilización!$G$82),("Finalizado"),(""))))))))</f>
        <v/>
      </c>
      <c r="AM41" t="str">
        <f>IF(AND(AM23=Utilización!$F$82),("Inicio"),(IF(AND(AM23&gt;Utilización!$F$82,AM23&lt;=Utilización!$G$82),("En progreso"),(IF(AND(AM23&lt;Utilización!$F$82,AM23&lt;Utilización!$G$82),(""),(IF(AND(AM23&gt;Utilización!$F$82,AM23&gt;Utilización!$G$82),("Finalizado"),(""))))))))</f>
        <v/>
      </c>
      <c r="AN41" t="str">
        <f>IF(AND(AN23=Utilización!$F$82),("Inicio"),(IF(AND(AN23&gt;Utilización!$F$82,AN23&lt;=Utilización!$G$82),("En progreso"),(IF(AND(AN23&lt;Utilización!$F$82,AN23&lt;Utilización!$G$82),(""),(IF(AND(AN23&gt;Utilización!$F$82,AN23&gt;Utilización!$G$82),("Finalizado"),(""))))))))</f>
        <v/>
      </c>
      <c r="AO41" t="str">
        <f>IF(AND(AO23=Utilización!$F$82),("Inicio"),(IF(AND(AO23&gt;Utilización!$F$82,AO23&lt;=Utilización!$G$82),("En progreso"),(IF(AND(AO23&lt;Utilización!$F$82,AO23&lt;Utilización!$G$82),(""),(IF(AND(AO23&gt;Utilización!$F$82,AO23&gt;Utilización!$G$82),("Finalizado"),(""))))))))</f>
        <v/>
      </c>
      <c r="AP41" t="str">
        <f>IF(AND(AP23=Utilización!$F$82),("Inicio"),(IF(AND(AP23&gt;Utilización!$F$82,AP23&lt;=Utilización!$G$82),("En progreso"),(IF(AND(AP23&lt;Utilización!$F$82,AP23&lt;Utilización!$G$82),(""),(IF(AND(AP23&gt;Utilización!$F$82,AP23&gt;Utilización!$G$82),("Finalizado"),(""))))))))</f>
        <v/>
      </c>
      <c r="AQ41" t="str">
        <f>IF(AND(AQ23=Utilización!$F$82),("Inicio"),(IF(AND(AQ23&gt;Utilización!$F$82,AQ23&lt;=Utilización!$G$82),("En progreso"),(IF(AND(AQ23&lt;Utilización!$F$82,AQ23&lt;Utilización!$G$82),(""),(IF(AND(AQ23&gt;Utilización!$F$82,AQ23&gt;Utilización!$G$82),("Finalizado"),(""))))))))</f>
        <v/>
      </c>
      <c r="AR41" t="str">
        <f>IF(AND(AR23=Utilización!$F$82),("Inicio"),(IF(AND(AR23&gt;Utilización!$F$82,AR23&lt;=Utilización!$G$82),("En progreso"),(IF(AND(AR23&lt;Utilización!$F$82,AR23&lt;Utilización!$G$82),(""),(IF(AND(AR23&gt;Utilización!$F$82,AR23&gt;Utilización!$G$82),("Finalizado"),(""))))))))</f>
        <v/>
      </c>
      <c r="AS41" t="str">
        <f>IF(AND(AS23=Utilización!$F$82),("Inicio"),(IF(AND(AS23&gt;Utilización!$F$82,AS23&lt;=Utilización!$G$82),("En progreso"),(IF(AND(AS23&lt;Utilización!$F$82,AS23&lt;Utilización!$G$82),(""),(IF(AND(AS23&gt;Utilización!$F$82,AS23&gt;Utilización!$G$82),("Finalizado"),(""))))))))</f>
        <v/>
      </c>
      <c r="AT41" t="str">
        <f>IF(AND(AT23=Utilización!$F$82),("Inicio"),(IF(AND(AT23&gt;Utilización!$F$82,AT23&lt;=Utilización!$G$82),("En progreso"),(IF(AND(AT23&lt;Utilización!$F$82,AT23&lt;Utilización!$G$82),(""),(IF(AND(AT23&gt;Utilización!$F$82,AT23&gt;Utilización!$G$82),("Finalizado"),(""))))))))</f>
        <v/>
      </c>
      <c r="AU41" t="str">
        <f>IF(AND(AU23=Utilización!$F$82),("Inicio"),(IF(AND(AU23&gt;Utilización!$F$82,AU23&lt;=Utilización!$G$82),("En progreso"),(IF(AND(AU23&lt;Utilización!$F$82,AU23&lt;Utilización!$G$82),(""),(IF(AND(AU23&gt;Utilización!$F$82,AU23&gt;Utilización!$G$82),("Finalizado"),(""))))))))</f>
        <v/>
      </c>
      <c r="AV41" t="str">
        <f>IF(AND(AV23=Utilización!$F$82),("Inicio"),(IF(AND(AV23&gt;Utilización!$F$82,AV23&lt;=Utilización!$G$82),("En progreso"),(IF(AND(AV23&lt;Utilización!$F$82,AV23&lt;Utilización!$G$82),(""),(IF(AND(AV23&gt;Utilización!$F$82,AV23&gt;Utilización!$G$82),("Finalizado"),(""))))))))</f>
        <v/>
      </c>
    </row>
    <row r="42" spans="1:48" x14ac:dyDescent="0.25">
      <c r="A42" s="40" t="str">
        <f>Utilización!A30</f>
        <v>S</v>
      </c>
      <c r="D42" t="str">
        <f>IF(AND(D23=Utilización!$F$83),("Inicio"),(IF(AND(D23&gt;Utilización!$F$83,D23&lt;=Utilización!$G$83),("En progreso"),(IF(AND(D23&lt;Utilización!$F$83,D23&lt;Utilización!$G$83),(""),(IF(AND(D23&gt;Utilización!$F$83,D23&gt;Utilización!$G$83),("Finalizado"),(""))))))))</f>
        <v/>
      </c>
      <c r="E42" t="str">
        <f>IF(AND(E23=Utilización!$F$83),("Inicio"),(IF(AND(E23&gt;Utilización!$F$83,E23&lt;=Utilización!$G$83),("En progreso"),(IF(AND(E23&lt;Utilización!$F$83,E23&lt;Utilización!$G$83),(""),(IF(AND(E23&gt;Utilización!$F$83,E23&gt;Utilización!$G$83),("Finalizado"),(""))))))))</f>
        <v/>
      </c>
      <c r="F42" t="str">
        <f>IF(AND(F23=Utilización!$F$83),("Inicio"),(IF(AND(F23&gt;Utilización!$F$83,F23&lt;=Utilización!$G$83),("En progreso"),(IF(AND(F23&lt;Utilización!$F$83,F23&lt;Utilización!$G$83),(""),(IF(AND(F23&gt;Utilización!$F$83,F23&gt;Utilización!$G$83),("Finalizado"),(""))))))))</f>
        <v/>
      </c>
      <c r="G42" t="str">
        <f>IF(AND(G23=Utilización!$F$83),("Inicio"),(IF(AND(G23&gt;Utilización!$F$83,G23&lt;=Utilización!$G$83),("En progreso"),(IF(AND(G23&lt;Utilización!$F$83,G23&lt;Utilización!$G$83),(""),(IF(AND(G23&gt;Utilización!$F$83,G23&gt;Utilización!$G$83),("Finalizado"),(""))))))))</f>
        <v/>
      </c>
      <c r="H42" t="str">
        <f>IF(AND(H23=Utilización!$F$83),("Inicio"),(IF(AND(H23&gt;Utilización!$F$83,H23&lt;=Utilización!$G$83),("En progreso"),(IF(AND(H23&lt;Utilización!$F$83,H23&lt;Utilización!$G$83),(""),(IF(AND(H23&gt;Utilización!$F$83,H23&gt;Utilización!$G$83),("Finalizado"),(""))))))))</f>
        <v/>
      </c>
      <c r="I42" t="str">
        <f>IF(AND(I23=Utilización!$F$83),("Inicio"),(IF(AND(I23&gt;Utilización!$F$83,I23&lt;=Utilización!$G$83),("En progreso"),(IF(AND(I23&lt;Utilización!$F$83,I23&lt;Utilización!$G$83),(""),(IF(AND(I23&gt;Utilización!$F$83,I23&gt;Utilización!$G$83),("Finalizado"),(""))))))))</f>
        <v/>
      </c>
      <c r="J42" t="str">
        <f>IF(AND(J23=Utilización!$F$83),("Inicio"),(IF(AND(J23&gt;Utilización!$F$83,J23&lt;=Utilización!$G$83),("En progreso"),(IF(AND(J23&lt;Utilización!$F$83,J23&lt;Utilización!$G$83),(""),(IF(AND(J23&gt;Utilización!$F$83,J23&gt;Utilización!$G$83),("Finalizado"),(""))))))))</f>
        <v/>
      </c>
      <c r="K42" t="str">
        <f>IF(AND(K23=Utilización!$F$83),("Inicio"),(IF(AND(K23&gt;Utilización!$F$83,K23&lt;=Utilización!$G$83),("En progreso"),(IF(AND(K23&lt;Utilización!$F$83,K23&lt;Utilización!$G$83),(""),(IF(AND(K23&gt;Utilización!$F$83,K23&gt;Utilización!$G$83),("Finalizado"),(""))))))))</f>
        <v/>
      </c>
      <c r="L42" t="str">
        <f>IF(AND(L23=Utilización!$F$83),("Inicio"),(IF(AND(L23&gt;Utilización!$F$83,L23&lt;=Utilización!$G$83),("En progreso"),(IF(AND(L23&lt;Utilización!$F$83,L23&lt;Utilización!$G$83),(""),(IF(AND(L23&gt;Utilización!$F$83,L23&gt;Utilización!$G$83),("Finalizado"),(""))))))))</f>
        <v/>
      </c>
      <c r="M42" t="str">
        <f>IF(AND(M23=Utilización!$F$83),("Inicio"),(IF(AND(M23&gt;Utilización!$F$83,M23&lt;=Utilización!$G$83),("En progreso"),(IF(AND(M23&lt;Utilización!$F$83,M23&lt;Utilización!$G$83),(""),(IF(AND(M23&gt;Utilización!$F$83,M23&gt;Utilización!$G$83),("Finalizado"),(""))))))))</f>
        <v/>
      </c>
      <c r="N42" t="str">
        <f>IF(AND(N23=Utilización!$F$83),("Inicio"),(IF(AND(N23&gt;Utilización!$F$83,N23&lt;=Utilización!$G$83),("En progreso"),(IF(AND(N23&lt;Utilización!$F$83,N23&lt;Utilización!$G$83),(""),(IF(AND(N23&gt;Utilización!$F$83,N23&gt;Utilización!$G$83),("Finalizado"),(""))))))))</f>
        <v/>
      </c>
      <c r="O42" t="str">
        <f>IF(AND(O23=Utilización!$F$83),("Inicio"),(IF(AND(O23&gt;Utilización!$F$83,O23&lt;=Utilización!$G$83),("En progreso"),(IF(AND(O23&lt;Utilización!$F$83,O23&lt;Utilización!$G$83),(""),(IF(AND(O23&gt;Utilización!$F$83,O23&gt;Utilización!$G$83),("Finalizado"),(""))))))))</f>
        <v/>
      </c>
      <c r="P42" t="str">
        <f>IF(AND(P23=Utilización!$F$83),("Inicio"),(IF(AND(P23&gt;Utilización!$F$83,P23&lt;=Utilización!$G$83),("En progreso"),(IF(AND(P23&lt;Utilización!$F$83,P23&lt;Utilización!$G$83),(""),(IF(AND(P23&gt;Utilización!$F$83,P23&gt;Utilización!$G$83),("Finalizado"),(""))))))))</f>
        <v/>
      </c>
      <c r="Q42" t="str">
        <f>IF(AND(Q23=Utilización!$F$83),("Inicio"),(IF(AND(Q23&gt;Utilización!$F$83,Q23&lt;=Utilización!$G$83),("En progreso"),(IF(AND(Q23&lt;Utilización!$F$83,Q23&lt;Utilización!$G$83),(""),(IF(AND(Q23&gt;Utilización!$F$83,Q23&gt;Utilización!$G$83),("Finalizado"),(""))))))))</f>
        <v/>
      </c>
      <c r="R42" t="str">
        <f>IF(AND(R23=Utilización!$F$83),("Inicio"),(IF(AND(R23&gt;Utilización!$F$83,R23&lt;=Utilización!$G$83),("En progreso"),(IF(AND(R23&lt;Utilización!$F$83,R23&lt;Utilización!$G$83),(""),(IF(AND(R23&gt;Utilización!$F$83,R23&gt;Utilización!$G$83),("Finalizado"),(""))))))))</f>
        <v/>
      </c>
      <c r="S42" t="str">
        <f>IF(AND(S23=Utilización!$F$83),("Inicio"),(IF(AND(S23&gt;Utilización!$F$83,S23&lt;=Utilización!$G$83),("En progreso"),(IF(AND(S23&lt;Utilización!$F$83,S23&lt;Utilización!$G$83),(""),(IF(AND(S23&gt;Utilización!$F$83,S23&gt;Utilización!$G$83),("Finalizado"),(""))))))))</f>
        <v/>
      </c>
      <c r="T42" t="str">
        <f>IF(AND(T23=Utilización!$F$83),("Inicio"),(IF(AND(T23&gt;Utilización!$F$83,T23&lt;=Utilización!$G$83),("En progreso"),(IF(AND(T23&lt;Utilización!$F$83,T23&lt;Utilización!$G$83),(""),(IF(AND(T23&gt;Utilización!$F$83,T23&gt;Utilización!$G$83),("Finalizado"),(""))))))))</f>
        <v/>
      </c>
      <c r="U42" t="str">
        <f>IF(AND(U23=Utilización!$F$83),("Inicio"),(IF(AND(U23&gt;Utilización!$F$83,U23&lt;=Utilización!$G$83),("En progreso"),(IF(AND(U23&lt;Utilización!$F$83,U23&lt;Utilización!$G$83),(""),(IF(AND(U23&gt;Utilización!$F$83,U23&gt;Utilización!$G$83),("Finalizado"),(""))))))))</f>
        <v/>
      </c>
      <c r="V42" t="str">
        <f>IF(AND(V23=Utilización!$F$83),("Inicio"),(IF(AND(V23&gt;Utilización!$F$83,V23&lt;=Utilización!$G$83),("En progreso"),(IF(AND(V23&lt;Utilización!$F$83,V23&lt;Utilización!$G$83),(""),(IF(AND(V23&gt;Utilización!$F$83,V23&gt;Utilización!$G$83),("Finalizado"),(""))))))))</f>
        <v/>
      </c>
      <c r="W42" t="str">
        <f>IF(AND(W23=Utilización!$F$83),("Inicio"),(IF(AND(W23&gt;Utilización!$F$83,W23&lt;=Utilización!$G$83),("En progreso"),(IF(AND(W23&lt;Utilización!$F$83,W23&lt;Utilización!$G$83),(""),(IF(AND(W23&gt;Utilización!$F$83,W23&gt;Utilización!$G$83),("Finalizado"),(""))))))))</f>
        <v/>
      </c>
      <c r="X42" t="str">
        <f>IF(AND(X23=Utilización!$F$83),("Inicio"),(IF(AND(X23&gt;Utilización!$F$83,X23&lt;=Utilización!$G$83),("En progreso"),(IF(AND(X23&lt;Utilización!$F$83,X23&lt;Utilización!$G$83),(""),(IF(AND(X23&gt;Utilización!$F$83,X23&gt;Utilización!$G$83),("Finalizado"),(""))))))))</f>
        <v/>
      </c>
      <c r="Y42" t="str">
        <f>IF(AND(Y23=Utilización!$F$83),("Inicio"),(IF(AND(Y23&gt;Utilización!$F$83,Y23&lt;=Utilización!$G$83),("En progreso"),(IF(AND(Y23&lt;Utilización!$F$83,Y23&lt;Utilización!$G$83),(""),(IF(AND(Y23&gt;Utilización!$F$83,Y23&gt;Utilización!$G$83),("Finalizado"),(""))))))))</f>
        <v/>
      </c>
      <c r="Z42" t="str">
        <f>IF(AND(Z23=Utilización!$F$83),("Inicio"),(IF(AND(Z23&gt;Utilización!$F$83,Z23&lt;=Utilización!$G$83),("En progreso"),(IF(AND(Z23&lt;Utilización!$F$83,Z23&lt;Utilización!$G$83),(""),(IF(AND(Z23&gt;Utilización!$F$83,Z23&gt;Utilización!$G$83),("Finalizado"),(""))))))))</f>
        <v/>
      </c>
      <c r="AA42" t="str">
        <f>IF(AND(AA23=Utilización!$F$83),("Inicio"),(IF(AND(AA23&gt;Utilización!$F$83,AA23&lt;=Utilización!$G$83),("En progreso"),(IF(AND(AA23&lt;Utilización!$F$83,AA23&lt;Utilización!$G$83),(""),(IF(AND(AA23&gt;Utilización!$F$83,AA23&gt;Utilización!$G$83),("Finalizado"),(""))))))))</f>
        <v/>
      </c>
      <c r="AB42" t="str">
        <f>IF(AND(AB23=Utilización!$F$83),("Inicio"),(IF(AND(AB23&gt;Utilización!$F$83,AB23&lt;=Utilización!$G$83),("En progreso"),(IF(AND(AB23&lt;Utilización!$F$83,AB23&lt;Utilización!$G$83),(""),(IF(AND(AB23&gt;Utilización!$F$83,AB23&gt;Utilización!$G$83),("Finalizado"),(""))))))))</f>
        <v/>
      </c>
      <c r="AC42" t="str">
        <f>IF(AND(AC23=Utilización!$F$83),("Inicio"),(IF(AND(AC23&gt;Utilización!$F$83,AC23&lt;=Utilización!$G$83),("En progreso"),(IF(AND(AC23&lt;Utilización!$F$83,AC23&lt;Utilización!$G$83),(""),(IF(AND(AC23&gt;Utilización!$F$83,AC23&gt;Utilización!$G$83),("Finalizado"),(""))))))))</f>
        <v/>
      </c>
      <c r="AD42" t="str">
        <f>IF(AND(AD23=Utilización!$F$83),("Inicio"),(IF(AND(AD23&gt;Utilización!$F$83,AD23&lt;=Utilización!$G$83),("En progreso"),(IF(AND(AD23&lt;Utilización!$F$83,AD23&lt;Utilización!$G$83),(""),(IF(AND(AD23&gt;Utilización!$F$83,AD23&gt;Utilización!$G$83),("Finalizado"),(""))))))))</f>
        <v/>
      </c>
      <c r="AE42" t="str">
        <f>IF(AND(AE23=Utilización!$F$83),("Inicio"),(IF(AND(AE23&gt;Utilización!$F$83,AE23&lt;=Utilización!$G$83),("En progreso"),(IF(AND(AE23&lt;Utilización!$F$83,AE23&lt;Utilización!$G$83),(""),(IF(AND(AE23&gt;Utilización!$F$83,AE23&gt;Utilización!$G$83),("Finalizado"),(""))))))))</f>
        <v/>
      </c>
      <c r="AF42" t="str">
        <f>IF(AND(AF23=Utilización!$F$83),("Inicio"),(IF(AND(AF23&gt;Utilización!$F$83,AF23&lt;=Utilización!$G$83),("En progreso"),(IF(AND(AF23&lt;Utilización!$F$83,AF23&lt;Utilización!$G$83),(""),(IF(AND(AF23&gt;Utilización!$F$83,AF23&gt;Utilización!$G$83),("Finalizado"),(""))))))))</f>
        <v/>
      </c>
      <c r="AG42" t="str">
        <f>IF(AND(AG23=Utilización!$F$83),("Inicio"),(IF(AND(AG23&gt;Utilización!$F$83,AG23&lt;=Utilización!$G$83),("En progreso"),(IF(AND(AG23&lt;Utilización!$F$83,AG23&lt;Utilización!$G$83),(""),(IF(AND(AG23&gt;Utilización!$F$83,AG23&gt;Utilización!$G$83),("Finalizado"),(""))))))))</f>
        <v/>
      </c>
      <c r="AH42" t="str">
        <f>IF(AND(AH23=Utilización!$F$83),("Inicio"),(IF(AND(AH23&gt;Utilización!$F$83,AH23&lt;=Utilización!$G$83),("En progreso"),(IF(AND(AH23&lt;Utilización!$F$83,AH23&lt;Utilización!$G$83),(""),(IF(AND(AH23&gt;Utilización!$F$83,AH23&gt;Utilización!$G$83),("Finalizado"),(""))))))))</f>
        <v/>
      </c>
      <c r="AI42" t="str">
        <f>IF(AND(AI23=Utilización!$F$83),("Inicio"),(IF(AND(AI23&gt;Utilización!$F$83,AI23&lt;=Utilización!$G$83),("En progreso"),(IF(AND(AI23&lt;Utilización!$F$83,AI23&lt;Utilización!$G$83),(""),(IF(AND(AI23&gt;Utilización!$F$83,AI23&gt;Utilización!$G$83),("Finalizado"),(""))))))))</f>
        <v/>
      </c>
      <c r="AJ42" t="str">
        <f>IF(AND(AJ23=Utilización!$F$83),("Inicio"),(IF(AND(AJ23&gt;Utilización!$F$83,AJ23&lt;=Utilización!$G$83),("En progreso"),(IF(AND(AJ23&lt;Utilización!$F$83,AJ23&lt;Utilización!$G$83),(""),(IF(AND(AJ23&gt;Utilización!$F$83,AJ23&gt;Utilización!$G$83),("Finalizado"),(""))))))))</f>
        <v/>
      </c>
      <c r="AK42" t="str">
        <f>IF(AND(AK23=Utilización!$F$83),("Inicio"),(IF(AND(AK23&gt;Utilización!$F$83,AK23&lt;=Utilización!$G$83),("En progreso"),(IF(AND(AK23&lt;Utilización!$F$83,AK23&lt;Utilización!$G$83),(""),(IF(AND(AK23&gt;Utilización!$F$83,AK23&gt;Utilización!$G$83),("Finalizado"),(""))))))))</f>
        <v/>
      </c>
      <c r="AL42" t="str">
        <f>IF(AND(AL23=Utilización!$F$83),("Inicio"),(IF(AND(AL23&gt;Utilización!$F$83,AL23&lt;=Utilización!$G$83),("En progreso"),(IF(AND(AL23&lt;Utilización!$F$83,AL23&lt;Utilización!$G$83),(""),(IF(AND(AL23&gt;Utilización!$F$83,AL23&gt;Utilización!$G$83),("Finalizado"),(""))))))))</f>
        <v/>
      </c>
      <c r="AM42" t="str">
        <f>IF(AND(AM23=Utilización!$F$83),("Inicio"),(IF(AND(AM23&gt;Utilización!$F$83,AM23&lt;=Utilización!$G$83),("En progreso"),(IF(AND(AM23&lt;Utilización!$F$83,AM23&lt;Utilización!$G$83),(""),(IF(AND(AM23&gt;Utilización!$F$83,AM23&gt;Utilización!$G$83),("Finalizado"),(""))))))))</f>
        <v/>
      </c>
      <c r="AN42" t="str">
        <f>IF(AND(AN23=Utilización!$F$83),("Inicio"),(IF(AND(AN23&gt;Utilización!$F$83,AN23&lt;=Utilización!$G$83),("En progreso"),(IF(AND(AN23&lt;Utilización!$F$83,AN23&lt;Utilización!$G$83),(""),(IF(AND(AN23&gt;Utilización!$F$83,AN23&gt;Utilización!$G$83),("Finalizado"),(""))))))))</f>
        <v/>
      </c>
      <c r="AO42" t="str">
        <f>IF(AND(AO23=Utilización!$F$83),("Inicio"),(IF(AND(AO23&gt;Utilización!$F$83,AO23&lt;=Utilización!$G$83),("En progreso"),(IF(AND(AO23&lt;Utilización!$F$83,AO23&lt;Utilización!$G$83),(""),(IF(AND(AO23&gt;Utilización!$F$83,AO23&gt;Utilización!$G$83),("Finalizado"),(""))))))))</f>
        <v/>
      </c>
      <c r="AP42" t="str">
        <f>IF(AND(AP23=Utilización!$F$83),("Inicio"),(IF(AND(AP23&gt;Utilización!$F$83,AP23&lt;=Utilización!$G$83),("En progreso"),(IF(AND(AP23&lt;Utilización!$F$83,AP23&lt;Utilización!$G$83),(""),(IF(AND(AP23&gt;Utilización!$F$83,AP23&gt;Utilización!$G$83),("Finalizado"),(""))))))))</f>
        <v/>
      </c>
      <c r="AQ42" t="str">
        <f>IF(AND(AQ23=Utilización!$F$83),("Inicio"),(IF(AND(AQ23&gt;Utilización!$F$83,AQ23&lt;=Utilización!$G$83),("En progreso"),(IF(AND(AQ23&lt;Utilización!$F$83,AQ23&lt;Utilización!$G$83),(""),(IF(AND(AQ23&gt;Utilización!$F$83,AQ23&gt;Utilización!$G$83),("Finalizado"),(""))))))))</f>
        <v/>
      </c>
      <c r="AR42" t="str">
        <f>IF(AND(AR23=Utilización!$F$83),("Inicio"),(IF(AND(AR23&gt;Utilización!$F$83,AR23&lt;=Utilización!$G$83),("En progreso"),(IF(AND(AR23&lt;Utilización!$F$83,AR23&lt;Utilización!$G$83),(""),(IF(AND(AR23&gt;Utilización!$F$83,AR23&gt;Utilización!$G$83),("Finalizado"),(""))))))))</f>
        <v/>
      </c>
      <c r="AS42" t="str">
        <f>IF(AND(AS23=Utilización!$F$83),("Inicio"),(IF(AND(AS23&gt;Utilización!$F$83,AS23&lt;=Utilización!$G$83),("En progreso"),(IF(AND(AS23&lt;Utilización!$F$83,AS23&lt;Utilización!$G$83),(""),(IF(AND(AS23&gt;Utilización!$F$83,AS23&gt;Utilización!$G$83),("Finalizado"),(""))))))))</f>
        <v/>
      </c>
      <c r="AT42" t="str">
        <f>IF(AND(AT23=Utilización!$F$83),("Inicio"),(IF(AND(AT23&gt;Utilización!$F$83,AT23&lt;=Utilización!$G$83),("En progreso"),(IF(AND(AT23&lt;Utilización!$F$83,AT23&lt;Utilización!$G$83),(""),(IF(AND(AT23&gt;Utilización!$F$83,AT23&gt;Utilización!$G$83),("Finalizado"),(""))))))))</f>
        <v/>
      </c>
      <c r="AU42" t="str">
        <f>IF(AND(AU23=Utilización!$F$83),("Inicio"),(IF(AND(AU23&gt;Utilización!$F$83,AU23&lt;=Utilización!$G$83),("En progreso"),(IF(AND(AU23&lt;Utilización!$F$83,AU23&lt;Utilización!$G$83),(""),(IF(AND(AU23&gt;Utilización!$F$83,AU23&gt;Utilización!$G$83),("Finalizado"),(""))))))))</f>
        <v/>
      </c>
      <c r="AV42" t="str">
        <f>IF(AND(AV23=Utilización!$F$83),("Inicio"),(IF(AND(AV23&gt;Utilización!$F$83,AV23&lt;=Utilización!$G$83),("En progreso"),(IF(AND(AV23&lt;Utilización!$F$83,AV23&lt;Utilización!$G$83),(""),(IF(AND(AV23&gt;Utilización!$F$83,AV23&gt;Utilización!$G$83),("Finalizado"),(""))))))))</f>
        <v/>
      </c>
    </row>
    <row r="43" spans="1:48" s="36" customFormat="1" x14ac:dyDescent="0.25">
      <c r="A43" s="41"/>
    </row>
  </sheetData>
  <conditionalFormatting sqref="D24:AV40">
    <cfRule type="expression" dxfId="10" priority="10" stopIfTrue="1">
      <formula>$C24=$C$4</formula>
    </cfRule>
  </conditionalFormatting>
  <conditionalFormatting sqref="D24:AV40">
    <cfRule type="expression" dxfId="9" priority="9" stopIfTrue="1">
      <formula>$C24=$C$5</formula>
    </cfRule>
  </conditionalFormatting>
  <conditionalFormatting sqref="D24:AV40">
    <cfRule type="expression" dxfId="8" priority="6">
      <formula>$C24=$C$12</formula>
    </cfRule>
    <cfRule type="expression" dxfId="7" priority="7">
      <formula>$C24=$C$10</formula>
    </cfRule>
    <cfRule type="expression" dxfId="6" priority="8">
      <formula>$C24=$C$6</formula>
    </cfRule>
  </conditionalFormatting>
  <conditionalFormatting sqref="D24:AV40">
    <cfRule type="iconSet" priority="4">
      <iconSet>
        <cfvo type="percent" val="0"/>
        <cfvo type="num" val="0"/>
        <cfvo type="formula" val="&quot;&quot;&quot;En Progreso&quot;&quot;&quot;"/>
      </iconSet>
    </cfRule>
    <cfRule type="iconSet" priority="5">
      <iconSet iconSet="3Flags">
        <cfvo type="percent" val="0"/>
        <cfvo type="percent" val="33"/>
        <cfvo type="percent" val="67"/>
      </iconSet>
    </cfRule>
  </conditionalFormatting>
  <conditionalFormatting sqref="D24:Z43 AA24:AV42">
    <cfRule type="cellIs" dxfId="5" priority="1" operator="equal">
      <formula>"Finalizado"</formula>
    </cfRule>
    <cfRule type="cellIs" dxfId="4" priority="2" operator="equal">
      <formula>"En progreso"</formula>
    </cfRule>
    <cfRule type="cellIs" dxfId="3" priority="3" operator="equal">
      <formula>"Inicio"</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2" stopIfTrue="1" id="{5B5F8354-B079-475B-B925-C5750B1260F4}">
            <xm:f>$D24='\Documentos\Universidad\6to Cuatrimestre\Técnicas Cuantitativas\[Diagrama de Gantt.xlsx]Base de Datos'!#REF!</xm:f>
            <x14:dxf>
              <font>
                <b/>
                <i val="0"/>
                <color theme="0"/>
              </font>
            </x14:dxf>
          </x14:cfRule>
          <xm:sqref>D24:D40 D24:AV24 E25:AV40</xm:sqref>
        </x14:conditionalFormatting>
        <x14:conditionalFormatting xmlns:xm="http://schemas.microsoft.com/office/excel/2006/main">
          <x14:cfRule type="expression" priority="11" stopIfTrue="1" id="{617A7CF1-27E3-4FF4-975F-9FC46FD71762}">
            <xm:f>A17='\Documentos\Universidad\6to Cuatrimestre\Técnicas Cuantitativas\[Diagrama de Gantt.xlsx]Base de Datos'!#REF!</xm:f>
            <x14:dxf>
              <fill>
                <patternFill>
                  <bgColor theme="9"/>
                </patternFill>
              </fill>
            </x14:dxf>
          </x14:cfRule>
          <xm:sqref>D24:D26 D24:AV24 E25:AV26</xm:sqref>
        </x14:conditionalFormatting>
        <x14:conditionalFormatting xmlns:xm="http://schemas.microsoft.com/office/excel/2006/main">
          <x14:cfRule type="expression" priority="29" stopIfTrue="1" id="{617A7CF1-27E3-4FF4-975F-9FC46FD71762}">
            <xm:f>A24='\Documentos\Universidad\6to Cuatrimestre\Técnicas Cuantitativas\[Diagrama de Gantt.xlsx]Base de Datos'!#REF!</xm:f>
            <x14:dxf>
              <fill>
                <patternFill>
                  <bgColor theme="9"/>
                </patternFill>
              </fill>
            </x14:dxf>
          </x14:cfRule>
          <xm:sqref>D27:AV40</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Utilización</vt:lpstr>
      <vt:lpstr>Desarrollo de Redes</vt:lpstr>
      <vt:lpstr>Proyecto</vt:lpstr>
      <vt:lpstr>Precedencias</vt:lpstr>
      <vt:lpstr>Instructivo</vt:lpstr>
      <vt:lpstr>Base de Datos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dcterms:created xsi:type="dcterms:W3CDTF">2024-10-02T17:46:20Z</dcterms:created>
  <dcterms:modified xsi:type="dcterms:W3CDTF">2025-10-20T22:01:12Z</dcterms:modified>
</cp:coreProperties>
</file>