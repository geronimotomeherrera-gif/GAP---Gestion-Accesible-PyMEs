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D:\Estudio\Gerónimo Tomé Herrera\Ganancias\Ganancias para 2024 LUCIO\Puente Rafael\"/>
    </mc:Choice>
  </mc:AlternateContent>
  <xr:revisionPtr revIDLastSave="0" documentId="13_ncr:1_{5B08BE62-D216-4B40-B131-DB70A45D4B66}" xr6:coauthVersionLast="47" xr6:coauthVersionMax="47" xr10:uidLastSave="{00000000-0000-0000-0000-000000000000}"/>
  <bookViews>
    <workbookView xWindow="855" yWindow="-120" windowWidth="18465" windowHeight="15600" tabRatio="599" activeTab="1" xr2:uid="{00000000-000D-0000-FFFF-FFFF00000000}"/>
  </bookViews>
  <sheets>
    <sheet name="Interfaz" sheetId="26" r:id="rId1"/>
    <sheet name="DDJJ" sheetId="1" r:id="rId2"/>
    <sheet name="Ingresos-Egresos" sheetId="22" r:id="rId3"/>
    <sheet name="Sueldos" sheetId="23" r:id="rId4"/>
    <sheet name="Bienes" sheetId="25" r:id="rId5"/>
    <sheet name="Base de Datos" sheetId="24" r:id="rId6"/>
    <sheet name="anticipos nuevo calculo" sheetId="20" r:id="rId7"/>
    <sheet name="AXI" sheetId="17" r:id="rId8"/>
    <sheet name="valuacion ganado" sheetId="15" r:id="rId9"/>
    <sheet name="CCMA" sheetId="19" r:id="rId10"/>
    <sheet name="LIQ MEDICAS" sheetId="11" r:id="rId11"/>
    <sheet name="Biene Personales" sheetId="7" r:id="rId12"/>
  </sheets>
  <definedNames>
    <definedName name="_xlnm.Print_Area" localSheetId="1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3" i="1" l="1"/>
  <c r="D243" i="1"/>
  <c r="B243" i="1"/>
  <c r="B206" i="1"/>
  <c r="C206" i="1"/>
  <c r="D206" i="1"/>
  <c r="B207" i="1"/>
  <c r="C207" i="1"/>
  <c r="D207" i="1"/>
  <c r="B208" i="1"/>
  <c r="C208" i="1"/>
  <c r="D208" i="1"/>
  <c r="B209" i="1"/>
  <c r="C209" i="1"/>
  <c r="D209" i="1"/>
  <c r="B210" i="1"/>
  <c r="C210" i="1"/>
  <c r="D210" i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B221" i="1"/>
  <c r="C221" i="1"/>
  <c r="D221" i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B227" i="1"/>
  <c r="C227" i="1"/>
  <c r="D227" i="1"/>
  <c r="B228" i="1"/>
  <c r="C228" i="1"/>
  <c r="D228" i="1"/>
  <c r="B229" i="1"/>
  <c r="C229" i="1"/>
  <c r="D229" i="1"/>
  <c r="B230" i="1"/>
  <c r="C230" i="1"/>
  <c r="D230" i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B236" i="1"/>
  <c r="C236" i="1"/>
  <c r="D236" i="1"/>
  <c r="B237" i="1"/>
  <c r="C237" i="1"/>
  <c r="D237" i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C205" i="1"/>
  <c r="D205" i="1"/>
  <c r="B205" i="1"/>
  <c r="Z6" i="25"/>
  <c r="AA6" i="25"/>
  <c r="AB6" i="25"/>
  <c r="Z7" i="25"/>
  <c r="AA7" i="25"/>
  <c r="AB7" i="25"/>
  <c r="Z8" i="25"/>
  <c r="AA8" i="25"/>
  <c r="AB8" i="25"/>
  <c r="Z9" i="25"/>
  <c r="AA9" i="25"/>
  <c r="AB9" i="25"/>
  <c r="Z10" i="25"/>
  <c r="AA10" i="25"/>
  <c r="AB10" i="25"/>
  <c r="Z11" i="25"/>
  <c r="AA11" i="25"/>
  <c r="AB11" i="25"/>
  <c r="Z12" i="25"/>
  <c r="AA12" i="25"/>
  <c r="AB12" i="25"/>
  <c r="Z13" i="25"/>
  <c r="AA13" i="25"/>
  <c r="AB13" i="25"/>
  <c r="Z14" i="25"/>
  <c r="AA14" i="25"/>
  <c r="AB14" i="25"/>
  <c r="Z15" i="25"/>
  <c r="AA15" i="25"/>
  <c r="AB15" i="25"/>
  <c r="Z16" i="25"/>
  <c r="AA16" i="25"/>
  <c r="AB16" i="25"/>
  <c r="Z17" i="25"/>
  <c r="AA17" i="25"/>
  <c r="AB17" i="25"/>
  <c r="Z18" i="25"/>
  <c r="AA18" i="25"/>
  <c r="AB18" i="25"/>
  <c r="Z19" i="25"/>
  <c r="AA19" i="25"/>
  <c r="AB19" i="25"/>
  <c r="Z20" i="25"/>
  <c r="AA20" i="25"/>
  <c r="AB20" i="25"/>
  <c r="Z21" i="25"/>
  <c r="AA21" i="25"/>
  <c r="AB21" i="25"/>
  <c r="Z22" i="25"/>
  <c r="AA22" i="25"/>
  <c r="AB22" i="25"/>
  <c r="Z23" i="25"/>
  <c r="AA23" i="25"/>
  <c r="AB23" i="25"/>
  <c r="Z24" i="25"/>
  <c r="AA24" i="25"/>
  <c r="AB24" i="25"/>
  <c r="Z25" i="25"/>
  <c r="AA25" i="25"/>
  <c r="AB25" i="25"/>
  <c r="Z26" i="25"/>
  <c r="AA26" i="25"/>
  <c r="AB26" i="25"/>
  <c r="Z27" i="25"/>
  <c r="AA27" i="25"/>
  <c r="AB27" i="25"/>
  <c r="Z28" i="25"/>
  <c r="AA28" i="25"/>
  <c r="AB28" i="25"/>
  <c r="Z29" i="25"/>
  <c r="AA29" i="25"/>
  <c r="AB29" i="25"/>
  <c r="Z30" i="25"/>
  <c r="AA30" i="25"/>
  <c r="AB30" i="25"/>
  <c r="Z31" i="25"/>
  <c r="AA31" i="25"/>
  <c r="AB31" i="25"/>
  <c r="Z32" i="25"/>
  <c r="AA32" i="25"/>
  <c r="AB32" i="25"/>
  <c r="Z33" i="25"/>
  <c r="AA33" i="25"/>
  <c r="AB33" i="25"/>
  <c r="Z34" i="25"/>
  <c r="AA34" i="25"/>
  <c r="AB34" i="25"/>
  <c r="Z35" i="25"/>
  <c r="AA35" i="25"/>
  <c r="AB35" i="25"/>
  <c r="Z36" i="25"/>
  <c r="AA36" i="25"/>
  <c r="AB36" i="25"/>
  <c r="Z37" i="25"/>
  <c r="AA37" i="25"/>
  <c r="AB37" i="25"/>
  <c r="Z38" i="25"/>
  <c r="AA38" i="25"/>
  <c r="AB38" i="25"/>
  <c r="Z39" i="25"/>
  <c r="AA39" i="25"/>
  <c r="AB39" i="25"/>
  <c r="Z40" i="25"/>
  <c r="AA40" i="25"/>
  <c r="AB40" i="25"/>
  <c r="Z41" i="25"/>
  <c r="AA41" i="25"/>
  <c r="AB41" i="25"/>
  <c r="Z42" i="25"/>
  <c r="AA42" i="25"/>
  <c r="AB42" i="25"/>
  <c r="Z43" i="25"/>
  <c r="AA43" i="25"/>
  <c r="AB43" i="25"/>
  <c r="Z44" i="25"/>
  <c r="AA44" i="25"/>
  <c r="AB44" i="25"/>
  <c r="Z45" i="25"/>
  <c r="AA45" i="25"/>
  <c r="AB45" i="25"/>
  <c r="Z46" i="25"/>
  <c r="AA46" i="25"/>
  <c r="AB46" i="25"/>
  <c r="Z47" i="25"/>
  <c r="AA47" i="25"/>
  <c r="AB47" i="25"/>
  <c r="Z48" i="25"/>
  <c r="AA48" i="25"/>
  <c r="AB48" i="25"/>
  <c r="Z49" i="25"/>
  <c r="AA49" i="25"/>
  <c r="AB49" i="25"/>
  <c r="Z50" i="25"/>
  <c r="AA50" i="25"/>
  <c r="AB50" i="25"/>
  <c r="Z51" i="25"/>
  <c r="AA51" i="25"/>
  <c r="AB51" i="25"/>
  <c r="Z52" i="25"/>
  <c r="AA52" i="25"/>
  <c r="AB52" i="25"/>
  <c r="AB5" i="25"/>
  <c r="AA5" i="25"/>
  <c r="Z5" i="25"/>
  <c r="T51" i="25"/>
  <c r="T52" i="25"/>
  <c r="T50" i="25"/>
  <c r="V48" i="25"/>
  <c r="V49" i="25"/>
  <c r="V47" i="25"/>
  <c r="U48" i="25"/>
  <c r="U49" i="25"/>
  <c r="U50" i="25"/>
  <c r="V50" i="25" s="1"/>
  <c r="U51" i="25"/>
  <c r="V51" i="25" s="1"/>
  <c r="U52" i="25"/>
  <c r="V52" i="25" s="1"/>
  <c r="T48" i="25"/>
  <c r="T49" i="25"/>
  <c r="T47" i="25"/>
  <c r="U41" i="25"/>
  <c r="U42" i="25"/>
  <c r="U43" i="25"/>
  <c r="U44" i="25"/>
  <c r="U45" i="25"/>
  <c r="U46" i="25"/>
  <c r="V41" i="25"/>
  <c r="V42" i="25"/>
  <c r="V43" i="25"/>
  <c r="V44" i="25"/>
  <c r="V45" i="25"/>
  <c r="V46" i="25"/>
  <c r="U36" i="25"/>
  <c r="V36" i="25" s="1"/>
  <c r="U37" i="25"/>
  <c r="V37" i="25" s="1"/>
  <c r="U38" i="25"/>
  <c r="V38" i="25" s="1"/>
  <c r="U39" i="25"/>
  <c r="V39" i="25" s="1"/>
  <c r="U40" i="25"/>
  <c r="V40" i="25" s="1"/>
  <c r="U35" i="25"/>
  <c r="V35" i="25" s="1"/>
  <c r="T42" i="25"/>
  <c r="T43" i="25"/>
  <c r="T44" i="25"/>
  <c r="T45" i="25"/>
  <c r="T46" i="25"/>
  <c r="T41" i="25"/>
  <c r="T36" i="25"/>
  <c r="T37" i="25"/>
  <c r="T38" i="25"/>
  <c r="T39" i="25"/>
  <c r="T40" i="25"/>
  <c r="T35" i="25"/>
  <c r="U30" i="25"/>
  <c r="U31" i="25"/>
  <c r="U32" i="25"/>
  <c r="U33" i="25"/>
  <c r="U34" i="25"/>
  <c r="U29" i="25"/>
  <c r="V33" i="25"/>
  <c r="V34" i="25"/>
  <c r="V32" i="25"/>
  <c r="V30" i="25"/>
  <c r="V31" i="25"/>
  <c r="V29" i="25"/>
  <c r="T33" i="25"/>
  <c r="T34" i="25"/>
  <c r="T32" i="25"/>
  <c r="T30" i="25"/>
  <c r="T31" i="25"/>
  <c r="T29" i="25"/>
  <c r="U24" i="25"/>
  <c r="U25" i="25"/>
  <c r="U26" i="25"/>
  <c r="U27" i="25"/>
  <c r="U28" i="25"/>
  <c r="U23" i="25"/>
  <c r="V27" i="25"/>
  <c r="V28" i="25"/>
  <c r="V26" i="25"/>
  <c r="V24" i="25"/>
  <c r="V25" i="25"/>
  <c r="V23" i="25"/>
  <c r="T27" i="25"/>
  <c r="T28" i="25"/>
  <c r="T26" i="25"/>
  <c r="T24" i="25"/>
  <c r="T25" i="25"/>
  <c r="T23" i="25"/>
  <c r="R21" i="25"/>
  <c r="R22" i="25"/>
  <c r="S21" i="25"/>
  <c r="S22" i="25"/>
  <c r="T21" i="25"/>
  <c r="T22" i="25"/>
  <c r="U21" i="25"/>
  <c r="U22" i="25"/>
  <c r="V21" i="25"/>
  <c r="V22" i="25"/>
  <c r="V20" i="25"/>
  <c r="T20" i="25"/>
  <c r="S20" i="25"/>
  <c r="R20" i="25"/>
  <c r="U18" i="25"/>
  <c r="U19" i="25"/>
  <c r="U17" i="25"/>
  <c r="V18" i="25"/>
  <c r="V19" i="25"/>
  <c r="T18" i="25"/>
  <c r="T19" i="25"/>
  <c r="T17" i="25"/>
  <c r="V17" i="25"/>
  <c r="U11" i="25"/>
  <c r="T16" i="25"/>
  <c r="T15" i="25"/>
  <c r="T14" i="25"/>
  <c r="T13" i="25"/>
  <c r="T12" i="25"/>
  <c r="T11" i="25"/>
  <c r="V11" i="25" s="1"/>
  <c r="V10" i="25"/>
  <c r="U10" i="25"/>
  <c r="T10" i="25"/>
  <c r="V9" i="25"/>
  <c r="U9" i="25"/>
  <c r="T9" i="25"/>
  <c r="V8" i="25"/>
  <c r="U8" i="25"/>
  <c r="T8" i="25"/>
  <c r="V7" i="25"/>
  <c r="U7" i="25"/>
  <c r="T7" i="25"/>
  <c r="V6" i="25"/>
  <c r="U6" i="25"/>
  <c r="T6" i="25"/>
  <c r="V5" i="25"/>
  <c r="U5" i="25"/>
  <c r="T5" i="25"/>
  <c r="Y9" i="25"/>
  <c r="A209" i="1" s="1"/>
  <c r="Y10" i="25"/>
  <c r="A210" i="1" s="1"/>
  <c r="Y11" i="25"/>
  <c r="A211" i="1" s="1"/>
  <c r="Y12" i="25"/>
  <c r="A212" i="1" s="1"/>
  <c r="Y13" i="25"/>
  <c r="A213" i="1" s="1"/>
  <c r="Y14" i="25"/>
  <c r="A214" i="1" s="1"/>
  <c r="Y15" i="25"/>
  <c r="A215" i="1" s="1"/>
  <c r="Y16" i="25"/>
  <c r="A216" i="1" s="1"/>
  <c r="Y17" i="25"/>
  <c r="A217" i="1" s="1"/>
  <c r="Y18" i="25"/>
  <c r="A218" i="1" s="1"/>
  <c r="Y19" i="25"/>
  <c r="A219" i="1" s="1"/>
  <c r="Y20" i="25"/>
  <c r="A220" i="1" s="1"/>
  <c r="Y21" i="25"/>
  <c r="A221" i="1" s="1"/>
  <c r="Y22" i="25"/>
  <c r="A222" i="1" s="1"/>
  <c r="Y23" i="25"/>
  <c r="A223" i="1" s="1"/>
  <c r="Y24" i="25"/>
  <c r="A224" i="1" s="1"/>
  <c r="Y25" i="25"/>
  <c r="A225" i="1" s="1"/>
  <c r="Y26" i="25"/>
  <c r="A226" i="1" s="1"/>
  <c r="Y27" i="25"/>
  <c r="A227" i="1" s="1"/>
  <c r="Y28" i="25"/>
  <c r="A228" i="1" s="1"/>
  <c r="Y29" i="25"/>
  <c r="A229" i="1" s="1"/>
  <c r="Y30" i="25"/>
  <c r="A230" i="1" s="1"/>
  <c r="Y31" i="25"/>
  <c r="A231" i="1" s="1"/>
  <c r="Y32" i="25"/>
  <c r="A232" i="1" s="1"/>
  <c r="Y33" i="25"/>
  <c r="A233" i="1" s="1"/>
  <c r="Y34" i="25"/>
  <c r="A234" i="1" s="1"/>
  <c r="Y35" i="25"/>
  <c r="A235" i="1" s="1"/>
  <c r="Y36" i="25"/>
  <c r="A236" i="1" s="1"/>
  <c r="Y37" i="25"/>
  <c r="A237" i="1" s="1"/>
  <c r="Y38" i="25"/>
  <c r="A238" i="1" s="1"/>
  <c r="Y39" i="25"/>
  <c r="A239" i="1" s="1"/>
  <c r="Y40" i="25"/>
  <c r="A240" i="1" s="1"/>
  <c r="Y41" i="25"/>
  <c r="A241" i="1" s="1"/>
  <c r="Y42" i="25"/>
  <c r="A242" i="1" s="1"/>
  <c r="Y43" i="25"/>
  <c r="Y44" i="25"/>
  <c r="Y45" i="25"/>
  <c r="Y46" i="25"/>
  <c r="Y47" i="25"/>
  <c r="Y48" i="25"/>
  <c r="Y49" i="25"/>
  <c r="Y50" i="25"/>
  <c r="Y51" i="25"/>
  <c r="Y52" i="25"/>
  <c r="Q21" i="25"/>
  <c r="Q22" i="25"/>
  <c r="Q20" i="25"/>
  <c r="Q18" i="25"/>
  <c r="Q19" i="25"/>
  <c r="Q17" i="25"/>
  <c r="Q51" i="25"/>
  <c r="Q52" i="25"/>
  <c r="Q50" i="25"/>
  <c r="Q48" i="25"/>
  <c r="Q49" i="25"/>
  <c r="Q47" i="25"/>
  <c r="Q33" i="25"/>
  <c r="Q34" i="25"/>
  <c r="Q32" i="25"/>
  <c r="Q30" i="25"/>
  <c r="Q31" i="25"/>
  <c r="Q29" i="25"/>
  <c r="C31" i="25"/>
  <c r="Q35" i="25"/>
  <c r="K20" i="25"/>
  <c r="Q27" i="25" s="1"/>
  <c r="R27" i="25" s="1"/>
  <c r="K21" i="25"/>
  <c r="Q28" i="25" s="1"/>
  <c r="R28" i="25" s="1"/>
  <c r="K19" i="25"/>
  <c r="Q26" i="25" s="1"/>
  <c r="R26" i="25" s="1"/>
  <c r="C19" i="25"/>
  <c r="Q23" i="25" s="1"/>
  <c r="R23" i="25" s="1"/>
  <c r="C21" i="25"/>
  <c r="Q25" i="25" s="1"/>
  <c r="R25" i="25" s="1"/>
  <c r="C20" i="25"/>
  <c r="Q24" i="25" s="1"/>
  <c r="R24" i="25" s="1"/>
  <c r="K36" i="25"/>
  <c r="Q46" i="25" s="1"/>
  <c r="K35" i="25"/>
  <c r="Q45" i="25" s="1"/>
  <c r="K34" i="25"/>
  <c r="Q44" i="25" s="1"/>
  <c r="K33" i="25"/>
  <c r="Q43" i="25" s="1"/>
  <c r="K32" i="25"/>
  <c r="Q42" i="25" s="1"/>
  <c r="K31" i="25"/>
  <c r="Q41" i="25" s="1"/>
  <c r="C36" i="25"/>
  <c r="Q40" i="25" s="1"/>
  <c r="C35" i="25"/>
  <c r="Q39" i="25" s="1"/>
  <c r="C34" i="25"/>
  <c r="Q38" i="25" s="1"/>
  <c r="C33" i="25"/>
  <c r="Q37" i="25" s="1"/>
  <c r="C32" i="25"/>
  <c r="Q36" i="25" s="1"/>
  <c r="K8" i="25"/>
  <c r="Q13" i="25" s="1"/>
  <c r="R13" i="25" s="1"/>
  <c r="S13" i="25" s="1"/>
  <c r="K9" i="25"/>
  <c r="Q14" i="25" s="1"/>
  <c r="R14" i="25" s="1"/>
  <c r="S14" i="25" s="1"/>
  <c r="K10" i="25"/>
  <c r="Q15" i="25" s="1"/>
  <c r="R15" i="25" s="1"/>
  <c r="S15" i="25" s="1"/>
  <c r="K11" i="25"/>
  <c r="Q16" i="25" s="1"/>
  <c r="R16" i="25" s="1"/>
  <c r="S16" i="25" s="1"/>
  <c r="K7" i="25"/>
  <c r="Q12" i="25" s="1"/>
  <c r="R12" i="25" s="1"/>
  <c r="S12" i="25" s="1"/>
  <c r="K6" i="25"/>
  <c r="Q11" i="25" s="1"/>
  <c r="R11" i="25" s="1"/>
  <c r="S11" i="25" s="1"/>
  <c r="C8" i="25"/>
  <c r="Q7" i="25" s="1"/>
  <c r="C9" i="25"/>
  <c r="Q8" i="25" s="1"/>
  <c r="C10" i="25"/>
  <c r="Q9" i="25" s="1"/>
  <c r="C11" i="25"/>
  <c r="Q10" i="25" s="1"/>
  <c r="C7" i="25"/>
  <c r="Q6" i="25" s="1"/>
  <c r="C6" i="25"/>
  <c r="P41" i="25"/>
  <c r="H41" i="25"/>
  <c r="P40" i="25"/>
  <c r="H40" i="25"/>
  <c r="P39" i="25"/>
  <c r="P16" i="25"/>
  <c r="P15" i="25"/>
  <c r="P14" i="25"/>
  <c r="H15" i="25"/>
  <c r="H16" i="25"/>
  <c r="P7" i="25"/>
  <c r="P8" i="25"/>
  <c r="P9" i="25"/>
  <c r="P10" i="25"/>
  <c r="P11" i="25"/>
  <c r="P6" i="25"/>
  <c r="H7" i="25"/>
  <c r="H8" i="25"/>
  <c r="H9" i="25"/>
  <c r="H10" i="25"/>
  <c r="H11" i="25"/>
  <c r="C77" i="1"/>
  <c r="C76" i="1"/>
  <c r="D110" i="1"/>
  <c r="B122" i="1" s="1"/>
  <c r="B45" i="1"/>
  <c r="C45" i="1"/>
  <c r="D42" i="1"/>
  <c r="D43" i="1"/>
  <c r="D44" i="1"/>
  <c r="D41" i="1"/>
  <c r="D45" i="1"/>
  <c r="B133" i="1"/>
  <c r="C2" i="25"/>
  <c r="A2" i="25"/>
  <c r="E52" i="25"/>
  <c r="E53" i="25"/>
  <c r="D52" i="25"/>
  <c r="E49" i="25"/>
  <c r="E48" i="25"/>
  <c r="E47" i="25"/>
  <c r="D49" i="25"/>
  <c r="D48" i="25"/>
  <c r="D46" i="25"/>
  <c r="B53" i="25"/>
  <c r="B52" i="25"/>
  <c r="A51" i="25"/>
  <c r="B49" i="25"/>
  <c r="B48" i="25"/>
  <c r="B47" i="25"/>
  <c r="B46" i="25"/>
  <c r="A45" i="25"/>
  <c r="G19" i="22"/>
  <c r="G16" i="22"/>
  <c r="I77" i="19"/>
  <c r="J77" i="19"/>
  <c r="K77" i="19"/>
  <c r="U2" i="19"/>
  <c r="U4" i="19"/>
  <c r="U6" i="19"/>
  <c r="U7" i="19"/>
  <c r="U9" i="19"/>
  <c r="U11" i="19"/>
  <c r="U12" i="19"/>
  <c r="U14" i="19"/>
  <c r="U16" i="19"/>
  <c r="U17" i="19"/>
  <c r="U19" i="19"/>
  <c r="U21" i="19"/>
  <c r="U22" i="19"/>
  <c r="U24" i="19"/>
  <c r="U26" i="19"/>
  <c r="U27" i="19"/>
  <c r="U29" i="19"/>
  <c r="U31" i="19"/>
  <c r="U32" i="19"/>
  <c r="U34" i="19"/>
  <c r="U36" i="19"/>
  <c r="U37" i="19"/>
  <c r="U39" i="19"/>
  <c r="U41" i="19"/>
  <c r="U42" i="19"/>
  <c r="U44" i="19"/>
  <c r="U46" i="19"/>
  <c r="U48" i="19"/>
  <c r="U50" i="19"/>
  <c r="U51" i="19"/>
  <c r="U53" i="19"/>
  <c r="U55" i="19"/>
  <c r="U56" i="19"/>
  <c r="U58" i="19"/>
  <c r="U60" i="19"/>
  <c r="U61" i="19"/>
  <c r="U63" i="19"/>
  <c r="U65" i="19"/>
  <c r="U67" i="19"/>
  <c r="U69" i="19"/>
  <c r="U71" i="19"/>
  <c r="U73" i="19"/>
  <c r="U75" i="19"/>
  <c r="U77" i="19"/>
  <c r="C97" i="1"/>
  <c r="C87" i="1"/>
  <c r="C95" i="1"/>
  <c r="C91" i="1"/>
  <c r="C90" i="1"/>
  <c r="C72" i="1"/>
  <c r="B67" i="1"/>
  <c r="B64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C50" i="1"/>
  <c r="C62" i="1"/>
  <c r="D50" i="1"/>
  <c r="D62" i="1"/>
  <c r="B50" i="1"/>
  <c r="B62" i="1"/>
  <c r="E49" i="1"/>
  <c r="C49" i="1"/>
  <c r="D49" i="1"/>
  <c r="B49" i="1"/>
  <c r="F11" i="22"/>
  <c r="G142" i="22"/>
  <c r="E142" i="22"/>
  <c r="G110" i="22"/>
  <c r="F110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65" i="22"/>
  <c r="F47" i="22"/>
  <c r="G47" i="22"/>
  <c r="C5" i="24"/>
  <c r="C6" i="24"/>
  <c r="C7" i="24"/>
  <c r="C8" i="24"/>
  <c r="C9" i="24"/>
  <c r="C33" i="23"/>
  <c r="B33" i="23"/>
  <c r="C78" i="1"/>
  <c r="H16" i="23"/>
  <c r="G16" i="23"/>
  <c r="F16" i="23"/>
  <c r="E16" i="23"/>
  <c r="D16" i="23"/>
  <c r="C16" i="23"/>
  <c r="B16" i="23"/>
  <c r="J15" i="23"/>
  <c r="I15" i="23"/>
  <c r="J14" i="23"/>
  <c r="I14" i="23"/>
  <c r="J13" i="23"/>
  <c r="I13" i="23"/>
  <c r="J12" i="23"/>
  <c r="I12" i="23"/>
  <c r="J11" i="23"/>
  <c r="I11" i="23"/>
  <c r="J10" i="23"/>
  <c r="I10" i="23"/>
  <c r="J9" i="23"/>
  <c r="I9" i="23"/>
  <c r="J8" i="23"/>
  <c r="I8" i="23"/>
  <c r="J7" i="23"/>
  <c r="I7" i="23"/>
  <c r="J6" i="23"/>
  <c r="I6" i="23"/>
  <c r="J5" i="23"/>
  <c r="I5" i="23"/>
  <c r="J4" i="23"/>
  <c r="I4" i="23"/>
  <c r="I154" i="22"/>
  <c r="H154" i="22"/>
  <c r="G154" i="22"/>
  <c r="F154" i="22"/>
  <c r="E154" i="22"/>
  <c r="D154" i="22"/>
  <c r="C154" i="22"/>
  <c r="B154" i="22"/>
  <c r="A154" i="22"/>
  <c r="C142" i="22"/>
  <c r="B142" i="22"/>
  <c r="K137" i="22"/>
  <c r="K143" i="22"/>
  <c r="J137" i="22"/>
  <c r="J143" i="22"/>
  <c r="I137" i="22"/>
  <c r="I143" i="22"/>
  <c r="H137" i="22"/>
  <c r="H143" i="22"/>
  <c r="G137" i="22"/>
  <c r="G143" i="22"/>
  <c r="F137" i="22"/>
  <c r="F143" i="22"/>
  <c r="E137" i="22"/>
  <c r="E143" i="22"/>
  <c r="C109" i="22"/>
  <c r="B109" i="22"/>
  <c r="H90" i="22"/>
  <c r="G90" i="22"/>
  <c r="C90" i="22"/>
  <c r="C46" i="22"/>
  <c r="B46" i="22"/>
  <c r="K23" i="22"/>
  <c r="B28" i="22"/>
  <c r="I23" i="22"/>
  <c r="H23" i="22"/>
  <c r="G23" i="22"/>
  <c r="E23" i="22"/>
  <c r="D23" i="22"/>
  <c r="C23" i="22"/>
  <c r="B23" i="22"/>
  <c r="J22" i="22"/>
  <c r="F22" i="22"/>
  <c r="J21" i="22"/>
  <c r="F21" i="22"/>
  <c r="J20" i="22"/>
  <c r="F20" i="22"/>
  <c r="J19" i="22"/>
  <c r="F19" i="22"/>
  <c r="J18" i="22"/>
  <c r="F18" i="22"/>
  <c r="J17" i="22"/>
  <c r="F17" i="22"/>
  <c r="J16" i="22"/>
  <c r="F16" i="22"/>
  <c r="J15" i="22"/>
  <c r="F15" i="22"/>
  <c r="J14" i="22"/>
  <c r="F14" i="22"/>
  <c r="J13" i="22"/>
  <c r="F13" i="22"/>
  <c r="J12" i="22"/>
  <c r="F12" i="22"/>
  <c r="J11" i="22"/>
  <c r="J23" i="22"/>
  <c r="B27" i="22"/>
  <c r="F23" i="22"/>
  <c r="B26" i="22"/>
  <c r="E62" i="1"/>
  <c r="B114" i="1" s="1"/>
  <c r="E61" i="1"/>
  <c r="E60" i="1"/>
  <c r="E59" i="1"/>
  <c r="E58" i="1"/>
  <c r="E57" i="1"/>
  <c r="E56" i="1"/>
  <c r="E55" i="1"/>
  <c r="E54" i="1"/>
  <c r="E53" i="1"/>
  <c r="E52" i="1"/>
  <c r="E51" i="1"/>
  <c r="E50" i="1"/>
  <c r="B19" i="1"/>
  <c r="C18" i="1"/>
  <c r="D165" i="1"/>
  <c r="I16" i="11"/>
  <c r="C178" i="1"/>
  <c r="B178" i="1"/>
  <c r="C31" i="7"/>
  <c r="C38" i="7"/>
  <c r="C49" i="7"/>
  <c r="C51" i="7"/>
  <c r="C53" i="7"/>
  <c r="C57" i="7"/>
  <c r="C63" i="7"/>
  <c r="C65" i="7"/>
  <c r="L4" i="11"/>
  <c r="L5" i="11"/>
  <c r="L6" i="11"/>
  <c r="L7" i="11"/>
  <c r="L8" i="11"/>
  <c r="L9" i="11"/>
  <c r="L10" i="11"/>
  <c r="L11" i="11"/>
  <c r="L12" i="11"/>
  <c r="L13" i="11"/>
  <c r="L14" i="11"/>
  <c r="L15" i="11"/>
  <c r="B16" i="11"/>
  <c r="E16" i="11"/>
  <c r="F16" i="11"/>
  <c r="G16" i="11"/>
  <c r="H16" i="11"/>
  <c r="J16" i="11"/>
  <c r="K16" i="11"/>
  <c r="L16" i="11"/>
  <c r="F6" i="15"/>
  <c r="K6" i="15"/>
  <c r="L6" i="15"/>
  <c r="C10" i="15"/>
  <c r="D10" i="15"/>
  <c r="I10" i="15"/>
  <c r="J10" i="15"/>
  <c r="E17" i="15"/>
  <c r="K17" i="15"/>
  <c r="E18" i="15"/>
  <c r="K18" i="15"/>
  <c r="E19" i="15"/>
  <c r="K19" i="15"/>
  <c r="E20" i="15"/>
  <c r="K20" i="15"/>
  <c r="C21" i="15"/>
  <c r="E21" i="15"/>
  <c r="I21" i="15"/>
  <c r="K21" i="15"/>
  <c r="C30" i="15"/>
  <c r="D30" i="15"/>
  <c r="I30" i="15"/>
  <c r="J30" i="15"/>
  <c r="K30" i="15"/>
  <c r="C31" i="15"/>
  <c r="D31" i="15"/>
  <c r="E31" i="15"/>
  <c r="I31" i="15"/>
  <c r="J31" i="15"/>
  <c r="K31" i="15"/>
  <c r="C32" i="15"/>
  <c r="D32" i="15"/>
  <c r="E32" i="15"/>
  <c r="I32" i="15"/>
  <c r="J32" i="15"/>
  <c r="K32" i="15"/>
  <c r="C33" i="15"/>
  <c r="D33" i="15"/>
  <c r="E33" i="15"/>
  <c r="I33" i="15"/>
  <c r="J33" i="15"/>
  <c r="K33" i="15"/>
  <c r="C34" i="15"/>
  <c r="E34" i="15"/>
  <c r="I34" i="15"/>
  <c r="K34" i="15"/>
  <c r="D6" i="17"/>
  <c r="D7" i="17"/>
  <c r="L7" i="17"/>
  <c r="L8" i="17"/>
  <c r="L9" i="17"/>
  <c r="L10" i="17"/>
  <c r="L11" i="17"/>
  <c r="H12" i="17"/>
  <c r="L12" i="17"/>
  <c r="L13" i="17"/>
  <c r="L14" i="17"/>
  <c r="L15" i="17"/>
  <c r="L16" i="17"/>
  <c r="D17" i="17"/>
  <c r="L17" i="17"/>
  <c r="L18" i="17"/>
  <c r="D19" i="17"/>
  <c r="D21" i="17"/>
  <c r="D23" i="17"/>
  <c r="L23" i="17"/>
  <c r="D27" i="17"/>
  <c r="E27" i="17"/>
  <c r="L29" i="17"/>
  <c r="D36" i="17"/>
  <c r="F36" i="17"/>
  <c r="G36" i="17"/>
  <c r="B7" i="20"/>
  <c r="B11" i="20"/>
  <c r="B20" i="20"/>
  <c r="B24" i="20"/>
  <c r="B27" i="20"/>
  <c r="H20" i="1"/>
  <c r="I20" i="1"/>
  <c r="I21" i="1"/>
  <c r="G28" i="1"/>
  <c r="B32" i="1"/>
  <c r="B33" i="1"/>
  <c r="B34" i="1"/>
  <c r="B35" i="1"/>
  <c r="B36" i="1"/>
  <c r="B37" i="1"/>
  <c r="B38" i="1"/>
  <c r="B39" i="1"/>
  <c r="B40" i="1"/>
  <c r="G30" i="1"/>
  <c r="G29" i="1"/>
  <c r="G31" i="1"/>
  <c r="G104" i="1"/>
  <c r="G105" i="1"/>
  <c r="B121" i="1"/>
  <c r="B124" i="1"/>
  <c r="D163" i="1"/>
  <c r="H174" i="1"/>
  <c r="C179" i="1"/>
  <c r="C187" i="1"/>
  <c r="C189" i="1"/>
  <c r="C192" i="1"/>
  <c r="B201" i="1"/>
  <c r="D166" i="1"/>
  <c r="D167" i="1"/>
  <c r="B251" i="1"/>
  <c r="D254" i="1"/>
  <c r="E177" i="1"/>
  <c r="E178" i="1"/>
  <c r="B267" i="1"/>
  <c r="B250" i="1"/>
  <c r="B254" i="1"/>
  <c r="D177" i="1"/>
  <c r="F176" i="1"/>
  <c r="L28" i="17"/>
  <c r="B268" i="1"/>
  <c r="B303" i="1"/>
  <c r="D164" i="1"/>
  <c r="D178" i="1"/>
  <c r="E179" i="1"/>
  <c r="B184" i="1"/>
  <c r="J16" i="23"/>
  <c r="I16" i="23"/>
  <c r="L26" i="17"/>
  <c r="C186" i="1"/>
  <c r="H104" i="1"/>
  <c r="H105" i="1"/>
  <c r="C185" i="1"/>
  <c r="E54" i="25"/>
  <c r="C110" i="1"/>
  <c r="B115" i="1" s="1"/>
  <c r="D122" i="1"/>
  <c r="Q5" i="25" l="1"/>
  <c r="S5" i="25" s="1"/>
  <c r="U13" i="25"/>
  <c r="V13" i="25" s="1"/>
  <c r="U14" i="25"/>
  <c r="V14" i="25" s="1"/>
  <c r="U15" i="25"/>
  <c r="V15" i="25" s="1"/>
  <c r="U16" i="25"/>
  <c r="V16" i="25" s="1"/>
  <c r="U12" i="25"/>
  <c r="V12" i="25" s="1"/>
  <c r="S36" i="25"/>
  <c r="R36" i="25"/>
  <c r="S37" i="25"/>
  <c r="R37" i="25"/>
  <c r="S38" i="25"/>
  <c r="R38" i="25"/>
  <c r="S39" i="25"/>
  <c r="R39" i="25"/>
  <c r="S40" i="25"/>
  <c r="R40" i="25"/>
  <c r="S41" i="25"/>
  <c r="R41" i="25"/>
  <c r="S42" i="25"/>
  <c r="R42" i="25"/>
  <c r="S43" i="25"/>
  <c r="R43" i="25"/>
  <c r="S44" i="25"/>
  <c r="R44" i="25"/>
  <c r="S45" i="25"/>
  <c r="R45" i="25"/>
  <c r="S46" i="25"/>
  <c r="R46" i="25"/>
  <c r="S35" i="25"/>
  <c r="R35" i="25"/>
  <c r="S49" i="25"/>
  <c r="R49" i="25"/>
  <c r="S48" i="25"/>
  <c r="R48" i="25"/>
  <c r="S50" i="25"/>
  <c r="R50" i="25"/>
  <c r="S52" i="25"/>
  <c r="R52" i="25"/>
  <c r="S51" i="25"/>
  <c r="R51" i="25"/>
  <c r="R17" i="25"/>
  <c r="S17" i="25"/>
  <c r="R19" i="25"/>
  <c r="S19" i="25"/>
  <c r="R18" i="25"/>
  <c r="S18" i="25"/>
  <c r="R47" i="25"/>
  <c r="S47" i="25"/>
  <c r="S6" i="25"/>
  <c r="S10" i="25"/>
  <c r="S9" i="25"/>
  <c r="S8" i="25"/>
  <c r="S7" i="25"/>
  <c r="X5" i="25" a="1"/>
  <c r="Y8" i="25" s="1"/>
  <c r="A208" i="1" s="1"/>
  <c r="R5" i="25"/>
  <c r="R6" i="25"/>
  <c r="R10" i="25"/>
  <c r="R9" i="25"/>
  <c r="R8" i="25"/>
  <c r="R7" i="25"/>
  <c r="B128" i="1"/>
  <c r="D114" i="1"/>
  <c r="H39" i="25"/>
  <c r="D53" i="25" s="1"/>
  <c r="D54" i="25" s="1"/>
  <c r="H14" i="25"/>
  <c r="D47" i="25" s="1"/>
  <c r="D50" i="25" s="1"/>
  <c r="O7" i="25"/>
  <c r="O8" i="25"/>
  <c r="O9" i="25"/>
  <c r="O10" i="25"/>
  <c r="O11" i="25"/>
  <c r="O6" i="25"/>
  <c r="G7" i="25"/>
  <c r="G8" i="25"/>
  <c r="G9" i="25"/>
  <c r="G10" i="25"/>
  <c r="G11" i="25"/>
  <c r="G6" i="25"/>
  <c r="H6" i="25" s="1"/>
  <c r="E46" i="25" s="1"/>
  <c r="E50" i="25" s="1"/>
  <c r="E55" i="25" s="1"/>
  <c r="Y6" i="25" l="1"/>
  <c r="A206" i="1" s="1"/>
  <c r="Y7" i="25"/>
  <c r="A207" i="1" s="1"/>
  <c r="X5" i="25"/>
  <c r="L24" i="17"/>
  <c r="L31" i="17" s="1"/>
  <c r="L33" i="17" s="1"/>
  <c r="D115" i="1"/>
  <c r="D55" i="25"/>
  <c r="Y5" i="25" l="1"/>
  <c r="A205" i="1" s="1"/>
  <c r="I7" i="17"/>
  <c r="M7" i="17" s="1"/>
  <c r="I18" i="17"/>
  <c r="M18" i="17" s="1"/>
  <c r="I17" i="17"/>
  <c r="M17" i="17" s="1"/>
  <c r="I16" i="17"/>
  <c r="M16" i="17" s="1"/>
  <c r="I15" i="17"/>
  <c r="M15" i="17" s="1"/>
  <c r="I14" i="17"/>
  <c r="M14" i="17" s="1"/>
  <c r="I13" i="17"/>
  <c r="M13" i="17" s="1"/>
  <c r="I12" i="17"/>
  <c r="M12" i="17" s="1"/>
  <c r="I11" i="17"/>
  <c r="M11" i="17" s="1"/>
  <c r="I10" i="17"/>
  <c r="M10" i="17" s="1"/>
  <c r="I9" i="17"/>
  <c r="M9" i="17" s="1"/>
  <c r="I8" i="17"/>
  <c r="M8" i="17" s="1"/>
  <c r="M19" i="17" l="1"/>
  <c r="D28" i="17" s="1"/>
  <c r="E28" i="17" l="1"/>
  <c r="D37" i="17" s="1"/>
  <c r="F37" i="17" s="1"/>
  <c r="G37" i="17" s="1"/>
  <c r="G38" i="17" s="1"/>
  <c r="B116" i="1" s="1"/>
  <c r="D29" i="17"/>
  <c r="B117" i="1" l="1"/>
  <c r="E29" i="17"/>
  <c r="B118" i="1"/>
  <c r="C188" i="1"/>
  <c r="B127" i="1" l="1"/>
  <c r="B129" i="1" s="1"/>
  <c r="E115" i="1"/>
  <c r="C191" i="1" l="1"/>
  <c r="C194" i="1" s="1"/>
  <c r="B183" i="1" s="1"/>
  <c r="B131" i="1"/>
  <c r="B137" i="1" s="1"/>
  <c r="B142" i="1" s="1"/>
  <c r="B155" i="1" s="1"/>
  <c r="B156" i="1" s="1"/>
  <c r="D137" i="1" l="1"/>
  <c r="B146" i="1"/>
  <c r="B194" i="1"/>
  <c r="D183" i="1"/>
  <c r="B152" i="1" l="1"/>
  <c r="U20" i="25"/>
  <c r="U4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Lucio</author>
  </authors>
  <commentList>
    <comment ref="D220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Lucio:</t>
        </r>
        <r>
          <rPr>
            <sz val="9"/>
            <color indexed="81"/>
            <rFont val="Tahoma"/>
            <charset val="1"/>
          </rPr>
          <t xml:space="preserve">
ULTIMO AÑO 2023 PROXIMO AÑO BORAR LA AMORTIZACION ANUAL OJO</t>
        </r>
      </text>
    </comment>
    <comment ref="D230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Lucio:</t>
        </r>
        <r>
          <rPr>
            <sz val="9"/>
            <color indexed="81"/>
            <rFont val="Tahoma"/>
            <charset val="1"/>
          </rPr>
          <t xml:space="preserve">
ULTIMO AÑO 2023 PROXIMO AÑO BORAR LA AMORTIZACION ANUAL OJO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Laura</author>
  </authors>
  <commentList>
    <comment ref="K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Laura:</t>
        </r>
        <r>
          <rPr>
            <sz val="9"/>
            <color indexed="81"/>
            <rFont val="Tahoma"/>
            <family val="2"/>
          </rPr>
          <t xml:space="preserve">
tome de la factura 5/1375. cantidad dividio cabeza 4916/15 saco kilos que seria 327 k c/u *190 valor unidad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<sst xmlns="http://schemas.openxmlformats.org/spreadsheetml/2006/main" count="963" uniqueCount="595">
  <si>
    <t>Agencia Nº:</t>
  </si>
  <si>
    <t>Cargas de Flía.:</t>
  </si>
  <si>
    <t>Gastos</t>
  </si>
  <si>
    <t>Resultado Neto</t>
  </si>
  <si>
    <t>RUBRO I - Determinación del Impuesto</t>
  </si>
  <si>
    <t>Rtdo. Neto de las categ.</t>
  </si>
  <si>
    <t>Deducción Generales</t>
  </si>
  <si>
    <t>Resultado Impositivo</t>
  </si>
  <si>
    <t>Resultado Final</t>
  </si>
  <si>
    <t>Gcia. No Imponible</t>
  </si>
  <si>
    <t>Deducción Especial</t>
  </si>
  <si>
    <t>RUBRO II - Determinación del Saldo</t>
  </si>
  <si>
    <t>Impuesto Determinado</t>
  </si>
  <si>
    <t>RUBRO IV - Bienes y Deudas</t>
  </si>
  <si>
    <t>Periodo Anterior</t>
  </si>
  <si>
    <t>Periodo que se liquida</t>
  </si>
  <si>
    <t>Activo</t>
  </si>
  <si>
    <t>Pasivo</t>
  </si>
  <si>
    <t>Inmuebles</t>
  </si>
  <si>
    <t>Auto</t>
  </si>
  <si>
    <t>RUBRO V - Justificación Patrimonial</t>
  </si>
  <si>
    <t>Columna I</t>
  </si>
  <si>
    <t>Columna II</t>
  </si>
  <si>
    <t>Consumido</t>
  </si>
  <si>
    <t>Total PN ejer.</t>
  </si>
  <si>
    <t>Rdo. Ejercicio</t>
  </si>
  <si>
    <t>Total PN ejer. Anterior</t>
  </si>
  <si>
    <t>130 - Delegación Necochea</t>
  </si>
  <si>
    <t>BS DE USO</t>
  </si>
  <si>
    <t xml:space="preserve"> ANTICIPOS</t>
  </si>
  <si>
    <t>INMUEBLES</t>
  </si>
  <si>
    <t xml:space="preserve">VALOR IMP INMOBILIARIO </t>
  </si>
  <si>
    <t>Base Imponible sujeta a Impuesto</t>
  </si>
  <si>
    <t>Imp. Determinado art 90</t>
  </si>
  <si>
    <t>Cargas de familia 2 Hijos</t>
  </si>
  <si>
    <t>Valor de Origen</t>
  </si>
  <si>
    <t>Concepto Bienes Personales</t>
  </si>
  <si>
    <t>Contribuyente Zubillaga Carlos Martin</t>
  </si>
  <si>
    <t>CUIT 20-24761853-9</t>
  </si>
  <si>
    <t>Casa Quinta Quequen</t>
  </si>
  <si>
    <t>076-083814-4</t>
  </si>
  <si>
    <t>Valor Imp Inmob</t>
  </si>
  <si>
    <t>Circ14; parc 0017; sec A, Mz 0047</t>
  </si>
  <si>
    <t>Total Inmuebles</t>
  </si>
  <si>
    <t>AUTOS</t>
  </si>
  <si>
    <t>BCOS</t>
  </si>
  <si>
    <t>RESTO DE BS</t>
  </si>
  <si>
    <t>EFECTIVO</t>
  </si>
  <si>
    <t>TOTAL BS</t>
  </si>
  <si>
    <t>BS DEL HOGAR</t>
  </si>
  <si>
    <t>TOTAL DE BS SUJETO A IMP</t>
  </si>
  <si>
    <t>MINIMO EXENTO</t>
  </si>
  <si>
    <t>IMPUESTO</t>
  </si>
  <si>
    <t>por mes</t>
  </si>
  <si>
    <t>Valor Residual</t>
  </si>
  <si>
    <t>CBU 0070171230004007289377</t>
  </si>
  <si>
    <t>CALLE 535-456</t>
  </si>
  <si>
    <t>Amortizacion</t>
  </si>
  <si>
    <t>CASA QUINTA VALOR DE ORIGEN</t>
  </si>
  <si>
    <t>S/ tabla afip</t>
  </si>
  <si>
    <t>CASA HABITACION FECHA DE ADQUISICION 23/10/2013</t>
  </si>
  <si>
    <t>VALOR CPRA ESCRITURA $1,800,000</t>
  </si>
  <si>
    <t>calle 26 nº 3347 e/ 67y69</t>
  </si>
  <si>
    <t>076-62700</t>
  </si>
  <si>
    <t>Nom C, C 01, Sec F, Mz 204 PA 1h</t>
  </si>
  <si>
    <t>BS DE CAMBIO</t>
  </si>
  <si>
    <t>EI</t>
  </si>
  <si>
    <t>EF</t>
  </si>
  <si>
    <t>valor cpra</t>
  </si>
  <si>
    <t>val patente</t>
  </si>
  <si>
    <t>Consultorio</t>
  </si>
  <si>
    <t>Consultorio calle 60 nº3280 076-002424-4</t>
  </si>
  <si>
    <t>c1;secB,QT0;mz148;PA8</t>
  </si>
  <si>
    <t>DOLARES</t>
  </si>
  <si>
    <t>participacion 3º categoria</t>
  </si>
  <si>
    <t>ANTICIPOS COMPutables 2015</t>
  </si>
  <si>
    <t>ANTICIPOS 2016</t>
  </si>
  <si>
    <t>SALDO A PAGAR BP 2015</t>
  </si>
  <si>
    <t>Ingresos 3º Categ. (s/liquidación IVA)</t>
  </si>
  <si>
    <t>Prestamo Bco Santander</t>
  </si>
  <si>
    <t>COMPRAS</t>
  </si>
  <si>
    <t>VALOR</t>
  </si>
  <si>
    <t>VENTAS</t>
  </si>
  <si>
    <t>VAQUILLONAS</t>
  </si>
  <si>
    <t>TERNERAS</t>
  </si>
  <si>
    <t>TERNEROS</t>
  </si>
  <si>
    <t>TOTAL</t>
  </si>
  <si>
    <t>VALUACION  CRITERIO COSTO ESTIMATIVO POR REVALUACION ANUAL</t>
  </si>
  <si>
    <t>PPP</t>
  </si>
  <si>
    <t>CABEZA</t>
  </si>
  <si>
    <t>Impuesto a pagar 2015</t>
  </si>
  <si>
    <t>Prestamo Bco Galicia C00117160820</t>
  </si>
  <si>
    <t>CBU 0720120888000036793172</t>
  </si>
  <si>
    <t>DEPTO CABA HERENCIA 2P CALLE AYACUCHO 1400</t>
  </si>
  <si>
    <t>ESQUINA PEÑA</t>
  </si>
  <si>
    <t>CIRC 19,SECCION 11, MZNA 57, PARCELA 1</t>
  </si>
  <si>
    <t>vf2016 (328237)*50%*33.33%</t>
  </si>
  <si>
    <t>VF2016(16152)*50%*33.33%</t>
  </si>
  <si>
    <t xml:space="preserve">COCHERA </t>
  </si>
  <si>
    <t>Gastos comercializacion</t>
  </si>
  <si>
    <t>Valor neto de ganado</t>
  </si>
  <si>
    <t>Vendido en 67700 dolares por escritura (valor real 110000 dolares)</t>
  </si>
  <si>
    <t>Saldo a Favor Contrib. 2017 Ganacias</t>
  </si>
  <si>
    <t>Saldo a favor Bs Personales 2017</t>
  </si>
  <si>
    <t>Periodo Fiscal 2018</t>
  </si>
  <si>
    <t>AJUSTE ESTATICO</t>
  </si>
  <si>
    <t>AJUSTE DINAMICO</t>
  </si>
  <si>
    <t>TOTAL DEL ACTIVO</t>
  </si>
  <si>
    <t>Mes retiro </t>
  </si>
  <si>
    <t>Importe retiro</t>
  </si>
  <si>
    <t>IPC cierre</t>
  </si>
  <si>
    <t>IPC retiro</t>
  </si>
  <si>
    <t>Coeficiente</t>
  </si>
  <si>
    <t>Retiro ajustado</t>
  </si>
  <si>
    <t>TOTAL ACTIVO NO COMPUTABLE</t>
  </si>
  <si>
    <t>ACTIVO COMPUTABLE</t>
  </si>
  <si>
    <t>PASIVO COMPUTABLE</t>
  </si>
  <si>
    <t>Total</t>
  </si>
  <si>
    <t>CAPITAL COMPUTABLE</t>
  </si>
  <si>
    <t>Calculo retiros mensuales</t>
  </si>
  <si>
    <t>Patrimonio al inicio</t>
  </si>
  <si>
    <t>(-) gastos no deducibles explotacion unipersonal</t>
  </si>
  <si>
    <t>AJUSTE TOTAL</t>
  </si>
  <si>
    <t>1/6</t>
  </si>
  <si>
    <t>(+) amortizaciones ejercicio</t>
  </si>
  <si>
    <t>(-) amort. Acum. Bienes dados de baja </t>
  </si>
  <si>
    <t>(-)patrimonio al cierre </t>
  </si>
  <si>
    <t>AJUSTE ESTATICO = A&gt;P</t>
  </si>
  <si>
    <t>PERDIDA</t>
  </si>
  <si>
    <t>Retiro total anual</t>
  </si>
  <si>
    <t>AJUSTE DINAMICO CON VALOR POSTIVO</t>
  </si>
  <si>
    <t>GANANCIA</t>
  </si>
  <si>
    <t>Retiros mensuales </t>
  </si>
  <si>
    <t>alicuota</t>
  </si>
  <si>
    <t>fijo</t>
  </si>
  <si>
    <t>CUENTA CORRIENTE SIN INTERÃ¿S (ARS)</t>
  </si>
  <si>
    <t>CBU 0140354901617705128286</t>
  </si>
  <si>
    <t>CUENTA SUELDO/DE LA SEGURIDAD SOCIAL (ARS)</t>
  </si>
  <si>
    <t>CBU 0070171230004020299173</t>
  </si>
  <si>
    <t>cbu 0070171230004020368822</t>
  </si>
  <si>
    <t>CUENTA SUELDO/DE LA SEGURIDAD SOCIAL (USD)</t>
  </si>
  <si>
    <t>CBU 0070171231004004059251</t>
  </si>
  <si>
    <t>NOVILLITOS</t>
  </si>
  <si>
    <t>BIENES DE CAMBIO</t>
  </si>
  <si>
    <t>TOTAL PASIVO</t>
  </si>
  <si>
    <t xml:space="preserve">B. USO </t>
  </si>
  <si>
    <t>CAMPO</t>
  </si>
  <si>
    <t>GASTOS POR ACTIVIDAD</t>
  </si>
  <si>
    <t>X</t>
  </si>
  <si>
    <t>s/arbb</t>
  </si>
  <si>
    <t>no lo tengo</t>
  </si>
  <si>
    <t>no cambie algunas cosas ojo lucioo!!</t>
  </si>
  <si>
    <t>en la bolsa estan los creditos</t>
  </si>
  <si>
    <t>Toyota Hilux. AC205LA (11/01/2019)</t>
  </si>
  <si>
    <t>AJUSTE ESTATICO perdida</t>
  </si>
  <si>
    <t>COEF DE PUNTA A PUNTA (DIC/DIC)</t>
  </si>
  <si>
    <t>4010123 - Combustibles y Lubricantes</t>
  </si>
  <si>
    <t>4010130 - Gastos Varios</t>
  </si>
  <si>
    <t>ganado</t>
  </si>
  <si>
    <t>Ingresos 4ta</t>
  </si>
  <si>
    <t>Gastos Cuarta</t>
  </si>
  <si>
    <t>Impuesto</t>
  </si>
  <si>
    <t>no figura nparte</t>
  </si>
  <si>
    <t>Compra dolares</t>
  </si>
  <si>
    <t>RODADOS NO SE AMORTIZAN</t>
  </si>
  <si>
    <t>Dolares colchon</t>
  </si>
  <si>
    <t>tc 31.12.2020</t>
  </si>
  <si>
    <t>Capital afectado</t>
  </si>
  <si>
    <t>Bienes muebles 4ta</t>
  </si>
  <si>
    <t>DIPONIBILIDADES</t>
  </si>
  <si>
    <t>ACTIVO</t>
  </si>
  <si>
    <t>PASIVO</t>
  </si>
  <si>
    <t>B.USO</t>
  </si>
  <si>
    <t>Autonomos</t>
  </si>
  <si>
    <t>TOTAL ACTIVO</t>
  </si>
  <si>
    <t>Amortizacion bs de 4ta</t>
  </si>
  <si>
    <t>Amortizacion bs de 3ra</t>
  </si>
  <si>
    <t>excedente</t>
  </si>
  <si>
    <t>bienes de uso - 3era y 4ta</t>
  </si>
  <si>
    <t>Prestamo Bco Galicia tractor</t>
  </si>
  <si>
    <t>Casa Habitación, adqu 23/10/2013 - 0760627003</t>
  </si>
  <si>
    <t xml:space="preserve">HILUX 4X4 D/C SRX 2.8 TDI 6 A/T 2018 </t>
  </si>
  <si>
    <t>SW4 4X4 SRX 2.8 TDI 6 A/T 7A AC722XM</t>
  </si>
  <si>
    <t>exento</t>
  </si>
  <si>
    <t>grav</t>
  </si>
  <si>
    <t>bienes de 4ta</t>
  </si>
  <si>
    <t>pn negat</t>
  </si>
  <si>
    <t>s/anual iibb</t>
  </si>
  <si>
    <t>s/krause</t>
  </si>
  <si>
    <t>dif</t>
  </si>
  <si>
    <t>Ajuste 3era 2020 1/6 2020 + 1/6 2019</t>
  </si>
  <si>
    <t>Concepto</t>
  </si>
  <si>
    <t>Subcpto</t>
  </si>
  <si>
    <t>Descripción</t>
  </si>
  <si>
    <t>Fecha Movimiento</t>
  </si>
  <si>
    <t>Debe</t>
  </si>
  <si>
    <t>Haber</t>
  </si>
  <si>
    <t>Saldo</t>
  </si>
  <si>
    <t>AUT</t>
  </si>
  <si>
    <t>Obligacion Mensual Autonomo.</t>
  </si>
  <si>
    <t>Pago Obligacion Mensual Autonomo.</t>
  </si>
  <si>
    <t>CCMA</t>
  </si>
  <si>
    <t>COMPRA DE 2 CAMPOS - VALORES S/NUES PARTE 2021</t>
  </si>
  <si>
    <t>4 | | | | | |321h | |26098 |61 |</t>
  </si>
  <si>
    <t>1 |F | |204 | |204a |19f | |116983 |076|</t>
  </si>
  <si>
    <t>ESCRITURADO</t>
  </si>
  <si>
    <t>TITULARIDAD</t>
  </si>
  <si>
    <t>subtotal</t>
  </si>
  <si>
    <t>PN TOTAL</t>
  </si>
  <si>
    <t>Campos adq 2021 - c/USD</t>
  </si>
  <si>
    <t>Otras deudas / Sueldos 4ta 12.2021</t>
  </si>
  <si>
    <t>Adquisicion campos s/nuestra parte</t>
  </si>
  <si>
    <t>Compra b.u</t>
  </si>
  <si>
    <t>Rdo tercera antes de ajuste y sin ajuste 2020/19</t>
  </si>
  <si>
    <t>Beneficio cumplidores</t>
  </si>
  <si>
    <t>esto lo cargue a mano y tome directamente el valor nominal 2020</t>
  </si>
  <si>
    <t>hable largo y tendido de la implicancia del valor de la hacienda y su consecuencia en el impuesto</t>
  </si>
  <si>
    <t>28/06/2022 quedamos de acuerdo de aumentar la EF en relación a la EI tan pobre</t>
  </si>
  <si>
    <t>Compra bu</t>
  </si>
  <si>
    <t>novillito</t>
  </si>
  <si>
    <t>vaquillona</t>
  </si>
  <si>
    <t>valor de cada</t>
  </si>
  <si>
    <t>EXISTENCIA AL 31/12/2020 SEGÚN ACTA DE VACUNACIONA APORTADA POR MARTIN</t>
  </si>
  <si>
    <t>Ingresos Brutos</t>
  </si>
  <si>
    <t>Rural</t>
  </si>
  <si>
    <t>Impto Det</t>
  </si>
  <si>
    <t>Totales</t>
  </si>
  <si>
    <t>Urbano Edificado</t>
  </si>
  <si>
    <t>Urbano Baldío</t>
  </si>
  <si>
    <t>116-005883-4</t>
  </si>
  <si>
    <t>116-005881-8</t>
  </si>
  <si>
    <t>076-116983-1</t>
  </si>
  <si>
    <t>076-078681-0</t>
  </si>
  <si>
    <t>076-076217-2</t>
  </si>
  <si>
    <t>076-076212-1</t>
  </si>
  <si>
    <t>076-062700-3</t>
  </si>
  <si>
    <t>061-026101-9</t>
  </si>
  <si>
    <t>061-026098-5</t>
  </si>
  <si>
    <t>Inmobiliario</t>
  </si>
  <si>
    <t>Automotores</t>
  </si>
  <si>
    <t>AB-598-NW</t>
  </si>
  <si>
    <t>Renault Alaskan</t>
  </si>
  <si>
    <t>AG-012-AH</t>
  </si>
  <si>
    <t>Detalle</t>
  </si>
  <si>
    <t>Período</t>
  </si>
  <si>
    <t>+</t>
  </si>
  <si>
    <t>  </t>
  </si>
  <si>
    <t>Intereses Resarcitorios Autonomo</t>
  </si>
  <si>
    <t>    </t>
  </si>
  <si>
    <t>Krause</t>
  </si>
  <si>
    <t>Nuestra parte</t>
  </si>
  <si>
    <t>S IIBB</t>
  </si>
  <si>
    <t>bienes de uso</t>
  </si>
  <si>
    <t>Ganada tasa cero</t>
  </si>
  <si>
    <t>Gravado medic (Grav+exent)</t>
  </si>
  <si>
    <t>Circulo médico</t>
  </si>
  <si>
    <t>Cooperativa Médica</t>
  </si>
  <si>
    <t>OSDE</t>
  </si>
  <si>
    <t>Circulo Médico</t>
  </si>
  <si>
    <t>OSDE Ap Jubilatorios</t>
  </si>
  <si>
    <t>Osecac</t>
  </si>
  <si>
    <t>Gastos Adm</t>
  </si>
  <si>
    <t>Impt Transf</t>
  </si>
  <si>
    <t>Ret. IIBB</t>
  </si>
  <si>
    <t>Otras Ret</t>
  </si>
  <si>
    <t>Deb. Adicionales</t>
  </si>
  <si>
    <t>Deducciones</t>
  </si>
  <si>
    <t>Fecha</t>
  </si>
  <si>
    <t>Rem 9</t>
  </si>
  <si>
    <t>Contrib SS</t>
  </si>
  <si>
    <t>Aportes SS</t>
  </si>
  <si>
    <t>Contrib OS</t>
  </si>
  <si>
    <t>Aportes OS</t>
  </si>
  <si>
    <t>LRT</t>
  </si>
  <si>
    <t>SCVO</t>
  </si>
  <si>
    <t>CUENTA CAJA DE AHORRO (ARS)</t>
  </si>
  <si>
    <t>cbu 0070171220000002222042</t>
  </si>
  <si>
    <t>CALCULO DE ANTICIPOS 2023</t>
  </si>
  <si>
    <t>compro campo 19/10/2023</t>
  </si>
  <si>
    <t>Campos adq 19/10/2023</t>
  </si>
  <si>
    <t>MIRAR SOLAPA AÑO 2024</t>
  </si>
  <si>
    <t>CAPITAL AFECTADO 2023</t>
  </si>
  <si>
    <t>dato bcra</t>
  </si>
  <si>
    <t>renspa</t>
  </si>
  <si>
    <t>01.066.0.00536/01</t>
  </si>
  <si>
    <t>nayahue I</t>
  </si>
  <si>
    <t>01.066.0.00522/02</t>
  </si>
  <si>
    <t>san luis</t>
  </si>
  <si>
    <t>01.066.0.02499/00</t>
  </si>
  <si>
    <t>sin nombre</t>
  </si>
  <si>
    <t>s/stock</t>
  </si>
  <si>
    <t>c/stok</t>
  </si>
  <si>
    <t>EXISTENCIA AL 31/12/2023 SEGÚN ACTA DE VACUNACIONA APORTADA POR MARTIN</t>
  </si>
  <si>
    <t>campo san luis</t>
  </si>
  <si>
    <t>VACA</t>
  </si>
  <si>
    <t>NO SE CONSIDERA POR ES CRIA</t>
  </si>
  <si>
    <t>S/ HORIZONTE COMPRAS ES UN TORO OJOO 2023</t>
  </si>
  <si>
    <t>LOS VALUO COMO DE CRIA</t>
  </si>
  <si>
    <t>VER SOLAPA VALUACION  GANADO</t>
  </si>
  <si>
    <t>Retenciones y Percepciones Sufridas 2023</t>
  </si>
  <si>
    <t>Anticipos 2023</t>
  </si>
  <si>
    <t>(+) resultado ejercicio 2023 de 3era</t>
  </si>
  <si>
    <t>Ajuste 3era 2023</t>
  </si>
  <si>
    <t>Saldo a Favor AFIP 2023</t>
  </si>
  <si>
    <t>Ajuste global de 2023</t>
  </si>
  <si>
    <t xml:space="preserve">son de cria 07/08/24 </t>
  </si>
  <si>
    <t>TOYOTA Hilux. (25/01/2023)ab598nw</t>
  </si>
  <si>
    <t>Intereses ganados ntra parte</t>
  </si>
  <si>
    <t>atenzon atenzon el coeficiente la fórmula está mal adrede (dinamico) para que no de un ajuste positivo en total</t>
  </si>
  <si>
    <t>si es negativo columna II/ si es positivo columna I</t>
  </si>
  <si>
    <t>gcia neta de 4ta</t>
  </si>
  <si>
    <t>impuesto</t>
  </si>
  <si>
    <t>axi años anteriores</t>
  </si>
  <si>
    <t>total anteriores</t>
  </si>
  <si>
    <t>valor dólar a 10/2023 $347.50</t>
  </si>
  <si>
    <t>Datos del Contribuyente</t>
  </si>
  <si>
    <t>Nombre</t>
  </si>
  <si>
    <t>CUIT</t>
  </si>
  <si>
    <t>Código Act. Principal:</t>
  </si>
  <si>
    <t>Código Act. Secundaria:</t>
  </si>
  <si>
    <t>Código Act. Terciaria:</t>
  </si>
  <si>
    <t>CUIT/CUIL</t>
  </si>
  <si>
    <t>Fecha Cas.</t>
  </si>
  <si>
    <t>Fecha Nacimiento</t>
  </si>
  <si>
    <t>Conyuge</t>
  </si>
  <si>
    <t>Hijo/a</t>
  </si>
  <si>
    <t>DDJJ Ganancias Año:</t>
  </si>
  <si>
    <t>Otros datos del Contribuyente</t>
  </si>
  <si>
    <t>¿Es Jubilado?</t>
  </si>
  <si>
    <t>No</t>
  </si>
  <si>
    <t>ZUBILLAGA CARLOS MARTÍN</t>
  </si>
  <si>
    <t>Motta Ana Mariela</t>
  </si>
  <si>
    <t>Zubillaga Unai</t>
  </si>
  <si>
    <t>Zibillaga Iker</t>
  </si>
  <si>
    <t>s/iibb</t>
  </si>
  <si>
    <t>Resumen Ingresos</t>
  </si>
  <si>
    <t>Krause/Horizonte</t>
  </si>
  <si>
    <t>Nuestra Parte</t>
  </si>
  <si>
    <t>Mis Comprobantes</t>
  </si>
  <si>
    <t>Impuestos, gravámenes, y Gastos Clasificados</t>
  </si>
  <si>
    <t>Ingresos Brutos (s/ dj anual iibb)</t>
  </si>
  <si>
    <t>Tasa Seg. e Higiene</t>
  </si>
  <si>
    <t>Impuesto inmobiliario Compl/ Sellos</t>
  </si>
  <si>
    <t>Impuesto inmobiliario</t>
  </si>
  <si>
    <t>Patentes</t>
  </si>
  <si>
    <t>Cs Sociales 2024</t>
  </si>
  <si>
    <t>Gastos:</t>
  </si>
  <si>
    <t>Código</t>
  </si>
  <si>
    <t>Honorarios</t>
  </si>
  <si>
    <t>Imprenta y Librería</t>
  </si>
  <si>
    <t>Gastos de mantenimiento</t>
  </si>
  <si>
    <t>Cuota Mutual</t>
  </si>
  <si>
    <t>Gastos Varios</t>
  </si>
  <si>
    <t>Luz, Gas y Teléfono</t>
  </si>
  <si>
    <t>Reparaciones y Repuestos</t>
  </si>
  <si>
    <t>Tercera</t>
  </si>
  <si>
    <t>Cuarta</t>
  </si>
  <si>
    <t>Anàlisis Ingresos - Egresos</t>
  </si>
  <si>
    <t>Ingresos y Detalle de Declaraciones</t>
  </si>
  <si>
    <t>Ingresos Correspondientes a Cuarta Categoría:</t>
  </si>
  <si>
    <t>Cuadro de Ingresos Comparativo</t>
  </si>
  <si>
    <t>ARBA</t>
  </si>
  <si>
    <t>Mis comprobantes</t>
  </si>
  <si>
    <t>FCs Emitidas</t>
  </si>
  <si>
    <t>Ingresos Según</t>
  </si>
  <si>
    <t>Datos Obtenidos de Sistema de clasificación por proveedores</t>
  </si>
  <si>
    <t>Mes</t>
  </si>
  <si>
    <t>Ventas</t>
  </si>
  <si>
    <t>Débito Fiscal</t>
  </si>
  <si>
    <t>Nro</t>
  </si>
  <si>
    <t>Denominación</t>
  </si>
  <si>
    <t>Cant. de facturas emitidas</t>
  </si>
  <si>
    <t>Monto Neto Total Facturado</t>
  </si>
  <si>
    <t>% de egresos del total</t>
  </si>
  <si>
    <t>Resumen de Comprobantes Emitidos</t>
  </si>
  <si>
    <t>Tipo</t>
  </si>
  <si>
    <t>Cantidad</t>
  </si>
  <si>
    <t>Total Neto</t>
  </si>
  <si>
    <t>Resumen Comprobantes Emitidos</t>
  </si>
  <si>
    <t>Al 21%</t>
  </si>
  <si>
    <t>Al 10.5%</t>
  </si>
  <si>
    <t>Al 27%</t>
  </si>
  <si>
    <t>Total Emitido</t>
  </si>
  <si>
    <t>Monto neto gravado</t>
  </si>
  <si>
    <t>Notas de débito</t>
  </si>
  <si>
    <t>Crédito fiscal</t>
  </si>
  <si>
    <t>Chequeo</t>
  </si>
  <si>
    <t>Egresos y Gastos En relación Directa a la Actividad</t>
  </si>
  <si>
    <t>Según Krause</t>
  </si>
  <si>
    <t>Cuentas</t>
  </si>
  <si>
    <t>Monto Neto</t>
  </si>
  <si>
    <t>Detalle de Cuenta</t>
  </si>
  <si>
    <t>Monto</t>
  </si>
  <si>
    <t>Participación</t>
  </si>
  <si>
    <t>4010116 - ITC</t>
  </si>
  <si>
    <t>4010118 - Imptos y grav Diarios</t>
  </si>
  <si>
    <t>4010120 - Reparaciones y Repuestos</t>
  </si>
  <si>
    <t>Servicios Empresariales</t>
  </si>
  <si>
    <t>4010121 - Gastos de Mantenimiento</t>
  </si>
  <si>
    <t>Luz</t>
  </si>
  <si>
    <t>4010124 - Luz, teléfono e internet</t>
  </si>
  <si>
    <t>Servicios Recibidos</t>
  </si>
  <si>
    <t>4010129 - Gastos Por Servicios Recibidos</t>
  </si>
  <si>
    <t>Servicio de Alojamiento</t>
  </si>
  <si>
    <t>4010135 - Insumos</t>
  </si>
  <si>
    <t>Materiales de Construcción</t>
  </si>
  <si>
    <t>4010136 - Prepaga</t>
  </si>
  <si>
    <t>Gastos de Informática</t>
  </si>
  <si>
    <t>4010137 - Cuota Colegio</t>
  </si>
  <si>
    <t>Teléfono, Celulares, e Internet</t>
  </si>
  <si>
    <t>4020106 - Flete</t>
  </si>
  <si>
    <t>Indumentaria</t>
  </si>
  <si>
    <t>Fletes y Transporte</t>
  </si>
  <si>
    <t>Gastos de Librería</t>
  </si>
  <si>
    <t>Compras</t>
  </si>
  <si>
    <t>Crédito Fiscal</t>
  </si>
  <si>
    <t>Cant. de facturas Recibidas</t>
  </si>
  <si>
    <t>Resumen de Comprobantes Recibidos</t>
  </si>
  <si>
    <t>Resumen Comprobantes Recibidos</t>
  </si>
  <si>
    <t>Notas de crédito</t>
  </si>
  <si>
    <t>Otros Egresos E impuestos</t>
  </si>
  <si>
    <t>Tasa SH</t>
  </si>
  <si>
    <t>Mensual</t>
  </si>
  <si>
    <t>PyP y OyP</t>
  </si>
  <si>
    <t>Inmobiliario Complementario o Sellos</t>
  </si>
  <si>
    <t>Sueldos F931 y Doméstico/a</t>
  </si>
  <si>
    <t>Total General</t>
  </si>
  <si>
    <t>Total Empleador</t>
  </si>
  <si>
    <t>EMPELADA DOMESTICA</t>
  </si>
  <si>
    <t>Sueldo</t>
  </si>
  <si>
    <t>Cs Ss</t>
  </si>
  <si>
    <t>Base de datos para el funcionamiento</t>
  </si>
  <si>
    <t>Lista 1</t>
  </si>
  <si>
    <t>Lista 2</t>
  </si>
  <si>
    <t>Lista 3</t>
  </si>
  <si>
    <t>Lista 4</t>
  </si>
  <si>
    <t>Lista Elección de Cargas Familiares</t>
  </si>
  <si>
    <t>Lista año Ganancias</t>
  </si>
  <si>
    <t>Cat Jubilado</t>
  </si>
  <si>
    <t>Gastos s/ krause</t>
  </si>
  <si>
    <t>Si</t>
  </si>
  <si>
    <t>Otro</t>
  </si>
  <si>
    <t>Combustibles y lubricantes</t>
  </si>
  <si>
    <t>Servicios recibidos</t>
  </si>
  <si>
    <t>Gastos Bancarios</t>
  </si>
  <si>
    <t>CMV - Animales</t>
  </si>
  <si>
    <t>Impuesto sellos, derechos, guías y Senasa (vtas)</t>
  </si>
  <si>
    <t>Comisiones Compras/Venta de Ganado y Gtos Varios (vtas)</t>
  </si>
  <si>
    <t>Ropa de Trabajo</t>
  </si>
  <si>
    <t>Gastos Insumos Agropecuarios</t>
  </si>
  <si>
    <t>Gasto Rep. Y mant. Campo</t>
  </si>
  <si>
    <t>Fletes</t>
  </si>
  <si>
    <t>Servicios Agropecuarios Recibidos</t>
  </si>
  <si>
    <t>COOPERATIVA DE TRABAJO DE SERVICIOS MEDICO-ASISTENCIALES NECOCHEA LIMITADA</t>
  </si>
  <si>
    <t>Facturas A</t>
  </si>
  <si>
    <t>Facturas B</t>
  </si>
  <si>
    <t>Facturas C</t>
  </si>
  <si>
    <t>Notas de Crédito</t>
  </si>
  <si>
    <t>Combustibles y Lubricantes</t>
  </si>
  <si>
    <t>Gastos de Mantenimiento</t>
  </si>
  <si>
    <t>Gastos Educativos</t>
  </si>
  <si>
    <t>Servicios de Salud Médica</t>
  </si>
  <si>
    <t>Alimentos y bebidas</t>
  </si>
  <si>
    <t>Muebles y útiles</t>
  </si>
  <si>
    <t>Instrumental Médico y Odontológico</t>
  </si>
  <si>
    <t>Honorarios Profesionales</t>
  </si>
  <si>
    <t>Insumos Agropecuarios</t>
  </si>
  <si>
    <t>Supermercados</t>
  </si>
  <si>
    <t>Obra Social</t>
  </si>
  <si>
    <t>Venta y Cultivo de Cereales</t>
  </si>
  <si>
    <t>Artículos de Bazar</t>
  </si>
  <si>
    <t>ASOCIACION ESCOLAR ALEMANA DE NECOCHEA</t>
  </si>
  <si>
    <t>USINA POPULAR COOPERATIVA DE OBRAS.SERVICIOS PUBLICOS Y SOCIALES LTDA.DE NECOCHEA</t>
  </si>
  <si>
    <t>DASAJU DISTRIBUIDORA S.A</t>
  </si>
  <si>
    <t>CIRCULO MEDICO DE NECOCHEA</t>
  </si>
  <si>
    <t>FEDERACIÓN MÉDICA</t>
  </si>
  <si>
    <t>Cría de Ganado</t>
  </si>
  <si>
    <t>Toyota Hilux</t>
  </si>
  <si>
    <t>Es por la dif de LQs</t>
  </si>
  <si>
    <t>ITC</t>
  </si>
  <si>
    <t>Impuesto de sellos, derechos, guias y SENASA</t>
  </si>
  <si>
    <t>Reparaciones, repuestos y gastos de mantenimiento</t>
  </si>
  <si>
    <t>Luz, teléfono e Internet</t>
  </si>
  <si>
    <t>Prepaga</t>
  </si>
  <si>
    <t>Insumos Médicos</t>
  </si>
  <si>
    <t>Gastos act pecuaria</t>
  </si>
  <si>
    <t>Gastos por servicios varios agrop</t>
  </si>
  <si>
    <t>Gasto y rep y mant campo</t>
  </si>
  <si>
    <t>PP de imputar</t>
  </si>
  <si>
    <t>Empleada Doméstica</t>
  </si>
  <si>
    <t>27-17443789-6</t>
  </si>
  <si>
    <t>20-24761853-9</t>
  </si>
  <si>
    <t>Impuestos, sellos, derechos, guias y SENASA (Ventas)</t>
  </si>
  <si>
    <t>Comisiones y Gastos Varios LQ hacienda y Cereal</t>
  </si>
  <si>
    <t>Pago Intereses Resarcitorios Autonomo</t>
  </si>
  <si>
    <t>Ajuste Pago Obligacion Mensual Autonomo.</t>
  </si>
  <si>
    <t>Serv. Inmob.</t>
  </si>
  <si>
    <t>Año</t>
  </si>
  <si>
    <t>Anexo, bienes de uso, existencias, bienes propios</t>
  </si>
  <si>
    <t>Bienes Destinados a la actividad</t>
  </si>
  <si>
    <t>Rodados:</t>
  </si>
  <si>
    <t>Fecha Adq</t>
  </si>
  <si>
    <t>Valor Adq</t>
  </si>
  <si>
    <t>Amortización</t>
  </si>
  <si>
    <t>Valor Actual</t>
  </si>
  <si>
    <t>Maquinarias</t>
  </si>
  <si>
    <t>Instalaciones</t>
  </si>
  <si>
    <t>Sup Total</t>
  </si>
  <si>
    <t>Sup Edif</t>
  </si>
  <si>
    <t>Valor Inv.</t>
  </si>
  <si>
    <t>Depreciación</t>
  </si>
  <si>
    <t>Bienes Propios no afectados a la explotación</t>
  </si>
  <si>
    <t>Resumen Bienes</t>
  </si>
  <si>
    <t>Valor Origen</t>
  </si>
  <si>
    <t>Fecha inv</t>
  </si>
  <si>
    <t>Existencias, Cereales, Ganado, valuación</t>
  </si>
  <si>
    <t>Cereales</t>
  </si>
  <si>
    <t>Ganado</t>
  </si>
  <si>
    <t>V.U.</t>
  </si>
  <si>
    <t>KG unitario</t>
  </si>
  <si>
    <t>Existencia Final</t>
  </si>
  <si>
    <t>Existencia inicial</t>
  </si>
  <si>
    <t>Campaña Actual</t>
  </si>
  <si>
    <t>Campaña Siguiente</t>
  </si>
  <si>
    <t>Tn a inicio</t>
  </si>
  <si>
    <t>Venta</t>
  </si>
  <si>
    <t>Tn Final</t>
  </si>
  <si>
    <t>Gastos Inherentes</t>
  </si>
  <si>
    <t>Valor Inicial</t>
  </si>
  <si>
    <t>Valor Final</t>
  </si>
  <si>
    <t>Tn Cosechadas</t>
  </si>
  <si>
    <t>Lista 5</t>
  </si>
  <si>
    <t>Tipos BU</t>
  </si>
  <si>
    <t>Camioneta</t>
  </si>
  <si>
    <t>Camión</t>
  </si>
  <si>
    <t>Moto</t>
  </si>
  <si>
    <t>Lancha</t>
  </si>
  <si>
    <t>Tipos Maquinarias</t>
  </si>
  <si>
    <t>Otros</t>
  </si>
  <si>
    <t>Tractor</t>
  </si>
  <si>
    <t>Cosechadora</t>
  </si>
  <si>
    <t>Fumigadora</t>
  </si>
  <si>
    <t>Acoplado</t>
  </si>
  <si>
    <t>Tolva</t>
  </si>
  <si>
    <t>Lista 6</t>
  </si>
  <si>
    <t>Lista 7</t>
  </si>
  <si>
    <t>Tipo ganado</t>
  </si>
  <si>
    <t>Lista 8</t>
  </si>
  <si>
    <t>Tipo Cereal</t>
  </si>
  <si>
    <t>Soja (1ra)</t>
  </si>
  <si>
    <t>Soja (2da)</t>
  </si>
  <si>
    <t>Girasol</t>
  </si>
  <si>
    <t>Trigo</t>
  </si>
  <si>
    <t>Cebada Cer,</t>
  </si>
  <si>
    <t>Cebada For.</t>
  </si>
  <si>
    <t>Maiz</t>
  </si>
  <si>
    <t>Alpiste</t>
  </si>
  <si>
    <t>Papa</t>
  </si>
  <si>
    <t>Avena</t>
  </si>
  <si>
    <t>Lista 9</t>
  </si>
  <si>
    <t>(Inmuebles)</t>
  </si>
  <si>
    <t>Urbano Edif</t>
  </si>
  <si>
    <t>Primera Categoría: Renta del suelo</t>
  </si>
  <si>
    <t>Segunda Categoría: Ingresos por Acciones, intereses, Dividendos, Tenencias</t>
  </si>
  <si>
    <t>Tipo de Ingreso</t>
  </si>
  <si>
    <t>Valuación inicial</t>
  </si>
  <si>
    <t>Valuación Final</t>
  </si>
  <si>
    <t xml:space="preserve">Dif </t>
  </si>
  <si>
    <t>Tercera Categoría: Profesion y/o Explotaciones Comerciales</t>
  </si>
  <si>
    <t>Cuarta Categoría: Ingresos Autónomos e independientes</t>
  </si>
  <si>
    <t>A- Ingresos</t>
  </si>
  <si>
    <t>B- Egresos</t>
  </si>
  <si>
    <t>C- Resultados de Tercera</t>
  </si>
  <si>
    <t>Impuestos y Gastos Generales:</t>
  </si>
  <si>
    <t>Sueldos</t>
  </si>
  <si>
    <t>Gasto Colegio</t>
  </si>
  <si>
    <t>Gastos Inherentes de la actividad</t>
  </si>
  <si>
    <t>Ingresos 3ra</t>
  </si>
  <si>
    <t>Actividad 1</t>
  </si>
  <si>
    <t>Actividad 2</t>
  </si>
  <si>
    <t>Actividad 3</t>
  </si>
  <si>
    <t>Lista</t>
  </si>
  <si>
    <t>Marca/Modelo</t>
  </si>
  <si>
    <t>Clasif</t>
  </si>
  <si>
    <t>Dirección</t>
  </si>
  <si>
    <t>Partida</t>
  </si>
  <si>
    <t>RODADOS AFECTADOS</t>
  </si>
  <si>
    <t>INMUEB</t>
  </si>
  <si>
    <t>MAQUIN</t>
  </si>
  <si>
    <t>INSTAL</t>
  </si>
  <si>
    <t>RODADOS PROPIOS</t>
  </si>
  <si>
    <t>INM PROP</t>
  </si>
  <si>
    <t>Peugeot 308</t>
  </si>
  <si>
    <t>Valor origen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</si>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</sst>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-* #,##0.00\ _€_-;\-* #,##0.00\ _€_-;_-* &quot;-&quot;??\ _€_-;_-@_-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-* #,##0.000000\ _€_-;\-* #,##0.000000\ _€_-;_-* &quot;-&quot;??\ _€_-;_-@_-"/>
    <numFmt numFmtId="168" formatCode="_-* #,##0.0000000\ _€_-;\-* #,##0.0000000\ _€_-;_-* &quot;-&quot;??\ _€_-;_-@_-"/>
    <numFmt numFmtId="169" formatCode="_-[$$-2C0A]\ * #,##0.00_-;\-[$$-2C0A]\ * #,##0.00_-;_-[$$-2C0A]\ * &quot;-&quot;??_-;_-@_-"/>
    <numFmt numFmtId="170" formatCode="_-[$$-2C0A]\ * #,##0_-;\-[$$-2C0A]\ * #,##0_-;_-[$$-2C0A]\ * &quot;-&quot;??_-;_-@_-"/>
    <numFmt numFmtId="171" formatCode="mm/yy"/>
    <numFmt numFmtId="172" formatCode="_ * #,##0.00_ ;_ * \-#,##0.00_ ;_ * \-??_ ;_ @_ "/>
    <numFmt numFmtId="173" formatCode="_-[$$-80A]* #,##0.00_-;\-[$$-80A]* #,##0.00_-;_-[$$-80A]* &quot;-&quot;??_-;_-@_-"/>
    <numFmt numFmtId="174" formatCode="_ &quot;$ &quot;* #,##0.00_ ;_ &quot;$ &quot;* \-#,##0.00_ ;_ &quot;$ &quot;* \-??_ ;_ @_ "/>
  </numFmts>
  <fonts count="72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5"/>
      <name val="Arial"/>
      <family val="2"/>
    </font>
    <font>
      <b/>
      <sz val="16"/>
      <name val="Arial"/>
      <family val="2"/>
    </font>
    <font>
      <b/>
      <i/>
      <sz val="10"/>
      <name val="Arial"/>
      <family val="2"/>
    </font>
    <font>
      <sz val="10"/>
      <name val="Arial"/>
    </font>
    <font>
      <b/>
      <sz val="12"/>
      <name val="Arial"/>
      <family val="2"/>
    </font>
    <font>
      <b/>
      <sz val="11"/>
      <name val="Arial"/>
      <family val="2"/>
    </font>
    <font>
      <sz val="20"/>
      <name val="Arial"/>
      <family val="2"/>
    </font>
    <font>
      <b/>
      <u/>
      <sz val="20"/>
      <name val="Arial"/>
      <family val="2"/>
    </font>
    <font>
      <sz val="11"/>
      <name val="Arial"/>
      <family val="2"/>
    </font>
    <font>
      <b/>
      <u/>
      <sz val="14"/>
      <name val="Arial"/>
      <family val="2"/>
    </font>
    <font>
      <b/>
      <i/>
      <sz val="12"/>
      <name val="Goudy Old Style"/>
      <family val="1"/>
    </font>
    <font>
      <b/>
      <i/>
      <sz val="11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i/>
      <sz val="14"/>
      <name val="Goudy Old Style"/>
      <family val="1"/>
    </font>
    <font>
      <b/>
      <sz val="14"/>
      <name val="Arial"/>
      <family val="2"/>
    </font>
    <font>
      <b/>
      <sz val="18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16"/>
      <color theme="0"/>
      <name val="Arial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sz val="10"/>
      <color rgb="FFC00000"/>
      <name val="Arial"/>
      <family val="2"/>
    </font>
    <font>
      <b/>
      <i/>
      <sz val="20"/>
      <color theme="0"/>
      <name val="Arial"/>
      <family val="2"/>
    </font>
    <font>
      <sz val="2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5F3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5FDDB"/>
        <bgColor indexed="64"/>
      </patternFill>
    </fill>
    <fill>
      <patternFill patternType="solid">
        <fgColor rgb="FFFAF5D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</borders>
  <cellStyleXfs count="10">
    <xf numFmtId="0" fontId="0" fillId="0" borderId="0"/>
    <xf numFmtId="0" fontId="47" fillId="3" borderId="54" applyNumberFormat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4" fontId="3" fillId="0" borderId="0" applyFill="0" applyBorder="0" applyAlignment="0" applyProtection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ill="0" applyBorder="0" applyAlignment="0" applyProtection="0"/>
    <xf numFmtId="9" fontId="29" fillId="0" borderId="0" applyFill="0" applyBorder="0" applyAlignment="0" applyProtection="0"/>
  </cellStyleXfs>
  <cellXfs count="713">
    <xf numFmtId="0" fontId="0" fillId="0" borderId="0" xfId="0"/>
    <xf numFmtId="0" fontId="2" fillId="0" borderId="0" xfId="0" applyFont="1"/>
    <xf numFmtId="166" fontId="1" fillId="0" borderId="0" xfId="2" applyFill="1"/>
    <xf numFmtId="166" fontId="1" fillId="0" borderId="0" xfId="2" applyFont="1" applyFill="1"/>
    <xf numFmtId="0" fontId="3" fillId="0" borderId="0" xfId="0" applyFont="1"/>
    <xf numFmtId="166" fontId="0" fillId="0" borderId="0" xfId="2" applyFont="1" applyFill="1" applyBorder="1"/>
    <xf numFmtId="166" fontId="0" fillId="0" borderId="0" xfId="2" applyFont="1" applyFill="1"/>
    <xf numFmtId="4" fontId="0" fillId="0" borderId="0" xfId="0" applyNumberFormat="1"/>
    <xf numFmtId="166" fontId="1" fillId="0" borderId="0" xfId="2" applyFill="1" applyBorder="1"/>
    <xf numFmtId="0" fontId="2" fillId="2" borderId="1" xfId="0" applyFont="1" applyFill="1" applyBorder="1"/>
    <xf numFmtId="166" fontId="3" fillId="0" borderId="0" xfId="2" applyFont="1" applyFill="1"/>
    <xf numFmtId="166" fontId="5" fillId="0" borderId="0" xfId="2" applyFont="1" applyFill="1"/>
    <xf numFmtId="165" fontId="0" fillId="0" borderId="0" xfId="3" applyFont="1" applyFill="1"/>
    <xf numFmtId="0" fontId="7" fillId="0" borderId="0" xfId="0" applyFont="1"/>
    <xf numFmtId="165" fontId="0" fillId="0" borderId="0" xfId="3" applyFont="1" applyFill="1" applyBorder="1"/>
    <xf numFmtId="0" fontId="9" fillId="0" borderId="0" xfId="0" applyFont="1"/>
    <xf numFmtId="166" fontId="8" fillId="0" borderId="0" xfId="2" applyFont="1" applyFill="1" applyBorder="1"/>
    <xf numFmtId="166" fontId="2" fillId="0" borderId="0" xfId="2" applyFont="1" applyFill="1" applyBorder="1"/>
    <xf numFmtId="166" fontId="0" fillId="0" borderId="0" xfId="0" applyNumberFormat="1"/>
    <xf numFmtId="165" fontId="2" fillId="0" borderId="0" xfId="3" applyFont="1" applyFill="1"/>
    <xf numFmtId="166" fontId="2" fillId="0" borderId="0" xfId="2" applyFont="1" applyFill="1"/>
    <xf numFmtId="0" fontId="13" fillId="0" borderId="0" xfId="0" applyFont="1"/>
    <xf numFmtId="165" fontId="14" fillId="0" borderId="0" xfId="3" applyFont="1" applyFill="1"/>
    <xf numFmtId="14" fontId="14" fillId="0" borderId="0" xfId="0" applyNumberFormat="1" applyFont="1"/>
    <xf numFmtId="0" fontId="14" fillId="0" borderId="0" xfId="0" applyFont="1" applyAlignment="1">
      <alignment horizontal="center" vertical="center"/>
    </xf>
    <xf numFmtId="165" fontId="16" fillId="0" borderId="0" xfId="3" applyFont="1" applyFill="1"/>
    <xf numFmtId="165" fontId="14" fillId="0" borderId="0" xfId="3" applyFont="1" applyFill="1" applyBorder="1"/>
    <xf numFmtId="166" fontId="3" fillId="0" borderId="0" xfId="2" applyFont="1" applyFill="1" applyAlignment="1">
      <alignment horizontal="center" vertical="center"/>
    </xf>
    <xf numFmtId="0" fontId="2" fillId="0" borderId="2" xfId="0" applyFont="1" applyBorder="1"/>
    <xf numFmtId="0" fontId="0" fillId="0" borderId="0" xfId="0" applyAlignment="1">
      <alignment horizontal="center"/>
    </xf>
    <xf numFmtId="165" fontId="0" fillId="0" borderId="0" xfId="0" applyNumberFormat="1"/>
    <xf numFmtId="0" fontId="15" fillId="0" borderId="0" xfId="0" applyFont="1"/>
    <xf numFmtId="0" fontId="2" fillId="0" borderId="0" xfId="0" applyFont="1" applyAlignment="1">
      <alignment horizontal="center" vertical="center"/>
    </xf>
    <xf numFmtId="166" fontId="2" fillId="0" borderId="2" xfId="2" applyFont="1" applyFill="1" applyBorder="1"/>
    <xf numFmtId="43" fontId="0" fillId="0" borderId="0" xfId="0" applyNumberFormat="1"/>
    <xf numFmtId="0" fontId="2" fillId="0" borderId="3" xfId="0" applyFont="1" applyBorder="1"/>
    <xf numFmtId="166" fontId="1" fillId="0" borderId="2" xfId="2" applyFill="1" applyBorder="1"/>
    <xf numFmtId="166" fontId="1" fillId="0" borderId="3" xfId="2" applyFill="1" applyBorder="1"/>
    <xf numFmtId="166" fontId="7" fillId="0" borderId="0" xfId="2" applyFont="1" applyFill="1"/>
    <xf numFmtId="166" fontId="2" fillId="0" borderId="0" xfId="2" applyFont="1" applyFill="1" applyAlignment="1">
      <alignment horizontal="center"/>
    </xf>
    <xf numFmtId="166" fontId="1" fillId="0" borderId="4" xfId="2" applyFill="1" applyBorder="1"/>
    <xf numFmtId="166" fontId="0" fillId="0" borderId="4" xfId="2" applyFont="1" applyFill="1" applyBorder="1"/>
    <xf numFmtId="0" fontId="2" fillId="0" borderId="4" xfId="0" applyFont="1" applyBorder="1"/>
    <xf numFmtId="166" fontId="3" fillId="0" borderId="3" xfId="2" applyFont="1" applyFill="1" applyBorder="1"/>
    <xf numFmtId="0" fontId="14" fillId="0" borderId="0" xfId="0" applyFont="1"/>
    <xf numFmtId="0" fontId="0" fillId="0" borderId="5" xfId="0" applyBorder="1"/>
    <xf numFmtId="0" fontId="0" fillId="0" borderId="6" xfId="0" applyBorder="1"/>
    <xf numFmtId="0" fontId="3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6" fontId="17" fillId="0" borderId="11" xfId="2" applyFont="1" applyFill="1" applyBorder="1" applyAlignment="1">
      <alignment horizontal="right" wrapText="1"/>
    </xf>
    <xf numFmtId="0" fontId="17" fillId="0" borderId="9" xfId="0" applyFont="1" applyBorder="1" applyAlignment="1">
      <alignment horizontal="center" wrapText="1"/>
    </xf>
    <xf numFmtId="0" fontId="17" fillId="0" borderId="0" xfId="0" applyFont="1" applyAlignment="1">
      <alignment horizontal="center" wrapText="1"/>
    </xf>
    <xf numFmtId="0" fontId="17" fillId="0" borderId="12" xfId="0" applyFont="1" applyBorder="1" applyAlignment="1">
      <alignment horizontal="right" wrapText="1"/>
    </xf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3" fillId="0" borderId="4" xfId="0" applyFont="1" applyBorder="1"/>
    <xf numFmtId="17" fontId="0" fillId="0" borderId="4" xfId="0" applyNumberFormat="1" applyBorder="1"/>
    <xf numFmtId="166" fontId="2" fillId="0" borderId="15" xfId="2" applyFont="1" applyFill="1" applyBorder="1" applyAlignment="1">
      <alignment horizontal="center"/>
    </xf>
    <xf numFmtId="166" fontId="1" fillId="0" borderId="15" xfId="2" applyFont="1" applyFill="1" applyBorder="1" applyAlignment="1">
      <alignment horizontal="center"/>
    </xf>
    <xf numFmtId="166" fontId="1" fillId="0" borderId="15" xfId="2" applyFont="1" applyFill="1" applyBorder="1"/>
    <xf numFmtId="165" fontId="14" fillId="0" borderId="16" xfId="3" applyFont="1" applyFill="1" applyBorder="1"/>
    <xf numFmtId="164" fontId="14" fillId="0" borderId="16" xfId="0" applyNumberFormat="1" applyFont="1" applyBorder="1" applyAlignment="1">
      <alignment horizontal="center" vertical="center"/>
    </xf>
    <xf numFmtId="165" fontId="14" fillId="0" borderId="16" xfId="0" applyNumberFormat="1" applyFont="1" applyBorder="1" applyAlignment="1">
      <alignment horizontal="center" vertical="center"/>
    </xf>
    <xf numFmtId="164" fontId="0" fillId="0" borderId="0" xfId="0" applyNumberFormat="1"/>
    <xf numFmtId="165" fontId="3" fillId="0" borderId="0" xfId="0" applyNumberFormat="1" applyFont="1"/>
    <xf numFmtId="2" fontId="0" fillId="0" borderId="0" xfId="0" applyNumberFormat="1"/>
    <xf numFmtId="165" fontId="2" fillId="0" borderId="0" xfId="0" applyNumberFormat="1" applyFont="1"/>
    <xf numFmtId="0" fontId="0" fillId="0" borderId="17" xfId="0" applyBorder="1"/>
    <xf numFmtId="166" fontId="2" fillId="0" borderId="18" xfId="0" applyNumberFormat="1" applyFont="1" applyBorder="1"/>
    <xf numFmtId="0" fontId="3" fillId="4" borderId="0" xfId="0" applyFont="1" applyFill="1"/>
    <xf numFmtId="0" fontId="0" fillId="4" borderId="0" xfId="0" applyFill="1"/>
    <xf numFmtId="0" fontId="3" fillId="4" borderId="7" xfId="0" applyFont="1" applyFill="1" applyBorder="1"/>
    <xf numFmtId="0" fontId="0" fillId="4" borderId="8" xfId="0" applyFill="1" applyBorder="1"/>
    <xf numFmtId="165" fontId="10" fillId="4" borderId="19" xfId="3" applyFont="1" applyFill="1" applyBorder="1"/>
    <xf numFmtId="0" fontId="0" fillId="4" borderId="9" xfId="0" applyFill="1" applyBorder="1"/>
    <xf numFmtId="0" fontId="0" fillId="4" borderId="12" xfId="0" applyFill="1" applyBorder="1"/>
    <xf numFmtId="0" fontId="3" fillId="0" borderId="9" xfId="0" applyFont="1" applyBorder="1"/>
    <xf numFmtId="0" fontId="0" fillId="0" borderId="12" xfId="0" applyBorder="1"/>
    <xf numFmtId="0" fontId="3" fillId="0" borderId="10" xfId="0" applyFont="1" applyBorder="1"/>
    <xf numFmtId="0" fontId="3" fillId="0" borderId="7" xfId="0" applyFont="1" applyBorder="1"/>
    <xf numFmtId="165" fontId="0" fillId="0" borderId="20" xfId="0" applyNumberFormat="1" applyBorder="1"/>
    <xf numFmtId="0" fontId="0" fillId="4" borderId="19" xfId="0" applyFill="1" applyBorder="1"/>
    <xf numFmtId="165" fontId="0" fillId="4" borderId="12" xfId="0" applyNumberForma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0" fillId="4" borderId="3" xfId="0" applyFill="1" applyBorder="1"/>
    <xf numFmtId="165" fontId="0" fillId="4" borderId="20" xfId="0" applyNumberFormat="1" applyFill="1" applyBorder="1"/>
    <xf numFmtId="3" fontId="0" fillId="4" borderId="12" xfId="0" applyNumberFormat="1" applyFill="1" applyBorder="1"/>
    <xf numFmtId="0" fontId="0" fillId="4" borderId="20" xfId="0" applyFill="1" applyBorder="1"/>
    <xf numFmtId="0" fontId="2" fillId="4" borderId="10" xfId="0" applyFont="1" applyFill="1" applyBorder="1"/>
    <xf numFmtId="165" fontId="3" fillId="4" borderId="20" xfId="0" applyNumberFormat="1" applyFont="1" applyFill="1" applyBorder="1"/>
    <xf numFmtId="2" fontId="0" fillId="0" borderId="8" xfId="0" applyNumberFormat="1" applyBorder="1"/>
    <xf numFmtId="165" fontId="0" fillId="0" borderId="19" xfId="0" applyNumberFormat="1" applyBorder="1"/>
    <xf numFmtId="2" fontId="0" fillId="0" borderId="3" xfId="0" applyNumberFormat="1" applyBorder="1"/>
    <xf numFmtId="165" fontId="2" fillId="4" borderId="0" xfId="3" applyFont="1" applyFill="1"/>
    <xf numFmtId="0" fontId="2" fillId="4" borderId="0" xfId="0" applyFont="1" applyFill="1"/>
    <xf numFmtId="165" fontId="2" fillId="4" borderId="2" xfId="3" applyFont="1" applyFill="1" applyBorder="1"/>
    <xf numFmtId="0" fontId="3" fillId="4" borderId="0" xfId="0" applyFont="1" applyFill="1" applyAlignment="1">
      <alignment horizontal="right"/>
    </xf>
    <xf numFmtId="165" fontId="2" fillId="4" borderId="0" xfId="0" applyNumberFormat="1" applyFont="1" applyFill="1"/>
    <xf numFmtId="0" fontId="3" fillId="4" borderId="1" xfId="0" applyFont="1" applyFill="1" applyBorder="1"/>
    <xf numFmtId="0" fontId="3" fillId="4" borderId="18" xfId="0" applyFont="1" applyFill="1" applyBorder="1"/>
    <xf numFmtId="165" fontId="2" fillId="4" borderId="16" xfId="0" applyNumberFormat="1" applyFont="1" applyFill="1" applyBorder="1"/>
    <xf numFmtId="0" fontId="2" fillId="4" borderId="1" xfId="0" applyFont="1" applyFill="1" applyBorder="1"/>
    <xf numFmtId="0" fontId="2" fillId="4" borderId="17" xfId="0" applyFont="1" applyFill="1" applyBorder="1"/>
    <xf numFmtId="165" fontId="2" fillId="4" borderId="18" xfId="0" applyNumberFormat="1" applyFont="1" applyFill="1" applyBorder="1"/>
    <xf numFmtId="0" fontId="0" fillId="0" borderId="20" xfId="0" applyBorder="1"/>
    <xf numFmtId="0" fontId="0" fillId="0" borderId="19" xfId="0" applyBorder="1"/>
    <xf numFmtId="166" fontId="1" fillId="0" borderId="0" xfId="2" applyFont="1" applyFill="1" applyAlignment="1">
      <alignment horizontal="center"/>
    </xf>
    <xf numFmtId="166" fontId="10" fillId="0" borderId="0" xfId="2" applyFont="1" applyFill="1"/>
    <xf numFmtId="166" fontId="1" fillId="0" borderId="19" xfId="2" applyFill="1" applyBorder="1"/>
    <xf numFmtId="166" fontId="1" fillId="0" borderId="21" xfId="2" applyFill="1" applyBorder="1"/>
    <xf numFmtId="166" fontId="3" fillId="0" borderId="4" xfId="2" applyFont="1" applyFill="1" applyBorder="1"/>
    <xf numFmtId="166" fontId="10" fillId="0" borderId="4" xfId="2" applyFont="1" applyFill="1" applyBorder="1"/>
    <xf numFmtId="4" fontId="0" fillId="0" borderId="4" xfId="0" applyNumberFormat="1" applyBorder="1"/>
    <xf numFmtId="0" fontId="14" fillId="0" borderId="4" xfId="0" applyFont="1" applyBorder="1"/>
    <xf numFmtId="165" fontId="2" fillId="0" borderId="4" xfId="3" applyFont="1" applyFill="1" applyBorder="1"/>
    <xf numFmtId="0" fontId="2" fillId="0" borderId="18" xfId="0" applyFont="1" applyBorder="1" applyAlignment="1">
      <alignment horizontal="center" vertical="center"/>
    </xf>
    <xf numFmtId="165" fontId="10" fillId="0" borderId="0" xfId="3" applyFont="1" applyFill="1"/>
    <xf numFmtId="0" fontId="2" fillId="0" borderId="7" xfId="0" applyFont="1" applyBorder="1"/>
    <xf numFmtId="0" fontId="3" fillId="0" borderId="19" xfId="0" applyFont="1" applyBorder="1"/>
    <xf numFmtId="0" fontId="2" fillId="0" borderId="9" xfId="0" applyFont="1" applyBorder="1"/>
    <xf numFmtId="165" fontId="10" fillId="0" borderId="0" xfId="3" applyFont="1" applyFill="1" applyBorder="1"/>
    <xf numFmtId="166" fontId="10" fillId="0" borderId="0" xfId="2" applyFont="1" applyFill="1" applyBorder="1"/>
    <xf numFmtId="165" fontId="10" fillId="0" borderId="4" xfId="3" applyFont="1" applyFill="1" applyBorder="1"/>
    <xf numFmtId="166" fontId="2" fillId="0" borderId="4" xfId="2" applyFont="1" applyFill="1" applyBorder="1"/>
    <xf numFmtId="164" fontId="14" fillId="0" borderId="0" xfId="0" applyNumberFormat="1" applyFont="1"/>
    <xf numFmtId="0" fontId="16" fillId="0" borderId="0" xfId="0" applyFont="1"/>
    <xf numFmtId="165" fontId="10" fillId="0" borderId="16" xfId="3" applyFont="1" applyFill="1" applyBorder="1"/>
    <xf numFmtId="165" fontId="15" fillId="0" borderId="0" xfId="3" applyFont="1" applyFill="1"/>
    <xf numFmtId="0" fontId="12" fillId="0" borderId="1" xfId="0" applyFont="1" applyBorder="1" applyAlignment="1">
      <alignment horizontal="center" vertical="center"/>
    </xf>
    <xf numFmtId="166" fontId="12" fillId="0" borderId="18" xfId="2" applyFont="1" applyFill="1" applyBorder="1" applyAlignment="1">
      <alignment vertical="center"/>
    </xf>
    <xf numFmtId="166" fontId="10" fillId="0" borderId="12" xfId="2" applyFont="1" applyFill="1" applyBorder="1"/>
    <xf numFmtId="166" fontId="10" fillId="0" borderId="20" xfId="2" applyFont="1" applyFill="1" applyBorder="1"/>
    <xf numFmtId="0" fontId="12" fillId="0" borderId="1" xfId="0" applyFont="1" applyBorder="1"/>
    <xf numFmtId="166" fontId="12" fillId="0" borderId="18" xfId="2" applyFont="1" applyFill="1" applyBorder="1"/>
    <xf numFmtId="166" fontId="18" fillId="0" borderId="14" xfId="2" applyFont="1" applyFill="1" applyBorder="1" applyAlignment="1">
      <alignment wrapText="1"/>
    </xf>
    <xf numFmtId="166" fontId="18" fillId="0" borderId="23" xfId="2" applyFont="1" applyFill="1" applyBorder="1" applyAlignment="1">
      <alignment wrapText="1"/>
    </xf>
    <xf numFmtId="49" fontId="0" fillId="0" borderId="0" xfId="0" applyNumberFormat="1" applyAlignment="1">
      <alignment vertical="center"/>
    </xf>
    <xf numFmtId="166" fontId="18" fillId="0" borderId="24" xfId="2" applyFont="1" applyFill="1" applyBorder="1" applyAlignment="1">
      <alignment wrapText="1"/>
    </xf>
    <xf numFmtId="166" fontId="18" fillId="0" borderId="25" xfId="2" applyFont="1" applyFill="1" applyBorder="1" applyAlignment="1">
      <alignment horizontal="right" wrapText="1"/>
    </xf>
    <xf numFmtId="0" fontId="18" fillId="0" borderId="26" xfId="0" applyFont="1" applyBorder="1" applyAlignment="1">
      <alignment horizontal="right" wrapText="1"/>
    </xf>
    <xf numFmtId="0" fontId="18" fillId="0" borderId="26" xfId="0" applyFont="1" applyBorder="1" applyAlignment="1">
      <alignment wrapText="1"/>
    </xf>
    <xf numFmtId="166" fontId="2" fillId="5" borderId="0" xfId="2" applyFont="1" applyFill="1"/>
    <xf numFmtId="0" fontId="0" fillId="5" borderId="0" xfId="0" applyFill="1"/>
    <xf numFmtId="166" fontId="1" fillId="5" borderId="0" xfId="2" applyFill="1"/>
    <xf numFmtId="0" fontId="2" fillId="5" borderId="0" xfId="0" applyFont="1" applyFill="1"/>
    <xf numFmtId="0" fontId="3" fillId="5" borderId="0" xfId="0" applyFont="1" applyFill="1"/>
    <xf numFmtId="2" fontId="0" fillId="5" borderId="0" xfId="0" applyNumberFormat="1" applyFill="1"/>
    <xf numFmtId="168" fontId="0" fillId="0" borderId="4" xfId="0" applyNumberFormat="1" applyBorder="1"/>
    <xf numFmtId="166" fontId="3" fillId="5" borderId="0" xfId="2" applyFont="1" applyFill="1"/>
    <xf numFmtId="166" fontId="2" fillId="5" borderId="2" xfId="2" applyFont="1" applyFill="1" applyBorder="1"/>
    <xf numFmtId="14" fontId="0" fillId="0" borderId="0" xfId="0" applyNumberFormat="1"/>
    <xf numFmtId="165" fontId="10" fillId="5" borderId="0" xfId="3" applyFont="1" applyFill="1" applyBorder="1"/>
    <xf numFmtId="0" fontId="3" fillId="5" borderId="12" xfId="0" applyFont="1" applyFill="1" applyBorder="1"/>
    <xf numFmtId="165" fontId="2" fillId="0" borderId="8" xfId="3" applyFont="1" applyFill="1" applyBorder="1"/>
    <xf numFmtId="0" fontId="14" fillId="0" borderId="19" xfId="0" applyFont="1" applyBorder="1" applyAlignment="1">
      <alignment horizontal="center" vertical="center"/>
    </xf>
    <xf numFmtId="0" fontId="14" fillId="0" borderId="12" xfId="0" applyFont="1" applyBorder="1"/>
    <xf numFmtId="164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13" fillId="0" borderId="12" xfId="0" applyFont="1" applyBorder="1"/>
    <xf numFmtId="165" fontId="14" fillId="0" borderId="12" xfId="0" applyNumberFormat="1" applyFont="1" applyBorder="1"/>
    <xf numFmtId="165" fontId="16" fillId="0" borderId="0" xfId="3" applyFont="1" applyFill="1" applyBorder="1"/>
    <xf numFmtId="165" fontId="0" fillId="0" borderId="3" xfId="3" applyFont="1" applyFill="1" applyBorder="1"/>
    <xf numFmtId="0" fontId="3" fillId="5" borderId="9" xfId="0" applyFont="1" applyFill="1" applyBorder="1"/>
    <xf numFmtId="166" fontId="5" fillId="5" borderId="15" xfId="2" applyFont="1" applyFill="1" applyBorder="1"/>
    <xf numFmtId="4" fontId="0" fillId="5" borderId="3" xfId="0" applyNumberFormat="1" applyFill="1" applyBorder="1"/>
    <xf numFmtId="166" fontId="3" fillId="0" borderId="0" xfId="2" applyFont="1" applyFill="1" applyBorder="1"/>
    <xf numFmtId="4" fontId="0" fillId="5" borderId="0" xfId="0" applyNumberFormat="1" applyFill="1"/>
    <xf numFmtId="14" fontId="0" fillId="5" borderId="0" xfId="0" applyNumberFormat="1" applyFill="1"/>
    <xf numFmtId="0" fontId="0" fillId="5" borderId="9" xfId="0" applyFill="1" applyBorder="1"/>
    <xf numFmtId="9" fontId="0" fillId="5" borderId="12" xfId="0" applyNumberFormat="1" applyFill="1" applyBorder="1"/>
    <xf numFmtId="166" fontId="10" fillId="5" borderId="0" xfId="2" applyFont="1" applyFill="1" applyBorder="1"/>
    <xf numFmtId="166" fontId="1" fillId="5" borderId="0" xfId="2" applyFont="1" applyFill="1"/>
    <xf numFmtId="166" fontId="10" fillId="5" borderId="0" xfId="2" applyFont="1" applyFill="1"/>
    <xf numFmtId="166" fontId="1" fillId="5" borderId="0" xfId="2" applyFill="1" applyBorder="1"/>
    <xf numFmtId="166" fontId="1" fillId="5" borderId="4" xfId="2" applyFill="1" applyBorder="1"/>
    <xf numFmtId="0" fontId="3" fillId="5" borderId="16" xfId="0" applyFont="1" applyFill="1" applyBorder="1"/>
    <xf numFmtId="166" fontId="1" fillId="5" borderId="16" xfId="2" applyFill="1" applyBorder="1"/>
    <xf numFmtId="166" fontId="10" fillId="5" borderId="16" xfId="2" applyFont="1" applyFill="1" applyBorder="1"/>
    <xf numFmtId="165" fontId="0" fillId="0" borderId="16" xfId="0" applyNumberFormat="1" applyBorder="1"/>
    <xf numFmtId="166" fontId="5" fillId="0" borderId="0" xfId="2" applyFont="1" applyFill="1" applyBorder="1"/>
    <xf numFmtId="0" fontId="12" fillId="5" borderId="1" xfId="0" applyFont="1" applyFill="1" applyBorder="1"/>
    <xf numFmtId="166" fontId="12" fillId="5" borderId="18" xfId="2" applyFont="1" applyFill="1" applyBorder="1"/>
    <xf numFmtId="0" fontId="12" fillId="5" borderId="7" xfId="0" applyFont="1" applyFill="1" applyBorder="1"/>
    <xf numFmtId="166" fontId="12" fillId="5" borderId="19" xfId="2" applyFont="1" applyFill="1" applyBorder="1"/>
    <xf numFmtId="166" fontId="10" fillId="5" borderId="12" xfId="2" applyFont="1" applyFill="1" applyBorder="1"/>
    <xf numFmtId="167" fontId="12" fillId="5" borderId="18" xfId="2" applyNumberFormat="1" applyFont="1" applyFill="1" applyBorder="1"/>
    <xf numFmtId="0" fontId="11" fillId="5" borderId="13" xfId="0" applyFont="1" applyFill="1" applyBorder="1" applyAlignment="1">
      <alignment horizontal="right" wrapText="1"/>
    </xf>
    <xf numFmtId="0" fontId="17" fillId="5" borderId="27" xfId="0" applyFont="1" applyFill="1" applyBorder="1" applyAlignment="1">
      <alignment horizontal="center" vertical="center" wrapText="1"/>
    </xf>
    <xf numFmtId="0" fontId="17" fillId="5" borderId="28" xfId="0" applyFont="1" applyFill="1" applyBorder="1" applyAlignment="1">
      <alignment horizontal="center" vertical="center" wrapText="1"/>
    </xf>
    <xf numFmtId="0" fontId="17" fillId="5" borderId="25" xfId="0" applyFont="1" applyFill="1" applyBorder="1" applyAlignment="1">
      <alignment horizontal="center" vertical="center" wrapText="1"/>
    </xf>
    <xf numFmtId="0" fontId="18" fillId="5" borderId="29" xfId="0" applyFont="1" applyFill="1" applyBorder="1" applyAlignment="1">
      <alignment horizontal="right" wrapText="1"/>
    </xf>
    <xf numFmtId="0" fontId="18" fillId="5" borderId="13" xfId="0" applyFont="1" applyFill="1" applyBorder="1" applyAlignment="1">
      <alignment horizontal="right" wrapText="1"/>
    </xf>
    <xf numFmtId="0" fontId="18" fillId="5" borderId="5" xfId="0" applyFont="1" applyFill="1" applyBorder="1" applyAlignment="1">
      <alignment horizontal="right" wrapText="1"/>
    </xf>
    <xf numFmtId="0" fontId="11" fillId="5" borderId="4" xfId="0" applyFont="1" applyFill="1" applyBorder="1" applyAlignment="1">
      <alignment horizontal="right" wrapText="1"/>
    </xf>
    <xf numFmtId="0" fontId="11" fillId="5" borderId="30" xfId="0" applyFont="1" applyFill="1" applyBorder="1" applyAlignment="1">
      <alignment horizontal="right" wrapText="1"/>
    </xf>
    <xf numFmtId="0" fontId="11" fillId="5" borderId="31" xfId="0" applyFont="1" applyFill="1" applyBorder="1" applyAlignment="1">
      <alignment horizontal="right" wrapText="1"/>
    </xf>
    <xf numFmtId="166" fontId="18" fillId="5" borderId="32" xfId="2" applyFont="1" applyFill="1" applyBorder="1" applyAlignment="1">
      <alignment horizontal="right" wrapText="1"/>
    </xf>
    <xf numFmtId="166" fontId="18" fillId="5" borderId="33" xfId="2" applyFont="1" applyFill="1" applyBorder="1" applyAlignment="1">
      <alignment horizontal="right" wrapText="1"/>
    </xf>
    <xf numFmtId="0" fontId="11" fillId="5" borderId="14" xfId="0" applyFont="1" applyFill="1" applyBorder="1" applyAlignment="1">
      <alignment horizontal="right" wrapText="1"/>
    </xf>
    <xf numFmtId="0" fontId="11" fillId="5" borderId="29" xfId="0" applyFont="1" applyFill="1" applyBorder="1" applyAlignment="1">
      <alignment horizontal="right" wrapText="1"/>
    </xf>
    <xf numFmtId="0" fontId="11" fillId="5" borderId="5" xfId="0" applyFont="1" applyFill="1" applyBorder="1" applyAlignment="1">
      <alignment horizontal="right" wrapText="1"/>
    </xf>
    <xf numFmtId="9" fontId="50" fillId="0" borderId="34" xfId="7" applyFont="1" applyFill="1" applyBorder="1"/>
    <xf numFmtId="0" fontId="18" fillId="5" borderId="35" xfId="0" applyFont="1" applyFill="1" applyBorder="1" applyAlignment="1">
      <alignment horizontal="right" wrapText="1"/>
    </xf>
    <xf numFmtId="0" fontId="18" fillId="5" borderId="36" xfId="0" applyFont="1" applyFill="1" applyBorder="1" applyAlignment="1">
      <alignment horizontal="right" wrapText="1"/>
    </xf>
    <xf numFmtId="0" fontId="18" fillId="5" borderId="37" xfId="0" applyFont="1" applyFill="1" applyBorder="1" applyAlignment="1">
      <alignment horizontal="right" wrapText="1"/>
    </xf>
    <xf numFmtId="0" fontId="12" fillId="5" borderId="38" xfId="0" applyFont="1" applyFill="1" applyBorder="1" applyAlignment="1">
      <alignment horizontal="center" vertical="center" wrapText="1"/>
    </xf>
    <xf numFmtId="166" fontId="0" fillId="0" borderId="0" xfId="2" applyFont="1"/>
    <xf numFmtId="169" fontId="0" fillId="0" borderId="0" xfId="0" applyNumberFormat="1"/>
    <xf numFmtId="170" fontId="0" fillId="0" borderId="0" xfId="0" applyNumberFormat="1"/>
    <xf numFmtId="170" fontId="3" fillId="0" borderId="0" xfId="0" applyNumberFormat="1" applyFont="1"/>
    <xf numFmtId="0" fontId="51" fillId="0" borderId="0" xfId="0" applyFont="1"/>
    <xf numFmtId="169" fontId="51" fillId="0" borderId="15" xfId="0" applyNumberFormat="1" applyFont="1" applyBorder="1"/>
    <xf numFmtId="169" fontId="51" fillId="0" borderId="39" xfId="0" applyNumberFormat="1" applyFont="1" applyBorder="1"/>
    <xf numFmtId="0" fontId="51" fillId="0" borderId="15" xfId="0" applyFont="1" applyBorder="1"/>
    <xf numFmtId="169" fontId="51" fillId="0" borderId="40" xfId="0" applyNumberFormat="1" applyFont="1" applyBorder="1"/>
    <xf numFmtId="169" fontId="51" fillId="0" borderId="41" xfId="0" applyNumberFormat="1" applyFont="1" applyBorder="1"/>
    <xf numFmtId="169" fontId="51" fillId="0" borderId="42" xfId="0" applyNumberFormat="1" applyFont="1" applyBorder="1"/>
    <xf numFmtId="169" fontId="51" fillId="0" borderId="43" xfId="0" applyNumberFormat="1" applyFont="1" applyBorder="1"/>
    <xf numFmtId="0" fontId="0" fillId="6" borderId="0" xfId="0" applyFill="1"/>
    <xf numFmtId="17" fontId="0" fillId="6" borderId="0" xfId="0" applyNumberFormat="1" applyFill="1"/>
    <xf numFmtId="14" fontId="0" fillId="6" borderId="0" xfId="0" applyNumberFormat="1" applyFill="1"/>
    <xf numFmtId="4" fontId="0" fillId="6" borderId="0" xfId="0" applyNumberFormat="1" applyFill="1"/>
    <xf numFmtId="0" fontId="0" fillId="7" borderId="0" xfId="0" applyFill="1"/>
    <xf numFmtId="0" fontId="0" fillId="0" borderId="42" xfId="0" applyBorder="1"/>
    <xf numFmtId="0" fontId="0" fillId="6" borderId="2" xfId="0" applyFill="1" applyBorder="1"/>
    <xf numFmtId="0" fontId="0" fillId="6" borderId="43" xfId="0" applyFill="1" applyBorder="1"/>
    <xf numFmtId="169" fontId="22" fillId="0" borderId="40" xfId="0" applyNumberFormat="1" applyFont="1" applyBorder="1"/>
    <xf numFmtId="0" fontId="22" fillId="0" borderId="41" xfId="0" applyFont="1" applyBorder="1"/>
    <xf numFmtId="165" fontId="22" fillId="0" borderId="15" xfId="0" applyNumberFormat="1" applyFont="1" applyBorder="1"/>
    <xf numFmtId="0" fontId="22" fillId="0" borderId="39" xfId="0" applyFont="1" applyBorder="1"/>
    <xf numFmtId="166" fontId="22" fillId="0" borderId="15" xfId="0" applyNumberFormat="1" applyFont="1" applyBorder="1"/>
    <xf numFmtId="165" fontId="23" fillId="0" borderId="42" xfId="0" applyNumberFormat="1" applyFont="1" applyBorder="1"/>
    <xf numFmtId="0" fontId="23" fillId="0" borderId="43" xfId="0" applyFont="1" applyBorder="1"/>
    <xf numFmtId="0" fontId="0" fillId="0" borderId="40" xfId="0" applyBorder="1"/>
    <xf numFmtId="0" fontId="52" fillId="0" borderId="44" xfId="0" applyFont="1" applyBorder="1"/>
    <xf numFmtId="0" fontId="0" fillId="0" borderId="44" xfId="0" applyBorder="1"/>
    <xf numFmtId="0" fontId="0" fillId="0" borderId="41" xfId="0" applyBorder="1"/>
    <xf numFmtId="166" fontId="51" fillId="0" borderId="0" xfId="2" applyFont="1" applyFill="1" applyBorder="1"/>
    <xf numFmtId="166" fontId="51" fillId="8" borderId="45" xfId="2" applyFont="1" applyFill="1" applyBorder="1" applyAlignment="1">
      <alignment wrapText="1"/>
    </xf>
    <xf numFmtId="0" fontId="0" fillId="0" borderId="45" xfId="0" applyBorder="1"/>
    <xf numFmtId="166" fontId="51" fillId="9" borderId="32" xfId="2" applyFont="1" applyFill="1" applyBorder="1" applyAlignment="1">
      <alignment horizontal="center" vertical="center"/>
    </xf>
    <xf numFmtId="166" fontId="51" fillId="9" borderId="46" xfId="2" applyFont="1" applyFill="1" applyBorder="1" applyAlignment="1">
      <alignment horizontal="center" vertical="center"/>
    </xf>
    <xf numFmtId="0" fontId="51" fillId="9" borderId="32" xfId="0" applyFont="1" applyFill="1" applyBorder="1" applyAlignment="1">
      <alignment horizontal="center" vertical="center"/>
    </xf>
    <xf numFmtId="0" fontId="51" fillId="9" borderId="46" xfId="0" applyFont="1" applyFill="1" applyBorder="1" applyAlignment="1">
      <alignment horizontal="center" vertical="center"/>
    </xf>
    <xf numFmtId="0" fontId="51" fillId="9" borderId="4" xfId="0" applyFont="1" applyFill="1" applyBorder="1" applyAlignment="1">
      <alignment horizontal="center" vertical="center"/>
    </xf>
    <xf numFmtId="169" fontId="51" fillId="0" borderId="47" xfId="2" applyNumberFormat="1" applyFont="1" applyFill="1" applyBorder="1"/>
    <xf numFmtId="17" fontId="0" fillId="10" borderId="47" xfId="0" applyNumberFormat="1" applyFill="1" applyBorder="1" applyAlignment="1">
      <alignment horizontal="center"/>
    </xf>
    <xf numFmtId="169" fontId="51" fillId="0" borderId="40" xfId="2" applyNumberFormat="1" applyFont="1" applyFill="1" applyBorder="1"/>
    <xf numFmtId="169" fontId="51" fillId="0" borderId="41" xfId="2" applyNumberFormat="1" applyFont="1" applyFill="1" applyBorder="1"/>
    <xf numFmtId="169" fontId="0" fillId="0" borderId="41" xfId="0" applyNumberFormat="1" applyBorder="1"/>
    <xf numFmtId="169" fontId="51" fillId="0" borderId="47" xfId="0" applyNumberFormat="1" applyFont="1" applyBorder="1"/>
    <xf numFmtId="169" fontId="51" fillId="0" borderId="15" xfId="2" applyNumberFormat="1" applyFont="1" applyFill="1" applyBorder="1"/>
    <xf numFmtId="169" fontId="51" fillId="0" borderId="22" xfId="2" applyNumberFormat="1" applyFont="1" applyFill="1" applyBorder="1"/>
    <xf numFmtId="169" fontId="51" fillId="0" borderId="42" xfId="2" applyNumberFormat="1" applyFont="1" applyFill="1" applyBorder="1"/>
    <xf numFmtId="166" fontId="51" fillId="0" borderId="22" xfId="2" applyFont="1" applyFill="1" applyBorder="1"/>
    <xf numFmtId="166" fontId="51" fillId="6" borderId="32" xfId="2" applyFont="1" applyFill="1" applyBorder="1"/>
    <xf numFmtId="169" fontId="51" fillId="6" borderId="32" xfId="0" applyNumberFormat="1" applyFont="1" applyFill="1" applyBorder="1"/>
    <xf numFmtId="169" fontId="51" fillId="6" borderId="46" xfId="0" applyNumberFormat="1" applyFont="1" applyFill="1" applyBorder="1"/>
    <xf numFmtId="169" fontId="51" fillId="6" borderId="4" xfId="0" applyNumberFormat="1" applyFont="1" applyFill="1" applyBorder="1"/>
    <xf numFmtId="17" fontId="0" fillId="0" borderId="0" xfId="0" applyNumberFormat="1"/>
    <xf numFmtId="169" fontId="0" fillId="6" borderId="0" xfId="0" applyNumberFormat="1" applyFill="1"/>
    <xf numFmtId="169" fontId="51" fillId="6" borderId="0" xfId="2" applyNumberFormat="1" applyFont="1" applyFill="1" applyBorder="1"/>
    <xf numFmtId="166" fontId="7" fillId="0" borderId="0" xfId="2" applyFont="1" applyFill="1" applyBorder="1"/>
    <xf numFmtId="165" fontId="5" fillId="0" borderId="0" xfId="3" applyFont="1" applyFill="1" applyBorder="1"/>
    <xf numFmtId="14" fontId="10" fillId="0" borderId="0" xfId="2" applyNumberFormat="1" applyFont="1" applyFill="1" applyBorder="1"/>
    <xf numFmtId="165" fontId="2" fillId="0" borderId="0" xfId="3" applyFont="1" applyFill="1" applyBorder="1"/>
    <xf numFmtId="166" fontId="0" fillId="5" borderId="0" xfId="0" applyNumberFormat="1" applyFill="1"/>
    <xf numFmtId="164" fontId="0" fillId="5" borderId="0" xfId="0" applyNumberFormat="1" applyFill="1"/>
    <xf numFmtId="169" fontId="18" fillId="0" borderId="11" xfId="0" applyNumberFormat="1" applyFont="1" applyBorder="1" applyAlignment="1">
      <alignment wrapText="1"/>
    </xf>
    <xf numFmtId="0" fontId="53" fillId="11" borderId="32" xfId="0" applyFont="1" applyFill="1" applyBorder="1"/>
    <xf numFmtId="0" fontId="54" fillId="11" borderId="36" xfId="0" applyFont="1" applyFill="1" applyBorder="1"/>
    <xf numFmtId="0" fontId="54" fillId="11" borderId="46" xfId="0" applyFont="1" applyFill="1" applyBorder="1"/>
    <xf numFmtId="0" fontId="2" fillId="0" borderId="40" xfId="0" applyFont="1" applyBorder="1"/>
    <xf numFmtId="0" fontId="2" fillId="0" borderId="15" xfId="0" applyFont="1" applyBorder="1"/>
    <xf numFmtId="0" fontId="0" fillId="0" borderId="39" xfId="0" applyBorder="1"/>
    <xf numFmtId="0" fontId="2" fillId="0" borderId="42" xfId="0" applyFont="1" applyBorder="1"/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43" xfId="0" applyBorder="1"/>
    <xf numFmtId="0" fontId="0" fillId="0" borderId="44" xfId="0" applyBorder="1" applyAlignment="1">
      <alignment horizontal="left"/>
    </xf>
    <xf numFmtId="0" fontId="0" fillId="0" borderId="0" xfId="0" applyAlignment="1">
      <alignment horizontal="left"/>
    </xf>
    <xf numFmtId="0" fontId="2" fillId="0" borderId="32" xfId="0" applyFont="1" applyBorder="1"/>
    <xf numFmtId="0" fontId="2" fillId="0" borderId="36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47" fillId="3" borderId="55" xfId="1" applyBorder="1" applyAlignment="1">
      <alignment horizontal="left"/>
    </xf>
    <xf numFmtId="14" fontId="0" fillId="0" borderId="0" xfId="0" applyNumberFormat="1" applyAlignment="1">
      <alignment horizontal="center"/>
    </xf>
    <xf numFmtId="14" fontId="0" fillId="0" borderId="39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26" fillId="0" borderId="48" xfId="0" applyFont="1" applyBorder="1"/>
    <xf numFmtId="0" fontId="27" fillId="0" borderId="48" xfId="0" applyFont="1" applyBorder="1" applyAlignment="1">
      <alignment horizontal="center"/>
    </xf>
    <xf numFmtId="0" fontId="55" fillId="11" borderId="0" xfId="0" applyFont="1" applyFill="1"/>
    <xf numFmtId="0" fontId="56" fillId="11" borderId="0" xfId="0" applyFont="1" applyFill="1"/>
    <xf numFmtId="0" fontId="47" fillId="3" borderId="56" xfId="1" applyBorder="1" applyAlignment="1">
      <alignment horizontal="center" vertical="center"/>
    </xf>
    <xf numFmtId="0" fontId="0" fillId="0" borderId="32" xfId="0" applyBorder="1" applyAlignment="1">
      <alignment horizontal="center"/>
    </xf>
    <xf numFmtId="169" fontId="47" fillId="3" borderId="56" xfId="1" applyNumberFormat="1" applyBorder="1"/>
    <xf numFmtId="171" fontId="0" fillId="0" borderId="0" xfId="0" applyNumberFormat="1"/>
    <xf numFmtId="166" fontId="0" fillId="0" borderId="49" xfId="2" applyFont="1" applyFill="1" applyBorder="1" applyAlignment="1" applyProtection="1"/>
    <xf numFmtId="171" fontId="2" fillId="0" borderId="40" xfId="0" applyNumberFormat="1" applyFont="1" applyBorder="1" applyAlignment="1">
      <alignment horizontal="center" vertical="center"/>
    </xf>
    <xf numFmtId="166" fontId="2" fillId="0" borderId="44" xfId="2" applyFont="1" applyFill="1" applyBorder="1" applyAlignment="1" applyProtection="1">
      <alignment horizontal="center" vertical="center"/>
    </xf>
    <xf numFmtId="17" fontId="2" fillId="12" borderId="40" xfId="0" applyNumberFormat="1" applyFont="1" applyFill="1" applyBorder="1" applyAlignment="1">
      <alignment horizontal="center"/>
    </xf>
    <xf numFmtId="166" fontId="3" fillId="0" borderId="44" xfId="2" applyFont="1" applyFill="1" applyBorder="1" applyAlignment="1" applyProtection="1"/>
    <xf numFmtId="166" fontId="3" fillId="0" borderId="41" xfId="2" applyFont="1" applyFill="1" applyBorder="1" applyAlignment="1" applyProtection="1"/>
    <xf numFmtId="17" fontId="2" fillId="12" borderId="15" xfId="0" applyNumberFormat="1" applyFont="1" applyFill="1" applyBorder="1" applyAlignment="1">
      <alignment horizontal="center"/>
    </xf>
    <xf numFmtId="17" fontId="2" fillId="12" borderId="42" xfId="0" applyNumberFormat="1" applyFont="1" applyFill="1" applyBorder="1" applyAlignment="1">
      <alignment horizontal="center"/>
    </xf>
    <xf numFmtId="171" fontId="28" fillId="9" borderId="32" xfId="0" applyNumberFormat="1" applyFont="1" applyFill="1" applyBorder="1" applyAlignment="1">
      <alignment horizontal="center" vertical="center"/>
    </xf>
    <xf numFmtId="166" fontId="28" fillId="9" borderId="36" xfId="2" applyFont="1" applyFill="1" applyBorder="1" applyAlignment="1" applyProtection="1">
      <alignment horizontal="center" vertical="center"/>
    </xf>
    <xf numFmtId="166" fontId="28" fillId="9" borderId="46" xfId="2" applyFont="1" applyFill="1" applyBorder="1" applyAlignment="1" applyProtection="1">
      <alignment horizontal="center" vertical="center"/>
    </xf>
    <xf numFmtId="0" fontId="0" fillId="0" borderId="15" xfId="0" applyBorder="1"/>
    <xf numFmtId="166" fontId="2" fillId="0" borderId="15" xfId="2" applyFont="1" applyFill="1" applyBorder="1" applyAlignment="1" applyProtection="1"/>
    <xf numFmtId="9" fontId="57" fillId="0" borderId="0" xfId="7" applyFont="1" applyFill="1" applyBorder="1"/>
    <xf numFmtId="172" fontId="0" fillId="0" borderId="0" xfId="0" applyNumberFormat="1"/>
    <xf numFmtId="166" fontId="2" fillId="0" borderId="0" xfId="2" applyFont="1" applyFill="1" applyBorder="1" applyAlignment="1" applyProtection="1"/>
    <xf numFmtId="169" fontId="0" fillId="0" borderId="39" xfId="0" applyNumberFormat="1" applyBorder="1"/>
    <xf numFmtId="0" fontId="31" fillId="12" borderId="40" xfId="0" applyFont="1" applyFill="1" applyBorder="1"/>
    <xf numFmtId="0" fontId="0" fillId="12" borderId="44" xfId="0" applyFill="1" applyBorder="1"/>
    <xf numFmtId="166" fontId="0" fillId="0" borderId="46" xfId="2" applyFont="1" applyFill="1" applyBorder="1" applyAlignment="1" applyProtection="1"/>
    <xf numFmtId="166" fontId="3" fillId="0" borderId="0" xfId="2" applyFont="1" applyFill="1" applyBorder="1" applyAlignment="1" applyProtection="1"/>
    <xf numFmtId="166" fontId="0" fillId="0" borderId="39" xfId="2" applyFont="1" applyFill="1" applyBorder="1" applyAlignment="1" applyProtection="1"/>
    <xf numFmtId="1" fontId="3" fillId="0" borderId="44" xfId="2" applyNumberFormat="1" applyFont="1" applyFill="1" applyBorder="1" applyAlignment="1" applyProtection="1">
      <alignment horizontal="center"/>
    </xf>
    <xf numFmtId="1" fontId="3" fillId="0" borderId="0" xfId="2" applyNumberFormat="1" applyFont="1" applyFill="1" applyBorder="1" applyAlignment="1" applyProtection="1">
      <alignment horizontal="center"/>
    </xf>
    <xf numFmtId="1" fontId="3" fillId="0" borderId="2" xfId="2" applyNumberFormat="1" applyFont="1" applyFill="1" applyBorder="1" applyAlignment="1" applyProtection="1">
      <alignment horizontal="center"/>
    </xf>
    <xf numFmtId="0" fontId="58" fillId="13" borderId="32" xfId="5" applyFont="1" applyFill="1" applyBorder="1"/>
    <xf numFmtId="0" fontId="59" fillId="13" borderId="36" xfId="5" applyFont="1" applyFill="1" applyBorder="1"/>
    <xf numFmtId="0" fontId="59" fillId="13" borderId="46" xfId="5" applyFont="1" applyFill="1" applyBorder="1"/>
    <xf numFmtId="0" fontId="32" fillId="13" borderId="0" xfId="5" applyFont="1" applyFill="1"/>
    <xf numFmtId="0" fontId="3" fillId="0" borderId="0" xfId="5"/>
    <xf numFmtId="0" fontId="34" fillId="0" borderId="0" xfId="5" applyFont="1"/>
    <xf numFmtId="0" fontId="34" fillId="14" borderId="4" xfId="5" applyFont="1" applyFill="1" applyBorder="1"/>
    <xf numFmtId="0" fontId="35" fillId="0" borderId="0" xfId="5" applyFont="1"/>
    <xf numFmtId="0" fontId="51" fillId="0" borderId="0" xfId="5" applyFont="1"/>
    <xf numFmtId="0" fontId="36" fillId="15" borderId="45" xfId="5" applyFont="1" applyFill="1" applyBorder="1" applyAlignment="1">
      <alignment horizontal="center"/>
    </xf>
    <xf numFmtId="0" fontId="51" fillId="0" borderId="40" xfId="5" applyFont="1" applyBorder="1"/>
    <xf numFmtId="0" fontId="60" fillId="13" borderId="40" xfId="5" applyFont="1" applyFill="1" applyBorder="1" applyAlignment="1">
      <alignment horizontal="center" vertical="center"/>
    </xf>
    <xf numFmtId="0" fontId="60" fillId="13" borderId="44" xfId="5" applyFont="1" applyFill="1" applyBorder="1" applyAlignment="1">
      <alignment horizontal="center" vertical="center"/>
    </xf>
    <xf numFmtId="0" fontId="60" fillId="13" borderId="41" xfId="5" applyFont="1" applyFill="1" applyBorder="1" applyAlignment="1">
      <alignment horizontal="center" vertical="center"/>
    </xf>
    <xf numFmtId="0" fontId="60" fillId="13" borderId="15" xfId="5" applyFont="1" applyFill="1" applyBorder="1" applyAlignment="1">
      <alignment horizontal="center" vertical="center"/>
    </xf>
    <xf numFmtId="0" fontId="60" fillId="13" borderId="0" xfId="5" applyFont="1" applyFill="1" applyAlignment="1">
      <alignment horizontal="center" vertical="center"/>
    </xf>
    <xf numFmtId="0" fontId="60" fillId="13" borderId="39" xfId="5" applyFont="1" applyFill="1" applyBorder="1" applyAlignment="1">
      <alignment horizontal="center" vertical="center"/>
    </xf>
    <xf numFmtId="0" fontId="60" fillId="13" borderId="47" xfId="5" applyFont="1" applyFill="1" applyBorder="1" applyAlignment="1">
      <alignment horizontal="center" vertical="center"/>
    </xf>
    <xf numFmtId="17" fontId="51" fillId="16" borderId="15" xfId="5" applyNumberFormat="1" applyFont="1" applyFill="1" applyBorder="1" applyAlignment="1">
      <alignment horizontal="center"/>
    </xf>
    <xf numFmtId="169" fontId="51" fillId="0" borderId="40" xfId="5" applyNumberFormat="1" applyFont="1" applyBorder="1"/>
    <xf numFmtId="169" fontId="51" fillId="0" borderId="44" xfId="5" applyNumberFormat="1" applyFont="1" applyBorder="1"/>
    <xf numFmtId="169" fontId="61" fillId="0" borderId="45" xfId="5" applyNumberFormat="1" applyFont="1" applyBorder="1"/>
    <xf numFmtId="169" fontId="3" fillId="0" borderId="15" xfId="5" applyNumberFormat="1" applyBorder="1"/>
    <xf numFmtId="169" fontId="3" fillId="0" borderId="0" xfId="5" applyNumberFormat="1"/>
    <xf numFmtId="169" fontId="2" fillId="0" borderId="39" xfId="5" applyNumberFormat="1" applyFont="1" applyBorder="1"/>
    <xf numFmtId="169" fontId="2" fillId="0" borderId="47" xfId="5" applyNumberFormat="1" applyFont="1" applyBorder="1"/>
    <xf numFmtId="169" fontId="51" fillId="0" borderId="15" xfId="5" applyNumberFormat="1" applyFont="1" applyBorder="1"/>
    <xf numFmtId="169" fontId="51" fillId="0" borderId="0" xfId="5" applyNumberFormat="1" applyFont="1"/>
    <xf numFmtId="169" fontId="61" fillId="0" borderId="47" xfId="5" applyNumberFormat="1" applyFont="1" applyBorder="1"/>
    <xf numFmtId="169" fontId="51" fillId="0" borderId="42" xfId="5" applyNumberFormat="1" applyFont="1" applyBorder="1"/>
    <xf numFmtId="169" fontId="51" fillId="0" borderId="2" xfId="5" applyNumberFormat="1" applyFont="1" applyBorder="1"/>
    <xf numFmtId="169" fontId="61" fillId="0" borderId="22" xfId="5" applyNumberFormat="1" applyFont="1" applyBorder="1"/>
    <xf numFmtId="0" fontId="51" fillId="6" borderId="42" xfId="5" applyFont="1" applyFill="1" applyBorder="1"/>
    <xf numFmtId="169" fontId="51" fillId="6" borderId="42" xfId="5" applyNumberFormat="1" applyFont="1" applyFill="1" applyBorder="1"/>
    <xf numFmtId="169" fontId="51" fillId="6" borderId="2" xfId="5" applyNumberFormat="1" applyFont="1" applyFill="1" applyBorder="1"/>
    <xf numFmtId="169" fontId="61" fillId="7" borderId="43" xfId="5" applyNumberFormat="1" applyFont="1" applyFill="1" applyBorder="1"/>
    <xf numFmtId="169" fontId="61" fillId="7" borderId="22" xfId="5" applyNumberFormat="1" applyFont="1" applyFill="1" applyBorder="1"/>
    <xf numFmtId="0" fontId="2" fillId="0" borderId="0" xfId="5" applyFont="1"/>
    <xf numFmtId="0" fontId="2" fillId="0" borderId="40" xfId="5" applyFont="1" applyBorder="1"/>
    <xf numFmtId="169" fontId="2" fillId="0" borderId="41" xfId="5" applyNumberFormat="1" applyFont="1" applyBorder="1"/>
    <xf numFmtId="0" fontId="2" fillId="0" borderId="32" xfId="5" applyFont="1" applyBorder="1"/>
    <xf numFmtId="169" fontId="2" fillId="0" borderId="46" xfId="5" applyNumberFormat="1" applyFont="1" applyBorder="1"/>
    <xf numFmtId="0" fontId="2" fillId="0" borderId="42" xfId="5" applyFont="1" applyBorder="1"/>
    <xf numFmtId="169" fontId="2" fillId="0" borderId="43" xfId="5" applyNumberFormat="1" applyFont="1" applyBorder="1"/>
    <xf numFmtId="0" fontId="37" fillId="17" borderId="32" xfId="5" applyFont="1" applyFill="1" applyBorder="1" applyAlignment="1">
      <alignment horizontal="center" vertical="center"/>
    </xf>
    <xf numFmtId="0" fontId="37" fillId="17" borderId="36" xfId="5" applyFont="1" applyFill="1" applyBorder="1" applyAlignment="1">
      <alignment horizontal="center" vertical="center"/>
    </xf>
    <xf numFmtId="0" fontId="62" fillId="17" borderId="46" xfId="5" applyFont="1" applyFill="1" applyBorder="1" applyAlignment="1">
      <alignment horizontal="center" vertical="center"/>
    </xf>
    <xf numFmtId="0" fontId="62" fillId="5" borderId="32" xfId="5" applyFont="1" applyFill="1" applyBorder="1" applyAlignment="1">
      <alignment horizontal="center" vertical="center" wrapText="1"/>
    </xf>
    <xf numFmtId="0" fontId="62" fillId="5" borderId="36" xfId="5" applyFont="1" applyFill="1" applyBorder="1" applyAlignment="1">
      <alignment horizontal="center" vertical="center" wrapText="1"/>
    </xf>
    <xf numFmtId="0" fontId="62" fillId="5" borderId="46" xfId="5" applyFont="1" applyFill="1" applyBorder="1" applyAlignment="1">
      <alignment horizontal="center" vertical="center" wrapText="1"/>
    </xf>
    <xf numFmtId="17" fontId="46" fillId="9" borderId="15" xfId="5" applyNumberFormat="1" applyFont="1" applyFill="1" applyBorder="1" applyAlignment="1">
      <alignment horizontal="center"/>
    </xf>
    <xf numFmtId="169" fontId="61" fillId="9" borderId="0" xfId="5" applyNumberFormat="1" applyFont="1" applyFill="1"/>
    <xf numFmtId="0" fontId="46" fillId="0" borderId="40" xfId="5" applyFont="1" applyBorder="1" applyAlignment="1">
      <alignment horizontal="center"/>
    </xf>
    <xf numFmtId="0" fontId="46" fillId="0" borderId="44" xfId="5" applyFont="1" applyBorder="1"/>
    <xf numFmtId="0" fontId="46" fillId="0" borderId="44" xfId="5" applyFont="1" applyBorder="1" applyAlignment="1">
      <alignment horizontal="center" vertical="center"/>
    </xf>
    <xf numFmtId="10" fontId="46" fillId="0" borderId="41" xfId="8" applyNumberFormat="1" applyFont="1" applyBorder="1" applyAlignment="1">
      <alignment horizontal="center"/>
    </xf>
    <xf numFmtId="0" fontId="63" fillId="0" borderId="0" xfId="5" applyFont="1"/>
    <xf numFmtId="0" fontId="64" fillId="16" borderId="40" xfId="5" applyFont="1" applyFill="1" applyBorder="1" applyAlignment="1">
      <alignment horizontal="center"/>
    </xf>
    <xf numFmtId="0" fontId="65" fillId="0" borderId="40" xfId="5" applyFont="1" applyBorder="1"/>
    <xf numFmtId="0" fontId="3" fillId="0" borderId="0" xfId="5" applyAlignment="1">
      <alignment horizontal="center"/>
    </xf>
    <xf numFmtId="173" fontId="3" fillId="0" borderId="39" xfId="5" applyNumberFormat="1" applyBorder="1"/>
    <xf numFmtId="0" fontId="65" fillId="0" borderId="15" xfId="5" applyFont="1" applyBorder="1"/>
    <xf numFmtId="0" fontId="3" fillId="0" borderId="15" xfId="5" applyBorder="1"/>
    <xf numFmtId="0" fontId="49" fillId="6" borderId="0" xfId="5" applyFont="1" applyFill="1"/>
    <xf numFmtId="169" fontId="49" fillId="6" borderId="0" xfId="5" applyNumberFormat="1" applyFont="1" applyFill="1"/>
    <xf numFmtId="0" fontId="3" fillId="0" borderId="42" xfId="5" applyBorder="1"/>
    <xf numFmtId="0" fontId="3" fillId="0" borderId="2" xfId="5" applyBorder="1" applyAlignment="1">
      <alignment horizontal="center"/>
    </xf>
    <xf numFmtId="173" fontId="3" fillId="0" borderId="43" xfId="5" applyNumberFormat="1" applyBorder="1"/>
    <xf numFmtId="0" fontId="2" fillId="6" borderId="32" xfId="5" applyFont="1" applyFill="1" applyBorder="1" applyAlignment="1">
      <alignment horizontal="center"/>
    </xf>
    <xf numFmtId="0" fontId="22" fillId="0" borderId="0" xfId="5" applyFont="1"/>
    <xf numFmtId="0" fontId="63" fillId="4" borderId="0" xfId="5" applyFont="1" applyFill="1"/>
    <xf numFmtId="0" fontId="22" fillId="4" borderId="0" xfId="5" applyFont="1" applyFill="1"/>
    <xf numFmtId="0" fontId="66" fillId="8" borderId="44" xfId="5" applyFont="1" applyFill="1" applyBorder="1" applyAlignment="1">
      <alignment horizontal="center"/>
    </xf>
    <xf numFmtId="169" fontId="65" fillId="0" borderId="40" xfId="5" applyNumberFormat="1" applyFont="1" applyBorder="1"/>
    <xf numFmtId="169" fontId="65" fillId="0" borderId="44" xfId="5" applyNumberFormat="1" applyFont="1" applyBorder="1"/>
    <xf numFmtId="10" fontId="67" fillId="7" borderId="2" xfId="8" applyNumberFormat="1" applyFont="1" applyFill="1" applyBorder="1" applyAlignment="1">
      <alignment horizontal="center"/>
    </xf>
    <xf numFmtId="0" fontId="38" fillId="0" borderId="0" xfId="5" applyFont="1"/>
    <xf numFmtId="0" fontId="39" fillId="18" borderId="32" xfId="5" applyFont="1" applyFill="1" applyBorder="1"/>
    <xf numFmtId="0" fontId="39" fillId="18" borderId="36" xfId="5" applyFont="1" applyFill="1" applyBorder="1"/>
    <xf numFmtId="0" fontId="39" fillId="18" borderId="46" xfId="5" applyFont="1" applyFill="1" applyBorder="1" applyAlignment="1">
      <alignment horizontal="center"/>
    </xf>
    <xf numFmtId="0" fontId="39" fillId="5" borderId="44" xfId="5" applyFont="1" applyFill="1" applyBorder="1" applyAlignment="1">
      <alignment horizontal="center" vertical="center"/>
    </xf>
    <xf numFmtId="0" fontId="39" fillId="5" borderId="41" xfId="5" applyFont="1" applyFill="1" applyBorder="1" applyAlignment="1">
      <alignment horizontal="center" vertical="center"/>
    </xf>
    <xf numFmtId="169" fontId="3" fillId="0" borderId="39" xfId="5" applyNumberFormat="1" applyBorder="1"/>
    <xf numFmtId="10" fontId="0" fillId="0" borderId="39" xfId="8" applyNumberFormat="1" applyFont="1" applyBorder="1" applyAlignment="1">
      <alignment horizontal="center"/>
    </xf>
    <xf numFmtId="0" fontId="67" fillId="6" borderId="42" xfId="5" applyFont="1" applyFill="1" applyBorder="1" applyAlignment="1">
      <alignment horizontal="center"/>
    </xf>
    <xf numFmtId="0" fontId="2" fillId="6" borderId="2" xfId="5" applyFont="1" applyFill="1" applyBorder="1" applyAlignment="1">
      <alignment horizontal="center"/>
    </xf>
    <xf numFmtId="169" fontId="2" fillId="6" borderId="2" xfId="5" applyNumberFormat="1" applyFont="1" applyFill="1" applyBorder="1" applyAlignment="1">
      <alignment horizontal="center"/>
    </xf>
    <xf numFmtId="0" fontId="51" fillId="0" borderId="40" xfId="6" applyFont="1" applyBorder="1" applyAlignment="1">
      <alignment horizontal="center"/>
    </xf>
    <xf numFmtId="0" fontId="51" fillId="0" borderId="41" xfId="6" applyFont="1" applyBorder="1" applyAlignment="1">
      <alignment horizontal="center"/>
    </xf>
    <xf numFmtId="0" fontId="68" fillId="4" borderId="32" xfId="6" applyFont="1" applyFill="1" applyBorder="1" applyAlignment="1">
      <alignment horizontal="center"/>
    </xf>
    <xf numFmtId="0" fontId="68" fillId="4" borderId="46" xfId="6" applyFont="1" applyFill="1" applyBorder="1" applyAlignment="1">
      <alignment horizontal="center"/>
    </xf>
    <xf numFmtId="169" fontId="51" fillId="0" borderId="15" xfId="6" applyNumberFormat="1" applyFont="1" applyBorder="1"/>
    <xf numFmtId="169" fontId="51" fillId="0" borderId="39" xfId="6" applyNumberFormat="1" applyFont="1" applyBorder="1"/>
    <xf numFmtId="169" fontId="48" fillId="0" borderId="39" xfId="6" applyNumberFormat="1" applyFont="1" applyBorder="1"/>
    <xf numFmtId="0" fontId="51" fillId="0" borderId="15" xfId="6" applyFont="1" applyBorder="1"/>
    <xf numFmtId="0" fontId="51" fillId="0" borderId="39" xfId="6" applyFont="1" applyBorder="1"/>
    <xf numFmtId="169" fontId="51" fillId="6" borderId="42" xfId="6" applyNumberFormat="1" applyFont="1" applyFill="1" applyBorder="1"/>
    <xf numFmtId="169" fontId="51" fillId="6" borderId="43" xfId="6" applyNumberFormat="1" applyFont="1" applyFill="1" applyBorder="1"/>
    <xf numFmtId="0" fontId="51" fillId="0" borderId="44" xfId="6" applyFont="1" applyBorder="1" applyAlignment="1">
      <alignment horizontal="center"/>
    </xf>
    <xf numFmtId="0" fontId="68" fillId="4" borderId="36" xfId="6" applyFont="1" applyFill="1" applyBorder="1" applyAlignment="1">
      <alignment horizontal="center"/>
    </xf>
    <xf numFmtId="169" fontId="51" fillId="0" borderId="42" xfId="6" applyNumberFormat="1" applyFont="1" applyBorder="1"/>
    <xf numFmtId="169" fontId="51" fillId="0" borderId="2" xfId="6" applyNumberFormat="1" applyFont="1" applyBorder="1"/>
    <xf numFmtId="169" fontId="51" fillId="0" borderId="43" xfId="6" applyNumberFormat="1" applyFont="1" applyBorder="1"/>
    <xf numFmtId="169" fontId="51" fillId="0" borderId="0" xfId="6" applyNumberFormat="1" applyFont="1"/>
    <xf numFmtId="0" fontId="51" fillId="0" borderId="0" xfId="6" applyFont="1"/>
    <xf numFmtId="0" fontId="48" fillId="0" borderId="0" xfId="6" applyFont="1"/>
    <xf numFmtId="169" fontId="51" fillId="6" borderId="2" xfId="6" applyNumberFormat="1" applyFont="1" applyFill="1" applyBorder="1"/>
    <xf numFmtId="0" fontId="69" fillId="0" borderId="0" xfId="5" applyFont="1"/>
    <xf numFmtId="0" fontId="69" fillId="0" borderId="0" xfId="5" applyFont="1" applyAlignment="1">
      <alignment horizontal="center"/>
    </xf>
    <xf numFmtId="0" fontId="69" fillId="19" borderId="0" xfId="5" applyFont="1" applyFill="1" applyAlignment="1">
      <alignment horizontal="center"/>
    </xf>
    <xf numFmtId="17" fontId="69" fillId="5" borderId="0" xfId="5" applyNumberFormat="1" applyFont="1" applyFill="1" applyAlignment="1">
      <alignment horizontal="center"/>
    </xf>
    <xf numFmtId="174" fontId="69" fillId="0" borderId="0" xfId="4" applyFont="1"/>
    <xf numFmtId="174" fontId="69" fillId="0" borderId="0" xfId="5" applyNumberFormat="1" applyFont="1"/>
    <xf numFmtId="43" fontId="69" fillId="0" borderId="0" xfId="5" applyNumberFormat="1" applyFont="1"/>
    <xf numFmtId="174" fontId="69" fillId="0" borderId="0" xfId="4" applyFont="1" applyAlignment="1">
      <alignment wrapText="1"/>
    </xf>
    <xf numFmtId="174" fontId="69" fillId="6" borderId="0" xfId="4" applyFont="1" applyFill="1"/>
    <xf numFmtId="174" fontId="69" fillId="6" borderId="0" xfId="5" applyNumberFormat="1" applyFont="1" applyFill="1"/>
    <xf numFmtId="43" fontId="69" fillId="6" borderId="0" xfId="5" applyNumberFormat="1" applyFont="1" applyFill="1"/>
    <xf numFmtId="0" fontId="28" fillId="20" borderId="0" xfId="5" applyFont="1" applyFill="1" applyAlignment="1">
      <alignment horizontal="center" vertical="center"/>
    </xf>
    <xf numFmtId="17" fontId="69" fillId="0" borderId="0" xfId="5" applyNumberFormat="1" applyFont="1"/>
    <xf numFmtId="169" fontId="69" fillId="0" borderId="40" xfId="5" applyNumberFormat="1" applyFont="1" applyBorder="1"/>
    <xf numFmtId="169" fontId="69" fillId="0" borderId="41" xfId="5" applyNumberFormat="1" applyFont="1" applyBorder="1"/>
    <xf numFmtId="9" fontId="29" fillId="0" borderId="0" xfId="9"/>
    <xf numFmtId="169" fontId="69" fillId="0" borderId="15" xfId="5" applyNumberFormat="1" applyFont="1" applyBorder="1"/>
    <xf numFmtId="169" fontId="69" fillId="0" borderId="39" xfId="5" applyNumberFormat="1" applyFont="1" applyBorder="1"/>
    <xf numFmtId="169" fontId="69" fillId="0" borderId="42" xfId="5" applyNumberFormat="1" applyFont="1" applyBorder="1"/>
    <xf numFmtId="169" fontId="69" fillId="0" borderId="43" xfId="5" applyNumberFormat="1" applyFont="1" applyBorder="1"/>
    <xf numFmtId="169" fontId="69" fillId="6" borderId="0" xfId="5" applyNumberFormat="1" applyFont="1" applyFill="1"/>
    <xf numFmtId="4" fontId="69" fillId="0" borderId="0" xfId="5" applyNumberFormat="1" applyFont="1"/>
    <xf numFmtId="4" fontId="3" fillId="0" borderId="0" xfId="5" applyNumberFormat="1"/>
    <xf numFmtId="0" fontId="3" fillId="0" borderId="45" xfId="5" applyBorder="1"/>
    <xf numFmtId="0" fontId="3" fillId="0" borderId="47" xfId="5" applyBorder="1"/>
    <xf numFmtId="0" fontId="3" fillId="0" borderId="22" xfId="5" applyBorder="1"/>
    <xf numFmtId="173" fontId="2" fillId="6" borderId="32" xfId="5" applyNumberFormat="1" applyFont="1" applyFill="1" applyBorder="1" applyAlignment="1">
      <alignment horizontal="center"/>
    </xf>
    <xf numFmtId="9" fontId="2" fillId="6" borderId="2" xfId="7" applyFont="1" applyFill="1" applyBorder="1" applyAlignment="1">
      <alignment horizontal="center"/>
    </xf>
    <xf numFmtId="169" fontId="0" fillId="0" borderId="39" xfId="2" applyNumberFormat="1" applyFont="1" applyFill="1" applyBorder="1" applyAlignment="1" applyProtection="1"/>
    <xf numFmtId="169" fontId="0" fillId="0" borderId="2" xfId="0" applyNumberFormat="1" applyBorder="1"/>
    <xf numFmtId="169" fontId="0" fillId="0" borderId="41" xfId="2" applyNumberFormat="1" applyFont="1" applyFill="1" applyBorder="1" applyAlignment="1" applyProtection="1"/>
    <xf numFmtId="4" fontId="0" fillId="7" borderId="0" xfId="0" applyNumberFormat="1" applyFill="1"/>
    <xf numFmtId="0" fontId="2" fillId="21" borderId="40" xfId="0" applyFont="1" applyFill="1" applyBorder="1" applyAlignment="1">
      <alignment horizontal="center" vertical="center"/>
    </xf>
    <xf numFmtId="0" fontId="2" fillId="21" borderId="44" xfId="0" applyFont="1" applyFill="1" applyBorder="1" applyAlignment="1">
      <alignment horizontal="center" vertical="center"/>
    </xf>
    <xf numFmtId="0" fontId="2" fillId="21" borderId="41" xfId="0" applyFont="1" applyFill="1" applyBorder="1" applyAlignment="1">
      <alignment horizontal="center" vertical="center"/>
    </xf>
    <xf numFmtId="0" fontId="42" fillId="0" borderId="0" xfId="0" applyFont="1"/>
    <xf numFmtId="0" fontId="2" fillId="21" borderId="32" xfId="0" applyFont="1" applyFill="1" applyBorder="1" applyAlignment="1">
      <alignment horizontal="center" vertical="center"/>
    </xf>
    <xf numFmtId="0" fontId="2" fillId="21" borderId="36" xfId="0" applyFont="1" applyFill="1" applyBorder="1" applyAlignment="1">
      <alignment horizontal="center" vertical="center"/>
    </xf>
    <xf numFmtId="0" fontId="2" fillId="21" borderId="46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0" fillId="0" borderId="36" xfId="0" applyBorder="1"/>
    <xf numFmtId="0" fontId="0" fillId="0" borderId="46" xfId="0" applyBorder="1"/>
    <xf numFmtId="0" fontId="41" fillId="0" borderId="40" xfId="0" applyFont="1" applyBorder="1"/>
    <xf numFmtId="0" fontId="43" fillId="4" borderId="44" xfId="0" applyFont="1" applyFill="1" applyBorder="1" applyAlignment="1">
      <alignment horizontal="center" vertical="center"/>
    </xf>
    <xf numFmtId="0" fontId="43" fillId="4" borderId="41" xfId="0" applyFont="1" applyFill="1" applyBorder="1" applyAlignment="1">
      <alignment horizontal="center" vertical="center"/>
    </xf>
    <xf numFmtId="0" fontId="44" fillId="0" borderId="32" xfId="0" applyFont="1" applyBorder="1"/>
    <xf numFmtId="0" fontId="30" fillId="7" borderId="32" xfId="0" applyFont="1" applyFill="1" applyBorder="1"/>
    <xf numFmtId="0" fontId="0" fillId="7" borderId="36" xfId="0" applyFill="1" applyBorder="1"/>
    <xf numFmtId="169" fontId="0" fillId="0" borderId="43" xfId="0" applyNumberFormat="1" applyBorder="1"/>
    <xf numFmtId="169" fontId="2" fillId="6" borderId="0" xfId="0" applyNumberFormat="1" applyFont="1" applyFill="1" applyAlignment="1">
      <alignment horizontal="center"/>
    </xf>
    <xf numFmtId="169" fontId="2" fillId="6" borderId="39" xfId="0" applyNumberFormat="1" applyFont="1" applyFill="1" applyBorder="1" applyAlignment="1">
      <alignment horizontal="center"/>
    </xf>
    <xf numFmtId="169" fontId="0" fillId="0" borderId="36" xfId="0" applyNumberFormat="1" applyBorder="1"/>
    <xf numFmtId="169" fontId="0" fillId="0" borderId="46" xfId="0" applyNumberFormat="1" applyBorder="1"/>
    <xf numFmtId="169" fontId="2" fillId="6" borderId="2" xfId="0" applyNumberFormat="1" applyFont="1" applyFill="1" applyBorder="1" applyAlignment="1">
      <alignment horizontal="center"/>
    </xf>
    <xf numFmtId="169" fontId="2" fillId="6" borderId="43" xfId="0" applyNumberFormat="1" applyFont="1" applyFill="1" applyBorder="1" applyAlignment="1">
      <alignment horizontal="center"/>
    </xf>
    <xf numFmtId="169" fontId="0" fillId="7" borderId="46" xfId="0" applyNumberFormat="1" applyFill="1" applyBorder="1"/>
    <xf numFmtId="169" fontId="0" fillId="0" borderId="44" xfId="0" applyNumberFormat="1" applyBorder="1"/>
    <xf numFmtId="0" fontId="44" fillId="9" borderId="32" xfId="0" applyFont="1" applyFill="1" applyBorder="1"/>
    <xf numFmtId="0" fontId="44" fillId="9" borderId="36" xfId="0" applyFont="1" applyFill="1" applyBorder="1"/>
    <xf numFmtId="0" fontId="44" fillId="9" borderId="46" xfId="0" applyFont="1" applyFill="1" applyBorder="1" applyAlignment="1">
      <alignment horizontal="center"/>
    </xf>
    <xf numFmtId="169" fontId="10" fillId="6" borderId="0" xfId="3" applyNumberFormat="1" applyFont="1" applyFill="1" applyBorder="1" applyAlignment="1">
      <alignment horizontal="center" vertical="center"/>
    </xf>
    <xf numFmtId="165" fontId="10" fillId="6" borderId="0" xfId="3" applyFont="1" applyFill="1" applyBorder="1" applyAlignment="1">
      <alignment horizontal="center" vertical="center"/>
    </xf>
    <xf numFmtId="169" fontId="10" fillId="0" borderId="0" xfId="3" applyNumberFormat="1" applyFont="1" applyFill="1" applyBorder="1" applyAlignment="1">
      <alignment horizontal="center" vertical="center"/>
    </xf>
    <xf numFmtId="165" fontId="10" fillId="0" borderId="0" xfId="3" applyFont="1" applyFill="1" applyBorder="1" applyAlignment="1">
      <alignment horizontal="center" vertical="center"/>
    </xf>
    <xf numFmtId="0" fontId="28" fillId="16" borderId="32" xfId="0" applyFont="1" applyFill="1" applyBorder="1" applyAlignment="1">
      <alignment horizontal="center" vertical="center"/>
    </xf>
    <xf numFmtId="4" fontId="28" fillId="16" borderId="36" xfId="0" applyNumberFormat="1" applyFont="1" applyFill="1" applyBorder="1" applyAlignment="1">
      <alignment horizontal="center" vertical="center"/>
    </xf>
    <xf numFmtId="0" fontId="28" fillId="16" borderId="36" xfId="0" applyFont="1" applyFill="1" applyBorder="1" applyAlignment="1">
      <alignment horizontal="center" vertical="center"/>
    </xf>
    <xf numFmtId="0" fontId="28" fillId="16" borderId="46" xfId="0" applyFont="1" applyFill="1" applyBorder="1" applyAlignment="1">
      <alignment horizontal="center" vertical="center"/>
    </xf>
    <xf numFmtId="0" fontId="3" fillId="0" borderId="15" xfId="0" applyFont="1" applyBorder="1"/>
    <xf numFmtId="17" fontId="3" fillId="0" borderId="15" xfId="0" applyNumberFormat="1" applyFont="1" applyBorder="1"/>
    <xf numFmtId="166" fontId="3" fillId="0" borderId="0" xfId="2" applyFont="1" applyFill="1" applyBorder="1" applyAlignment="1">
      <alignment horizontal="center"/>
    </xf>
    <xf numFmtId="0" fontId="3" fillId="0" borderId="39" xfId="0" applyFont="1" applyBorder="1" applyAlignment="1">
      <alignment horizontal="center"/>
    </xf>
    <xf numFmtId="169" fontId="0" fillId="6" borderId="15" xfId="0" applyNumberFormat="1" applyFill="1" applyBorder="1" applyAlignment="1">
      <alignment horizontal="center" vertical="center"/>
    </xf>
    <xf numFmtId="165" fontId="10" fillId="6" borderId="39" xfId="3" applyFont="1" applyFill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65" fontId="10" fillId="0" borderId="39" xfId="3" applyFont="1" applyFill="1" applyBorder="1" applyAlignment="1">
      <alignment horizontal="center" vertical="center"/>
    </xf>
    <xf numFmtId="169" fontId="2" fillId="0" borderId="42" xfId="0" applyNumberFormat="1" applyFont="1" applyBorder="1" applyAlignment="1">
      <alignment horizontal="right"/>
    </xf>
    <xf numFmtId="166" fontId="2" fillId="0" borderId="2" xfId="0" applyNumberFormat="1" applyFont="1" applyBorder="1"/>
    <xf numFmtId="166" fontId="2" fillId="0" borderId="43" xfId="0" applyNumberFormat="1" applyFont="1" applyBorder="1"/>
    <xf numFmtId="169" fontId="0" fillId="0" borderId="40" xfId="0" applyNumberFormat="1" applyBorder="1" applyAlignment="1">
      <alignment horizontal="center" vertical="center"/>
    </xf>
    <xf numFmtId="169" fontId="10" fillId="0" borderId="44" xfId="3" applyNumberFormat="1" applyFont="1" applyFill="1" applyBorder="1" applyAlignment="1">
      <alignment horizontal="center" vertical="center"/>
    </xf>
    <xf numFmtId="165" fontId="10" fillId="0" borderId="44" xfId="3" applyFont="1" applyFill="1" applyBorder="1" applyAlignment="1">
      <alignment horizontal="center" vertical="center"/>
    </xf>
    <xf numFmtId="165" fontId="10" fillId="0" borderId="41" xfId="3" applyFont="1" applyFill="1" applyBorder="1" applyAlignment="1">
      <alignment horizontal="center" vertical="center"/>
    </xf>
    <xf numFmtId="165" fontId="10" fillId="0" borderId="43" xfId="3" applyFont="1" applyFill="1" applyBorder="1" applyAlignment="1">
      <alignment horizontal="center" vertical="center"/>
    </xf>
    <xf numFmtId="165" fontId="2" fillId="0" borderId="32" xfId="0" applyNumberFormat="1" applyFont="1" applyBorder="1"/>
    <xf numFmtId="165" fontId="2" fillId="0" borderId="36" xfId="0" applyNumberFormat="1" applyFont="1" applyBorder="1"/>
    <xf numFmtId="165" fontId="2" fillId="0" borderId="46" xfId="0" applyNumberFormat="1" applyFont="1" applyBorder="1"/>
    <xf numFmtId="0" fontId="30" fillId="0" borderId="0" xfId="0" applyFont="1" applyAlignment="1">
      <alignment horizontal="center"/>
    </xf>
    <xf numFmtId="0" fontId="22" fillId="0" borderId="0" xfId="0" applyFont="1"/>
    <xf numFmtId="169" fontId="2" fillId="0" borderId="41" xfId="2" applyNumberFormat="1" applyFont="1" applyFill="1" applyBorder="1" applyAlignment="1" applyProtection="1"/>
    <xf numFmtId="14" fontId="0" fillId="0" borderId="39" xfId="0" applyNumberFormat="1" applyBorder="1"/>
    <xf numFmtId="166" fontId="2" fillId="0" borderId="39" xfId="2" applyFont="1" applyFill="1" applyBorder="1"/>
    <xf numFmtId="0" fontId="3" fillId="0" borderId="15" xfId="0" applyFont="1" applyBorder="1" applyAlignment="1">
      <alignment horizontal="right"/>
    </xf>
    <xf numFmtId="166" fontId="2" fillId="0" borderId="39" xfId="0" applyNumberFormat="1" applyFont="1" applyBorder="1"/>
    <xf numFmtId="0" fontId="45" fillId="0" borderId="15" xfId="0" applyFont="1" applyBorder="1" applyAlignment="1">
      <alignment horizontal="left"/>
    </xf>
    <xf numFmtId="0" fontId="30" fillId="0" borderId="39" xfId="0" applyFont="1" applyBorder="1" applyAlignment="1">
      <alignment horizontal="center"/>
    </xf>
    <xf numFmtId="166" fontId="2" fillId="0" borderId="41" xfId="2" applyFont="1" applyFill="1" applyBorder="1" applyAlignment="1" applyProtection="1">
      <alignment horizontal="center" vertical="center"/>
    </xf>
    <xf numFmtId="166" fontId="2" fillId="0" borderId="0" xfId="0" applyNumberFormat="1" applyFont="1"/>
    <xf numFmtId="172" fontId="0" fillId="0" borderId="39" xfId="0" applyNumberFormat="1" applyBorder="1"/>
    <xf numFmtId="166" fontId="2" fillId="0" borderId="39" xfId="2" applyFont="1" applyFill="1" applyBorder="1" applyAlignment="1" applyProtection="1"/>
    <xf numFmtId="0" fontId="0" fillId="0" borderId="15" xfId="0" applyBorder="1" applyAlignment="1">
      <alignment horizontal="right"/>
    </xf>
    <xf numFmtId="0" fontId="50" fillId="0" borderId="39" xfId="0" applyFont="1" applyBorder="1"/>
    <xf numFmtId="166" fontId="50" fillId="0" borderId="0" xfId="2" applyFont="1" applyFill="1" applyBorder="1"/>
    <xf numFmtId="0" fontId="2" fillId="0" borderId="39" xfId="0" applyFont="1" applyBorder="1"/>
    <xf numFmtId="9" fontId="0" fillId="0" borderId="39" xfId="7" applyFont="1" applyFill="1" applyBorder="1"/>
    <xf numFmtId="166" fontId="0" fillId="0" borderId="39" xfId="0" applyNumberFormat="1" applyBorder="1"/>
    <xf numFmtId="43" fontId="0" fillId="0" borderId="39" xfId="0" applyNumberFormat="1" applyBorder="1"/>
    <xf numFmtId="43" fontId="0" fillId="0" borderId="43" xfId="0" applyNumberFormat="1" applyBorder="1"/>
    <xf numFmtId="0" fontId="3" fillId="0" borderId="42" xfId="0" applyFont="1" applyBorder="1"/>
    <xf numFmtId="4" fontId="0" fillId="0" borderId="2" xfId="0" applyNumberFormat="1" applyBorder="1"/>
    <xf numFmtId="14" fontId="0" fillId="0" borderId="43" xfId="0" applyNumberFormat="1" applyBorder="1"/>
    <xf numFmtId="0" fontId="0" fillId="0" borderId="40" xfId="0" applyBorder="1" applyAlignment="1">
      <alignment horizontal="right"/>
    </xf>
    <xf numFmtId="0" fontId="3" fillId="0" borderId="42" xfId="0" applyFont="1" applyBorder="1" applyAlignment="1">
      <alignment horizontal="right"/>
    </xf>
    <xf numFmtId="0" fontId="2" fillId="12" borderId="44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169" fontId="3" fillId="0" borderId="47" xfId="2" applyNumberFormat="1" applyFont="1" applyFill="1" applyBorder="1" applyAlignment="1" applyProtection="1"/>
    <xf numFmtId="169" fontId="0" fillId="0" borderId="22" xfId="0" applyNumberFormat="1" applyBorder="1"/>
    <xf numFmtId="169" fontId="3" fillId="0" borderId="45" xfId="2" applyNumberFormat="1" applyFont="1" applyFill="1" applyBorder="1" applyAlignment="1" applyProtection="1"/>
    <xf numFmtId="0" fontId="47" fillId="3" borderId="57" xfId="1" applyBorder="1" applyAlignment="1">
      <alignment horizontal="center"/>
    </xf>
    <xf numFmtId="0" fontId="2" fillId="12" borderId="45" xfId="0" applyFont="1" applyFill="1" applyBorder="1" applyAlignment="1">
      <alignment horizontal="center"/>
    </xf>
    <xf numFmtId="0" fontId="31" fillId="12" borderId="40" xfId="0" applyFont="1" applyFill="1" applyBorder="1" applyAlignment="1">
      <alignment horizontal="left"/>
    </xf>
    <xf numFmtId="0" fontId="47" fillId="3" borderId="32" xfId="1" applyBorder="1" applyAlignment="1">
      <alignment horizontal="center"/>
    </xf>
    <xf numFmtId="0" fontId="3" fillId="0" borderId="43" xfId="0" applyFont="1" applyBorder="1"/>
    <xf numFmtId="169" fontId="0" fillId="0" borderId="47" xfId="0" applyNumberFormat="1" applyBorder="1"/>
    <xf numFmtId="0" fontId="2" fillId="6" borderId="32" xfId="0" applyFont="1" applyFill="1" applyBorder="1" applyAlignment="1">
      <alignment horizontal="right"/>
    </xf>
    <xf numFmtId="166" fontId="2" fillId="6" borderId="32" xfId="2" applyFont="1" applyFill="1" applyBorder="1"/>
    <xf numFmtId="166" fontId="2" fillId="6" borderId="46" xfId="2" applyFont="1" applyFill="1" applyBorder="1"/>
    <xf numFmtId="166" fontId="3" fillId="0" borderId="45" xfId="2" applyFont="1" applyFill="1" applyBorder="1" applyAlignment="1" applyProtection="1"/>
    <xf numFmtId="166" fontId="3" fillId="0" borderId="47" xfId="2" applyFont="1" applyFill="1" applyBorder="1" applyAlignment="1" applyProtection="1"/>
    <xf numFmtId="166" fontId="3" fillId="0" borderId="22" xfId="2" applyFont="1" applyFill="1" applyBorder="1" applyAlignment="1" applyProtection="1"/>
    <xf numFmtId="166" fontId="0" fillId="0" borderId="41" xfId="2" applyFont="1" applyFill="1" applyBorder="1"/>
    <xf numFmtId="4" fontId="0" fillId="0" borderId="39" xfId="0" applyNumberFormat="1" applyBorder="1"/>
    <xf numFmtId="166" fontId="1" fillId="0" borderId="39" xfId="2" applyFill="1" applyBorder="1"/>
    <xf numFmtId="166" fontId="1" fillId="0" borderId="46" xfId="2" applyFill="1" applyBorder="1"/>
    <xf numFmtId="0" fontId="0" fillId="6" borderId="32" xfId="0" applyFill="1" applyBorder="1"/>
    <xf numFmtId="166" fontId="1" fillId="6" borderId="46" xfId="2" applyFill="1" applyBorder="1"/>
    <xf numFmtId="166" fontId="1" fillId="0" borderId="12" xfId="2" applyFill="1" applyBorder="1"/>
    <xf numFmtId="0" fontId="0" fillId="0" borderId="32" xfId="0" applyBorder="1"/>
    <xf numFmtId="14" fontId="0" fillId="0" borderId="44" xfId="0" applyNumberFormat="1" applyBorder="1"/>
    <xf numFmtId="166" fontId="1" fillId="0" borderId="41" xfId="2" applyFill="1" applyBorder="1"/>
    <xf numFmtId="0" fontId="28" fillId="6" borderId="32" xfId="0" applyFont="1" applyFill="1" applyBorder="1"/>
    <xf numFmtId="166" fontId="28" fillId="6" borderId="46" xfId="2" applyFont="1" applyFill="1" applyBorder="1"/>
    <xf numFmtId="166" fontId="16" fillId="0" borderId="0" xfId="2" applyFont="1" applyFill="1" applyAlignment="1">
      <alignment horizontal="center"/>
    </xf>
    <xf numFmtId="166" fontId="16" fillId="0" borderId="0" xfId="2" applyFont="1" applyFill="1"/>
    <xf numFmtId="0" fontId="2" fillId="6" borderId="32" xfId="0" applyFont="1" applyFill="1" applyBorder="1"/>
    <xf numFmtId="166" fontId="2" fillId="9" borderId="4" xfId="2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166" fontId="1" fillId="0" borderId="4" xfId="2" applyFill="1" applyBorder="1" applyAlignment="1">
      <alignment horizontal="center"/>
    </xf>
    <xf numFmtId="166" fontId="10" fillId="0" borderId="4" xfId="2" applyFont="1" applyFill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3" fillId="0" borderId="40" xfId="0" applyFont="1" applyBorder="1"/>
    <xf numFmtId="166" fontId="3" fillId="0" borderId="41" xfId="2" applyFont="1" applyFill="1" applyBorder="1"/>
    <xf numFmtId="166" fontId="3" fillId="0" borderId="39" xfId="2" applyFont="1" applyFill="1" applyBorder="1"/>
    <xf numFmtId="0" fontId="3" fillId="6" borderId="32" xfId="0" applyFont="1" applyFill="1" applyBorder="1"/>
    <xf numFmtId="166" fontId="3" fillId="6" borderId="46" xfId="2" applyFont="1" applyFill="1" applyBorder="1"/>
    <xf numFmtId="0" fontId="16" fillId="0" borderId="0" xfId="0" applyFont="1" applyAlignment="1">
      <alignment horizontal="center"/>
    </xf>
    <xf numFmtId="0" fontId="27" fillId="4" borderId="15" xfId="0" applyFont="1" applyFill="1" applyBorder="1" applyAlignment="1">
      <alignment horizontal="center"/>
    </xf>
    <xf numFmtId="0" fontId="27" fillId="4" borderId="0" xfId="0" applyFont="1" applyFill="1" applyAlignment="1">
      <alignment horizontal="center"/>
    </xf>
    <xf numFmtId="0" fontId="27" fillId="4" borderId="39" xfId="0" applyFont="1" applyFill="1" applyBorder="1" applyAlignment="1">
      <alignment horizontal="center"/>
    </xf>
    <xf numFmtId="0" fontId="2" fillId="4" borderId="42" xfId="0" applyFont="1" applyFill="1" applyBorder="1" applyAlignment="1">
      <alignment horizontal="center"/>
    </xf>
    <xf numFmtId="0" fontId="2" fillId="4" borderId="43" xfId="0" applyFont="1" applyFill="1" applyBorder="1" applyAlignment="1">
      <alignment horizontal="center"/>
    </xf>
    <xf numFmtId="0" fontId="30" fillId="4" borderId="32" xfId="0" applyFont="1" applyFill="1" applyBorder="1" applyAlignment="1">
      <alignment horizontal="center"/>
    </xf>
    <xf numFmtId="0" fontId="30" fillId="4" borderId="36" xfId="0" applyFont="1" applyFill="1" applyBorder="1" applyAlignment="1">
      <alignment horizontal="center"/>
    </xf>
    <xf numFmtId="0" fontId="30" fillId="4" borderId="46" xfId="0" applyFont="1" applyFill="1" applyBorder="1" applyAlignment="1">
      <alignment horizontal="center"/>
    </xf>
    <xf numFmtId="0" fontId="27" fillId="4" borderId="40" xfId="0" applyFont="1" applyFill="1" applyBorder="1" applyAlignment="1">
      <alignment horizontal="center"/>
    </xf>
    <xf numFmtId="0" fontId="27" fillId="4" borderId="44" xfId="0" applyFont="1" applyFill="1" applyBorder="1" applyAlignment="1">
      <alignment horizontal="center"/>
    </xf>
    <xf numFmtId="0" fontId="27" fillId="4" borderId="41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166" fontId="2" fillId="0" borderId="0" xfId="2" applyFont="1" applyFill="1" applyAlignment="1">
      <alignment horizontal="center"/>
    </xf>
    <xf numFmtId="0" fontId="70" fillId="10" borderId="2" xfId="6" applyFont="1" applyFill="1" applyBorder="1" applyAlignment="1">
      <alignment horizontal="center"/>
    </xf>
    <xf numFmtId="0" fontId="70" fillId="16" borderId="2" xfId="6" applyFont="1" applyFill="1" applyBorder="1" applyAlignment="1">
      <alignment horizontal="center"/>
    </xf>
    <xf numFmtId="169" fontId="65" fillId="0" borderId="44" xfId="5" applyNumberFormat="1" applyFont="1" applyBorder="1" applyAlignment="1">
      <alignment horizontal="center"/>
    </xf>
    <xf numFmtId="169" fontId="65" fillId="0" borderId="41" xfId="5" applyNumberFormat="1" applyFont="1" applyBorder="1" applyAlignment="1">
      <alignment horizontal="center"/>
    </xf>
    <xf numFmtId="169" fontId="67" fillId="7" borderId="2" xfId="5" applyNumberFormat="1" applyFont="1" applyFill="1" applyBorder="1" applyAlignment="1">
      <alignment horizontal="center"/>
    </xf>
    <xf numFmtId="169" fontId="67" fillId="7" borderId="43" xfId="5" applyNumberFormat="1" applyFont="1" applyFill="1" applyBorder="1" applyAlignment="1">
      <alignment horizontal="center"/>
    </xf>
    <xf numFmtId="0" fontId="33" fillId="21" borderId="0" xfId="5" applyFont="1" applyFill="1" applyAlignment="1">
      <alignment horizontal="center" vertical="center"/>
    </xf>
    <xf numFmtId="0" fontId="40" fillId="15" borderId="15" xfId="5" applyFont="1" applyFill="1" applyBorder="1" applyAlignment="1">
      <alignment horizontal="center"/>
    </xf>
    <xf numFmtId="0" fontId="40" fillId="15" borderId="0" xfId="5" applyFont="1" applyFill="1" applyAlignment="1">
      <alignment horizontal="center"/>
    </xf>
    <xf numFmtId="0" fontId="70" fillId="8" borderId="2" xfId="6" applyFont="1" applyFill="1" applyBorder="1" applyAlignment="1">
      <alignment horizontal="center"/>
    </xf>
    <xf numFmtId="0" fontId="71" fillId="5" borderId="40" xfId="5" applyFont="1" applyFill="1" applyBorder="1" applyAlignment="1">
      <alignment horizontal="center"/>
    </xf>
    <xf numFmtId="0" fontId="71" fillId="5" borderId="44" xfId="5" applyFont="1" applyFill="1" applyBorder="1" applyAlignment="1">
      <alignment horizontal="center"/>
    </xf>
    <xf numFmtId="0" fontId="62" fillId="5" borderId="36" xfId="5" applyFont="1" applyFill="1" applyBorder="1" applyAlignment="1">
      <alignment horizontal="center" vertical="center" wrapText="1"/>
    </xf>
    <xf numFmtId="169" fontId="46" fillId="0" borderId="44" xfId="5" applyNumberFormat="1" applyFont="1" applyBorder="1" applyAlignment="1">
      <alignment horizontal="center"/>
    </xf>
    <xf numFmtId="169" fontId="3" fillId="0" borderId="0" xfId="5" applyNumberFormat="1" applyAlignment="1">
      <alignment horizontal="center"/>
    </xf>
    <xf numFmtId="0" fontId="66" fillId="8" borderId="44" xfId="5" applyFont="1" applyFill="1" applyBorder="1" applyAlignment="1">
      <alignment horizontal="center"/>
    </xf>
    <xf numFmtId="0" fontId="66" fillId="8" borderId="41" xfId="5" applyFont="1" applyFill="1" applyBorder="1" applyAlignment="1">
      <alignment horizontal="center"/>
    </xf>
    <xf numFmtId="0" fontId="33" fillId="21" borderId="0" xfId="5" applyFont="1" applyFill="1" applyAlignment="1">
      <alignment horizontal="center"/>
    </xf>
    <xf numFmtId="0" fontId="36" fillId="16" borderId="32" xfId="5" applyFont="1" applyFill="1" applyBorder="1" applyAlignment="1">
      <alignment horizontal="center"/>
    </xf>
    <xf numFmtId="0" fontId="36" fillId="16" borderId="36" xfId="5" applyFont="1" applyFill="1" applyBorder="1" applyAlignment="1">
      <alignment horizontal="center"/>
    </xf>
    <xf numFmtId="0" fontId="36" fillId="16" borderId="46" xfId="5" applyFont="1" applyFill="1" applyBorder="1" applyAlignment="1">
      <alignment horizontal="center"/>
    </xf>
    <xf numFmtId="0" fontId="36" fillId="18" borderId="40" xfId="5" applyFont="1" applyFill="1" applyBorder="1" applyAlignment="1">
      <alignment horizontal="center"/>
    </xf>
    <xf numFmtId="0" fontId="36" fillId="18" borderId="44" xfId="5" applyFont="1" applyFill="1" applyBorder="1" applyAlignment="1">
      <alignment horizontal="center"/>
    </xf>
    <xf numFmtId="0" fontId="36" fillId="18" borderId="41" xfId="5" applyFont="1" applyFill="1" applyBorder="1" applyAlignment="1">
      <alignment horizontal="center"/>
    </xf>
    <xf numFmtId="0" fontId="41" fillId="4" borderId="32" xfId="0" applyFont="1" applyFill="1" applyBorder="1" applyAlignment="1">
      <alignment horizontal="center"/>
    </xf>
    <xf numFmtId="0" fontId="41" fillId="4" borderId="36" xfId="0" applyFont="1" applyFill="1" applyBorder="1" applyAlignment="1">
      <alignment horizontal="center"/>
    </xf>
    <xf numFmtId="0" fontId="41" fillId="4" borderId="46" xfId="0" applyFont="1" applyFill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36" xfId="0" applyFont="1" applyBorder="1" applyAlignment="1">
      <alignment horizontal="center"/>
    </xf>
    <xf numFmtId="0" fontId="41" fillId="0" borderId="46" xfId="0" applyFont="1" applyBorder="1" applyAlignment="1">
      <alignment horizontal="center"/>
    </xf>
    <xf numFmtId="0" fontId="18" fillId="0" borderId="1" xfId="0" applyFont="1" applyBorder="1" applyAlignment="1">
      <alignment horizontal="center" wrapText="1"/>
    </xf>
    <xf numFmtId="0" fontId="18" fillId="0" borderId="17" xfId="0" applyFont="1" applyBorder="1" applyAlignment="1">
      <alignment horizontal="center" wrapText="1"/>
    </xf>
    <xf numFmtId="0" fontId="18" fillId="0" borderId="18" xfId="0" applyFont="1" applyBorder="1" applyAlignment="1">
      <alignment horizontal="center" wrapText="1"/>
    </xf>
    <xf numFmtId="0" fontId="17" fillId="0" borderId="50" xfId="0" applyFont="1" applyBorder="1" applyAlignment="1">
      <alignment horizontal="left" wrapText="1"/>
    </xf>
    <xf numFmtId="0" fontId="17" fillId="0" borderId="51" xfId="0" applyFont="1" applyBorder="1" applyAlignment="1">
      <alignment horizontal="left" wrapText="1"/>
    </xf>
    <xf numFmtId="0" fontId="17" fillId="0" borderId="26" xfId="0" applyFont="1" applyBorder="1" applyAlignment="1">
      <alignment horizontal="left" wrapText="1"/>
    </xf>
    <xf numFmtId="0" fontId="18" fillId="0" borderId="29" xfId="0" applyFont="1" applyBorder="1" applyAlignment="1">
      <alignment horizontal="left" wrapText="1"/>
    </xf>
    <xf numFmtId="0" fontId="18" fillId="0" borderId="46" xfId="0" applyFont="1" applyBorder="1" applyAlignment="1">
      <alignment horizontal="left" wrapText="1"/>
    </xf>
    <xf numFmtId="0" fontId="18" fillId="0" borderId="4" xfId="0" applyFont="1" applyBorder="1" applyAlignment="1">
      <alignment horizontal="left" wrapText="1"/>
    </xf>
    <xf numFmtId="0" fontId="12" fillId="0" borderId="1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1" fillId="0" borderId="29" xfId="0" applyFont="1" applyBorder="1" applyAlignment="1">
      <alignment horizontal="left" wrapText="1"/>
    </xf>
    <xf numFmtId="0" fontId="11" fillId="0" borderId="46" xfId="0" applyFont="1" applyBorder="1" applyAlignment="1">
      <alignment horizontal="left" wrapText="1"/>
    </xf>
    <xf numFmtId="0" fontId="18" fillId="0" borderId="13" xfId="0" applyFont="1" applyBorder="1" applyAlignment="1">
      <alignment horizontal="left" wrapText="1"/>
    </xf>
    <xf numFmtId="0" fontId="18" fillId="0" borderId="52" xfId="0" applyFont="1" applyBorder="1" applyAlignment="1">
      <alignment horizontal="left" wrapText="1"/>
    </xf>
    <xf numFmtId="0" fontId="18" fillId="0" borderId="30" xfId="0" applyFont="1" applyBorder="1" applyAlignment="1">
      <alignment horizontal="left" wrapText="1"/>
    </xf>
    <xf numFmtId="0" fontId="18" fillId="0" borderId="53" xfId="0" applyFont="1" applyBorder="1" applyAlignment="1">
      <alignment horizontal="left" wrapText="1"/>
    </xf>
    <xf numFmtId="0" fontId="18" fillId="0" borderId="41" xfId="0" applyFont="1" applyBorder="1" applyAlignment="1">
      <alignment horizontal="left" wrapText="1"/>
    </xf>
    <xf numFmtId="0" fontId="18" fillId="0" borderId="45" xfId="0" applyFont="1" applyBorder="1" applyAlignment="1">
      <alignment horizontal="left" wrapText="1"/>
    </xf>
    <xf numFmtId="0" fontId="17" fillId="0" borderId="27" xfId="0" applyFont="1" applyBorder="1" applyAlignment="1">
      <alignment horizontal="left" wrapText="1"/>
    </xf>
    <xf numFmtId="0" fontId="17" fillId="0" borderId="38" xfId="0" applyFont="1" applyBorder="1" applyAlignment="1">
      <alignment horizontal="left" wrapText="1"/>
    </xf>
    <xf numFmtId="0" fontId="17" fillId="0" borderId="28" xfId="0" applyFont="1" applyBorder="1" applyAlignment="1">
      <alignment horizontal="left" wrapText="1"/>
    </xf>
    <xf numFmtId="0" fontId="12" fillId="5" borderId="1" xfId="0" applyFont="1" applyFill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0" fontId="12" fillId="5" borderId="18" xfId="0" applyFont="1" applyFill="1" applyBorder="1" applyAlignment="1">
      <alignment horizontal="center"/>
    </xf>
    <xf numFmtId="0" fontId="17" fillId="0" borderId="50" xfId="0" applyFont="1" applyBorder="1" applyAlignment="1">
      <alignment horizontal="center" wrapText="1"/>
    </xf>
    <xf numFmtId="0" fontId="17" fillId="0" borderId="51" xfId="0" applyFont="1" applyBorder="1" applyAlignment="1">
      <alignment horizontal="center" wrapText="1"/>
    </xf>
    <xf numFmtId="0" fontId="17" fillId="0" borderId="26" xfId="0" applyFont="1" applyBorder="1" applyAlignment="1">
      <alignment horizont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166" fontId="51" fillId="22" borderId="40" xfId="2" applyFont="1" applyFill="1" applyBorder="1" applyAlignment="1">
      <alignment horizontal="center"/>
    </xf>
    <xf numFmtId="166" fontId="51" fillId="22" borderId="41" xfId="2" applyFont="1" applyFill="1" applyBorder="1" applyAlignment="1">
      <alignment horizontal="center"/>
    </xf>
    <xf numFmtId="0" fontId="51" fillId="22" borderId="40" xfId="0" applyFont="1" applyFill="1" applyBorder="1" applyAlignment="1">
      <alignment horizontal="center"/>
    </xf>
    <xf numFmtId="0" fontId="51" fillId="22" borderId="41" xfId="0" applyFont="1" applyFill="1" applyBorder="1" applyAlignment="1">
      <alignment horizontal="center"/>
    </xf>
    <xf numFmtId="0" fontId="0" fillId="0" borderId="0" xfId="0" applyBorder="1"/>
    <xf numFmtId="0" fontId="41" fillId="4" borderId="42" xfId="0" applyFont="1" applyFill="1" applyBorder="1" applyAlignment="1">
      <alignment horizontal="center"/>
    </xf>
    <xf numFmtId="0" fontId="41" fillId="4" borderId="2" xfId="0" applyFont="1" applyFill="1" applyBorder="1" applyAlignment="1">
      <alignment horizontal="center"/>
    </xf>
    <xf numFmtId="169" fontId="0" fillId="0" borderId="0" xfId="0" applyNumberFormat="1" applyBorder="1"/>
    <xf numFmtId="0" fontId="0" fillId="0" borderId="3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0" xfId="0" applyFill="1" applyBorder="1"/>
    <xf numFmtId="0" fontId="2" fillId="0" borderId="45" xfId="0" applyFont="1" applyBorder="1" applyAlignment="1">
      <alignment horizontal="center" vertical="center" textRotation="255" wrapText="1"/>
    </xf>
    <xf numFmtId="0" fontId="2" fillId="0" borderId="47" xfId="0" applyFont="1" applyBorder="1" applyAlignment="1">
      <alignment horizontal="center" vertical="center" textRotation="255" wrapText="1"/>
    </xf>
    <xf numFmtId="0" fontId="2" fillId="0" borderId="22" xfId="0" applyFont="1" applyBorder="1" applyAlignment="1">
      <alignment horizontal="center" vertical="center" textRotation="255" wrapText="1"/>
    </xf>
    <xf numFmtId="0" fontId="2" fillId="0" borderId="45" xfId="0" applyFont="1" applyBorder="1" applyAlignment="1">
      <alignment horizontal="center" textRotation="255"/>
    </xf>
    <xf numFmtId="0" fontId="2" fillId="0" borderId="47" xfId="0" applyFont="1" applyBorder="1" applyAlignment="1">
      <alignment horizontal="center" textRotation="255"/>
    </xf>
    <xf numFmtId="0" fontId="2" fillId="0" borderId="22" xfId="0" applyFont="1" applyBorder="1" applyAlignment="1">
      <alignment horizontal="center" textRotation="255"/>
    </xf>
    <xf numFmtId="0" fontId="2" fillId="0" borderId="45" xfId="0" applyFont="1" applyBorder="1" applyAlignment="1">
      <alignment horizontal="center" vertical="center" textRotation="255"/>
    </xf>
    <xf numFmtId="0" fontId="2" fillId="0" borderId="47" xfId="0" applyFont="1" applyBorder="1" applyAlignment="1">
      <alignment horizontal="center" vertical="center" textRotation="255"/>
    </xf>
    <xf numFmtId="0" fontId="2" fillId="0" borderId="22" xfId="0" applyFont="1" applyBorder="1" applyAlignment="1">
      <alignment horizontal="center" vertical="center" textRotation="255"/>
    </xf>
    <xf numFmtId="0" fontId="0" fillId="0" borderId="47" xfId="0" applyBorder="1"/>
    <xf numFmtId="0" fontId="0" fillId="0" borderId="0" xfId="0" applyFill="1"/>
    <xf numFmtId="0" fontId="3" fillId="0" borderId="0" xfId="0" applyFont="1" applyFill="1"/>
    <xf numFmtId="0" fontId="3" fillId="0" borderId="19" xfId="0" applyFont="1" applyFill="1" applyBorder="1"/>
    <xf numFmtId="0" fontId="3" fillId="0" borderId="12" xfId="0" applyFont="1" applyFill="1" applyBorder="1"/>
    <xf numFmtId="0" fontId="0" fillId="0" borderId="0" xfId="0" applyBorder="1" applyAlignment="1">
      <alignment horizontal="center" vertical="center"/>
    </xf>
    <xf numFmtId="0" fontId="3" fillId="0" borderId="44" xfId="0" applyFont="1" applyBorder="1"/>
    <xf numFmtId="0" fontId="3" fillId="0" borderId="41" xfId="0" applyFont="1" applyBorder="1"/>
    <xf numFmtId="165" fontId="2" fillId="6" borderId="22" xfId="0" applyNumberFormat="1" applyFont="1" applyFill="1" applyBorder="1"/>
    <xf numFmtId="0" fontId="2" fillId="0" borderId="7" xfId="0" applyFont="1" applyBorder="1" applyAlignment="1">
      <alignment horizontal="center" vertical="center"/>
    </xf>
    <xf numFmtId="165" fontId="2" fillId="0" borderId="8" xfId="3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15" xfId="0" applyFont="1" applyFill="1" applyBorder="1"/>
    <xf numFmtId="165" fontId="5" fillId="0" borderId="39" xfId="3" applyFont="1" applyFill="1" applyBorder="1"/>
    <xf numFmtId="0" fontId="2" fillId="0" borderId="42" xfId="0" applyFont="1" applyFill="1" applyBorder="1"/>
    <xf numFmtId="165" fontId="5" fillId="0" borderId="2" xfId="3" applyFont="1" applyFill="1" applyBorder="1"/>
    <xf numFmtId="165" fontId="5" fillId="0" borderId="43" xfId="3" applyFont="1" applyFill="1" applyBorder="1"/>
    <xf numFmtId="165" fontId="0" fillId="0" borderId="40" xfId="3" applyFont="1" applyFill="1" applyBorder="1"/>
    <xf numFmtId="165" fontId="5" fillId="0" borderId="15" xfId="3" applyFont="1" applyFill="1" applyBorder="1"/>
    <xf numFmtId="165" fontId="5" fillId="0" borderId="42" xfId="3" applyFont="1" applyFill="1" applyBorder="1"/>
    <xf numFmtId="0" fontId="2" fillId="6" borderId="0" xfId="0" applyFont="1" applyFill="1" applyAlignment="1">
      <alignment horizontal="center"/>
    </xf>
  </cellXfs>
  <cellStyles count="10">
    <cellStyle name="Entrada" xfId="1" builtinId="20"/>
    <cellStyle name="Millares" xfId="2" builtinId="3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3" xfId="6" xr:uid="{00000000-0005-0000-0000-000006000000}"/>
    <cellStyle name="Porcentaje" xfId="7" builtinId="5"/>
    <cellStyle name="Porcentaje 2" xfId="8" xr:uid="{00000000-0005-0000-0000-000008000000}"/>
    <cellStyle name="Porcentaje 3" xfId="9" xr:uid="{00000000-0005-0000-0000-000009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Comparativa Montos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ARBA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'Ingresos-Egresos'!$F$11:$F$22</c:f>
              <c:numCache>
                <c:formatCode>_-[$$-2C0A]\ * #,##0.00_-;\-[$$-2C0A]\ * #,##0.00_-;_-[$$-2C0A]\ * "-"??_-;_-@_-</c:formatCode>
                <c:ptCount val="12"/>
                <c:pt idx="0">
                  <c:v>10920367</c:v>
                </c:pt>
                <c:pt idx="1">
                  <c:v>8553996</c:v>
                </c:pt>
                <c:pt idx="2">
                  <c:v>10491834</c:v>
                </c:pt>
                <c:pt idx="3">
                  <c:v>9589211</c:v>
                </c:pt>
                <c:pt idx="4">
                  <c:v>38217236</c:v>
                </c:pt>
                <c:pt idx="5">
                  <c:v>3381172</c:v>
                </c:pt>
                <c:pt idx="6">
                  <c:v>12257067</c:v>
                </c:pt>
                <c:pt idx="7">
                  <c:v>6221655</c:v>
                </c:pt>
                <c:pt idx="8">
                  <c:v>4998960</c:v>
                </c:pt>
                <c:pt idx="9">
                  <c:v>11065713</c:v>
                </c:pt>
                <c:pt idx="10">
                  <c:v>14663073</c:v>
                </c:pt>
                <c:pt idx="11">
                  <c:v>17640176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6-4BFF-8644-FD5974C2AA58}"/>
            </c:ext>
          </c:extLst>
        </c:ser>
        <c:ser>
          <c:idx val="1"/>
          <c:order val="1"/>
          <c:tx>
            <c:v>Krause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446-4BFF-8644-FD5974C2AA58}"/>
            </c:ext>
          </c:extLst>
        </c:ser>
        <c:ser>
          <c:idx val="2"/>
          <c:order val="2"/>
          <c:tx>
            <c:v>Mis Comprobantes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'Ingresos-Egresos'!$K$11:$K$22</c:f>
              <c:numCache>
                <c:formatCode>_-[$$-2C0A]\ * #,##0.00_-;\-[$$-2C0A]\ * #,##0.00_-;_-[$$-2C0A]\ * "-"??_-;_-@_-</c:formatCode>
                <c:ptCount val="12"/>
                <c:pt idx="0">
                  <c:v>1948826.9899999998</c:v>
                </c:pt>
                <c:pt idx="1">
                  <c:v>8553996.0700000003</c:v>
                </c:pt>
                <c:pt idx="2">
                  <c:v>10491834.079999998</c:v>
                </c:pt>
                <c:pt idx="3">
                  <c:v>9589210.7200000007</c:v>
                </c:pt>
                <c:pt idx="4">
                  <c:v>3873434.7</c:v>
                </c:pt>
                <c:pt idx="5">
                  <c:v>3381171.6100000003</c:v>
                </c:pt>
                <c:pt idx="6">
                  <c:v>5861697.21</c:v>
                </c:pt>
                <c:pt idx="7">
                  <c:v>6221654.1200000001</c:v>
                </c:pt>
                <c:pt idx="8">
                  <c:v>4998960.8900000006</c:v>
                </c:pt>
                <c:pt idx="9">
                  <c:v>9690014.0100000035</c:v>
                </c:pt>
                <c:pt idx="10">
                  <c:v>5793432.7199999988</c:v>
                </c:pt>
                <c:pt idx="11">
                  <c:v>3164974.46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46-4BFF-8644-FD5974C2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10399"/>
        <c:axId val="1"/>
      </c:lineChart>
      <c:catAx>
        <c:axId val="579510399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C0A]\ * #,##0.00_-;\-[$$-2C0A]\ * #,##0.00_-;_-[$$-2C0A]\ * &quot;-&quot;??_-;_-@_-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79510399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sz="3200">
                <a:solidFill>
                  <a:schemeClr val="tx1"/>
                </a:solidFill>
              </a:rPr>
              <a:t>Tipos de Gastos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857461489429698E-2"/>
          <c:y val="0.13275023333281769"/>
          <c:w val="0.61574063909372212"/>
          <c:h val="0.72884839296856063"/>
        </c:manualLayout>
      </c:layout>
      <c:doughnutChart>
        <c:varyColors val="1"/>
        <c:ser>
          <c:idx val="1"/>
          <c:order val="0"/>
          <c:tx>
            <c:v>Gastos</c:v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A21-4C55-AB5D-3413701D59E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1A21-4C55-AB5D-3413701D59E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A21-4C55-AB5D-3413701D59E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1A21-4C55-AB5D-3413701D59E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1A21-4C55-AB5D-3413701D59E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1A21-4C55-AB5D-3413701D59E6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1A21-4C55-AB5D-3413701D59E6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1A21-4C55-AB5D-3413701D59E6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1A21-4C55-AB5D-3413701D59E6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1A21-4C55-AB5D-3413701D59E6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1A21-4C55-AB5D-3413701D59E6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1A21-4C55-AB5D-3413701D59E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C-1A21-4C55-AB5D-3413701D59E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0D-1A21-4C55-AB5D-3413701D59E6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E-1A21-4C55-AB5D-3413701D59E6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0F-1A21-4C55-AB5D-3413701D59E6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0-1A21-4C55-AB5D-3413701D59E6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1-1A21-4C55-AB5D-3413701D59E6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2-1A21-4C55-AB5D-3413701D59E6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3-1A21-4C55-AB5D-3413701D59E6}"/>
              </c:ext>
            </c:extLst>
          </c:dPt>
          <c:val>
            <c:numRef>
              <c:f>'Ingresos-Egresos'!$G$65:$G$84</c:f>
              <c:numCache>
                <c:formatCode>_-[$$-2C0A]\ * #,##0.00_-;\-[$$-2C0A]\ * #,##0.00_-;_-[$$-2C0A]\ * "-"??_-;_-@_-</c:formatCode>
                <c:ptCount val="20"/>
                <c:pt idx="0">
                  <c:v>7173643.7100000009</c:v>
                </c:pt>
                <c:pt idx="1">
                  <c:v>6367642.2100000009</c:v>
                </c:pt>
                <c:pt idx="2">
                  <c:v>5434586.0800000001</c:v>
                </c:pt>
                <c:pt idx="3">
                  <c:v>4439350.5199999996</c:v>
                </c:pt>
                <c:pt idx="4">
                  <c:v>3425741.6999999997</c:v>
                </c:pt>
                <c:pt idx="5">
                  <c:v>3375363.1499999994</c:v>
                </c:pt>
                <c:pt idx="6">
                  <c:v>3310827.3300000005</c:v>
                </c:pt>
                <c:pt idx="7">
                  <c:v>2466042.25</c:v>
                </c:pt>
                <c:pt idx="8">
                  <c:v>2010736.3699999999</c:v>
                </c:pt>
                <c:pt idx="9">
                  <c:v>1701451.14</c:v>
                </c:pt>
                <c:pt idx="10">
                  <c:v>1534093.8800000001</c:v>
                </c:pt>
                <c:pt idx="11">
                  <c:v>1378843</c:v>
                </c:pt>
                <c:pt idx="12">
                  <c:v>963754.45999999985</c:v>
                </c:pt>
                <c:pt idx="13">
                  <c:v>557465.54999999993</c:v>
                </c:pt>
                <c:pt idx="14">
                  <c:v>412000</c:v>
                </c:pt>
                <c:pt idx="15">
                  <c:v>403861.98</c:v>
                </c:pt>
                <c:pt idx="16">
                  <c:v>403500</c:v>
                </c:pt>
                <c:pt idx="17">
                  <c:v>372878.93000000005</c:v>
                </c:pt>
                <c:pt idx="18">
                  <c:v>353987.53</c:v>
                </c:pt>
                <c:pt idx="19">
                  <c:v>341676.69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A21-4C55-AB5D-3413701D5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 w="25400">
          <a:noFill/>
        </a:ln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1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Ventas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45292</c:v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7CD-4C68-ABB9-4BC84A1EE2F8}"/>
            </c:ext>
          </c:extLst>
        </c:ser>
        <c:ser>
          <c:idx val="1"/>
          <c:order val="1"/>
          <c:tx>
            <c:v>45323</c:v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D-4C68-ABB9-4BC84A1EE2F8}"/>
            </c:ext>
          </c:extLst>
        </c:ser>
        <c:ser>
          <c:idx val="2"/>
          <c:order val="2"/>
          <c:tx>
            <c:v>45352</c:v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7CD-4C68-ABB9-4BC84A1EE2F8}"/>
            </c:ext>
          </c:extLst>
        </c:ser>
        <c:ser>
          <c:idx val="3"/>
          <c:order val="3"/>
          <c:tx>
            <c:v>45383</c:v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7CD-4C68-ABB9-4BC84A1EE2F8}"/>
            </c:ext>
          </c:extLst>
        </c:ser>
        <c:ser>
          <c:idx val="4"/>
          <c:order val="4"/>
          <c:tx>
            <c:v>45413</c:v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7CD-4C68-ABB9-4BC84A1EE2F8}"/>
            </c:ext>
          </c:extLst>
        </c:ser>
        <c:ser>
          <c:idx val="5"/>
          <c:order val="5"/>
          <c:tx>
            <c:v>45444</c:v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D-4C68-ABB9-4BC84A1EE2F8}"/>
            </c:ext>
          </c:extLst>
        </c:ser>
        <c:ser>
          <c:idx val="6"/>
          <c:order val="6"/>
          <c:tx>
            <c:v>45474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37CD-4C68-ABB9-4BC84A1EE2F8}"/>
            </c:ext>
          </c:extLst>
        </c:ser>
        <c:ser>
          <c:idx val="7"/>
          <c:order val="7"/>
          <c:tx>
            <c:v>45505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37CD-4C68-ABB9-4BC84A1EE2F8}"/>
            </c:ext>
          </c:extLst>
        </c:ser>
        <c:ser>
          <c:idx val="8"/>
          <c:order val="8"/>
          <c:tx>
            <c:v>45536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37CD-4C68-ABB9-4BC84A1EE2F8}"/>
            </c:ext>
          </c:extLst>
        </c:ser>
        <c:ser>
          <c:idx val="9"/>
          <c:order val="9"/>
          <c:tx>
            <c:v>45566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D-4C68-ABB9-4BC84A1EE2F8}"/>
            </c:ext>
          </c:extLst>
        </c:ser>
        <c:ser>
          <c:idx val="10"/>
          <c:order val="10"/>
          <c:tx>
            <c:v>45597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37CD-4C68-ABB9-4BC84A1EE2F8}"/>
            </c:ext>
          </c:extLst>
        </c:ser>
        <c:ser>
          <c:idx val="11"/>
          <c:order val="11"/>
          <c:tx>
            <c:v>45627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37CD-4C68-ABB9-4BC84A1EE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242095"/>
        <c:axId val="1"/>
        <c:axId val="0"/>
      </c:bar3DChart>
      <c:catAx>
        <c:axId val="58024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024209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Compras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45292</c:v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DA-4970-9AA6-CE8B2A10DADD}"/>
            </c:ext>
          </c:extLst>
        </c:ser>
        <c:ser>
          <c:idx val="1"/>
          <c:order val="1"/>
          <c:tx>
            <c:v>45323</c:v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DA-4970-9AA6-CE8B2A10DADD}"/>
            </c:ext>
          </c:extLst>
        </c:ser>
        <c:ser>
          <c:idx val="2"/>
          <c:order val="2"/>
          <c:tx>
            <c:v>45352</c:v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86DA-4970-9AA6-CE8B2A10DADD}"/>
            </c:ext>
          </c:extLst>
        </c:ser>
        <c:ser>
          <c:idx val="3"/>
          <c:order val="3"/>
          <c:tx>
            <c:v>45383</c:v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6DA-4970-9AA6-CE8B2A10DADD}"/>
            </c:ext>
          </c:extLst>
        </c:ser>
        <c:ser>
          <c:idx val="4"/>
          <c:order val="4"/>
          <c:tx>
            <c:v>45413</c:v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86DA-4970-9AA6-CE8B2A10DADD}"/>
            </c:ext>
          </c:extLst>
        </c:ser>
        <c:ser>
          <c:idx val="5"/>
          <c:order val="5"/>
          <c:tx>
            <c:v>45444</c:v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DA-4970-9AA6-CE8B2A10DADD}"/>
            </c:ext>
          </c:extLst>
        </c:ser>
        <c:ser>
          <c:idx val="6"/>
          <c:order val="6"/>
          <c:tx>
            <c:v>45474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86DA-4970-9AA6-CE8B2A10DADD}"/>
            </c:ext>
          </c:extLst>
        </c:ser>
        <c:ser>
          <c:idx val="7"/>
          <c:order val="7"/>
          <c:tx>
            <c:v>45505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86DA-4970-9AA6-CE8B2A10DADD}"/>
            </c:ext>
          </c:extLst>
        </c:ser>
        <c:ser>
          <c:idx val="8"/>
          <c:order val="8"/>
          <c:tx>
            <c:v>45536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86DA-4970-9AA6-CE8B2A10DADD}"/>
            </c:ext>
          </c:extLst>
        </c:ser>
        <c:ser>
          <c:idx val="9"/>
          <c:order val="9"/>
          <c:tx>
            <c:v>45566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DA-4970-9AA6-CE8B2A10DADD}"/>
            </c:ext>
          </c:extLst>
        </c:ser>
        <c:ser>
          <c:idx val="10"/>
          <c:order val="10"/>
          <c:tx>
            <c:v>45597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86DA-4970-9AA6-CE8B2A10DADD}"/>
            </c:ext>
          </c:extLst>
        </c:ser>
        <c:ser>
          <c:idx val="11"/>
          <c:order val="11"/>
          <c:tx>
            <c:v>45627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86DA-4970-9AA6-CE8B2A10D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242575"/>
        <c:axId val="1"/>
        <c:axId val="0"/>
      </c:bar3DChart>
      <c:catAx>
        <c:axId val="58024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024257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8</xdr:row>
      <xdr:rowOff>28575</xdr:rowOff>
    </xdr:from>
    <xdr:to>
      <xdr:col>17</xdr:col>
      <xdr:colOff>304800</xdr:colOff>
      <xdr:row>22</xdr:row>
      <xdr:rowOff>85725</xdr:rowOff>
    </xdr:to>
    <xdr:graphicFrame macro="">
      <xdr:nvGraphicFramePr>
        <xdr:cNvPr id="10385" name="Gráfico 1">
          <a:extLst>
            <a:ext uri="{FF2B5EF4-FFF2-40B4-BE49-F238E27FC236}">
              <a16:creationId xmlns:a16="http://schemas.microsoft.com/office/drawing/2014/main" id="{F58A9014-E4F2-2153-8E17-553B12BE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63</xdr:row>
      <xdr:rowOff>0</xdr:rowOff>
    </xdr:from>
    <xdr:to>
      <xdr:col>15</xdr:col>
      <xdr:colOff>657225</xdr:colOff>
      <xdr:row>87</xdr:row>
      <xdr:rowOff>142875</xdr:rowOff>
    </xdr:to>
    <xdr:graphicFrame macro="">
      <xdr:nvGraphicFramePr>
        <xdr:cNvPr id="10386" name="Chart 11">
          <a:extLst>
            <a:ext uri="{FF2B5EF4-FFF2-40B4-BE49-F238E27FC236}">
              <a16:creationId xmlns:a16="http://schemas.microsoft.com/office/drawing/2014/main" id="{4E357555-B4FB-A43A-C422-4D1AB1FA9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7</xdr:col>
      <xdr:colOff>314325</xdr:colOff>
      <xdr:row>38</xdr:row>
      <xdr:rowOff>114300</xdr:rowOff>
    </xdr:from>
    <xdr:to>
      <xdr:col>14</xdr:col>
      <xdr:colOff>428625</xdr:colOff>
      <xdr:row>56</xdr:row>
      <xdr:rowOff>57150</xdr:rowOff>
    </xdr:to>
    <xdr:graphicFrame macro="">
      <xdr:nvGraphicFramePr>
        <xdr:cNvPr id="10387" name="Gráfico 2">
          <a:extLst>
            <a:ext uri="{FF2B5EF4-FFF2-40B4-BE49-F238E27FC236}">
              <a16:creationId xmlns:a16="http://schemas.microsoft.com/office/drawing/2014/main" id="{BF6D3D82-9E4F-3DE3-4629-F5CB3A0B4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590550</xdr:colOff>
      <xdr:row>101</xdr:row>
      <xdr:rowOff>85725</xdr:rowOff>
    </xdr:from>
    <xdr:to>
      <xdr:col>14</xdr:col>
      <xdr:colOff>647700</xdr:colOff>
      <xdr:row>119</xdr:row>
      <xdr:rowOff>28575</xdr:rowOff>
    </xdr:to>
    <xdr:graphicFrame macro="">
      <xdr:nvGraphicFramePr>
        <xdr:cNvPr id="10388" name="Gráfico 3">
          <a:extLst>
            <a:ext uri="{FF2B5EF4-FFF2-40B4-BE49-F238E27FC236}">
              <a16:creationId xmlns:a16="http://schemas.microsoft.com/office/drawing/2014/main" id="{3003B3D9-4761-EA2D-5B8B-47E7B536A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A4B4-8618-4930-AE9F-A29D7081543F}">
  <dimension ref="A1"/>
  <sheetViews>
    <sheetView workbookViewId="0">
      <selection activeCell="C17" sqref="C17"/>
    </sheetView>
  </sheetViews>
  <sheetFormatPr baseColWidth="10"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04"/>
  <sheetViews>
    <sheetView tabSelected="1" topLeftCell="A41" zoomScale="120" zoomScaleNormal="120" workbookViewId="0">
      <selection activeCell="A243" sqref="A243"/>
    </sheetView>
  </sheetViews>
  <sheetFormatPr baseColWidth="10" defaultRowHeight="12.75" x14ac:dyDescent="0.2"/>
  <cols>
    <col min="1" max="1" width="52" customWidth="1"/>
    <col min="2" max="2" width="19.42578125" customWidth="1"/>
    <col min="3" max="3" width="21.28515625" customWidth="1"/>
    <col min="4" max="4" width="25.5703125" bestFit="1" customWidth="1"/>
    <col min="5" max="5" width="21.7109375" customWidth="1"/>
    <col min="6" max="6" width="32.85546875" customWidth="1"/>
    <col min="7" max="7" width="19.42578125" customWidth="1"/>
    <col min="8" max="8" width="14.42578125" bestFit="1" customWidth="1"/>
  </cols>
  <sheetData>
    <row r="1" spans="1:5" ht="20.25" x14ac:dyDescent="0.3">
      <c r="A1" s="275" t="s">
        <v>315</v>
      </c>
      <c r="B1" s="276"/>
      <c r="C1" s="276"/>
      <c r="D1" s="276"/>
      <c r="E1" s="277"/>
    </row>
    <row r="2" spans="1:5" x14ac:dyDescent="0.2">
      <c r="A2" s="278" t="s">
        <v>316</v>
      </c>
      <c r="B2" s="241" t="s">
        <v>330</v>
      </c>
      <c r="C2" s="241"/>
      <c r="D2" s="241"/>
      <c r="E2" s="242"/>
    </row>
    <row r="3" spans="1:5" x14ac:dyDescent="0.2">
      <c r="A3" s="279" t="s">
        <v>317</v>
      </c>
      <c r="B3" t="s">
        <v>491</v>
      </c>
      <c r="E3" s="280"/>
    </row>
    <row r="4" spans="1:5" x14ac:dyDescent="0.2">
      <c r="A4" s="281" t="s">
        <v>0</v>
      </c>
      <c r="B4" s="282" t="s">
        <v>27</v>
      </c>
      <c r="C4" s="283"/>
      <c r="D4" s="283"/>
      <c r="E4" s="284"/>
    </row>
    <row r="5" spans="1:5" x14ac:dyDescent="0.2">
      <c r="A5" s="278" t="s">
        <v>318</v>
      </c>
      <c r="B5" s="285"/>
      <c r="C5" s="241"/>
      <c r="D5" s="241"/>
      <c r="E5" s="242"/>
    </row>
    <row r="6" spans="1:5" x14ac:dyDescent="0.2">
      <c r="A6" s="279" t="s">
        <v>319</v>
      </c>
      <c r="B6" s="286"/>
      <c r="E6" s="280"/>
    </row>
    <row r="7" spans="1:5" x14ac:dyDescent="0.2">
      <c r="A7" s="281" t="s">
        <v>320</v>
      </c>
      <c r="B7" s="282"/>
      <c r="C7" s="283"/>
      <c r="D7" s="283"/>
      <c r="E7" s="284"/>
    </row>
    <row r="8" spans="1:5" x14ac:dyDescent="0.2">
      <c r="A8" s="287" t="s">
        <v>1</v>
      </c>
      <c r="B8" s="288" t="s">
        <v>316</v>
      </c>
      <c r="C8" s="288" t="s">
        <v>321</v>
      </c>
      <c r="D8" s="288" t="s">
        <v>322</v>
      </c>
      <c r="E8" s="289" t="s">
        <v>323</v>
      </c>
    </row>
    <row r="9" spans="1:5" ht="15" x14ac:dyDescent="0.25">
      <c r="A9" s="290" t="s">
        <v>324</v>
      </c>
      <c r="B9" t="s">
        <v>331</v>
      </c>
      <c r="C9" s="29"/>
      <c r="D9" s="291"/>
      <c r="E9" s="292"/>
    </row>
    <row r="10" spans="1:5" ht="15" x14ac:dyDescent="0.25">
      <c r="A10" s="290" t="s">
        <v>325</v>
      </c>
      <c r="B10" s="286" t="s">
        <v>332</v>
      </c>
      <c r="C10" s="29">
        <v>20482296123</v>
      </c>
      <c r="D10" s="291"/>
      <c r="E10" s="292">
        <v>39384</v>
      </c>
    </row>
    <row r="11" spans="1:5" ht="15" x14ac:dyDescent="0.25">
      <c r="A11" s="290" t="s">
        <v>325</v>
      </c>
      <c r="B11" s="286" t="s">
        <v>333</v>
      </c>
      <c r="C11" s="29">
        <v>20498065288</v>
      </c>
      <c r="D11" s="291"/>
      <c r="E11" s="292">
        <v>40132</v>
      </c>
    </row>
    <row r="12" spans="1:5" ht="15" x14ac:dyDescent="0.25">
      <c r="A12" s="290" t="s">
        <v>441</v>
      </c>
      <c r="B12" s="283"/>
      <c r="C12" s="293"/>
      <c r="D12" s="294"/>
      <c r="E12" s="295"/>
    </row>
    <row r="13" spans="1:5" x14ac:dyDescent="0.2">
      <c r="B13" s="286"/>
      <c r="D13" s="156"/>
    </row>
    <row r="14" spans="1:5" ht="13.5" thickBot="1" x14ac:dyDescent="0.25">
      <c r="D14" s="156"/>
    </row>
    <row r="15" spans="1:5" ht="21" thickBot="1" x14ac:dyDescent="0.35">
      <c r="A15" s="296" t="s">
        <v>326</v>
      </c>
      <c r="B15" s="297">
        <v>2024</v>
      </c>
    </row>
    <row r="16" spans="1:5" x14ac:dyDescent="0.2">
      <c r="A16" s="1"/>
    </row>
    <row r="17" spans="1:9" ht="20.25" x14ac:dyDescent="0.3">
      <c r="A17" s="298" t="s">
        <v>327</v>
      </c>
      <c r="B17" s="299"/>
      <c r="C17" s="299"/>
      <c r="D17" s="299"/>
      <c r="E17" s="299"/>
    </row>
    <row r="18" spans="1:9" ht="15" x14ac:dyDescent="0.25">
      <c r="A18" s="287" t="s">
        <v>328</v>
      </c>
      <c r="B18" s="300" t="s">
        <v>329</v>
      </c>
      <c r="C18" s="301" t="str">
        <f>IF(B18="SI",("Ingresos por jubilación:"),("No posee Ingresos por Jubilación"))</f>
        <v>No posee Ingresos por Jubilación</v>
      </c>
      <c r="D18" s="302">
        <v>0</v>
      </c>
    </row>
    <row r="19" spans="1:9" x14ac:dyDescent="0.2">
      <c r="A19" s="303"/>
      <c r="B19" s="304">
        <f>SUM(B17:B18)</f>
        <v>0</v>
      </c>
    </row>
    <row r="20" spans="1:9" x14ac:dyDescent="0.2">
      <c r="A20" s="1"/>
      <c r="E20" s="156"/>
      <c r="G20" s="229"/>
      <c r="H20" s="230" t="e">
        <f>SUM(#REF!)</f>
        <v>#REF!</v>
      </c>
      <c r="I20" s="231" t="e">
        <f>SUM(#REF!)</f>
        <v>#REF!</v>
      </c>
    </row>
    <row r="21" spans="1:9" ht="20.25" x14ac:dyDescent="0.3">
      <c r="A21" s="601" t="s">
        <v>562</v>
      </c>
      <c r="B21" s="602"/>
      <c r="C21" s="602"/>
      <c r="D21" s="602"/>
      <c r="E21" s="603"/>
      <c r="I21" s="228" t="e">
        <f>I20+H20</f>
        <v>#REF!</v>
      </c>
    </row>
    <row r="22" spans="1:9" x14ac:dyDescent="0.2">
      <c r="A22" s="505"/>
      <c r="B22" s="7"/>
      <c r="E22" s="527"/>
      <c r="G22" s="6"/>
    </row>
    <row r="23" spans="1:9" x14ac:dyDescent="0.2">
      <c r="A23" s="505"/>
      <c r="B23" s="7"/>
      <c r="E23" s="527"/>
      <c r="G23" s="6"/>
    </row>
    <row r="24" spans="1:9" x14ac:dyDescent="0.2">
      <c r="A24" s="505"/>
      <c r="B24" s="7"/>
      <c r="E24" s="527"/>
      <c r="G24" s="6"/>
    </row>
    <row r="25" spans="1:9" x14ac:dyDescent="0.2">
      <c r="A25" s="545"/>
      <c r="B25" s="546"/>
      <c r="C25" s="283"/>
      <c r="D25" s="283"/>
      <c r="E25" s="547"/>
      <c r="G25" s="6"/>
    </row>
    <row r="26" spans="1:9" ht="20.25" x14ac:dyDescent="0.3">
      <c r="A26" s="601" t="s">
        <v>563</v>
      </c>
      <c r="B26" s="602"/>
      <c r="C26" s="602"/>
      <c r="D26" s="602"/>
      <c r="E26" s="603"/>
      <c r="G26" s="6"/>
    </row>
    <row r="27" spans="1:9" x14ac:dyDescent="0.2">
      <c r="A27" s="505"/>
      <c r="B27" s="7"/>
      <c r="E27" s="527"/>
      <c r="G27" s="6"/>
    </row>
    <row r="28" spans="1:9" ht="18" customHeight="1" x14ac:dyDescent="0.2">
      <c r="A28" s="501" t="s">
        <v>564</v>
      </c>
      <c r="B28" s="502" t="s">
        <v>565</v>
      </c>
      <c r="C28" s="503" t="s">
        <v>566</v>
      </c>
      <c r="D28" s="504" t="s">
        <v>567</v>
      </c>
      <c r="E28" s="280"/>
      <c r="G28" s="232" t="e">
        <f>I21</f>
        <v>#REF!</v>
      </c>
      <c r="H28" s="233" t="s">
        <v>250</v>
      </c>
    </row>
    <row r="29" spans="1:9" ht="15" hidden="1" customHeight="1" x14ac:dyDescent="0.2">
      <c r="A29" s="505"/>
      <c r="B29" s="7"/>
      <c r="D29" s="280"/>
      <c r="E29" s="280"/>
      <c r="G29" s="234">
        <f>E45</f>
        <v>0</v>
      </c>
      <c r="H29" s="235" t="s">
        <v>187</v>
      </c>
    </row>
    <row r="30" spans="1:9" ht="15" hidden="1" customHeight="1" x14ac:dyDescent="0.2">
      <c r="A30" s="279"/>
      <c r="C30" s="4" t="s">
        <v>223</v>
      </c>
      <c r="D30" s="280"/>
      <c r="E30" s="280"/>
      <c r="G30" s="236">
        <f>B44</f>
        <v>0</v>
      </c>
      <c r="H30" s="235" t="s">
        <v>188</v>
      </c>
    </row>
    <row r="31" spans="1:9" ht="15.75" hidden="1" customHeight="1" x14ac:dyDescent="0.25">
      <c r="A31" s="506" t="s">
        <v>78</v>
      </c>
      <c r="B31" s="507" t="s">
        <v>251</v>
      </c>
      <c r="C31" s="507" t="s">
        <v>254</v>
      </c>
      <c r="D31" s="508" t="s">
        <v>253</v>
      </c>
      <c r="E31" s="508" t="s">
        <v>252</v>
      </c>
      <c r="G31" s="237">
        <f>+G29-G30</f>
        <v>0</v>
      </c>
      <c r="H31" s="238" t="s">
        <v>189</v>
      </c>
    </row>
    <row r="32" spans="1:9" ht="12.75" hidden="1" customHeight="1" x14ac:dyDescent="0.2">
      <c r="A32" s="509"/>
      <c r="B32" s="497" t="e">
        <f>#REF!+#REF!+#REF!</f>
        <v>#REF!</v>
      </c>
      <c r="C32" s="498"/>
      <c r="D32" s="510"/>
      <c r="E32" s="510"/>
      <c r="G32" s="27"/>
    </row>
    <row r="33" spans="1:8" ht="12.75" hidden="1" customHeight="1" x14ac:dyDescent="0.2">
      <c r="A33" s="509"/>
      <c r="B33" s="497" t="e">
        <f>#REF!+#REF!+#REF!</f>
        <v>#REF!</v>
      </c>
      <c r="C33" s="498"/>
      <c r="D33" s="510"/>
      <c r="E33" s="510"/>
      <c r="G33" s="6"/>
    </row>
    <row r="34" spans="1:8" ht="12.75" hidden="1" customHeight="1" x14ac:dyDescent="0.2">
      <c r="A34" s="509"/>
      <c r="B34" s="497" t="e">
        <f>#REF!+#REF!+#REF!</f>
        <v>#REF!</v>
      </c>
      <c r="C34" s="498"/>
      <c r="D34" s="510"/>
      <c r="E34" s="510"/>
      <c r="G34" s="18"/>
    </row>
    <row r="35" spans="1:8" ht="12.75" hidden="1" customHeight="1" x14ac:dyDescent="0.2">
      <c r="A35" s="509"/>
      <c r="B35" s="497" t="e">
        <f>#REF!+#REF!+#REF!</f>
        <v>#REF!</v>
      </c>
      <c r="C35" s="498"/>
      <c r="D35" s="510"/>
      <c r="E35" s="510"/>
      <c r="G35" s="18"/>
      <c r="H35" s="30"/>
    </row>
    <row r="36" spans="1:8" ht="12.75" hidden="1" customHeight="1" x14ac:dyDescent="0.2">
      <c r="A36" s="509"/>
      <c r="B36" s="497" t="e">
        <f>#REF!+#REF!+#REF!</f>
        <v>#REF!</v>
      </c>
      <c r="C36" s="498"/>
      <c r="D36" s="510"/>
      <c r="E36" s="510"/>
    </row>
    <row r="37" spans="1:8" ht="12.75" hidden="1" customHeight="1" x14ac:dyDescent="0.2">
      <c r="A37" s="509"/>
      <c r="B37" s="497" t="e">
        <f>#REF!+#REF!+#REF!</f>
        <v>#REF!</v>
      </c>
      <c r="C37" s="498"/>
      <c r="D37" s="510"/>
      <c r="E37" s="510"/>
    </row>
    <row r="38" spans="1:8" ht="12.75" hidden="1" customHeight="1" x14ac:dyDescent="0.2">
      <c r="A38" s="509"/>
      <c r="B38" s="497" t="e">
        <f>#REF!+#REF!+#REF!</f>
        <v>#REF!</v>
      </c>
      <c r="C38" s="498"/>
      <c r="D38" s="510"/>
      <c r="E38" s="510"/>
      <c r="G38" s="7"/>
    </row>
    <row r="39" spans="1:8" ht="12.75" hidden="1" customHeight="1" x14ac:dyDescent="0.2">
      <c r="A39" s="509"/>
      <c r="B39" s="497" t="e">
        <f>#REF!+#REF!+#REF!</f>
        <v>#REF!</v>
      </c>
      <c r="C39" s="498"/>
      <c r="D39" s="510"/>
      <c r="E39" s="510"/>
    </row>
    <row r="40" spans="1:8" ht="12.75" hidden="1" customHeight="1" x14ac:dyDescent="0.2">
      <c r="A40" s="509"/>
      <c r="B40" s="497" t="e">
        <f>#REF!+#REF!+#REF!</f>
        <v>#REF!</v>
      </c>
      <c r="C40" s="498"/>
      <c r="D40" s="510"/>
      <c r="E40" s="510"/>
    </row>
    <row r="41" spans="1:8" x14ac:dyDescent="0.2">
      <c r="A41" s="516"/>
      <c r="B41" s="517"/>
      <c r="C41" s="518"/>
      <c r="D41" s="519">
        <f>C41-B41</f>
        <v>0</v>
      </c>
      <c r="E41" s="512"/>
    </row>
    <row r="42" spans="1:8" x14ac:dyDescent="0.2">
      <c r="A42" s="511"/>
      <c r="B42" s="499"/>
      <c r="C42" s="500"/>
      <c r="D42" s="512">
        <f>C42-B42</f>
        <v>0</v>
      </c>
      <c r="E42" s="512"/>
      <c r="F42" s="31"/>
    </row>
    <row r="43" spans="1:8" x14ac:dyDescent="0.2">
      <c r="A43" s="511"/>
      <c r="B43" s="499"/>
      <c r="C43" s="500"/>
      <c r="D43" s="512">
        <f>C43-B43</f>
        <v>0</v>
      </c>
      <c r="E43" s="512"/>
      <c r="G43" s="30"/>
    </row>
    <row r="44" spans="1:8" x14ac:dyDescent="0.2">
      <c r="A44" s="513"/>
      <c r="B44" s="514"/>
      <c r="C44" s="514"/>
      <c r="D44" s="520">
        <f>C44-B44</f>
        <v>0</v>
      </c>
      <c r="E44" s="528"/>
    </row>
    <row r="45" spans="1:8" x14ac:dyDescent="0.2">
      <c r="A45" s="529" t="s">
        <v>226</v>
      </c>
      <c r="B45" s="521">
        <f>SUM(B41:B44)</f>
        <v>0</v>
      </c>
      <c r="C45" s="522">
        <f>SUM(C41:C44)</f>
        <v>0</v>
      </c>
      <c r="D45" s="523">
        <f>SUM(D41:D44)</f>
        <v>0</v>
      </c>
      <c r="E45" s="530"/>
      <c r="F45" s="4"/>
    </row>
    <row r="46" spans="1:8" x14ac:dyDescent="0.2">
      <c r="A46" s="229"/>
      <c r="B46" s="36"/>
      <c r="C46" s="33"/>
      <c r="D46" s="283"/>
      <c r="E46" s="515"/>
      <c r="G46" s="18"/>
    </row>
    <row r="47" spans="1:8" ht="20.25" x14ac:dyDescent="0.3">
      <c r="A47" s="593" t="s">
        <v>568</v>
      </c>
      <c r="B47" s="594"/>
      <c r="C47" s="594"/>
      <c r="D47" s="594"/>
      <c r="E47" s="595"/>
    </row>
    <row r="48" spans="1:8" s="525" customFormat="1" ht="15.75" x14ac:dyDescent="0.25">
      <c r="A48" s="531" t="s">
        <v>570</v>
      </c>
      <c r="B48" s="524"/>
      <c r="C48" s="524"/>
      <c r="D48" s="524"/>
      <c r="E48" s="532"/>
    </row>
    <row r="49" spans="1:7" x14ac:dyDescent="0.2">
      <c r="A49" s="305"/>
      <c r="B49" s="306" t="str">
        <f>'Ingresos-Egresos'!B10</f>
        <v>Actividad 1</v>
      </c>
      <c r="C49" s="306" t="str">
        <f>'Ingresos-Egresos'!C10</f>
        <v>Actividad 2</v>
      </c>
      <c r="D49" s="306" t="str">
        <f>'Ingresos-Egresos'!D10</f>
        <v>Actividad 3</v>
      </c>
      <c r="E49" s="533" t="str">
        <f>'Ingresos-Egresos'!F10</f>
        <v>Total</v>
      </c>
    </row>
    <row r="50" spans="1:7" x14ac:dyDescent="0.2">
      <c r="A50" s="307">
        <v>45292</v>
      </c>
      <c r="B50" s="308">
        <f>'Ingresos-Egresos'!B11</f>
        <v>1948827</v>
      </c>
      <c r="C50" s="308">
        <f>'Ingresos-Egresos'!C11</f>
        <v>0</v>
      </c>
      <c r="D50" s="308">
        <f>'Ingresos-Egresos'!D11</f>
        <v>8971540</v>
      </c>
      <c r="E50" s="309">
        <f>+B50+C50+D50</f>
        <v>10920367</v>
      </c>
    </row>
    <row r="51" spans="1:7" x14ac:dyDescent="0.2">
      <c r="A51" s="310">
        <v>45323</v>
      </c>
      <c r="B51" s="308">
        <f>'Ingresos-Egresos'!B12</f>
        <v>2404849</v>
      </c>
      <c r="C51" s="308">
        <f>'Ingresos-Egresos'!C12</f>
        <v>6149147</v>
      </c>
      <c r="D51" s="308">
        <f>'Ingresos-Egresos'!D12</f>
        <v>0</v>
      </c>
      <c r="E51" s="309">
        <f t="shared" ref="E51:E62" si="0">+B51+C51+D51</f>
        <v>8553996</v>
      </c>
    </row>
    <row r="52" spans="1:7" x14ac:dyDescent="0.2">
      <c r="A52" s="310">
        <v>45352</v>
      </c>
      <c r="B52" s="308">
        <f>'Ingresos-Egresos'!B13</f>
        <v>4166967</v>
      </c>
      <c r="C52" s="308">
        <f>'Ingresos-Egresos'!C13</f>
        <v>6324867</v>
      </c>
      <c r="D52" s="308">
        <f>'Ingresos-Egresos'!D13</f>
        <v>0</v>
      </c>
      <c r="E52" s="309">
        <f t="shared" si="0"/>
        <v>10491834</v>
      </c>
    </row>
    <row r="53" spans="1:7" x14ac:dyDescent="0.2">
      <c r="A53" s="310">
        <v>45383</v>
      </c>
      <c r="B53" s="308">
        <f>'Ingresos-Egresos'!B14</f>
        <v>3167610</v>
      </c>
      <c r="C53" s="308">
        <f>'Ingresos-Egresos'!C14</f>
        <v>6421601</v>
      </c>
      <c r="D53" s="308">
        <f>'Ingresos-Egresos'!D14</f>
        <v>0</v>
      </c>
      <c r="E53" s="309">
        <f t="shared" si="0"/>
        <v>9589211</v>
      </c>
    </row>
    <row r="54" spans="1:7" x14ac:dyDescent="0.2">
      <c r="A54" s="310">
        <v>45413</v>
      </c>
      <c r="B54" s="308">
        <f>'Ingresos-Egresos'!B15</f>
        <v>3873435</v>
      </c>
      <c r="C54" s="308">
        <f>'Ingresos-Egresos'!C15</f>
        <v>0</v>
      </c>
      <c r="D54" s="308">
        <f>'Ingresos-Egresos'!D15</f>
        <v>34343801</v>
      </c>
      <c r="E54" s="309">
        <f t="shared" si="0"/>
        <v>38217236</v>
      </c>
    </row>
    <row r="55" spans="1:7" x14ac:dyDescent="0.2">
      <c r="A55" s="310">
        <v>45444</v>
      </c>
      <c r="B55" s="308">
        <f>'Ingresos-Egresos'!B16</f>
        <v>3381172</v>
      </c>
      <c r="C55" s="308">
        <f>'Ingresos-Egresos'!C16</f>
        <v>0</v>
      </c>
      <c r="D55" s="308">
        <f>'Ingresos-Egresos'!D16</f>
        <v>0</v>
      </c>
      <c r="E55" s="309">
        <f t="shared" si="0"/>
        <v>3381172</v>
      </c>
    </row>
    <row r="56" spans="1:7" x14ac:dyDescent="0.2">
      <c r="A56" s="310">
        <v>45474</v>
      </c>
      <c r="B56" s="308">
        <f>'Ingresos-Egresos'!B17</f>
        <v>5861697</v>
      </c>
      <c r="C56" s="308">
        <f>'Ingresos-Egresos'!C17</f>
        <v>0</v>
      </c>
      <c r="D56" s="308">
        <f>'Ingresos-Egresos'!D17</f>
        <v>6395370</v>
      </c>
      <c r="E56" s="309">
        <f t="shared" si="0"/>
        <v>12257067</v>
      </c>
    </row>
    <row r="57" spans="1:7" x14ac:dyDescent="0.2">
      <c r="A57" s="310">
        <v>45505</v>
      </c>
      <c r="B57" s="308">
        <f>'Ingresos-Egresos'!B18</f>
        <v>6221655</v>
      </c>
      <c r="C57" s="308">
        <f>'Ingresos-Egresos'!C18</f>
        <v>0</v>
      </c>
      <c r="D57" s="308">
        <f>'Ingresos-Egresos'!D18</f>
        <v>0</v>
      </c>
      <c r="E57" s="309">
        <f t="shared" si="0"/>
        <v>6221655</v>
      </c>
    </row>
    <row r="58" spans="1:7" x14ac:dyDescent="0.2">
      <c r="A58" s="310">
        <v>45536</v>
      </c>
      <c r="B58" s="308">
        <f>'Ingresos-Egresos'!B19</f>
        <v>4998960</v>
      </c>
      <c r="C58" s="308">
        <f>'Ingresos-Egresos'!C19</f>
        <v>0</v>
      </c>
      <c r="D58" s="308">
        <f>'Ingresos-Egresos'!D19</f>
        <v>0</v>
      </c>
      <c r="E58" s="309">
        <f t="shared" si="0"/>
        <v>4998960</v>
      </c>
    </row>
    <row r="59" spans="1:7" x14ac:dyDescent="0.2">
      <c r="A59" s="310">
        <v>45566</v>
      </c>
      <c r="B59" s="308">
        <f>'Ingresos-Egresos'!B20</f>
        <v>5067214</v>
      </c>
      <c r="C59" s="308">
        <f>'Ingresos-Egresos'!C20</f>
        <v>4622800</v>
      </c>
      <c r="D59" s="308">
        <f>'Ingresos-Egresos'!D20</f>
        <v>1375699</v>
      </c>
      <c r="E59" s="309">
        <f t="shared" si="0"/>
        <v>11065713</v>
      </c>
    </row>
    <row r="60" spans="1:7" x14ac:dyDescent="0.2">
      <c r="A60" s="310">
        <v>45597</v>
      </c>
      <c r="B60" s="308">
        <f>'Ingresos-Egresos'!B21</f>
        <v>5793433</v>
      </c>
      <c r="C60" s="308">
        <f>'Ingresos-Egresos'!C21</f>
        <v>0</v>
      </c>
      <c r="D60" s="308">
        <f>'Ingresos-Egresos'!D21</f>
        <v>8869640</v>
      </c>
      <c r="E60" s="309">
        <f t="shared" si="0"/>
        <v>14663073</v>
      </c>
    </row>
    <row r="61" spans="1:7" x14ac:dyDescent="0.2">
      <c r="A61" s="311">
        <v>45627</v>
      </c>
      <c r="B61" s="308">
        <f>'Ingresos-Egresos'!B22</f>
        <v>3164974</v>
      </c>
      <c r="C61" s="308">
        <f>'Ingresos-Egresos'!C22</f>
        <v>0</v>
      </c>
      <c r="D61" s="308">
        <f>'Ingresos-Egresos'!D22</f>
        <v>14475202</v>
      </c>
      <c r="E61" s="309">
        <f t="shared" si="0"/>
        <v>17640176</v>
      </c>
      <c r="F61" s="4"/>
      <c r="G61" s="68"/>
    </row>
    <row r="62" spans="1:7" x14ac:dyDescent="0.2">
      <c r="A62" s="312" t="s">
        <v>334</v>
      </c>
      <c r="B62" s="313">
        <f>SUM(B50:B61)</f>
        <v>50050793</v>
      </c>
      <c r="C62" s="313">
        <f>SUM(C50:C61)</f>
        <v>23518415</v>
      </c>
      <c r="D62" s="313">
        <f>SUM(D50:D61)</f>
        <v>74431252</v>
      </c>
      <c r="E62" s="314">
        <f t="shared" si="0"/>
        <v>148000460</v>
      </c>
      <c r="G62" s="68"/>
    </row>
    <row r="63" spans="1:7" x14ac:dyDescent="0.2">
      <c r="A63" s="596" t="s">
        <v>335</v>
      </c>
      <c r="B63" s="597"/>
      <c r="C63" s="18"/>
      <c r="D63" s="534"/>
      <c r="E63" s="280"/>
      <c r="G63" s="68"/>
    </row>
    <row r="64" spans="1:7" x14ac:dyDescent="0.2">
      <c r="A64" s="239" t="s">
        <v>223</v>
      </c>
      <c r="B64" s="526">
        <f>'Ingresos-Egresos'!B26</f>
        <v>148000460</v>
      </c>
      <c r="C64" s="316"/>
      <c r="D64" s="317"/>
      <c r="E64" s="535"/>
    </row>
    <row r="65" spans="1:7" x14ac:dyDescent="0.2">
      <c r="A65" s="315" t="s">
        <v>336</v>
      </c>
      <c r="B65" s="320">
        <v>0</v>
      </c>
      <c r="C65" s="315"/>
      <c r="D65" s="319"/>
      <c r="E65" s="536"/>
      <c r="F65" s="4"/>
      <c r="G65" s="68"/>
    </row>
    <row r="66" spans="1:7" x14ac:dyDescent="0.2">
      <c r="A66" s="315" t="s">
        <v>337</v>
      </c>
      <c r="B66" s="320">
        <v>85514910.359999999</v>
      </c>
      <c r="D66" s="319"/>
      <c r="E66" s="536"/>
      <c r="G66" s="68"/>
    </row>
    <row r="67" spans="1:7" x14ac:dyDescent="0.2">
      <c r="A67" s="229" t="s">
        <v>338</v>
      </c>
      <c r="B67" s="485">
        <f>'Ingresos-Egresos'!B28</f>
        <v>73569207.579999998</v>
      </c>
      <c r="C67" s="318"/>
      <c r="E67" s="280"/>
    </row>
    <row r="68" spans="1:7" x14ac:dyDescent="0.2">
      <c r="A68" s="315"/>
      <c r="B68" s="213"/>
      <c r="C68" s="318"/>
      <c r="E68" s="280"/>
    </row>
    <row r="69" spans="1:7" ht="15.75" x14ac:dyDescent="0.25">
      <c r="A69" s="531" t="s">
        <v>571</v>
      </c>
      <c r="E69" s="280"/>
    </row>
    <row r="70" spans="1:7" ht="15.75" x14ac:dyDescent="0.25">
      <c r="A70" s="598" t="s">
        <v>339</v>
      </c>
      <c r="B70" s="599"/>
      <c r="C70" s="599"/>
      <c r="D70" s="600"/>
      <c r="E70" s="280"/>
    </row>
    <row r="71" spans="1:7" ht="15" x14ac:dyDescent="0.25">
      <c r="A71" s="321" t="s">
        <v>573</v>
      </c>
      <c r="B71" s="322"/>
      <c r="C71" s="556" t="s">
        <v>392</v>
      </c>
      <c r="D71" s="323"/>
      <c r="E71" s="280"/>
    </row>
    <row r="72" spans="1:7" x14ac:dyDescent="0.2">
      <c r="A72" s="548" t="s">
        <v>340</v>
      </c>
      <c r="B72" s="308"/>
      <c r="C72" s="564">
        <f>'Ingresos-Egresos'!E23</f>
        <v>3177951.8</v>
      </c>
      <c r="D72" s="325"/>
      <c r="E72" s="280"/>
    </row>
    <row r="73" spans="1:7" x14ac:dyDescent="0.2">
      <c r="A73" s="537" t="s">
        <v>342</v>
      </c>
      <c r="B73" s="324"/>
      <c r="C73" s="565">
        <v>0</v>
      </c>
      <c r="D73" s="325"/>
      <c r="E73" s="280"/>
      <c r="G73" s="70"/>
    </row>
    <row r="74" spans="1:7" x14ac:dyDescent="0.2">
      <c r="A74" s="537" t="s">
        <v>343</v>
      </c>
      <c r="B74" s="324"/>
      <c r="C74" s="565"/>
      <c r="D74" s="325"/>
      <c r="E74" s="280"/>
    </row>
    <row r="75" spans="1:7" x14ac:dyDescent="0.2">
      <c r="A75" s="537" t="s">
        <v>344</v>
      </c>
      <c r="B75" s="324"/>
      <c r="C75" s="565">
        <v>0</v>
      </c>
      <c r="D75" s="325"/>
      <c r="E75" s="280"/>
    </row>
    <row r="76" spans="1:7" x14ac:dyDescent="0.2">
      <c r="A76" s="529" t="s">
        <v>574</v>
      </c>
      <c r="B76" s="324"/>
      <c r="C76" s="565">
        <f>Sueldos!B16</f>
        <v>6436747.7599999998</v>
      </c>
      <c r="D76" s="325"/>
      <c r="E76" s="280"/>
    </row>
    <row r="77" spans="1:7" x14ac:dyDescent="0.2">
      <c r="A77" s="537" t="s">
        <v>345</v>
      </c>
      <c r="B77" s="324"/>
      <c r="C77" s="565">
        <f>Sueldos!J16-Sueldos!B16</f>
        <v>1414447.9500000002</v>
      </c>
      <c r="D77" s="325"/>
      <c r="E77" s="280"/>
    </row>
    <row r="78" spans="1:7" x14ac:dyDescent="0.2">
      <c r="A78" s="537" t="s">
        <v>489</v>
      </c>
      <c r="B78" s="324"/>
      <c r="C78" s="565">
        <f>Sueldos!B33+Sueldos!C33</f>
        <v>3014174.37</v>
      </c>
      <c r="D78" s="325"/>
      <c r="E78" s="280"/>
    </row>
    <row r="79" spans="1:7" x14ac:dyDescent="0.2">
      <c r="A79" s="537" t="s">
        <v>341</v>
      </c>
      <c r="B79" s="324"/>
      <c r="C79" s="565"/>
      <c r="D79" s="325"/>
      <c r="E79" s="280"/>
    </row>
    <row r="80" spans="1:7" x14ac:dyDescent="0.2">
      <c r="A80" s="529" t="s">
        <v>201</v>
      </c>
      <c r="B80" s="324"/>
      <c r="C80" s="565"/>
      <c r="D80" s="325"/>
      <c r="E80" s="280"/>
    </row>
    <row r="81" spans="1:10" x14ac:dyDescent="0.2">
      <c r="A81" s="529" t="s">
        <v>575</v>
      </c>
      <c r="B81" s="324"/>
      <c r="C81" s="565"/>
      <c r="D81" s="325"/>
      <c r="E81" s="280"/>
    </row>
    <row r="82" spans="1:10" x14ac:dyDescent="0.2">
      <c r="A82" s="549" t="s">
        <v>576</v>
      </c>
      <c r="B82" s="283"/>
      <c r="C82" s="566"/>
      <c r="D82" s="325"/>
      <c r="E82" s="280"/>
    </row>
    <row r="83" spans="1:10" ht="15" x14ac:dyDescent="0.25">
      <c r="A83" s="557" t="s">
        <v>346</v>
      </c>
      <c r="B83" s="550" t="s">
        <v>347</v>
      </c>
      <c r="C83" s="556" t="s">
        <v>355</v>
      </c>
      <c r="D83" s="551" t="s">
        <v>356</v>
      </c>
      <c r="E83" s="280"/>
      <c r="J83" s="318"/>
    </row>
    <row r="84" spans="1:10" ht="15" x14ac:dyDescent="0.25">
      <c r="A84" s="555" t="s">
        <v>492</v>
      </c>
      <c r="B84" s="326">
        <v>0</v>
      </c>
      <c r="C84" s="554">
        <v>413943.66</v>
      </c>
      <c r="D84" s="466"/>
      <c r="E84" s="280"/>
    </row>
    <row r="85" spans="1:10" ht="15" x14ac:dyDescent="0.25">
      <c r="A85" s="555" t="s">
        <v>493</v>
      </c>
      <c r="B85" s="327">
        <v>0</v>
      </c>
      <c r="C85" s="560">
        <v>1987394.04</v>
      </c>
      <c r="D85" s="464"/>
      <c r="E85" s="280"/>
    </row>
    <row r="86" spans="1:10" ht="15" x14ac:dyDescent="0.25">
      <c r="A86" s="555" t="s">
        <v>348</v>
      </c>
      <c r="B86" s="327">
        <v>4010108</v>
      </c>
      <c r="C86" s="552">
        <v>3200600</v>
      </c>
      <c r="D86" s="464"/>
      <c r="E86" s="280"/>
    </row>
    <row r="87" spans="1:10" ht="15" x14ac:dyDescent="0.25">
      <c r="A87" s="555" t="s">
        <v>479</v>
      </c>
      <c r="B87" s="327">
        <v>4010116</v>
      </c>
      <c r="C87" s="552">
        <f>455433.98-2839.03</f>
        <v>452594.94999999995</v>
      </c>
      <c r="D87" s="464"/>
      <c r="E87" s="280"/>
    </row>
    <row r="88" spans="1:10" ht="15" x14ac:dyDescent="0.25">
      <c r="A88" s="555" t="s">
        <v>349</v>
      </c>
      <c r="B88" s="327">
        <v>4010119</v>
      </c>
      <c r="C88" s="552"/>
      <c r="D88" s="464">
        <v>230837.88</v>
      </c>
      <c r="E88" s="280"/>
    </row>
    <row r="89" spans="1:10" ht="15" x14ac:dyDescent="0.25">
      <c r="A89" s="555" t="s">
        <v>480</v>
      </c>
      <c r="B89" s="327">
        <v>4010118</v>
      </c>
      <c r="C89" s="552">
        <v>58832.61</v>
      </c>
      <c r="D89" s="464"/>
      <c r="E89" s="280"/>
    </row>
    <row r="90" spans="1:10" ht="15" x14ac:dyDescent="0.25">
      <c r="A90" s="555" t="s">
        <v>481</v>
      </c>
      <c r="B90" s="327">
        <v>0</v>
      </c>
      <c r="C90" s="552">
        <f>9779703.85-15229.1</f>
        <v>9764474.75</v>
      </c>
      <c r="D90" s="464"/>
      <c r="E90" s="280"/>
    </row>
    <row r="91" spans="1:10" ht="15" x14ac:dyDescent="0.25">
      <c r="A91" s="555" t="s">
        <v>458</v>
      </c>
      <c r="B91" s="327">
        <v>4010123</v>
      </c>
      <c r="C91" s="552">
        <f>5077879.11-35260.32</f>
        <v>5042618.79</v>
      </c>
      <c r="D91" s="464"/>
      <c r="E91" s="280"/>
    </row>
    <row r="92" spans="1:10" ht="15" x14ac:dyDescent="0.25">
      <c r="A92" s="555" t="s">
        <v>482</v>
      </c>
      <c r="B92" s="327">
        <v>0</v>
      </c>
      <c r="C92" s="560">
        <v>604939.07999999996</v>
      </c>
      <c r="D92" s="464"/>
      <c r="E92" s="280"/>
    </row>
    <row r="93" spans="1:10" ht="15" x14ac:dyDescent="0.25">
      <c r="A93" s="555" t="s">
        <v>483</v>
      </c>
      <c r="B93" s="327">
        <v>0</v>
      </c>
      <c r="C93" s="552">
        <v>550245.72</v>
      </c>
      <c r="D93" s="464"/>
      <c r="E93" s="280"/>
    </row>
    <row r="94" spans="1:10" ht="15" x14ac:dyDescent="0.25">
      <c r="A94" s="555" t="s">
        <v>484</v>
      </c>
      <c r="B94" s="327">
        <v>0</v>
      </c>
      <c r="C94" s="552"/>
      <c r="D94" s="464">
        <v>3561290.82</v>
      </c>
      <c r="E94" s="280"/>
    </row>
    <row r="95" spans="1:10" ht="15" x14ac:dyDescent="0.25">
      <c r="A95" s="555" t="s">
        <v>485</v>
      </c>
      <c r="B95" s="327">
        <v>0</v>
      </c>
      <c r="C95" s="552">
        <f>8194107.92-82898.77</f>
        <v>8111209.1500000004</v>
      </c>
      <c r="D95" s="464"/>
      <c r="E95" s="280"/>
    </row>
    <row r="96" spans="1:10" ht="15" x14ac:dyDescent="0.25">
      <c r="A96" s="555" t="s">
        <v>451</v>
      </c>
      <c r="B96" s="327">
        <v>0</v>
      </c>
      <c r="C96" s="560">
        <v>284000</v>
      </c>
      <c r="D96" s="464"/>
      <c r="E96" s="280"/>
    </row>
    <row r="97" spans="1:8" ht="15" x14ac:dyDescent="0.25">
      <c r="A97" s="555" t="s">
        <v>352</v>
      </c>
      <c r="B97" s="327">
        <v>4010130</v>
      </c>
      <c r="C97" s="560">
        <f>6394062.91-63543.35</f>
        <v>6330519.5600000005</v>
      </c>
      <c r="D97" s="464"/>
      <c r="E97" s="280"/>
    </row>
    <row r="98" spans="1:8" ht="15" x14ac:dyDescent="0.25">
      <c r="A98" s="555" t="s">
        <v>448</v>
      </c>
      <c r="B98" s="327">
        <v>0</v>
      </c>
      <c r="C98" s="552">
        <v>254628.1</v>
      </c>
      <c r="D98" s="464"/>
      <c r="E98" s="280"/>
    </row>
    <row r="99" spans="1:8" ht="15" x14ac:dyDescent="0.25">
      <c r="A99" s="555" t="s">
        <v>486</v>
      </c>
      <c r="B99" s="327">
        <v>0</v>
      </c>
      <c r="C99" s="552">
        <v>272800</v>
      </c>
      <c r="D99" s="464"/>
      <c r="E99" s="280"/>
    </row>
    <row r="100" spans="1:8" ht="15" x14ac:dyDescent="0.25">
      <c r="A100" s="555" t="s">
        <v>487</v>
      </c>
      <c r="B100" s="327">
        <v>0</v>
      </c>
      <c r="C100" s="552">
        <v>4931932.26</v>
      </c>
      <c r="D100" s="464"/>
      <c r="E100" s="280"/>
    </row>
    <row r="101" spans="1:8" ht="15" x14ac:dyDescent="0.25">
      <c r="A101" s="555" t="s">
        <v>488</v>
      </c>
      <c r="B101" s="327"/>
      <c r="C101" s="560"/>
      <c r="D101" s="464"/>
      <c r="E101" s="280"/>
    </row>
    <row r="102" spans="1:8" ht="15" x14ac:dyDescent="0.25">
      <c r="A102" s="555"/>
      <c r="B102" s="327"/>
      <c r="C102" s="560"/>
      <c r="D102" s="464"/>
      <c r="E102" s="280"/>
    </row>
    <row r="103" spans="1:8" ht="15" x14ac:dyDescent="0.25">
      <c r="A103" s="555"/>
      <c r="B103" s="327"/>
      <c r="C103" s="560"/>
      <c r="D103" s="464"/>
      <c r="E103" s="280"/>
    </row>
    <row r="104" spans="1:8" ht="15" x14ac:dyDescent="0.25">
      <c r="A104" s="555"/>
      <c r="B104" s="327"/>
      <c r="C104" s="560"/>
      <c r="D104" s="464"/>
      <c r="E104" s="280"/>
      <c r="F104" s="478" t="s">
        <v>158</v>
      </c>
      <c r="G104" s="41">
        <f>+D44+E44</f>
        <v>0</v>
      </c>
      <c r="H104" s="153" t="e">
        <f>+G104/G105</f>
        <v>#DIV/0!</v>
      </c>
    </row>
    <row r="105" spans="1:8" ht="15" x14ac:dyDescent="0.25">
      <c r="A105" s="555"/>
      <c r="B105" s="327"/>
      <c r="C105" s="560"/>
      <c r="D105" s="464"/>
      <c r="E105" s="280"/>
      <c r="F105" s="478"/>
      <c r="G105" s="41">
        <f>+G30</f>
        <v>0</v>
      </c>
      <c r="H105" s="153" t="e">
        <f>SUM(H104:H104)</f>
        <v>#DIV/0!</v>
      </c>
    </row>
    <row r="106" spans="1:8" ht="15" x14ac:dyDescent="0.25">
      <c r="A106" s="555"/>
      <c r="B106" s="327"/>
      <c r="C106" s="560"/>
      <c r="D106" s="464"/>
      <c r="E106" s="280"/>
    </row>
    <row r="107" spans="1:8" ht="15" x14ac:dyDescent="0.25">
      <c r="A107" s="555"/>
      <c r="B107" s="327"/>
      <c r="C107" s="560"/>
      <c r="D107" s="464"/>
      <c r="E107" s="538"/>
    </row>
    <row r="108" spans="1:8" ht="15" x14ac:dyDescent="0.25">
      <c r="A108" s="555"/>
      <c r="B108" s="327"/>
      <c r="C108" s="560"/>
      <c r="D108" s="540"/>
      <c r="E108" s="280"/>
    </row>
    <row r="109" spans="1:8" ht="15" x14ac:dyDescent="0.25">
      <c r="A109" s="558"/>
      <c r="B109" s="328"/>
      <c r="C109" s="553"/>
      <c r="D109" s="559"/>
      <c r="E109" s="280"/>
    </row>
    <row r="110" spans="1:8" x14ac:dyDescent="0.2">
      <c r="B110" s="561" t="s">
        <v>147</v>
      </c>
      <c r="C110" s="562">
        <f>SUM(C84:C109)</f>
        <v>42260732.670000002</v>
      </c>
      <c r="D110" s="563">
        <f>SUM(D84:D109)</f>
        <v>3792128.6999999997</v>
      </c>
      <c r="E110" s="280"/>
    </row>
    <row r="111" spans="1:8" x14ac:dyDescent="0.2">
      <c r="E111" s="280"/>
    </row>
    <row r="112" spans="1:8" x14ac:dyDescent="0.2">
      <c r="A112" s="315"/>
      <c r="C112" s="8"/>
      <c r="E112" s="280"/>
    </row>
    <row r="113" spans="1:5" ht="15.75" x14ac:dyDescent="0.25">
      <c r="A113" s="531" t="s">
        <v>572</v>
      </c>
      <c r="D113" s="4" t="s">
        <v>213</v>
      </c>
      <c r="E113" s="280"/>
    </row>
    <row r="114" spans="1:5" ht="13.5" thickBot="1" x14ac:dyDescent="0.25">
      <c r="A114" s="287" t="s">
        <v>577</v>
      </c>
      <c r="B114" s="570">
        <f>E62</f>
        <v>148000460</v>
      </c>
      <c r="C114" s="539"/>
      <c r="D114" s="8">
        <f>SUM(B114:B115)</f>
        <v>204304514.55000001</v>
      </c>
      <c r="E114" s="280"/>
    </row>
    <row r="115" spans="1:5" ht="13.5" thickBot="1" x14ac:dyDescent="0.25">
      <c r="A115" s="239" t="s">
        <v>2</v>
      </c>
      <c r="B115" s="567">
        <f>C110+C72+C73+C74+C75+C76+C77+C78+C79+C80+C81+C82</f>
        <v>56304054.549999997</v>
      </c>
      <c r="D115" s="207">
        <f>D114/B114</f>
        <v>1.3804316185909153</v>
      </c>
      <c r="E115" s="541" t="e">
        <f>B118/B114</f>
        <v>#VALUE!</v>
      </c>
    </row>
    <row r="116" spans="1:5" x14ac:dyDescent="0.2">
      <c r="A116" s="505" t="s">
        <v>190</v>
      </c>
      <c r="B116" s="568" t="e">
        <f>AXI!G38</f>
        <v>#VALUE!</v>
      </c>
      <c r="C116" s="8"/>
      <c r="D116" s="8"/>
      <c r="E116" s="542"/>
    </row>
    <row r="117" spans="1:5" x14ac:dyDescent="0.2">
      <c r="A117" s="505" t="s">
        <v>302</v>
      </c>
      <c r="B117" s="569" t="e">
        <f>AXI!D29</f>
        <v>#VALUE!</v>
      </c>
      <c r="C117" s="8"/>
      <c r="D117" s="8"/>
      <c r="E117" s="542"/>
    </row>
    <row r="118" spans="1:5" x14ac:dyDescent="0.2">
      <c r="A118" s="571" t="s">
        <v>3</v>
      </c>
      <c r="B118" s="572" t="e">
        <f>SUM(B114:B117)</f>
        <v>#VALUE!</v>
      </c>
      <c r="C118" s="68"/>
      <c r="D118" s="171"/>
      <c r="E118" s="543"/>
    </row>
    <row r="119" spans="1:5" x14ac:dyDescent="0.2">
      <c r="A119" s="229"/>
      <c r="B119" s="36"/>
      <c r="C119" s="33"/>
      <c r="D119" s="283"/>
      <c r="E119" s="544"/>
    </row>
    <row r="120" spans="1:5" ht="21" thickBot="1" x14ac:dyDescent="0.35">
      <c r="A120" s="594" t="s">
        <v>569</v>
      </c>
      <c r="B120" s="594"/>
      <c r="C120" s="594"/>
      <c r="D120" s="594"/>
      <c r="E120" s="594"/>
    </row>
    <row r="121" spans="1:5" ht="13.5" thickBot="1" x14ac:dyDescent="0.25">
      <c r="A121" s="123" t="s">
        <v>159</v>
      </c>
      <c r="B121" s="114">
        <f>+B65+C65</f>
        <v>0</v>
      </c>
      <c r="C121" s="17"/>
      <c r="D121" s="10" t="s">
        <v>310</v>
      </c>
      <c r="E121" s="34"/>
    </row>
    <row r="122" spans="1:5" ht="13.5" thickBot="1" x14ac:dyDescent="0.25">
      <c r="A122" s="50" t="s">
        <v>160</v>
      </c>
      <c r="B122" s="573">
        <f>+D110</f>
        <v>3792128.6999999997</v>
      </c>
      <c r="C122" s="17"/>
      <c r="D122" s="207" t="e">
        <f>B124/B121</f>
        <v>#DIV/0!</v>
      </c>
    </row>
    <row r="123" spans="1:5" ht="13.5" thickBot="1" x14ac:dyDescent="0.25">
      <c r="A123" s="50"/>
      <c r="B123" s="115"/>
      <c r="C123" s="17"/>
      <c r="D123" s="10"/>
      <c r="E123" s="34"/>
    </row>
    <row r="124" spans="1:5" ht="13.5" thickTop="1" x14ac:dyDescent="0.2">
      <c r="A124" s="571" t="s">
        <v>3</v>
      </c>
      <c r="B124" s="572">
        <f>SUM(B120:B123)</f>
        <v>3792128.6999999997</v>
      </c>
      <c r="C124" s="2"/>
      <c r="D124" s="2"/>
    </row>
    <row r="125" spans="1:5" ht="66" customHeight="1" x14ac:dyDescent="0.2">
      <c r="B125" s="8"/>
      <c r="C125" s="2"/>
      <c r="D125" s="2"/>
    </row>
    <row r="126" spans="1:5" x14ac:dyDescent="0.2">
      <c r="A126" s="1" t="s">
        <v>4</v>
      </c>
      <c r="C126" s="2"/>
      <c r="D126" s="2"/>
    </row>
    <row r="127" spans="1:5" x14ac:dyDescent="0.2">
      <c r="A127" s="239" t="s">
        <v>5</v>
      </c>
      <c r="B127" s="576" t="e">
        <f>+B118+B124</f>
        <v>#VALUE!</v>
      </c>
      <c r="C127" s="2"/>
      <c r="D127" s="2"/>
    </row>
    <row r="128" spans="1:5" x14ac:dyDescent="0.2">
      <c r="A128" s="315" t="s">
        <v>6</v>
      </c>
      <c r="B128" s="569">
        <f>B115+B122</f>
        <v>60096183.25</v>
      </c>
      <c r="C128" s="2"/>
      <c r="D128" s="2"/>
    </row>
    <row r="129" spans="1:5" x14ac:dyDescent="0.2">
      <c r="A129" s="571" t="s">
        <v>7</v>
      </c>
      <c r="B129" s="572" t="e">
        <f>+B127-B128</f>
        <v>#VALUE!</v>
      </c>
      <c r="C129" s="2"/>
      <c r="D129" s="2"/>
      <c r="E129" s="18"/>
    </row>
    <row r="130" spans="1:5" x14ac:dyDescent="0.2">
      <c r="B130" s="2"/>
      <c r="C130" s="2"/>
      <c r="D130" s="6"/>
    </row>
    <row r="131" spans="1:5" x14ac:dyDescent="0.2">
      <c r="A131" s="577" t="s">
        <v>8</v>
      </c>
      <c r="B131" s="578" t="e">
        <f>+B129</f>
        <v>#VALUE!</v>
      </c>
      <c r="C131" s="2"/>
      <c r="D131" s="6"/>
    </row>
    <row r="132" spans="1:5" x14ac:dyDescent="0.2">
      <c r="C132" s="2"/>
      <c r="D132" s="10"/>
    </row>
    <row r="133" spans="1:5" x14ac:dyDescent="0.2">
      <c r="A133" s="587" t="s">
        <v>34</v>
      </c>
      <c r="B133" s="588">
        <f>212356.37*2</f>
        <v>424712.74</v>
      </c>
      <c r="C133" s="10"/>
      <c r="D133" s="3"/>
    </row>
    <row r="134" spans="1:5" x14ac:dyDescent="0.2">
      <c r="A134" s="505" t="s">
        <v>214</v>
      </c>
      <c r="B134" s="589">
        <v>0</v>
      </c>
      <c r="C134" s="10"/>
      <c r="D134" s="3"/>
    </row>
    <row r="135" spans="1:5" x14ac:dyDescent="0.2">
      <c r="A135" s="505" t="s">
        <v>9</v>
      </c>
      <c r="B135" s="589">
        <v>451683.19</v>
      </c>
      <c r="C135" s="579"/>
      <c r="D135" s="3"/>
    </row>
    <row r="136" spans="1:5" x14ac:dyDescent="0.2">
      <c r="A136" s="505" t="s">
        <v>10</v>
      </c>
      <c r="B136" s="589">
        <v>1580891.18</v>
      </c>
      <c r="C136" s="580"/>
      <c r="D136" s="2"/>
      <c r="E136" s="18"/>
    </row>
    <row r="137" spans="1:5" x14ac:dyDescent="0.2">
      <c r="A137" s="581" t="s">
        <v>32</v>
      </c>
      <c r="B137" s="563" t="e">
        <f>B131-B135-B136-B133-B134</f>
        <v>#VALUE!</v>
      </c>
      <c r="C137" s="2">
        <v>3533519.57</v>
      </c>
      <c r="D137" s="2" t="e">
        <f>+B137-C137</f>
        <v>#VALUE!</v>
      </c>
    </row>
    <row r="138" spans="1:5" x14ac:dyDescent="0.2">
      <c r="A138" s="1"/>
      <c r="B138" s="36"/>
      <c r="C138" s="2"/>
      <c r="D138" s="2"/>
    </row>
    <row r="139" spans="1:5" x14ac:dyDescent="0.2">
      <c r="A139" s="582" t="s">
        <v>134</v>
      </c>
      <c r="B139" s="583" t="s">
        <v>133</v>
      </c>
      <c r="C139" s="583" t="s">
        <v>177</v>
      </c>
      <c r="D139" s="2"/>
    </row>
    <row r="140" spans="1:5" x14ac:dyDescent="0.2">
      <c r="A140" s="584">
        <v>837795.93</v>
      </c>
      <c r="B140" s="585">
        <v>0.35</v>
      </c>
      <c r="C140" s="586">
        <v>3754827.7</v>
      </c>
      <c r="D140" s="2"/>
    </row>
    <row r="141" spans="1:5" x14ac:dyDescent="0.2">
      <c r="B141" s="2"/>
      <c r="C141" s="2"/>
    </row>
    <row r="142" spans="1:5" x14ac:dyDescent="0.2">
      <c r="A142" s="590" t="s">
        <v>33</v>
      </c>
      <c r="B142" s="591" t="e">
        <f>+A140+((B137-C140)*B140)</f>
        <v>#VALUE!</v>
      </c>
      <c r="C142" s="2"/>
    </row>
    <row r="143" spans="1:5" x14ac:dyDescent="0.2">
      <c r="B143" s="2"/>
      <c r="C143" s="2"/>
      <c r="D143" s="2"/>
    </row>
    <row r="144" spans="1:5" ht="13.5" thickBot="1" x14ac:dyDescent="0.25">
      <c r="A144" s="35" t="s">
        <v>11</v>
      </c>
      <c r="B144" s="37"/>
      <c r="C144" s="2"/>
      <c r="D144" s="2"/>
    </row>
    <row r="145" spans="1:7" x14ac:dyDescent="0.2">
      <c r="B145" s="2"/>
      <c r="C145" s="2"/>
      <c r="D145" s="2"/>
    </row>
    <row r="146" spans="1:7" x14ac:dyDescent="0.2">
      <c r="A146" t="s">
        <v>12</v>
      </c>
      <c r="B146" s="2" t="e">
        <f>+B142</f>
        <v>#VALUE!</v>
      </c>
      <c r="C146" s="2"/>
      <c r="D146" s="2"/>
    </row>
    <row r="147" spans="1:7" x14ac:dyDescent="0.2">
      <c r="A147" s="1" t="s">
        <v>102</v>
      </c>
      <c r="B147" s="10"/>
      <c r="C147" s="2"/>
      <c r="D147" s="2"/>
    </row>
    <row r="148" spans="1:7" x14ac:dyDescent="0.2">
      <c r="A148" s="1" t="s">
        <v>103</v>
      </c>
      <c r="B148" s="10"/>
      <c r="C148" s="2"/>
      <c r="D148" s="2"/>
    </row>
    <row r="149" spans="1:7" x14ac:dyDescent="0.2">
      <c r="A149" s="1" t="s">
        <v>300</v>
      </c>
      <c r="B149" s="20">
        <v>0</v>
      </c>
      <c r="C149" s="2"/>
      <c r="D149" s="2"/>
    </row>
    <row r="150" spans="1:7" x14ac:dyDescent="0.2">
      <c r="A150" s="1" t="s">
        <v>299</v>
      </c>
      <c r="B150" s="33">
        <v>4477014.82</v>
      </c>
      <c r="C150" s="6"/>
      <c r="D150" s="38"/>
    </row>
    <row r="151" spans="1:7" x14ac:dyDescent="0.2">
      <c r="B151" s="8"/>
      <c r="C151" s="6"/>
      <c r="D151" s="38"/>
    </row>
    <row r="152" spans="1:7" x14ac:dyDescent="0.2">
      <c r="A152" s="581" t="s">
        <v>303</v>
      </c>
      <c r="B152" s="563" t="e">
        <f>B146-B147-B148-B149-B150</f>
        <v>#VALUE!</v>
      </c>
      <c r="C152" s="6"/>
      <c r="D152" s="38"/>
    </row>
    <row r="153" spans="1:7" x14ac:dyDescent="0.2">
      <c r="B153" s="2"/>
      <c r="C153" s="2"/>
      <c r="D153" s="2"/>
    </row>
    <row r="154" spans="1:7" x14ac:dyDescent="0.2">
      <c r="A154" s="28" t="s">
        <v>277</v>
      </c>
      <c r="B154" s="2"/>
      <c r="C154" s="2"/>
      <c r="D154" s="2"/>
      <c r="F154" s="13"/>
      <c r="G154" s="13"/>
    </row>
    <row r="155" spans="1:7" x14ac:dyDescent="0.2">
      <c r="A155" s="4"/>
      <c r="B155" s="2" t="e">
        <f>B142</f>
        <v>#VALUE!</v>
      </c>
      <c r="D155" s="38"/>
      <c r="E155" s="13"/>
      <c r="F155" s="13"/>
      <c r="G155" s="13"/>
    </row>
    <row r="156" spans="1:7" x14ac:dyDescent="0.2">
      <c r="A156" s="581" t="s">
        <v>29</v>
      </c>
      <c r="B156" s="563" t="e">
        <f>B155/5</f>
        <v>#VALUE!</v>
      </c>
      <c r="D156" s="268"/>
      <c r="E156" s="13"/>
      <c r="F156" s="13"/>
      <c r="G156" s="13"/>
    </row>
    <row r="157" spans="1:7" x14ac:dyDescent="0.2">
      <c r="D157" s="268"/>
      <c r="E157" s="13"/>
    </row>
    <row r="158" spans="1:7" x14ac:dyDescent="0.2">
      <c r="B158" s="8"/>
      <c r="C158" s="2"/>
      <c r="D158" s="2"/>
    </row>
    <row r="159" spans="1:7" ht="13.5" thickBot="1" x14ac:dyDescent="0.25">
      <c r="A159" s="35" t="s">
        <v>13</v>
      </c>
      <c r="G159" s="42" t="s">
        <v>166</v>
      </c>
    </row>
    <row r="160" spans="1:7" x14ac:dyDescent="0.2">
      <c r="B160" s="605" t="s">
        <v>14</v>
      </c>
      <c r="C160" s="605"/>
      <c r="D160" s="62" t="s">
        <v>15</v>
      </c>
      <c r="E160" s="39"/>
      <c r="G160" s="42">
        <v>83.25</v>
      </c>
    </row>
    <row r="161" spans="1:8" x14ac:dyDescent="0.2">
      <c r="B161" s="112" t="s">
        <v>16</v>
      </c>
      <c r="C161" s="29" t="s">
        <v>17</v>
      </c>
      <c r="D161" s="63" t="s">
        <v>16</v>
      </c>
      <c r="E161" s="29" t="s">
        <v>17</v>
      </c>
    </row>
    <row r="162" spans="1:8" ht="15" customHeight="1" x14ac:dyDescent="0.2">
      <c r="B162" s="3"/>
      <c r="D162" s="64"/>
    </row>
    <row r="163" spans="1:8" ht="15" customHeight="1" x14ac:dyDescent="0.2">
      <c r="A163" s="148" t="s">
        <v>18</v>
      </c>
      <c r="B163" s="177">
        <v>1863527</v>
      </c>
      <c r="C163" s="148"/>
      <c r="D163" s="169">
        <f>+B287+B290+B293+B295+B298</f>
        <v>1863527</v>
      </c>
      <c r="E163" s="154"/>
      <c r="F163" s="4"/>
    </row>
    <row r="164" spans="1:8" ht="15" customHeight="1" x14ac:dyDescent="0.2">
      <c r="A164" s="151" t="s">
        <v>209</v>
      </c>
      <c r="B164" s="177">
        <v>8062500</v>
      </c>
      <c r="C164" s="148"/>
      <c r="D164" s="185">
        <f>+B303</f>
        <v>8062500</v>
      </c>
      <c r="E164" s="11"/>
      <c r="F164" s="4" t="s">
        <v>314</v>
      </c>
    </row>
    <row r="165" spans="1:8" ht="15" customHeight="1" x14ac:dyDescent="0.2">
      <c r="A165" s="151" t="s">
        <v>279</v>
      </c>
      <c r="B165" s="177"/>
      <c r="C165" s="148"/>
      <c r="D165" s="185">
        <f>90000*347.5</f>
        <v>31275000</v>
      </c>
      <c r="E165" s="11"/>
    </row>
    <row r="166" spans="1:8" ht="15" customHeight="1" x14ac:dyDescent="0.2">
      <c r="A166" s="148" t="s">
        <v>19</v>
      </c>
      <c r="B166" s="177">
        <v>1000000</v>
      </c>
      <c r="C166" s="148"/>
      <c r="D166" s="169">
        <f>B201</f>
        <v>1500000</v>
      </c>
      <c r="E166" s="154"/>
      <c r="H166" s="18"/>
    </row>
    <row r="167" spans="1:8" ht="15" customHeight="1" x14ac:dyDescent="0.2">
      <c r="A167" s="151" t="s">
        <v>168</v>
      </c>
      <c r="B167" s="177">
        <v>380955.36</v>
      </c>
      <c r="C167" s="148"/>
      <c r="D167" s="169" t="str">
        <f>D223</f>
        <v/>
      </c>
      <c r="E167" s="154"/>
      <c r="F167" s="154" t="s">
        <v>276</v>
      </c>
      <c r="G167" s="148" t="s">
        <v>162</v>
      </c>
    </row>
    <row r="168" spans="1:8" ht="15" customHeight="1" x14ac:dyDescent="0.2">
      <c r="A168" s="151" t="s">
        <v>275</v>
      </c>
      <c r="B168" s="177">
        <v>8527</v>
      </c>
      <c r="C168" s="148"/>
      <c r="D168">
        <v>0</v>
      </c>
      <c r="E168" s="154"/>
      <c r="F168" s="154" t="s">
        <v>136</v>
      </c>
      <c r="G168" s="148" t="s">
        <v>162</v>
      </c>
    </row>
    <row r="169" spans="1:8" ht="15" customHeight="1" x14ac:dyDescent="0.2">
      <c r="A169" s="151" t="s">
        <v>135</v>
      </c>
      <c r="B169" s="177">
        <v>0</v>
      </c>
      <c r="C169" s="148"/>
      <c r="D169" s="169">
        <v>0</v>
      </c>
      <c r="E169" s="154"/>
      <c r="F169" s="154" t="s">
        <v>92</v>
      </c>
      <c r="G169" s="148"/>
    </row>
    <row r="170" spans="1:8" ht="15" customHeight="1" x14ac:dyDescent="0.2">
      <c r="A170" s="151" t="s">
        <v>137</v>
      </c>
      <c r="B170" s="177">
        <v>4770</v>
      </c>
      <c r="C170" s="148"/>
      <c r="D170">
        <v>601067</v>
      </c>
      <c r="E170" s="154"/>
      <c r="F170" s="154" t="s">
        <v>138</v>
      </c>
      <c r="G170" s="148"/>
    </row>
    <row r="171" spans="1:8" ht="15" customHeight="1" x14ac:dyDescent="0.2">
      <c r="A171" s="151" t="s">
        <v>137</v>
      </c>
      <c r="B171" s="177">
        <v>1423</v>
      </c>
      <c r="C171" s="148"/>
      <c r="D171">
        <v>84271</v>
      </c>
      <c r="E171" s="154"/>
      <c r="F171" s="154" t="s">
        <v>139</v>
      </c>
      <c r="G171" s="148"/>
    </row>
    <row r="172" spans="1:8" ht="15" customHeight="1" x14ac:dyDescent="0.2">
      <c r="A172" s="151" t="s">
        <v>137</v>
      </c>
      <c r="B172" s="177">
        <v>324</v>
      </c>
      <c r="C172" s="148"/>
      <c r="D172">
        <v>292</v>
      </c>
      <c r="E172" s="154"/>
      <c r="F172" s="154" t="s">
        <v>141</v>
      </c>
      <c r="G172" s="148" t="s">
        <v>162</v>
      </c>
    </row>
    <row r="173" spans="1:8" ht="15" customHeight="1" x14ac:dyDescent="0.2">
      <c r="A173" s="151" t="s">
        <v>140</v>
      </c>
      <c r="B173" s="177">
        <v>0</v>
      </c>
      <c r="C173" s="148"/>
      <c r="D173">
        <v>0</v>
      </c>
      <c r="E173" s="154"/>
      <c r="F173" s="154" t="s">
        <v>55</v>
      </c>
      <c r="G173" s="148"/>
    </row>
    <row r="174" spans="1:8" ht="15" customHeight="1" x14ac:dyDescent="0.2">
      <c r="A174" s="151" t="s">
        <v>137</v>
      </c>
      <c r="B174" s="177">
        <v>442972</v>
      </c>
      <c r="C174" s="148"/>
      <c r="D174">
        <v>1475954</v>
      </c>
      <c r="E174" s="154"/>
      <c r="F174" s="4" t="s">
        <v>278</v>
      </c>
      <c r="H174">
        <f>+D175/G160</f>
        <v>0</v>
      </c>
    </row>
    <row r="175" spans="1:8" ht="15" customHeight="1" x14ac:dyDescent="0.2">
      <c r="A175" s="151" t="s">
        <v>165</v>
      </c>
      <c r="B175" s="177">
        <v>16909412.800000001</v>
      </c>
      <c r="C175" s="148"/>
      <c r="D175">
        <v>0</v>
      </c>
      <c r="E175" s="10"/>
    </row>
    <row r="176" spans="1:8" ht="15" customHeight="1" x14ac:dyDescent="0.2">
      <c r="A176" s="151" t="s">
        <v>210</v>
      </c>
      <c r="B176" s="177"/>
      <c r="C176" s="178">
        <v>261046.55</v>
      </c>
      <c r="D176" s="11"/>
      <c r="E176" s="11">
        <v>0</v>
      </c>
      <c r="F176" s="68">
        <f>+D177-E177</f>
        <v>2987102.5199999996</v>
      </c>
    </row>
    <row r="177" spans="1:8" ht="15" customHeight="1" thickBot="1" x14ac:dyDescent="0.25">
      <c r="A177" s="181" t="s">
        <v>167</v>
      </c>
      <c r="B177" s="182">
        <v>10397119.279999999</v>
      </c>
      <c r="C177" s="183">
        <v>2268923.04</v>
      </c>
      <c r="D177" s="184">
        <f>B254</f>
        <v>17837102.52</v>
      </c>
      <c r="E177" s="184">
        <f>D254</f>
        <v>14850000</v>
      </c>
    </row>
    <row r="178" spans="1:8" ht="15" customHeight="1" thickTop="1" x14ac:dyDescent="0.2">
      <c r="A178" s="151" t="s">
        <v>207</v>
      </c>
      <c r="B178" s="149">
        <f>SUM(B162:B177)</f>
        <v>39071530.439999998</v>
      </c>
      <c r="C178" s="149">
        <f>SUM(C162:C177)</f>
        <v>2529969.59</v>
      </c>
      <c r="D178" s="2">
        <f>SUM(D163:D177)</f>
        <v>62699713.519999996</v>
      </c>
      <c r="E178" s="113">
        <f>SUM(E162:E177)</f>
        <v>14850000</v>
      </c>
      <c r="G178" s="42"/>
    </row>
    <row r="179" spans="1:8" ht="15" customHeight="1" x14ac:dyDescent="0.2">
      <c r="A179" s="151" t="s">
        <v>208</v>
      </c>
      <c r="B179" s="179"/>
      <c r="C179" s="180">
        <f>B178-C178</f>
        <v>36541560.849999994</v>
      </c>
      <c r="D179" s="2"/>
      <c r="E179" s="41">
        <f>D178-E178</f>
        <v>47849713.519999996</v>
      </c>
      <c r="F179" s="68"/>
    </row>
    <row r="180" spans="1:8" ht="15" customHeight="1" x14ac:dyDescent="0.2">
      <c r="B180" s="8"/>
      <c r="C180" s="8"/>
      <c r="D180" s="2"/>
      <c r="E180" s="18"/>
      <c r="F180" s="18"/>
    </row>
    <row r="181" spans="1:8" ht="15" customHeight="1" thickBot="1" x14ac:dyDescent="0.25">
      <c r="A181" s="35" t="s">
        <v>20</v>
      </c>
      <c r="B181" s="39" t="s">
        <v>21</v>
      </c>
      <c r="C181" s="39" t="s">
        <v>22</v>
      </c>
      <c r="D181" s="2"/>
      <c r="E181" s="68"/>
      <c r="F181" s="68"/>
    </row>
    <row r="182" spans="1:8" ht="15" customHeight="1" x14ac:dyDescent="0.2">
      <c r="D182" s="2"/>
    </row>
    <row r="183" spans="1:8" ht="15" customHeight="1" x14ac:dyDescent="0.2">
      <c r="A183" t="s">
        <v>23</v>
      </c>
      <c r="B183" s="2" t="e">
        <f>+C194-B184-B187-B188</f>
        <v>#VALUE!</v>
      </c>
      <c r="C183" s="2"/>
      <c r="D183" s="2" t="e">
        <f>+B183/12</f>
        <v>#VALUE!</v>
      </c>
      <c r="E183" s="4" t="s">
        <v>53</v>
      </c>
    </row>
    <row r="184" spans="1:8" ht="15" customHeight="1" x14ac:dyDescent="0.2">
      <c r="A184" t="s">
        <v>24</v>
      </c>
      <c r="B184" s="2">
        <f>+E179</f>
        <v>47849713.519999996</v>
      </c>
      <c r="C184" s="2"/>
      <c r="D184" s="2"/>
    </row>
    <row r="185" spans="1:8" ht="15" customHeight="1" x14ac:dyDescent="0.2">
      <c r="A185" s="151" t="s">
        <v>175</v>
      </c>
      <c r="B185" s="149"/>
      <c r="C185" s="149" t="str">
        <f>C223</f>
        <v/>
      </c>
      <c r="D185" s="10"/>
      <c r="E185" s="68"/>
    </row>
    <row r="186" spans="1:8" ht="15" customHeight="1" x14ac:dyDescent="0.2">
      <c r="A186" s="151" t="s">
        <v>176</v>
      </c>
      <c r="B186" s="149"/>
      <c r="C186" s="149">
        <f>C243</f>
        <v>276009.99</v>
      </c>
      <c r="D186" s="10"/>
    </row>
    <row r="187" spans="1:8" ht="15" customHeight="1" x14ac:dyDescent="0.2">
      <c r="A187" s="151" t="s">
        <v>307</v>
      </c>
      <c r="B187" s="149"/>
      <c r="C187" s="149">
        <f>24894+48493</f>
        <v>73387</v>
      </c>
      <c r="D187" s="10"/>
    </row>
    <row r="188" spans="1:8" ht="15" customHeight="1" x14ac:dyDescent="0.2">
      <c r="A188" s="151" t="s">
        <v>304</v>
      </c>
      <c r="B188" s="273">
        <v>0</v>
      </c>
      <c r="C188" s="152" t="e">
        <f>-(B116+B117)</f>
        <v>#VALUE!</v>
      </c>
      <c r="D188" s="10" t="s">
        <v>309</v>
      </c>
    </row>
    <row r="189" spans="1:8" ht="15" customHeight="1" x14ac:dyDescent="0.2">
      <c r="A189" s="151" t="s">
        <v>211</v>
      </c>
      <c r="B189" s="152"/>
      <c r="C189" s="272">
        <f>D165</f>
        <v>31275000</v>
      </c>
      <c r="D189" s="10"/>
    </row>
    <row r="190" spans="1:8" ht="15" customHeight="1" x14ac:dyDescent="0.2">
      <c r="A190" s="4" t="s">
        <v>163</v>
      </c>
      <c r="B190" s="2"/>
      <c r="C190" s="2"/>
      <c r="D190" s="10"/>
      <c r="G190" s="18"/>
    </row>
    <row r="191" spans="1:8" ht="15" customHeight="1" x14ac:dyDescent="0.2">
      <c r="A191" t="s">
        <v>25</v>
      </c>
      <c r="B191" s="2"/>
      <c r="C191" s="3" t="e">
        <f>+B129</f>
        <v>#VALUE!</v>
      </c>
      <c r="D191" s="2"/>
      <c r="E191" s="68"/>
      <c r="H191" s="16"/>
    </row>
    <row r="192" spans="1:8" ht="15" customHeight="1" x14ac:dyDescent="0.2">
      <c r="A192" t="s">
        <v>26</v>
      </c>
      <c r="B192" s="8"/>
      <c r="C192" s="8">
        <f>+C179</f>
        <v>36541560.849999994</v>
      </c>
      <c r="D192" s="2"/>
      <c r="E192" s="1"/>
      <c r="H192" s="5"/>
    </row>
    <row r="193" spans="1:8" ht="15" customHeight="1" thickBot="1" x14ac:dyDescent="0.25">
      <c r="A193" s="4"/>
      <c r="B193" s="37"/>
      <c r="C193" s="43"/>
      <c r="D193" s="2"/>
      <c r="H193" s="5"/>
    </row>
    <row r="194" spans="1:8" ht="15" customHeight="1" x14ac:dyDescent="0.2">
      <c r="B194" s="2" t="e">
        <f>SUM(B183:B192)</f>
        <v>#VALUE!</v>
      </c>
      <c r="C194" s="2" t="e">
        <f>SUM(C185:C193)</f>
        <v>#VALUE!</v>
      </c>
      <c r="D194" s="2"/>
      <c r="E194" s="18"/>
      <c r="H194" s="5"/>
    </row>
    <row r="195" spans="1:8" ht="15" customHeight="1" x14ac:dyDescent="0.2">
      <c r="C195" s="18"/>
      <c r="D195" s="18"/>
      <c r="E195" s="18"/>
    </row>
    <row r="196" spans="1:8" ht="15" customHeight="1" x14ac:dyDescent="0.2">
      <c r="A196" s="1" t="s">
        <v>28</v>
      </c>
      <c r="B196" t="s">
        <v>35</v>
      </c>
    </row>
    <row r="197" spans="1:8" ht="15" customHeight="1" x14ac:dyDescent="0.2">
      <c r="A197" s="1"/>
      <c r="B197" s="20"/>
      <c r="C197" s="21"/>
    </row>
    <row r="198" spans="1:8" ht="15" customHeight="1" x14ac:dyDescent="0.2">
      <c r="A198" s="604" t="s">
        <v>164</v>
      </c>
      <c r="B198" s="604"/>
    </row>
    <row r="199" spans="1:8" ht="15" customHeight="1" x14ac:dyDescent="0.2">
      <c r="A199" s="119" t="s">
        <v>306</v>
      </c>
      <c r="B199" s="120">
        <v>500000</v>
      </c>
      <c r="C199" s="23"/>
    </row>
    <row r="200" spans="1:8" ht="15" customHeight="1" x14ac:dyDescent="0.2">
      <c r="A200" s="42" t="s">
        <v>153</v>
      </c>
      <c r="B200" s="120">
        <v>1000000</v>
      </c>
    </row>
    <row r="201" spans="1:8" x14ac:dyDescent="0.2">
      <c r="A201" s="42"/>
      <c r="B201" s="120">
        <f>SUM(B199:B200)</f>
        <v>1500000</v>
      </c>
    </row>
    <row r="202" spans="1:8" ht="13.5" thickBot="1" x14ac:dyDescent="0.25">
      <c r="A202" s="4"/>
      <c r="B202" s="12"/>
    </row>
    <row r="203" spans="1:8" ht="13.5" thickBot="1" x14ac:dyDescent="0.25">
      <c r="A203" s="699" t="s">
        <v>178</v>
      </c>
      <c r="B203" s="700"/>
      <c r="C203" s="701"/>
      <c r="D203" s="701"/>
      <c r="E203" s="121"/>
    </row>
    <row r="204" spans="1:8" x14ac:dyDescent="0.2">
      <c r="A204" s="587"/>
      <c r="B204" s="709" t="s">
        <v>35</v>
      </c>
      <c r="C204" s="702" t="s">
        <v>57</v>
      </c>
      <c r="D204" s="703" t="s">
        <v>54</v>
      </c>
    </row>
    <row r="205" spans="1:8" x14ac:dyDescent="0.2">
      <c r="A205" s="704" t="str">
        <f>Bienes!Y5</f>
        <v>Auto Peugeot 308</v>
      </c>
      <c r="B205" s="710">
        <f>Bienes!Z5</f>
        <v>100000</v>
      </c>
      <c r="C205" s="269">
        <f>Bienes!AA5</f>
        <v>260000</v>
      </c>
      <c r="D205" s="705">
        <f>Bienes!AB5</f>
        <v>0.01</v>
      </c>
      <c r="E205" s="691"/>
    </row>
    <row r="206" spans="1:8" x14ac:dyDescent="0.2">
      <c r="A206" s="704" t="str">
        <f>Bienes!Y6</f>
        <v>Urbano Edif 0</v>
      </c>
      <c r="B206" s="710">
        <f>Bienes!Z6</f>
        <v>100000</v>
      </c>
      <c r="C206" s="269">
        <f>Bienes!AA6</f>
        <v>8000</v>
      </c>
      <c r="D206" s="705">
        <f>Bienes!AB6</f>
        <v>92000</v>
      </c>
      <c r="E206" s="691"/>
    </row>
    <row r="207" spans="1:8" x14ac:dyDescent="0.2">
      <c r="A207" s="704" t="str">
        <f>Bienes!Y7</f>
        <v>Urbano Edif 0</v>
      </c>
      <c r="B207" s="710">
        <f>Bienes!Z7</f>
        <v>10</v>
      </c>
      <c r="C207" s="269">
        <f>Bienes!AA7</f>
        <v>9.99</v>
      </c>
      <c r="D207" s="705">
        <f>Bienes!AB7</f>
        <v>0.01</v>
      </c>
      <c r="E207" s="691"/>
    </row>
    <row r="208" spans="1:8" x14ac:dyDescent="0.2">
      <c r="A208" s="704" t="str">
        <f>Bienes!Y8</f>
        <v>Urbano Edif 0</v>
      </c>
      <c r="B208" s="710">
        <f>Bienes!Z8</f>
        <v>100000</v>
      </c>
      <c r="C208" s="269">
        <f>Bienes!AA8</f>
        <v>8000</v>
      </c>
      <c r="D208" s="705">
        <f>Bienes!AB8</f>
        <v>92000</v>
      </c>
      <c r="E208" s="691"/>
    </row>
    <row r="209" spans="1:9" x14ac:dyDescent="0.2">
      <c r="A209" s="704" t="str">
        <f>Bienes!Y9</f>
        <v/>
      </c>
      <c r="B209" s="710" t="str">
        <f>Bienes!Z9</f>
        <v/>
      </c>
      <c r="C209" s="269" t="str">
        <f>Bienes!AA9</f>
        <v/>
      </c>
      <c r="D209" s="705" t="str">
        <f>Bienes!AB9</f>
        <v/>
      </c>
      <c r="E209" s="691"/>
    </row>
    <row r="210" spans="1:9" x14ac:dyDescent="0.2">
      <c r="A210" s="704" t="str">
        <f>Bienes!Y10</f>
        <v/>
      </c>
      <c r="B210" s="710" t="str">
        <f>Bienes!Z10</f>
        <v/>
      </c>
      <c r="C210" s="269" t="str">
        <f>Bienes!AA10</f>
        <v/>
      </c>
      <c r="D210" s="705" t="str">
        <f>Bienes!AB10</f>
        <v/>
      </c>
      <c r="E210" s="691"/>
    </row>
    <row r="211" spans="1:9" x14ac:dyDescent="0.2">
      <c r="A211" s="704" t="str">
        <f>Bienes!Y11</f>
        <v/>
      </c>
      <c r="B211" s="710" t="str">
        <f>Bienes!Z11</f>
        <v/>
      </c>
      <c r="C211" s="269" t="str">
        <f>Bienes!AA11</f>
        <v/>
      </c>
      <c r="D211" s="705" t="str">
        <f>Bienes!AB11</f>
        <v/>
      </c>
      <c r="E211" s="691"/>
    </row>
    <row r="212" spans="1:9" x14ac:dyDescent="0.2">
      <c r="A212" s="704" t="str">
        <f>Bienes!Y12</f>
        <v/>
      </c>
      <c r="B212" s="710" t="str">
        <f>Bienes!Z12</f>
        <v/>
      </c>
      <c r="C212" s="269" t="str">
        <f>Bienes!AA12</f>
        <v/>
      </c>
      <c r="D212" s="705" t="str">
        <f>Bienes!AB12</f>
        <v/>
      </c>
      <c r="E212" s="691"/>
    </row>
    <row r="213" spans="1:9" x14ac:dyDescent="0.2">
      <c r="A213" s="704" t="str">
        <f>Bienes!Y13</f>
        <v/>
      </c>
      <c r="B213" s="710" t="str">
        <f>Bienes!Z13</f>
        <v/>
      </c>
      <c r="C213" s="269" t="str">
        <f>Bienes!AA13</f>
        <v/>
      </c>
      <c r="D213" s="705" t="str">
        <f>Bienes!AB13</f>
        <v/>
      </c>
      <c r="E213" s="692"/>
    </row>
    <row r="214" spans="1:9" ht="12" customHeight="1" x14ac:dyDescent="0.2">
      <c r="A214" s="704" t="str">
        <f>Bienes!Y14</f>
        <v/>
      </c>
      <c r="B214" s="710" t="str">
        <f>Bienes!Z14</f>
        <v/>
      </c>
      <c r="C214" s="269" t="str">
        <f>Bienes!AA14</f>
        <v/>
      </c>
      <c r="D214" s="705" t="str">
        <f>Bienes!AB14</f>
        <v/>
      </c>
      <c r="E214" s="692"/>
      <c r="F214" s="4" t="s">
        <v>148</v>
      </c>
      <c r="G214" s="4" t="s">
        <v>148</v>
      </c>
      <c r="H214">
        <v>4</v>
      </c>
      <c r="I214">
        <v>17100</v>
      </c>
    </row>
    <row r="215" spans="1:9" x14ac:dyDescent="0.2">
      <c r="A215" s="704" t="str">
        <f>Bienes!Y15</f>
        <v/>
      </c>
      <c r="B215" s="710" t="str">
        <f>Bienes!Z15</f>
        <v/>
      </c>
      <c r="C215" s="269" t="str">
        <f>Bienes!AA15</f>
        <v/>
      </c>
      <c r="D215" s="705" t="str">
        <f>Bienes!AB15</f>
        <v/>
      </c>
      <c r="E215" s="692"/>
      <c r="G215">
        <v>5</v>
      </c>
    </row>
    <row r="216" spans="1:9" x14ac:dyDescent="0.2">
      <c r="A216" s="704" t="str">
        <f>Bienes!Y16</f>
        <v/>
      </c>
      <c r="B216" s="710" t="str">
        <f>Bienes!Z16</f>
        <v/>
      </c>
      <c r="C216" s="269" t="str">
        <f>Bienes!AA16</f>
        <v/>
      </c>
      <c r="D216" s="705" t="str">
        <f>Bienes!AB16</f>
        <v/>
      </c>
      <c r="E216" s="692"/>
    </row>
    <row r="217" spans="1:9" x14ac:dyDescent="0.2">
      <c r="A217" s="704" t="str">
        <f>Bienes!Y17</f>
        <v/>
      </c>
      <c r="B217" s="710" t="str">
        <f>Bienes!Z17</f>
        <v/>
      </c>
      <c r="C217" s="269" t="str">
        <f>Bienes!AA17</f>
        <v/>
      </c>
      <c r="D217" s="705" t="str">
        <f>Bienes!AB17</f>
        <v/>
      </c>
      <c r="E217" s="692"/>
    </row>
    <row r="218" spans="1:9" x14ac:dyDescent="0.2">
      <c r="A218" s="704" t="str">
        <f>Bienes!Y18</f>
        <v/>
      </c>
      <c r="B218" s="710" t="str">
        <f>Bienes!Z18</f>
        <v/>
      </c>
      <c r="C218" s="269" t="str">
        <f>Bienes!AA18</f>
        <v/>
      </c>
      <c r="D218" s="705" t="str">
        <f>Bienes!AB18</f>
        <v/>
      </c>
      <c r="E218" s="692"/>
    </row>
    <row r="219" spans="1:9" x14ac:dyDescent="0.2">
      <c r="A219" s="704" t="str">
        <f>Bienes!Y19</f>
        <v/>
      </c>
      <c r="B219" s="710" t="str">
        <f>Bienes!Z19</f>
        <v/>
      </c>
      <c r="C219" s="269" t="str">
        <f>Bienes!AA19</f>
        <v/>
      </c>
      <c r="D219" s="705" t="str">
        <f>Bienes!AB19</f>
        <v/>
      </c>
      <c r="E219" s="692"/>
      <c r="F219" t="s">
        <v>280</v>
      </c>
    </row>
    <row r="220" spans="1:9" x14ac:dyDescent="0.2">
      <c r="A220" s="704" t="str">
        <f>Bienes!Y20</f>
        <v/>
      </c>
      <c r="B220" s="710" t="str">
        <f>Bienes!Z20</f>
        <v/>
      </c>
      <c r="C220" s="269" t="str">
        <f>Bienes!AA20</f>
        <v/>
      </c>
      <c r="D220" s="705" t="str">
        <f>Bienes!AB20</f>
        <v/>
      </c>
      <c r="E220" s="692"/>
    </row>
    <row r="221" spans="1:9" x14ac:dyDescent="0.2">
      <c r="A221" s="704" t="str">
        <f>Bienes!Y21</f>
        <v/>
      </c>
      <c r="B221" s="710" t="str">
        <f>Bienes!Z21</f>
        <v/>
      </c>
      <c r="C221" s="269" t="str">
        <f>Bienes!AA21</f>
        <v/>
      </c>
      <c r="D221" s="705" t="str">
        <f>Bienes!AB21</f>
        <v/>
      </c>
      <c r="E221" s="692"/>
    </row>
    <row r="222" spans="1:9" x14ac:dyDescent="0.2">
      <c r="A222" s="704" t="str">
        <f>Bienes!Y22</f>
        <v/>
      </c>
      <c r="B222" s="710" t="str">
        <f>Bienes!Z22</f>
        <v/>
      </c>
      <c r="C222" s="269" t="str">
        <f>Bienes!AA22</f>
        <v/>
      </c>
      <c r="D222" s="705" t="str">
        <f>Bienes!AB22</f>
        <v/>
      </c>
      <c r="E222" s="692"/>
    </row>
    <row r="223" spans="1:9" x14ac:dyDescent="0.2">
      <c r="A223" s="704" t="str">
        <f>Bienes!Y23</f>
        <v/>
      </c>
      <c r="B223" s="710" t="str">
        <f>Bienes!Z23</f>
        <v/>
      </c>
      <c r="C223" s="269" t="str">
        <f>Bienes!AA23</f>
        <v/>
      </c>
      <c r="D223" s="705" t="str">
        <f>Bienes!AB23</f>
        <v/>
      </c>
      <c r="E223" s="692"/>
    </row>
    <row r="224" spans="1:9" ht="13.5" thickBot="1" x14ac:dyDescent="0.25">
      <c r="A224" s="704" t="str">
        <f>Bienes!Y24</f>
        <v/>
      </c>
      <c r="B224" s="710" t="str">
        <f>Bienes!Z24</f>
        <v/>
      </c>
      <c r="C224" s="269" t="str">
        <f>Bienes!AA24</f>
        <v/>
      </c>
      <c r="D224" s="705" t="str">
        <f>Bienes!AB24</f>
        <v/>
      </c>
      <c r="E224" s="692"/>
    </row>
    <row r="225" spans="1:7" x14ac:dyDescent="0.2">
      <c r="A225" s="704" t="str">
        <f>Bienes!Y25</f>
        <v/>
      </c>
      <c r="B225" s="710" t="str">
        <f>Bienes!Z25</f>
        <v/>
      </c>
      <c r="C225" s="269" t="str">
        <f>Bienes!AA25</f>
        <v/>
      </c>
      <c r="D225" s="705" t="str">
        <f>Bienes!AB25</f>
        <v/>
      </c>
      <c r="E225" s="693"/>
    </row>
    <row r="226" spans="1:7" x14ac:dyDescent="0.2">
      <c r="A226" s="704" t="str">
        <f>Bienes!Y26</f>
        <v/>
      </c>
      <c r="B226" s="710" t="str">
        <f>Bienes!Z26</f>
        <v/>
      </c>
      <c r="C226" s="269" t="str">
        <f>Bienes!AA26</f>
        <v/>
      </c>
      <c r="D226" s="705" t="str">
        <f>Bienes!AB26</f>
        <v/>
      </c>
      <c r="E226" s="694"/>
    </row>
    <row r="227" spans="1:7" x14ac:dyDescent="0.2">
      <c r="A227" s="704" t="str">
        <f>Bienes!Y27</f>
        <v/>
      </c>
      <c r="B227" s="710" t="str">
        <f>Bienes!Z27</f>
        <v/>
      </c>
      <c r="C227" s="269" t="str">
        <f>Bienes!AA27</f>
        <v/>
      </c>
      <c r="D227" s="705" t="str">
        <f>Bienes!AB27</f>
        <v/>
      </c>
      <c r="E227" s="694"/>
      <c r="F227" s="4" t="s">
        <v>146</v>
      </c>
    </row>
    <row r="228" spans="1:7" x14ac:dyDescent="0.2">
      <c r="A228" s="704" t="str">
        <f>Bienes!Y28</f>
        <v/>
      </c>
      <c r="B228" s="710" t="str">
        <f>Bienes!Z28</f>
        <v/>
      </c>
      <c r="C228" s="269" t="str">
        <f>Bienes!AA28</f>
        <v/>
      </c>
      <c r="D228" s="705" t="str">
        <f>Bienes!AB28</f>
        <v/>
      </c>
      <c r="E228" s="694"/>
      <c r="G228" s="7"/>
    </row>
    <row r="229" spans="1:7" x14ac:dyDescent="0.2">
      <c r="A229" s="704" t="str">
        <f>Bienes!Y29</f>
        <v/>
      </c>
      <c r="B229" s="710" t="str">
        <f>Bienes!Z29</f>
        <v/>
      </c>
      <c r="C229" s="269" t="str">
        <f>Bienes!AA29</f>
        <v/>
      </c>
      <c r="D229" s="705" t="str">
        <f>Bienes!AB29</f>
        <v/>
      </c>
      <c r="E229" s="694"/>
      <c r="F229" t="s">
        <v>280</v>
      </c>
    </row>
    <row r="230" spans="1:7" x14ac:dyDescent="0.2">
      <c r="A230" s="704" t="str">
        <f>Bienes!Y30</f>
        <v/>
      </c>
      <c r="B230" s="710" t="str">
        <f>Bienes!Z30</f>
        <v/>
      </c>
      <c r="C230" s="269" t="str">
        <f>Bienes!AA30</f>
        <v/>
      </c>
      <c r="D230" s="705" t="str">
        <f>Bienes!AB30</f>
        <v/>
      </c>
      <c r="E230" s="694"/>
      <c r="G230" s="7"/>
    </row>
    <row r="231" spans="1:7" x14ac:dyDescent="0.2">
      <c r="A231" s="704" t="str">
        <f>Bienes!Y31</f>
        <v/>
      </c>
      <c r="B231" s="710" t="str">
        <f>Bienes!Z31</f>
        <v/>
      </c>
      <c r="C231" s="269" t="str">
        <f>Bienes!AA31</f>
        <v/>
      </c>
      <c r="D231" s="705" t="str">
        <f>Bienes!AB31</f>
        <v/>
      </c>
      <c r="E231" s="694"/>
      <c r="G231" s="7"/>
    </row>
    <row r="232" spans="1:7" x14ac:dyDescent="0.2">
      <c r="A232" s="704" t="str">
        <f>Bienes!Y32</f>
        <v/>
      </c>
      <c r="B232" s="710" t="str">
        <f>Bienes!Z32</f>
        <v/>
      </c>
      <c r="C232" s="269" t="str">
        <f>Bienes!AA32</f>
        <v/>
      </c>
      <c r="D232" s="705" t="str">
        <f>Bienes!AB32</f>
        <v/>
      </c>
      <c r="E232" s="694"/>
      <c r="G232" s="7"/>
    </row>
    <row r="233" spans="1:7" x14ac:dyDescent="0.2">
      <c r="A233" s="704" t="str">
        <f>Bienes!Y33</f>
        <v/>
      </c>
      <c r="B233" s="710" t="str">
        <f>Bienes!Z33</f>
        <v/>
      </c>
      <c r="C233" s="269" t="str">
        <f>Bienes!AA33</f>
        <v/>
      </c>
      <c r="D233" s="705" t="str">
        <f>Bienes!AB33</f>
        <v/>
      </c>
      <c r="E233" s="694"/>
      <c r="G233" s="7"/>
    </row>
    <row r="234" spans="1:7" x14ac:dyDescent="0.2">
      <c r="A234" s="704" t="str">
        <f>Bienes!Y34</f>
        <v/>
      </c>
      <c r="B234" s="710" t="str">
        <f>Bienes!Z34</f>
        <v/>
      </c>
      <c r="C234" s="269" t="str">
        <f>Bienes!AA34</f>
        <v/>
      </c>
      <c r="D234" s="705" t="str">
        <f>Bienes!AB34</f>
        <v/>
      </c>
      <c r="E234" s="694"/>
      <c r="G234" s="7"/>
    </row>
    <row r="235" spans="1:7" x14ac:dyDescent="0.2">
      <c r="A235" s="704" t="str">
        <f>Bienes!Y35</f>
        <v/>
      </c>
      <c r="B235" s="710" t="str">
        <f>Bienes!Z35</f>
        <v/>
      </c>
      <c r="C235" s="269" t="str">
        <f>Bienes!AA35</f>
        <v/>
      </c>
      <c r="D235" s="705" t="str">
        <f>Bienes!AB35</f>
        <v/>
      </c>
      <c r="E235" s="694"/>
    </row>
    <row r="236" spans="1:7" x14ac:dyDescent="0.2">
      <c r="A236" s="704" t="str">
        <f>Bienes!Y36</f>
        <v/>
      </c>
      <c r="B236" s="710" t="str">
        <f>Bienes!Z36</f>
        <v/>
      </c>
      <c r="C236" s="269" t="str">
        <f>Bienes!AA36</f>
        <v/>
      </c>
      <c r="D236" s="705" t="str">
        <f>Bienes!AB36</f>
        <v/>
      </c>
      <c r="E236" s="694"/>
    </row>
    <row r="237" spans="1:7" x14ac:dyDescent="0.2">
      <c r="A237" s="704" t="str">
        <f>Bienes!Y37</f>
        <v/>
      </c>
      <c r="B237" s="710" t="str">
        <f>Bienes!Z37</f>
        <v/>
      </c>
      <c r="C237" s="269" t="str">
        <f>Bienes!AA37</f>
        <v/>
      </c>
      <c r="D237" s="705" t="str">
        <f>Bienes!AB37</f>
        <v/>
      </c>
      <c r="E237" s="692"/>
    </row>
    <row r="238" spans="1:7" x14ac:dyDescent="0.2">
      <c r="A238" s="704" t="str">
        <f>Bienes!Y38</f>
        <v/>
      </c>
      <c r="B238" s="710" t="str">
        <f>Bienes!Z38</f>
        <v/>
      </c>
      <c r="C238" s="269" t="str">
        <f>Bienes!AA38</f>
        <v/>
      </c>
      <c r="D238" s="705" t="str">
        <f>Bienes!AB38</f>
        <v/>
      </c>
      <c r="E238" s="692"/>
    </row>
    <row r="239" spans="1:7" x14ac:dyDescent="0.2">
      <c r="A239" s="704" t="str">
        <f>Bienes!Y39</f>
        <v/>
      </c>
      <c r="B239" s="710" t="str">
        <f>Bienes!Z39</f>
        <v/>
      </c>
      <c r="C239" s="269" t="str">
        <f>Bienes!AA39</f>
        <v/>
      </c>
      <c r="D239" s="705" t="str">
        <f>Bienes!AB39</f>
        <v/>
      </c>
      <c r="E239" s="692"/>
    </row>
    <row r="240" spans="1:7" x14ac:dyDescent="0.2">
      <c r="A240" s="704" t="str">
        <f>Bienes!Y40</f>
        <v/>
      </c>
      <c r="B240" s="710" t="str">
        <f>Bienes!Z40</f>
        <v/>
      </c>
      <c r="C240" s="269" t="str">
        <f>Bienes!AA40</f>
        <v/>
      </c>
      <c r="D240" s="705" t="str">
        <f>Bienes!AB40</f>
        <v/>
      </c>
      <c r="E240" s="692"/>
    </row>
    <row r="241" spans="1:7" x14ac:dyDescent="0.2">
      <c r="A241" s="704" t="str">
        <f>Bienes!Y41</f>
        <v/>
      </c>
      <c r="B241" s="710" t="str">
        <f>Bienes!Z41</f>
        <v/>
      </c>
      <c r="C241" s="269" t="str">
        <f>Bienes!AA41</f>
        <v/>
      </c>
      <c r="D241" s="705" t="str">
        <f>Bienes!AB41</f>
        <v/>
      </c>
      <c r="E241" s="692"/>
    </row>
    <row r="242" spans="1:7" x14ac:dyDescent="0.2">
      <c r="A242" s="706" t="str">
        <f>Bienes!Y42</f>
        <v/>
      </c>
      <c r="B242" s="711" t="str">
        <f>Bienes!Z42</f>
        <v/>
      </c>
      <c r="C242" s="707" t="str">
        <f>Bienes!AA42</f>
        <v/>
      </c>
      <c r="D242" s="708" t="str">
        <f>Bienes!AB42</f>
        <v/>
      </c>
      <c r="E242" s="692"/>
    </row>
    <row r="243" spans="1:7" x14ac:dyDescent="0.2">
      <c r="A243" s="712" t="s">
        <v>594</v>
      </c>
      <c r="B243" s="698">
        <f>SUM(B205:B242)</f>
        <v>300010</v>
      </c>
      <c r="C243" s="698">
        <f t="shared" ref="C243:D243" si="1">SUM(C205:C242)</f>
        <v>276009.99</v>
      </c>
      <c r="D243" s="698">
        <f t="shared" si="1"/>
        <v>184000.02</v>
      </c>
    </row>
    <row r="244" spans="1:7" x14ac:dyDescent="0.2">
      <c r="A244" s="150"/>
      <c r="B244" s="30"/>
      <c r="C244" s="30"/>
    </row>
    <row r="245" spans="1:7" x14ac:dyDescent="0.2">
      <c r="B245" s="14"/>
    </row>
    <row r="246" spans="1:7" x14ac:dyDescent="0.2">
      <c r="B246" s="14"/>
    </row>
    <row r="247" spans="1:7" x14ac:dyDescent="0.2">
      <c r="A247" s="604" t="s">
        <v>281</v>
      </c>
      <c r="B247" s="604"/>
      <c r="C247" s="604"/>
      <c r="D247" s="604"/>
    </row>
    <row r="248" spans="1:7" x14ac:dyDescent="0.2">
      <c r="A248" s="42" t="s">
        <v>170</v>
      </c>
      <c r="B248" s="120"/>
      <c r="C248" s="42" t="s">
        <v>171</v>
      </c>
      <c r="D248" s="42"/>
      <c r="F248" s="4"/>
      <c r="G248" s="4"/>
    </row>
    <row r="249" spans="1:7" x14ac:dyDescent="0.2">
      <c r="A249" s="59" t="s">
        <v>169</v>
      </c>
      <c r="B249" s="128">
        <v>1230000</v>
      </c>
      <c r="C249" s="60" t="s">
        <v>173</v>
      </c>
      <c r="D249" s="128">
        <v>0</v>
      </c>
      <c r="E249" s="4"/>
      <c r="F249" s="68"/>
      <c r="G249" s="68"/>
    </row>
    <row r="250" spans="1:7" x14ac:dyDescent="0.2">
      <c r="A250" s="59" t="s">
        <v>143</v>
      </c>
      <c r="B250" s="128">
        <f>+B267</f>
        <v>16423102.5</v>
      </c>
      <c r="C250" s="59" t="s">
        <v>79</v>
      </c>
      <c r="D250" s="25">
        <v>11856000</v>
      </c>
      <c r="E250" s="69" t="s">
        <v>282</v>
      </c>
    </row>
    <row r="251" spans="1:7" x14ac:dyDescent="0.2">
      <c r="A251" s="59" t="s">
        <v>172</v>
      </c>
      <c r="B251" s="128">
        <f>D243</f>
        <v>184000.02</v>
      </c>
      <c r="C251" s="59" t="s">
        <v>91</v>
      </c>
      <c r="D251" s="128">
        <v>0</v>
      </c>
    </row>
    <row r="252" spans="1:7" x14ac:dyDescent="0.2">
      <c r="A252" s="59"/>
      <c r="B252" s="128"/>
      <c r="C252" s="59" t="s">
        <v>179</v>
      </c>
      <c r="D252" s="117">
        <v>2994000</v>
      </c>
      <c r="E252" s="4" t="s">
        <v>282</v>
      </c>
    </row>
    <row r="253" spans="1:7" x14ac:dyDescent="0.2">
      <c r="A253" s="59"/>
      <c r="B253" s="128"/>
      <c r="C253" s="59"/>
      <c r="D253" s="59"/>
    </row>
    <row r="254" spans="1:7" x14ac:dyDescent="0.2">
      <c r="A254" s="42" t="s">
        <v>174</v>
      </c>
      <c r="B254" s="120">
        <f>SUM(B249:B253)</f>
        <v>17837102.52</v>
      </c>
      <c r="C254" s="42" t="s">
        <v>144</v>
      </c>
      <c r="D254" s="129">
        <f>SUM(D249:D253)</f>
        <v>14850000</v>
      </c>
    </row>
    <row r="255" spans="1:7" ht="13.5" thickBot="1" x14ac:dyDescent="0.25">
      <c r="B255" s="14"/>
      <c r="F255" s="24"/>
      <c r="G255" s="24"/>
    </row>
    <row r="256" spans="1:7" x14ac:dyDescent="0.2">
      <c r="A256" s="48"/>
      <c r="B256" s="159"/>
      <c r="C256" s="49"/>
      <c r="D256" s="49"/>
      <c r="E256" s="160"/>
      <c r="F256" s="592"/>
      <c r="G256" s="592"/>
    </row>
    <row r="257" spans="1:8" x14ac:dyDescent="0.2">
      <c r="A257" s="125" t="s">
        <v>65</v>
      </c>
      <c r="B257" s="126"/>
      <c r="C257" s="32" t="s">
        <v>99</v>
      </c>
      <c r="D257" s="32" t="s">
        <v>100</v>
      </c>
      <c r="E257" s="161"/>
      <c r="F257" s="13"/>
      <c r="G257" s="4"/>
    </row>
    <row r="258" spans="1:8" x14ac:dyDescent="0.2">
      <c r="A258" s="125" t="s">
        <v>297</v>
      </c>
      <c r="B258" s="26"/>
      <c r="C258" s="162"/>
      <c r="D258" s="163"/>
      <c r="E258" s="164"/>
      <c r="F258" s="13"/>
    </row>
    <row r="259" spans="1:8" x14ac:dyDescent="0.2">
      <c r="A259" s="125" t="s">
        <v>298</v>
      </c>
      <c r="B259" s="26"/>
      <c r="C259" s="162"/>
      <c r="D259" s="163"/>
      <c r="E259" s="164"/>
      <c r="F259" s="13"/>
    </row>
    <row r="260" spans="1:8" x14ac:dyDescent="0.2">
      <c r="A260" s="81"/>
      <c r="B260" s="26"/>
      <c r="C260" s="162"/>
      <c r="D260" s="163"/>
      <c r="E260" s="164"/>
      <c r="F260" s="21"/>
    </row>
    <row r="261" spans="1:8" x14ac:dyDescent="0.2">
      <c r="A261" s="81"/>
      <c r="B261" s="26"/>
      <c r="C261" s="162"/>
      <c r="D261" s="163"/>
      <c r="E261" s="164"/>
      <c r="F261" s="44"/>
    </row>
    <row r="262" spans="1:8" ht="13.5" thickBot="1" x14ac:dyDescent="0.25">
      <c r="A262" s="81"/>
      <c r="B262" s="65"/>
      <c r="C262" s="66"/>
      <c r="D262" s="67"/>
      <c r="E262" s="161"/>
      <c r="F262" s="130"/>
    </row>
    <row r="263" spans="1:8" ht="13.5" thickTop="1" x14ac:dyDescent="0.2">
      <c r="A263" s="81"/>
      <c r="B263" s="26"/>
      <c r="C263" s="130"/>
      <c r="D263" s="44"/>
      <c r="E263" s="165"/>
    </row>
    <row r="264" spans="1:8" x14ac:dyDescent="0.2">
      <c r="A264" s="81"/>
      <c r="B264" s="166"/>
      <c r="C264" s="44"/>
      <c r="D264" s="26"/>
      <c r="E264" s="82"/>
      <c r="F264" s="131"/>
    </row>
    <row r="265" spans="1:8" x14ac:dyDescent="0.2">
      <c r="A265" s="81" t="s">
        <v>66</v>
      </c>
      <c r="B265" s="126">
        <v>4567586.25</v>
      </c>
      <c r="E265" s="82"/>
      <c r="F265" s="131"/>
    </row>
    <row r="266" spans="1:8" x14ac:dyDescent="0.2">
      <c r="A266" s="168" t="s">
        <v>80</v>
      </c>
      <c r="B266" s="157">
        <v>0</v>
      </c>
      <c r="C266" s="151" t="s">
        <v>296</v>
      </c>
      <c r="E266" s="82"/>
      <c r="F266" s="131"/>
    </row>
    <row r="267" spans="1:8" ht="13.5" thickBot="1" x14ac:dyDescent="0.25">
      <c r="A267" s="81" t="s">
        <v>67</v>
      </c>
      <c r="B267" s="132">
        <f>('valuacion ganado'!E34)*50%</f>
        <v>16423102.5</v>
      </c>
      <c r="C267" t="s">
        <v>215</v>
      </c>
      <c r="E267" s="82"/>
      <c r="F267" s="131"/>
    </row>
    <row r="268" spans="1:8" ht="14.25" thickTop="1" thickBot="1" x14ac:dyDescent="0.25">
      <c r="A268" s="83"/>
      <c r="B268" s="167">
        <f>B265+B266-B267</f>
        <v>-11855516.25</v>
      </c>
      <c r="C268" s="58" t="s">
        <v>216</v>
      </c>
      <c r="D268" s="58"/>
      <c r="E268" s="110"/>
      <c r="F268" s="131"/>
    </row>
    <row r="269" spans="1:8" x14ac:dyDescent="0.2">
      <c r="A269" s="4"/>
      <c r="B269" s="12"/>
      <c r="C269" t="s">
        <v>217</v>
      </c>
      <c r="F269" s="131"/>
    </row>
    <row r="270" spans="1:8" x14ac:dyDescent="0.2">
      <c r="A270" s="4"/>
      <c r="B270" s="12"/>
      <c r="F270" s="19"/>
      <c r="G270" s="4"/>
      <c r="H270" s="4"/>
    </row>
    <row r="271" spans="1:8" x14ac:dyDescent="0.2">
      <c r="A271" s="1"/>
      <c r="B271" s="22"/>
      <c r="C271" s="131"/>
      <c r="D271" s="131"/>
      <c r="E271" s="131"/>
      <c r="F271" s="19"/>
      <c r="G271" s="4"/>
      <c r="H271" s="4"/>
    </row>
    <row r="272" spans="1:8" x14ac:dyDescent="0.2">
      <c r="A272" s="4"/>
      <c r="B272" s="4"/>
      <c r="C272" s="131"/>
      <c r="D272" s="4"/>
      <c r="E272" s="4"/>
      <c r="G272" s="4"/>
      <c r="H272" s="4"/>
    </row>
    <row r="273" spans="1:8" x14ac:dyDescent="0.2">
      <c r="A273" s="4"/>
      <c r="B273" s="22"/>
      <c r="C273" s="131"/>
      <c r="D273" s="4"/>
      <c r="F273" s="271"/>
      <c r="G273" s="4"/>
      <c r="H273" s="4"/>
    </row>
    <row r="274" spans="1:8" x14ac:dyDescent="0.2">
      <c r="A274" s="4"/>
      <c r="B274" s="22"/>
      <c r="C274" s="131"/>
      <c r="D274" s="4"/>
    </row>
    <row r="275" spans="1:8" x14ac:dyDescent="0.2">
      <c r="A275" s="4"/>
      <c r="B275" s="133"/>
      <c r="F275" s="4"/>
    </row>
    <row r="276" spans="1:8" x14ac:dyDescent="0.2">
      <c r="A276" s="1"/>
      <c r="D276" s="4"/>
      <c r="E276" s="4"/>
      <c r="F276" s="122"/>
    </row>
    <row r="277" spans="1:8" x14ac:dyDescent="0.2">
      <c r="A277" s="1"/>
      <c r="B277" s="22"/>
      <c r="C277" s="4"/>
      <c r="D277" s="30"/>
      <c r="E277" s="68"/>
    </row>
    <row r="278" spans="1:8" x14ac:dyDescent="0.2">
      <c r="A278" s="1"/>
      <c r="B278" s="22"/>
      <c r="C278" s="4"/>
    </row>
    <row r="279" spans="1:8" x14ac:dyDescent="0.2">
      <c r="A279" s="1"/>
      <c r="B279" s="22"/>
      <c r="C279" s="4"/>
    </row>
    <row r="280" spans="1:8" x14ac:dyDescent="0.2">
      <c r="B280" s="71"/>
      <c r="C280" s="4"/>
    </row>
    <row r="281" spans="1:8" x14ac:dyDescent="0.2">
      <c r="A281" s="1"/>
      <c r="B281" s="71"/>
    </row>
    <row r="282" spans="1:8" x14ac:dyDescent="0.2">
      <c r="B282" s="71"/>
    </row>
    <row r="283" spans="1:8" x14ac:dyDescent="0.2">
      <c r="B283" s="71"/>
    </row>
    <row r="284" spans="1:8" ht="13.5" thickBot="1" x14ac:dyDescent="0.25"/>
    <row r="285" spans="1:8" x14ac:dyDescent="0.2">
      <c r="A285" s="123" t="s">
        <v>30</v>
      </c>
      <c r="B285" s="49"/>
      <c r="C285" s="49"/>
      <c r="D285" s="124" t="s">
        <v>152</v>
      </c>
    </row>
    <row r="286" spans="1:8" x14ac:dyDescent="0.2">
      <c r="A286" s="81" t="s">
        <v>60</v>
      </c>
      <c r="D286" s="82"/>
    </row>
    <row r="287" spans="1:8" x14ac:dyDescent="0.2">
      <c r="A287" s="168" t="s">
        <v>61</v>
      </c>
      <c r="B287" s="176">
        <v>1800000</v>
      </c>
      <c r="D287" s="82"/>
    </row>
    <row r="288" spans="1:8" x14ac:dyDescent="0.2">
      <c r="A288" s="50" t="s">
        <v>31</v>
      </c>
      <c r="B288" s="5"/>
      <c r="D288" s="82"/>
    </row>
    <row r="289" spans="1:4" x14ac:dyDescent="0.2">
      <c r="A289" s="81" t="s">
        <v>58</v>
      </c>
      <c r="B289" s="5"/>
      <c r="C289" t="s">
        <v>101</v>
      </c>
      <c r="D289" s="82"/>
    </row>
    <row r="290" spans="1:4" x14ac:dyDescent="0.2">
      <c r="A290" s="81" t="s">
        <v>31</v>
      </c>
      <c r="B290" s="171">
        <v>0</v>
      </c>
      <c r="D290" s="82"/>
    </row>
    <row r="291" spans="1:4" x14ac:dyDescent="0.2">
      <c r="A291" s="50"/>
      <c r="D291" s="82"/>
    </row>
    <row r="292" spans="1:4" x14ac:dyDescent="0.2">
      <c r="A292" s="81" t="s">
        <v>70</v>
      </c>
      <c r="D292" s="82"/>
    </row>
    <row r="293" spans="1:4" x14ac:dyDescent="0.2">
      <c r="A293" s="168" t="s">
        <v>31</v>
      </c>
      <c r="B293" s="148">
        <v>63527</v>
      </c>
      <c r="D293" s="82"/>
    </row>
    <row r="294" spans="1:4" x14ac:dyDescent="0.2">
      <c r="A294" s="50"/>
      <c r="D294" s="82"/>
    </row>
    <row r="295" spans="1:4" x14ac:dyDescent="0.2">
      <c r="A295" s="168" t="s">
        <v>93</v>
      </c>
      <c r="B295" s="152">
        <v>0</v>
      </c>
      <c r="C295" s="151" t="s">
        <v>96</v>
      </c>
      <c r="D295" s="82"/>
    </row>
    <row r="296" spans="1:4" x14ac:dyDescent="0.2">
      <c r="A296" s="81" t="s">
        <v>94</v>
      </c>
      <c r="D296" s="82"/>
    </row>
    <row r="297" spans="1:4" x14ac:dyDescent="0.2">
      <c r="A297" s="81" t="s">
        <v>95</v>
      </c>
      <c r="D297" s="82"/>
    </row>
    <row r="298" spans="1:4" x14ac:dyDescent="0.2">
      <c r="A298" s="168" t="s">
        <v>98</v>
      </c>
      <c r="B298" s="152">
        <v>0</v>
      </c>
      <c r="C298" s="151" t="s">
        <v>97</v>
      </c>
      <c r="D298" s="82"/>
    </row>
    <row r="299" spans="1:4" x14ac:dyDescent="0.2">
      <c r="A299" s="50"/>
      <c r="D299" s="82"/>
    </row>
    <row r="300" spans="1:4" x14ac:dyDescent="0.2">
      <c r="A300" s="168" t="s">
        <v>202</v>
      </c>
      <c r="B300" s="148"/>
      <c r="C300" s="151" t="s">
        <v>205</v>
      </c>
      <c r="D300" s="158" t="s">
        <v>206</v>
      </c>
    </row>
    <row r="301" spans="1:4" x14ac:dyDescent="0.2">
      <c r="A301" s="174" t="s">
        <v>203</v>
      </c>
      <c r="B301" s="172">
        <v>7762500</v>
      </c>
      <c r="C301" s="173">
        <v>44455</v>
      </c>
      <c r="D301" s="175">
        <v>1</v>
      </c>
    </row>
    <row r="302" spans="1:4" ht="13.5" thickBot="1" x14ac:dyDescent="0.25">
      <c r="A302" s="174" t="s">
        <v>204</v>
      </c>
      <c r="B302" s="170">
        <v>300000</v>
      </c>
      <c r="C302" s="173">
        <v>44314</v>
      </c>
      <c r="D302" s="175">
        <v>1</v>
      </c>
    </row>
    <row r="303" spans="1:4" x14ac:dyDescent="0.2">
      <c r="A303" s="50"/>
      <c r="B303" s="172">
        <f>SUM(B301:B302)</f>
        <v>8062500</v>
      </c>
      <c r="D303" s="82"/>
    </row>
    <row r="304" spans="1:4" ht="13.5" thickBot="1" x14ac:dyDescent="0.25">
      <c r="A304" s="51"/>
      <c r="B304" s="58"/>
      <c r="C304" s="58"/>
      <c r="D304" s="110"/>
    </row>
  </sheetData>
  <mergeCells count="10">
    <mergeCell ref="F256:G256"/>
    <mergeCell ref="A47:E47"/>
    <mergeCell ref="A63:B63"/>
    <mergeCell ref="A70:D70"/>
    <mergeCell ref="A21:E21"/>
    <mergeCell ref="A26:E26"/>
    <mergeCell ref="A120:E120"/>
    <mergeCell ref="A198:B198"/>
    <mergeCell ref="B160:C160"/>
    <mergeCell ref="A247:D247"/>
  </mergeCells>
  <phoneticPr fontId="4" type="noConversion"/>
  <printOptions horizontalCentered="1"/>
  <pageMargins left="0.39370078740157483" right="0.39370078740157483" top="0.78740157480314965" bottom="0.98425196850393704" header="0" footer="0"/>
  <pageSetup paperSize="9" scale="62" fitToWidth="2" fitToHeight="2" orientation="portrait" horizontalDpi="120" verticalDpi="14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154"/>
  <sheetViews>
    <sheetView workbookViewId="0">
      <selection activeCell="D11" sqref="D11"/>
    </sheetView>
  </sheetViews>
  <sheetFormatPr baseColWidth="10" defaultRowHeight="12.75" x14ac:dyDescent="0.2"/>
  <cols>
    <col min="1" max="1" width="14.85546875" style="333" customWidth="1"/>
    <col min="2" max="2" width="20.28515625" style="333" customWidth="1"/>
    <col min="3" max="3" width="19.28515625" style="333" customWidth="1"/>
    <col min="4" max="4" width="19.85546875" style="333" bestFit="1" customWidth="1"/>
    <col min="5" max="5" width="16.85546875" style="333" customWidth="1"/>
    <col min="6" max="6" width="19.5703125" style="333" customWidth="1"/>
    <col min="7" max="7" width="20" style="333" customWidth="1"/>
    <col min="8" max="8" width="16" style="333" customWidth="1"/>
    <col min="9" max="9" width="15.28515625" style="333" customWidth="1"/>
    <col min="10" max="10" width="19.85546875" style="333" customWidth="1"/>
    <col min="11" max="11" width="18.85546875" style="333" customWidth="1"/>
    <col min="12" max="16384" width="11.42578125" style="333"/>
  </cols>
  <sheetData>
    <row r="1" spans="1:18" ht="25.5" x14ac:dyDescent="0.35">
      <c r="A1" s="329" t="s">
        <v>357</v>
      </c>
      <c r="B1" s="330"/>
      <c r="C1" s="330"/>
      <c r="D1" s="330"/>
      <c r="E1" s="331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3" spans="1:18" ht="26.25" x14ac:dyDescent="0.4">
      <c r="A3" s="623" t="s">
        <v>358</v>
      </c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623"/>
      <c r="O3" s="623"/>
      <c r="P3" s="623"/>
      <c r="Q3" s="623"/>
    </row>
    <row r="5" spans="1:18" ht="14.25" x14ac:dyDescent="0.2">
      <c r="A5" s="334" t="s">
        <v>359</v>
      </c>
      <c r="B5" s="334"/>
      <c r="C5" s="334"/>
      <c r="D5" s="335"/>
    </row>
    <row r="7" spans="1:18" ht="18" x14ac:dyDescent="0.25">
      <c r="A7" s="336" t="s">
        <v>360</v>
      </c>
    </row>
    <row r="9" spans="1:18" ht="16.5" x14ac:dyDescent="0.3">
      <c r="A9" s="337"/>
      <c r="B9" s="624" t="s">
        <v>361</v>
      </c>
      <c r="C9" s="625"/>
      <c r="D9" s="625"/>
      <c r="E9" s="625"/>
      <c r="F9" s="626"/>
      <c r="G9" s="627" t="s">
        <v>249</v>
      </c>
      <c r="H9" s="628"/>
      <c r="I9" s="628"/>
      <c r="J9" s="629"/>
      <c r="K9" s="338" t="s">
        <v>362</v>
      </c>
    </row>
    <row r="10" spans="1:18" ht="15" x14ac:dyDescent="0.25">
      <c r="A10" s="339"/>
      <c r="B10" s="340" t="s">
        <v>578</v>
      </c>
      <c r="C10" s="341" t="s">
        <v>579</v>
      </c>
      <c r="D10" s="341" t="s">
        <v>580</v>
      </c>
      <c r="E10" s="341" t="s">
        <v>225</v>
      </c>
      <c r="F10" s="342" t="s">
        <v>117</v>
      </c>
      <c r="G10" s="343" t="s">
        <v>348</v>
      </c>
      <c r="H10" s="344" t="s">
        <v>476</v>
      </c>
      <c r="I10" s="344" t="s">
        <v>496</v>
      </c>
      <c r="J10" s="345" t="s">
        <v>117</v>
      </c>
      <c r="K10" s="346" t="s">
        <v>363</v>
      </c>
    </row>
    <row r="11" spans="1:18" ht="15" x14ac:dyDescent="0.25">
      <c r="A11" s="347">
        <v>45292</v>
      </c>
      <c r="B11" s="348">
        <v>1948827</v>
      </c>
      <c r="C11" s="349"/>
      <c r="D11" s="349">
        <v>8971540</v>
      </c>
      <c r="E11" s="349">
        <v>77953</v>
      </c>
      <c r="F11" s="350">
        <f>B11+C11+D11</f>
        <v>10920367</v>
      </c>
      <c r="G11" s="351">
        <v>1948827.01</v>
      </c>
      <c r="H11" s="352">
        <v>8971540</v>
      </c>
      <c r="I11" s="352"/>
      <c r="J11" s="353">
        <f>SUM(G11+H11+I11)</f>
        <v>10920367.01</v>
      </c>
      <c r="K11" s="354">
        <v>1948826.9899999998</v>
      </c>
    </row>
    <row r="12" spans="1:18" ht="15" x14ac:dyDescent="0.25">
      <c r="A12" s="347">
        <v>45323</v>
      </c>
      <c r="B12" s="355">
        <v>2404849</v>
      </c>
      <c r="C12" s="356">
        <v>6149147</v>
      </c>
      <c r="D12" s="356"/>
      <c r="E12" s="356">
        <v>403651.2</v>
      </c>
      <c r="F12" s="357">
        <f t="shared" ref="F12:F22" si="0">B12+C12+D12</f>
        <v>8553996</v>
      </c>
      <c r="G12" s="351">
        <v>2404849.13</v>
      </c>
      <c r="H12" s="352"/>
      <c r="I12" s="352">
        <v>6149147</v>
      </c>
      <c r="J12" s="353">
        <f t="shared" ref="J12:J22" si="1">SUM(G12+H12+I12)</f>
        <v>8553996.129999999</v>
      </c>
      <c r="K12" s="354">
        <v>8553996.0700000003</v>
      </c>
    </row>
    <row r="13" spans="1:18" ht="15" x14ac:dyDescent="0.25">
      <c r="A13" s="347">
        <v>45352</v>
      </c>
      <c r="B13" s="355">
        <v>4166967</v>
      </c>
      <c r="C13" s="356">
        <v>6324867</v>
      </c>
      <c r="D13" s="356"/>
      <c r="E13" s="356">
        <v>482921.9</v>
      </c>
      <c r="F13" s="357">
        <f t="shared" si="0"/>
        <v>10491834</v>
      </c>
      <c r="G13" s="351">
        <v>4166967.12</v>
      </c>
      <c r="H13" s="352"/>
      <c r="I13" s="352">
        <v>6324867</v>
      </c>
      <c r="J13" s="353">
        <f t="shared" si="1"/>
        <v>10491834.120000001</v>
      </c>
      <c r="K13" s="354">
        <v>10491834.079999998</v>
      </c>
    </row>
    <row r="14" spans="1:18" ht="15" x14ac:dyDescent="0.25">
      <c r="A14" s="347">
        <v>45383</v>
      </c>
      <c r="B14" s="355">
        <v>3167610</v>
      </c>
      <c r="C14" s="356">
        <v>6421601</v>
      </c>
      <c r="D14" s="356"/>
      <c r="E14" s="356">
        <v>447784.4</v>
      </c>
      <c r="F14" s="357">
        <f t="shared" si="0"/>
        <v>9589211</v>
      </c>
      <c r="G14" s="351">
        <v>3167609.79</v>
      </c>
      <c r="H14" s="352"/>
      <c r="I14" s="352">
        <v>6421601</v>
      </c>
      <c r="J14" s="353">
        <f t="shared" si="1"/>
        <v>9589210.7899999991</v>
      </c>
      <c r="K14" s="354">
        <v>9589210.7200000007</v>
      </c>
    </row>
    <row r="15" spans="1:18" ht="15" x14ac:dyDescent="0.25">
      <c r="A15" s="347">
        <v>45413</v>
      </c>
      <c r="B15" s="355">
        <v>3873435</v>
      </c>
      <c r="C15" s="356"/>
      <c r="D15" s="356">
        <v>34343801</v>
      </c>
      <c r="E15" s="356">
        <v>154937.4</v>
      </c>
      <c r="F15" s="357">
        <f t="shared" si="0"/>
        <v>38217236</v>
      </c>
      <c r="G15" s="351">
        <v>3873434.73</v>
      </c>
      <c r="H15" s="352">
        <v>34343801.380000003</v>
      </c>
      <c r="I15" s="352"/>
      <c r="J15" s="353">
        <f t="shared" si="1"/>
        <v>38217236.109999999</v>
      </c>
      <c r="K15" s="354">
        <v>3873434.7</v>
      </c>
    </row>
    <row r="16" spans="1:18" ht="15" x14ac:dyDescent="0.25">
      <c r="A16" s="347">
        <v>45444</v>
      </c>
      <c r="B16" s="355">
        <v>3381172</v>
      </c>
      <c r="C16" s="356"/>
      <c r="D16" s="356"/>
      <c r="E16" s="356">
        <v>135246.79999999999</v>
      </c>
      <c r="F16" s="357">
        <f t="shared" si="0"/>
        <v>3381172</v>
      </c>
      <c r="G16" s="351">
        <f>-1162544.05+4543715.68</f>
        <v>3381171.63</v>
      </c>
      <c r="H16" s="352"/>
      <c r="I16" s="352"/>
      <c r="J16" s="353">
        <f t="shared" si="1"/>
        <v>3381171.63</v>
      </c>
      <c r="K16" s="354">
        <v>3381171.6100000003</v>
      </c>
    </row>
    <row r="17" spans="1:11" ht="15" x14ac:dyDescent="0.25">
      <c r="A17" s="347">
        <v>45474</v>
      </c>
      <c r="B17" s="355">
        <v>5861697</v>
      </c>
      <c r="C17" s="356"/>
      <c r="D17" s="356">
        <v>6395370</v>
      </c>
      <c r="E17" s="356">
        <v>234467.8</v>
      </c>
      <c r="F17" s="357">
        <f t="shared" si="0"/>
        <v>12257067</v>
      </c>
      <c r="G17" s="351">
        <v>5861697.3899999997</v>
      </c>
      <c r="H17" s="352">
        <v>6395370</v>
      </c>
      <c r="I17" s="352"/>
      <c r="J17" s="353">
        <f t="shared" si="1"/>
        <v>12257067.390000001</v>
      </c>
      <c r="K17" s="354">
        <v>5861697.21</v>
      </c>
    </row>
    <row r="18" spans="1:11" ht="15" x14ac:dyDescent="0.25">
      <c r="A18" s="347">
        <v>45505</v>
      </c>
      <c r="B18" s="355">
        <v>6221655</v>
      </c>
      <c r="C18" s="356"/>
      <c r="D18" s="356"/>
      <c r="E18" s="356">
        <v>248866.2</v>
      </c>
      <c r="F18" s="357">
        <f t="shared" si="0"/>
        <v>6221655</v>
      </c>
      <c r="G18" s="351">
        <v>6221654.5099999998</v>
      </c>
      <c r="H18" s="352"/>
      <c r="I18" s="352"/>
      <c r="J18" s="353">
        <f t="shared" si="1"/>
        <v>6221654.5099999998</v>
      </c>
      <c r="K18" s="354">
        <v>6221654.1200000001</v>
      </c>
    </row>
    <row r="19" spans="1:11" ht="15" x14ac:dyDescent="0.25">
      <c r="A19" s="347">
        <v>45536</v>
      </c>
      <c r="B19" s="355">
        <v>4998960</v>
      </c>
      <c r="C19" s="356"/>
      <c r="D19" s="356"/>
      <c r="E19" s="356">
        <v>199958.39999999999</v>
      </c>
      <c r="F19" s="357">
        <f t="shared" si="0"/>
        <v>4998960</v>
      </c>
      <c r="G19" s="351">
        <f>-33058.07+5032019.16</f>
        <v>4998961.09</v>
      </c>
      <c r="H19" s="352"/>
      <c r="I19" s="352"/>
      <c r="J19" s="353">
        <f t="shared" si="1"/>
        <v>4998961.09</v>
      </c>
      <c r="K19" s="354">
        <v>4998960.8900000006</v>
      </c>
    </row>
    <row r="20" spans="1:11" ht="15" x14ac:dyDescent="0.25">
      <c r="A20" s="347">
        <v>45566</v>
      </c>
      <c r="B20" s="355">
        <v>5067214</v>
      </c>
      <c r="C20" s="356">
        <v>4622800</v>
      </c>
      <c r="D20" s="356">
        <v>1375699</v>
      </c>
      <c r="E20" s="356">
        <v>433828.5</v>
      </c>
      <c r="F20" s="357">
        <f t="shared" si="0"/>
        <v>11065713</v>
      </c>
      <c r="G20" s="351">
        <v>5067214.4000000004</v>
      </c>
      <c r="H20" s="352">
        <v>1375699</v>
      </c>
      <c r="I20" s="352">
        <v>4622800</v>
      </c>
      <c r="J20" s="353">
        <f t="shared" si="1"/>
        <v>11065713.4</v>
      </c>
      <c r="K20" s="354">
        <v>9690014.0100000035</v>
      </c>
    </row>
    <row r="21" spans="1:11" ht="15" x14ac:dyDescent="0.25">
      <c r="A21" s="347">
        <v>45597</v>
      </c>
      <c r="B21" s="355">
        <v>5793433</v>
      </c>
      <c r="C21" s="356"/>
      <c r="D21" s="356">
        <v>8869640</v>
      </c>
      <c r="E21" s="356">
        <v>231737.3</v>
      </c>
      <c r="F21" s="357">
        <f t="shared" si="0"/>
        <v>14663073</v>
      </c>
      <c r="G21" s="351">
        <v>5793432.8600000003</v>
      </c>
      <c r="H21" s="352">
        <v>8869640</v>
      </c>
      <c r="I21" s="352"/>
      <c r="J21" s="353">
        <f t="shared" si="1"/>
        <v>14663072.859999999</v>
      </c>
      <c r="K21" s="354">
        <v>5793432.7199999988</v>
      </c>
    </row>
    <row r="22" spans="1:11" ht="15" x14ac:dyDescent="0.25">
      <c r="A22" s="347">
        <v>45627</v>
      </c>
      <c r="B22" s="358">
        <v>3164974</v>
      </c>
      <c r="C22" s="359"/>
      <c r="D22" s="359">
        <v>14475202</v>
      </c>
      <c r="E22" s="359">
        <v>126598.9</v>
      </c>
      <c r="F22" s="360">
        <f t="shared" si="0"/>
        <v>17640176</v>
      </c>
      <c r="G22" s="351">
        <v>3164974.58</v>
      </c>
      <c r="H22" s="352">
        <v>14249904</v>
      </c>
      <c r="I22" s="352"/>
      <c r="J22" s="353">
        <f t="shared" si="1"/>
        <v>17414878.579999998</v>
      </c>
      <c r="K22" s="354">
        <v>3164974.46</v>
      </c>
    </row>
    <row r="23" spans="1:11" ht="15" x14ac:dyDescent="0.25">
      <c r="A23" s="361" t="s">
        <v>226</v>
      </c>
      <c r="B23" s="362">
        <f>SUM(B11:B22)</f>
        <v>50050793</v>
      </c>
      <c r="C23" s="363">
        <f>SUM(C11:C22)</f>
        <v>23518415</v>
      </c>
      <c r="D23" s="363">
        <f>SUM(D11:D22)</f>
        <v>74431252</v>
      </c>
      <c r="E23" s="363">
        <f>SUM(E11:E22)</f>
        <v>3177951.8</v>
      </c>
      <c r="F23" s="364">
        <f t="shared" ref="F23:K23" si="2">SUM(F11:F22)</f>
        <v>148000460</v>
      </c>
      <c r="G23" s="362">
        <f t="shared" si="2"/>
        <v>50050794.240000002</v>
      </c>
      <c r="H23" s="363">
        <f t="shared" si="2"/>
        <v>74205954.379999995</v>
      </c>
      <c r="I23" s="363">
        <f t="shared" si="2"/>
        <v>23518415</v>
      </c>
      <c r="J23" s="364">
        <f t="shared" si="2"/>
        <v>147775163.62</v>
      </c>
      <c r="K23" s="365">
        <f t="shared" si="2"/>
        <v>73569207.579999998</v>
      </c>
    </row>
    <row r="25" spans="1:11" x14ac:dyDescent="0.2">
      <c r="A25" s="366" t="s">
        <v>364</v>
      </c>
      <c r="B25" s="366"/>
    </row>
    <row r="26" spans="1:11" x14ac:dyDescent="0.2">
      <c r="A26" s="367" t="s">
        <v>361</v>
      </c>
      <c r="B26" s="368">
        <f>F23</f>
        <v>148000460</v>
      </c>
    </row>
    <row r="27" spans="1:11" x14ac:dyDescent="0.2">
      <c r="A27" s="369" t="s">
        <v>249</v>
      </c>
      <c r="B27" s="370">
        <f>J23</f>
        <v>147775163.62</v>
      </c>
    </row>
    <row r="28" spans="1:11" x14ac:dyDescent="0.2">
      <c r="A28" s="371" t="s">
        <v>362</v>
      </c>
      <c r="B28" s="372">
        <f>K23</f>
        <v>73569207.579999998</v>
      </c>
      <c r="C28" s="352" t="s">
        <v>478</v>
      </c>
    </row>
    <row r="30" spans="1:11" ht="18" x14ac:dyDescent="0.25">
      <c r="A30" s="336" t="s">
        <v>365</v>
      </c>
    </row>
    <row r="33" spans="1:10" ht="30" customHeight="1" x14ac:dyDescent="0.2">
      <c r="A33" s="373" t="s">
        <v>366</v>
      </c>
      <c r="B33" s="374" t="s">
        <v>367</v>
      </c>
      <c r="C33" s="375" t="s">
        <v>368</v>
      </c>
      <c r="E33" s="376" t="s">
        <v>369</v>
      </c>
      <c r="F33" s="377" t="s">
        <v>370</v>
      </c>
      <c r="G33" s="377" t="s">
        <v>371</v>
      </c>
      <c r="H33" s="618" t="s">
        <v>372</v>
      </c>
      <c r="I33" s="618"/>
      <c r="J33" s="378" t="s">
        <v>373</v>
      </c>
    </row>
    <row r="34" spans="1:10" ht="15" x14ac:dyDescent="0.25">
      <c r="A34" s="379">
        <v>45292</v>
      </c>
      <c r="B34" s="380">
        <v>1948826.9899999998</v>
      </c>
      <c r="C34" s="380">
        <v>19411.759999999998</v>
      </c>
      <c r="E34" s="381">
        <v>1</v>
      </c>
      <c r="F34" s="382" t="s">
        <v>453</v>
      </c>
      <c r="G34" s="383">
        <v>14</v>
      </c>
      <c r="H34" s="619">
        <v>16355240.800000001</v>
      </c>
      <c r="I34" s="619"/>
      <c r="J34" s="384">
        <v>0.22231095505840706</v>
      </c>
    </row>
    <row r="35" spans="1:10" ht="15" x14ac:dyDescent="0.25">
      <c r="A35" s="379">
        <v>45323</v>
      </c>
      <c r="B35" s="380">
        <v>8553996.0700000003</v>
      </c>
      <c r="C35" s="380">
        <v>30075.48</v>
      </c>
      <c r="E35" s="381">
        <v>2</v>
      </c>
      <c r="F35" s="382" t="s">
        <v>474</v>
      </c>
      <c r="G35" s="383">
        <v>14</v>
      </c>
      <c r="H35" s="619">
        <v>21854074.510000002</v>
      </c>
      <c r="I35" s="619"/>
      <c r="J35" s="384">
        <v>0.29709999999999998</v>
      </c>
    </row>
    <row r="36" spans="1:10" ht="15" x14ac:dyDescent="0.25">
      <c r="A36" s="379">
        <v>45352</v>
      </c>
      <c r="B36" s="380">
        <v>10491834.079999998</v>
      </c>
      <c r="C36" s="380">
        <v>27961.47</v>
      </c>
      <c r="E36" s="381">
        <v>3</v>
      </c>
      <c r="F36" s="382" t="s">
        <v>475</v>
      </c>
      <c r="G36" s="383">
        <v>14</v>
      </c>
      <c r="H36" s="619">
        <v>1521414.47</v>
      </c>
      <c r="I36" s="619"/>
      <c r="J36" s="384">
        <v>2.07E-2</v>
      </c>
    </row>
    <row r="37" spans="1:10" ht="15" x14ac:dyDescent="0.25">
      <c r="A37" s="379">
        <v>45383</v>
      </c>
      <c r="B37" s="380">
        <v>9589210.7200000007</v>
      </c>
      <c r="C37" s="380">
        <v>26135.119999999999</v>
      </c>
    </row>
    <row r="38" spans="1:10" ht="21" x14ac:dyDescent="0.35">
      <c r="A38" s="379">
        <v>45413</v>
      </c>
      <c r="B38" s="380">
        <v>3873434.7</v>
      </c>
      <c r="C38" s="380">
        <v>24902.25</v>
      </c>
      <c r="E38" s="385" t="s">
        <v>374</v>
      </c>
    </row>
    <row r="39" spans="1:10" ht="15.75" x14ac:dyDescent="0.25">
      <c r="A39" s="379">
        <v>45444</v>
      </c>
      <c r="B39" s="380">
        <v>3381171.6100000003</v>
      </c>
      <c r="C39" s="380">
        <v>12204.45</v>
      </c>
      <c r="E39" s="386" t="s">
        <v>375</v>
      </c>
      <c r="F39" s="386" t="s">
        <v>376</v>
      </c>
      <c r="G39" s="386" t="s">
        <v>377</v>
      </c>
    </row>
    <row r="40" spans="1:10" ht="15.75" x14ac:dyDescent="0.25">
      <c r="A40" s="379">
        <v>45474</v>
      </c>
      <c r="B40" s="380">
        <v>5861697.21</v>
      </c>
      <c r="C40" s="380">
        <v>87163.21</v>
      </c>
      <c r="E40" s="387" t="s">
        <v>454</v>
      </c>
      <c r="F40" s="388">
        <v>236</v>
      </c>
      <c r="G40" s="389">
        <v>41537619.089999989</v>
      </c>
      <c r="H40" s="352"/>
      <c r="I40" s="352"/>
    </row>
    <row r="41" spans="1:10" ht="15.75" x14ac:dyDescent="0.25">
      <c r="A41" s="379">
        <v>45505</v>
      </c>
      <c r="B41" s="380">
        <v>6221654.1200000001</v>
      </c>
      <c r="C41" s="380">
        <v>119670.31000000003</v>
      </c>
      <c r="E41" s="390" t="s">
        <v>455</v>
      </c>
      <c r="F41" s="388">
        <v>59</v>
      </c>
      <c r="G41" s="389">
        <v>1685636.9300000002</v>
      </c>
      <c r="H41" s="352"/>
      <c r="I41" s="352"/>
    </row>
    <row r="42" spans="1:10" ht="15.75" x14ac:dyDescent="0.25">
      <c r="A42" s="379">
        <v>45536</v>
      </c>
      <c r="B42" s="380">
        <v>4998960.8900000006</v>
      </c>
      <c r="C42" s="380">
        <v>131828.01000000004</v>
      </c>
      <c r="E42" s="390" t="s">
        <v>456</v>
      </c>
      <c r="F42" s="388">
        <v>76</v>
      </c>
      <c r="G42" s="389">
        <v>5741501</v>
      </c>
      <c r="H42" s="352"/>
      <c r="I42" s="352"/>
    </row>
    <row r="43" spans="1:10" ht="15.75" x14ac:dyDescent="0.25">
      <c r="A43" s="379">
        <v>45566</v>
      </c>
      <c r="B43" s="380">
        <v>9690014.0100000035</v>
      </c>
      <c r="C43" s="380">
        <v>197455.00000000006</v>
      </c>
      <c r="E43" s="390" t="s">
        <v>457</v>
      </c>
      <c r="F43" s="388">
        <v>8</v>
      </c>
      <c r="G43" s="389">
        <v>-413960.4</v>
      </c>
      <c r="H43" s="352"/>
      <c r="I43" s="352"/>
    </row>
    <row r="44" spans="1:10" ht="15" x14ac:dyDescent="0.25">
      <c r="A44" s="379">
        <v>45597</v>
      </c>
      <c r="B44" s="380">
        <v>5793432.7199999988</v>
      </c>
      <c r="C44" s="380">
        <v>128215.42999999996</v>
      </c>
      <c r="E44" s="391"/>
      <c r="F44" s="388">
        <v>0</v>
      </c>
      <c r="G44" s="389">
        <v>0</v>
      </c>
      <c r="H44" s="352"/>
      <c r="I44" s="352"/>
    </row>
    <row r="45" spans="1:10" ht="15" x14ac:dyDescent="0.25">
      <c r="A45" s="379">
        <v>45627</v>
      </c>
      <c r="B45" s="380">
        <v>3164974.46</v>
      </c>
      <c r="C45" s="380">
        <v>106615.96</v>
      </c>
      <c r="E45" s="391"/>
      <c r="F45" s="388">
        <v>0</v>
      </c>
      <c r="G45" s="389">
        <v>0</v>
      </c>
      <c r="H45" s="352"/>
      <c r="I45" s="352"/>
    </row>
    <row r="46" spans="1:10" ht="15" x14ac:dyDescent="0.25">
      <c r="A46" s="392" t="s">
        <v>86</v>
      </c>
      <c r="B46" s="393">
        <f>SUM(B34:B45)</f>
        <v>73569207.579999998</v>
      </c>
      <c r="C46" s="393">
        <f>SUM(C34:C45)</f>
        <v>911638.45</v>
      </c>
      <c r="E46" s="394"/>
      <c r="F46" s="395">
        <v>0</v>
      </c>
      <c r="G46" s="396">
        <v>0</v>
      </c>
      <c r="H46" s="352"/>
      <c r="I46" s="352"/>
    </row>
    <row r="47" spans="1:10" x14ac:dyDescent="0.2">
      <c r="F47" s="397">
        <f>SUM(F40:F46)</f>
        <v>379</v>
      </c>
      <c r="G47" s="462">
        <f>SUM(G40:G46)</f>
        <v>48550796.61999999</v>
      </c>
      <c r="H47" s="620"/>
      <c r="I47" s="620"/>
    </row>
    <row r="50" spans="1:18" ht="21" x14ac:dyDescent="0.35">
      <c r="A50" s="398"/>
      <c r="B50" s="399" t="s">
        <v>378</v>
      </c>
      <c r="C50" s="400"/>
      <c r="D50" s="400"/>
      <c r="E50" s="398"/>
      <c r="F50" s="398"/>
    </row>
    <row r="51" spans="1:18" ht="15.75" x14ac:dyDescent="0.25">
      <c r="A51" s="398"/>
      <c r="B51" s="401" t="s">
        <v>379</v>
      </c>
      <c r="C51" s="401" t="s">
        <v>380</v>
      </c>
      <c r="D51" s="401" t="s">
        <v>381</v>
      </c>
      <c r="E51" s="621" t="s">
        <v>382</v>
      </c>
      <c r="F51" s="622"/>
    </row>
    <row r="52" spans="1:18" ht="15.75" x14ac:dyDescent="0.25">
      <c r="A52" s="398" t="s">
        <v>383</v>
      </c>
      <c r="B52" s="402">
        <v>3015701.4100000015</v>
      </c>
      <c r="C52" s="403">
        <v>7758265.1499999994</v>
      </c>
      <c r="D52" s="403">
        <v>0</v>
      </c>
      <c r="E52" s="608">
        <v>10773966.560000001</v>
      </c>
      <c r="F52" s="609"/>
    </row>
    <row r="53" spans="1:18" ht="15.75" x14ac:dyDescent="0.25">
      <c r="A53" s="398" t="s">
        <v>384</v>
      </c>
      <c r="B53" s="402">
        <v>-33057.800000000003</v>
      </c>
      <c r="C53" s="403">
        <v>0</v>
      </c>
      <c r="D53" s="403">
        <v>0</v>
      </c>
      <c r="E53" s="608">
        <v>-33057.800000000003</v>
      </c>
      <c r="F53" s="609"/>
    </row>
    <row r="54" spans="1:18" ht="15.75" x14ac:dyDescent="0.25">
      <c r="A54" s="398" t="s">
        <v>385</v>
      </c>
      <c r="B54" s="402">
        <v>633297.33000000019</v>
      </c>
      <c r="C54" s="403">
        <v>285283.26</v>
      </c>
      <c r="D54" s="403">
        <v>0</v>
      </c>
      <c r="E54" s="608">
        <v>918580.5900000002</v>
      </c>
      <c r="F54" s="609"/>
    </row>
    <row r="55" spans="1:18" ht="15.75" x14ac:dyDescent="0.25">
      <c r="A55" s="398" t="s">
        <v>384</v>
      </c>
      <c r="B55" s="402">
        <v>-6942.14</v>
      </c>
      <c r="C55" s="403">
        <v>0</v>
      </c>
      <c r="D55" s="403">
        <v>0</v>
      </c>
      <c r="E55" s="608">
        <v>-6942.14</v>
      </c>
      <c r="F55" s="609"/>
    </row>
    <row r="56" spans="1:18" ht="15.75" x14ac:dyDescent="0.25">
      <c r="A56" s="398" t="s">
        <v>386</v>
      </c>
      <c r="B56" s="404">
        <v>0.21000001124116591</v>
      </c>
      <c r="C56" s="404">
        <v>3.677152745933155E-2</v>
      </c>
      <c r="D56" s="404"/>
      <c r="E56" s="610">
        <v>11652547.209999999</v>
      </c>
      <c r="F56" s="611"/>
    </row>
    <row r="60" spans="1:18" ht="26.25" x14ac:dyDescent="0.2">
      <c r="A60" s="612" t="s">
        <v>387</v>
      </c>
      <c r="B60" s="612"/>
      <c r="C60" s="612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</row>
    <row r="63" spans="1:18" ht="15" x14ac:dyDescent="0.2">
      <c r="A63" s="405" t="s">
        <v>388</v>
      </c>
    </row>
    <row r="64" spans="1:18" ht="18.75" x14ac:dyDescent="0.3">
      <c r="A64" s="406" t="s">
        <v>389</v>
      </c>
      <c r="B64" s="407"/>
      <c r="C64" s="408" t="s">
        <v>390</v>
      </c>
      <c r="E64" s="616" t="s">
        <v>391</v>
      </c>
      <c r="F64" s="617"/>
      <c r="G64" s="409" t="s">
        <v>392</v>
      </c>
      <c r="H64" s="410" t="s">
        <v>393</v>
      </c>
    </row>
    <row r="65" spans="1:8" ht="15.75" x14ac:dyDescent="0.25">
      <c r="A65" s="391" t="s">
        <v>394</v>
      </c>
      <c r="C65" s="411"/>
      <c r="E65" s="390" t="s">
        <v>458</v>
      </c>
      <c r="G65" s="352">
        <v>7173643.7100000009</v>
      </c>
      <c r="H65" s="412">
        <f>G65/$B$109</f>
        <v>0.14778267010985252</v>
      </c>
    </row>
    <row r="66" spans="1:8" ht="15.75" x14ac:dyDescent="0.25">
      <c r="A66" s="391" t="s">
        <v>395</v>
      </c>
      <c r="C66" s="411"/>
      <c r="E66" s="390" t="s">
        <v>354</v>
      </c>
      <c r="G66" s="352">
        <v>6367642.2100000009</v>
      </c>
      <c r="H66" s="412">
        <f t="shared" ref="H66:H89" si="3">G66/$B$109</f>
        <v>0.1311784089285363</v>
      </c>
    </row>
    <row r="67" spans="1:8" ht="15.75" x14ac:dyDescent="0.25">
      <c r="A67" s="391" t="s">
        <v>396</v>
      </c>
      <c r="C67" s="411"/>
      <c r="E67" s="390" t="s">
        <v>459</v>
      </c>
      <c r="G67" s="352">
        <v>5434586.0800000001</v>
      </c>
      <c r="H67" s="412">
        <f t="shared" si="3"/>
        <v>0.11195672301436846</v>
      </c>
    </row>
    <row r="68" spans="1:8" ht="15.75" x14ac:dyDescent="0.25">
      <c r="A68" s="391" t="s">
        <v>398</v>
      </c>
      <c r="C68" s="411"/>
      <c r="E68" s="390" t="s">
        <v>460</v>
      </c>
      <c r="G68" s="352">
        <v>4439350.5199999996</v>
      </c>
      <c r="H68" s="412">
        <f t="shared" si="3"/>
        <v>9.1454092218801047E-2</v>
      </c>
    </row>
    <row r="69" spans="1:8" ht="15.75" x14ac:dyDescent="0.25">
      <c r="A69" s="391" t="s">
        <v>156</v>
      </c>
      <c r="C69" s="411"/>
      <c r="E69" s="390" t="s">
        <v>461</v>
      </c>
      <c r="G69" s="352">
        <v>3425741.6999999997</v>
      </c>
      <c r="H69" s="412">
        <f t="shared" si="3"/>
        <v>7.0572957899614625E-2</v>
      </c>
    </row>
    <row r="70" spans="1:8" ht="15.75" x14ac:dyDescent="0.25">
      <c r="A70" s="391" t="s">
        <v>400</v>
      </c>
      <c r="C70" s="411"/>
      <c r="E70" s="390" t="s">
        <v>462</v>
      </c>
      <c r="G70" s="352">
        <v>3375363.1499999994</v>
      </c>
      <c r="H70" s="412">
        <f t="shared" si="3"/>
        <v>6.9535120374329615E-2</v>
      </c>
    </row>
    <row r="71" spans="1:8" ht="15.75" x14ac:dyDescent="0.25">
      <c r="A71" s="391" t="s">
        <v>402</v>
      </c>
      <c r="C71" s="411"/>
      <c r="E71" s="390" t="s">
        <v>463</v>
      </c>
      <c r="G71" s="352">
        <v>3310827.3300000005</v>
      </c>
      <c r="H71" s="412">
        <f t="shared" si="3"/>
        <v>6.8205632016267767E-2</v>
      </c>
    </row>
    <row r="72" spans="1:8" ht="15.75" x14ac:dyDescent="0.25">
      <c r="A72" s="391" t="s">
        <v>157</v>
      </c>
      <c r="C72" s="411"/>
      <c r="E72" s="390" t="s">
        <v>464</v>
      </c>
      <c r="G72" s="352">
        <v>2466042.25</v>
      </c>
      <c r="H72" s="412">
        <f t="shared" si="3"/>
        <v>5.0802398758762503E-2</v>
      </c>
    </row>
    <row r="73" spans="1:8" ht="15.75" x14ac:dyDescent="0.25">
      <c r="A73" s="391" t="s">
        <v>404</v>
      </c>
      <c r="C73" s="411"/>
      <c r="E73" s="390" t="s">
        <v>465</v>
      </c>
      <c r="G73" s="352">
        <v>2010736.3699999999</v>
      </c>
      <c r="H73" s="412">
        <f t="shared" si="3"/>
        <v>4.1422741588262167E-2</v>
      </c>
    </row>
    <row r="74" spans="1:8" ht="15.75" x14ac:dyDescent="0.25">
      <c r="A74" s="391" t="s">
        <v>406</v>
      </c>
      <c r="C74" s="411"/>
      <c r="E74" s="390" t="s">
        <v>397</v>
      </c>
      <c r="G74" s="352">
        <v>1701451.14</v>
      </c>
      <c r="H74" s="412">
        <f t="shared" si="3"/>
        <v>3.5051223993762086E-2</v>
      </c>
    </row>
    <row r="75" spans="1:8" ht="15.75" x14ac:dyDescent="0.25">
      <c r="A75" s="391" t="s">
        <v>408</v>
      </c>
      <c r="C75" s="411"/>
      <c r="E75" s="390" t="s">
        <v>466</v>
      </c>
      <c r="G75" s="352">
        <v>1534093.8800000001</v>
      </c>
      <c r="H75" s="412">
        <f t="shared" si="3"/>
        <v>3.1603533566846698E-2</v>
      </c>
    </row>
    <row r="76" spans="1:8" ht="15.75" x14ac:dyDescent="0.25">
      <c r="A76" s="391" t="s">
        <v>410</v>
      </c>
      <c r="C76" s="411"/>
      <c r="E76" s="390" t="s">
        <v>467</v>
      </c>
      <c r="G76" s="352">
        <v>1378843</v>
      </c>
      <c r="H76" s="412">
        <f t="shared" si="3"/>
        <v>2.8405244034942372E-2</v>
      </c>
    </row>
    <row r="77" spans="1:8" ht="15.75" x14ac:dyDescent="0.25">
      <c r="A77" s="391"/>
      <c r="C77" s="411"/>
      <c r="E77" s="390" t="s">
        <v>399</v>
      </c>
      <c r="G77" s="352">
        <v>963754.45999999985</v>
      </c>
      <c r="H77" s="412">
        <f t="shared" si="3"/>
        <v>1.9854095517810297E-2</v>
      </c>
    </row>
    <row r="78" spans="1:8" ht="15.75" x14ac:dyDescent="0.25">
      <c r="A78" s="391"/>
      <c r="C78" s="411"/>
      <c r="E78" s="390" t="s">
        <v>401</v>
      </c>
      <c r="G78" s="352">
        <v>557465.54999999993</v>
      </c>
      <c r="H78" s="412">
        <f t="shared" si="3"/>
        <v>1.1484226259859438E-2</v>
      </c>
    </row>
    <row r="79" spans="1:8" ht="15.75" x14ac:dyDescent="0.25">
      <c r="A79" s="391"/>
      <c r="C79" s="411"/>
      <c r="E79" s="390" t="s">
        <v>468</v>
      </c>
      <c r="G79" s="352">
        <v>412000</v>
      </c>
      <c r="H79" s="412">
        <f t="shared" si="3"/>
        <v>8.4875221779392267E-3</v>
      </c>
    </row>
    <row r="80" spans="1:8" ht="15.75" x14ac:dyDescent="0.25">
      <c r="A80" s="391"/>
      <c r="C80" s="411"/>
      <c r="E80" s="390" t="s">
        <v>403</v>
      </c>
      <c r="G80" s="352">
        <v>403861.98</v>
      </c>
      <c r="H80" s="412">
        <f t="shared" si="3"/>
        <v>8.3198726021273019E-3</v>
      </c>
    </row>
    <row r="81" spans="1:10" ht="15.75" x14ac:dyDescent="0.25">
      <c r="A81" s="391"/>
      <c r="C81" s="411"/>
      <c r="E81" s="390" t="s">
        <v>352</v>
      </c>
      <c r="G81" s="352">
        <v>403500</v>
      </c>
      <c r="H81" s="412">
        <f t="shared" si="3"/>
        <v>8.3124155310642673E-3</v>
      </c>
    </row>
    <row r="82" spans="1:10" ht="15.75" x14ac:dyDescent="0.25">
      <c r="A82" s="391"/>
      <c r="C82" s="411"/>
      <c r="E82" s="390" t="s">
        <v>405</v>
      </c>
      <c r="G82" s="352">
        <v>372878.93000000005</v>
      </c>
      <c r="H82" s="412">
        <f t="shared" si="3"/>
        <v>7.6815975438379825E-3</v>
      </c>
    </row>
    <row r="83" spans="1:10" ht="15.75" x14ac:dyDescent="0.25">
      <c r="A83" s="391"/>
      <c r="C83" s="411"/>
      <c r="E83" s="390" t="s">
        <v>407</v>
      </c>
      <c r="G83" s="352">
        <v>353987.53</v>
      </c>
      <c r="H83" s="412">
        <f t="shared" si="3"/>
        <v>7.2924199310410859E-3</v>
      </c>
    </row>
    <row r="84" spans="1:10" ht="15.75" x14ac:dyDescent="0.25">
      <c r="A84" s="391"/>
      <c r="C84" s="411"/>
      <c r="E84" s="390" t="s">
        <v>409</v>
      </c>
      <c r="G84" s="352">
        <v>341676.69</v>
      </c>
      <c r="H84" s="412">
        <f t="shared" si="3"/>
        <v>7.0388070001453059E-3</v>
      </c>
    </row>
    <row r="85" spans="1:10" ht="15.75" x14ac:dyDescent="0.25">
      <c r="A85" s="391"/>
      <c r="C85" s="411"/>
      <c r="E85" s="390" t="s">
        <v>411</v>
      </c>
      <c r="G85" s="352">
        <v>334253.59000000003</v>
      </c>
      <c r="H85" s="412">
        <f t="shared" si="3"/>
        <v>6.8858853353903045E-3</v>
      </c>
    </row>
    <row r="86" spans="1:10" ht="15.75" x14ac:dyDescent="0.25">
      <c r="A86" s="391"/>
      <c r="C86" s="411"/>
      <c r="E86" s="390" t="s">
        <v>469</v>
      </c>
      <c r="G86" s="352">
        <v>320049.15999999997</v>
      </c>
      <c r="H86" s="412">
        <f t="shared" si="3"/>
        <v>6.5932629697349997E-3</v>
      </c>
    </row>
    <row r="87" spans="1:10" ht="15.75" x14ac:dyDescent="0.25">
      <c r="A87" s="391"/>
      <c r="C87" s="411"/>
      <c r="E87" s="390" t="s">
        <v>412</v>
      </c>
      <c r="G87" s="352">
        <v>305182.68</v>
      </c>
      <c r="H87" s="412">
        <f t="shared" si="3"/>
        <v>6.287001856366335E-3</v>
      </c>
    </row>
    <row r="88" spans="1:10" ht="15.75" x14ac:dyDescent="0.25">
      <c r="A88" s="391"/>
      <c r="C88" s="411"/>
      <c r="E88" s="390" t="s">
        <v>470</v>
      </c>
      <c r="G88" s="352">
        <v>287574.7</v>
      </c>
      <c r="H88" s="412">
        <f t="shared" si="3"/>
        <v>5.9242636991849998E-3</v>
      </c>
    </row>
    <row r="89" spans="1:10" ht="15.75" x14ac:dyDescent="0.25">
      <c r="A89" s="391"/>
      <c r="C89" s="411"/>
      <c r="E89" s="390" t="s">
        <v>413</v>
      </c>
      <c r="G89" s="352">
        <v>284000</v>
      </c>
      <c r="H89" s="412">
        <f t="shared" si="3"/>
        <v>5.8506220838221851E-3</v>
      </c>
    </row>
    <row r="90" spans="1:10" ht="15.75" x14ac:dyDescent="0.25">
      <c r="A90" s="413" t="s">
        <v>117</v>
      </c>
      <c r="B90" s="414"/>
      <c r="C90" s="415">
        <f>SUM(C65:C89)</f>
        <v>0</v>
      </c>
      <c r="E90" s="413" t="s">
        <v>117</v>
      </c>
      <c r="F90" s="414"/>
      <c r="G90" s="415">
        <f>SUM(G65:G89)</f>
        <v>47958506.609999999</v>
      </c>
      <c r="H90" s="463">
        <f>SUM(H65:H89)</f>
        <v>0.98798273901266975</v>
      </c>
    </row>
    <row r="93" spans="1:10" ht="18" x14ac:dyDescent="0.25">
      <c r="A93" s="336" t="s">
        <v>365</v>
      </c>
    </row>
    <row r="96" spans="1:10" ht="30" customHeight="1" x14ac:dyDescent="0.2">
      <c r="A96" s="373" t="s">
        <v>366</v>
      </c>
      <c r="B96" s="374" t="s">
        <v>414</v>
      </c>
      <c r="C96" s="375" t="s">
        <v>415</v>
      </c>
      <c r="E96" s="376" t="s">
        <v>369</v>
      </c>
      <c r="F96" s="377" t="s">
        <v>370</v>
      </c>
      <c r="G96" s="377" t="s">
        <v>416</v>
      </c>
      <c r="H96" s="618" t="s">
        <v>372</v>
      </c>
      <c r="I96" s="618"/>
      <c r="J96" s="378" t="s">
        <v>373</v>
      </c>
    </row>
    <row r="97" spans="1:10" ht="15" x14ac:dyDescent="0.25">
      <c r="A97" s="379">
        <v>45292</v>
      </c>
      <c r="B97" s="380">
        <v>2229355.63</v>
      </c>
      <c r="C97" s="380">
        <v>306054.97000000003</v>
      </c>
      <c r="E97" s="381">
        <v>1</v>
      </c>
      <c r="F97" s="382" t="s">
        <v>471</v>
      </c>
      <c r="G97" s="383">
        <v>53</v>
      </c>
      <c r="H97" s="619">
        <v>4439350.5199999996</v>
      </c>
      <c r="I97" s="619"/>
      <c r="J97" s="384">
        <v>9.1454092218801047E-2</v>
      </c>
    </row>
    <row r="98" spans="1:10" ht="15" x14ac:dyDescent="0.25">
      <c r="A98" s="379">
        <v>45323</v>
      </c>
      <c r="B98" s="380">
        <v>2978303.18</v>
      </c>
      <c r="C98" s="380">
        <v>347305.179</v>
      </c>
      <c r="E98" s="381">
        <v>2</v>
      </c>
      <c r="F98" s="382" t="s">
        <v>472</v>
      </c>
      <c r="G98" s="383">
        <v>42</v>
      </c>
      <c r="H98" s="619">
        <v>320049.15999999997</v>
      </c>
      <c r="I98" s="619"/>
      <c r="J98" s="384">
        <v>6.5932629697349997E-3</v>
      </c>
    </row>
    <row r="99" spans="1:10" ht="15" x14ac:dyDescent="0.25">
      <c r="A99" s="379">
        <v>45352</v>
      </c>
      <c r="B99" s="380">
        <v>2393252.8000000003</v>
      </c>
      <c r="C99" s="380">
        <v>312357.59000000003</v>
      </c>
      <c r="E99" s="381">
        <v>3</v>
      </c>
      <c r="F99" s="382" t="s">
        <v>473</v>
      </c>
      <c r="G99" s="383">
        <v>35</v>
      </c>
      <c r="H99" s="619">
        <v>1703778.94</v>
      </c>
      <c r="I99" s="619"/>
      <c r="J99" s="384">
        <v>3.5099178494067441E-2</v>
      </c>
    </row>
    <row r="100" spans="1:10" ht="15" x14ac:dyDescent="0.25">
      <c r="A100" s="379">
        <v>45383</v>
      </c>
      <c r="B100" s="380">
        <v>3453625.05</v>
      </c>
      <c r="C100" s="380">
        <v>569612.37</v>
      </c>
    </row>
    <row r="101" spans="1:10" ht="21" x14ac:dyDescent="0.35">
      <c r="A101" s="379">
        <v>45413</v>
      </c>
      <c r="B101" s="380">
        <v>3876115.0300000007</v>
      </c>
      <c r="C101" s="380">
        <v>601339.59000000008</v>
      </c>
      <c r="E101" s="385" t="s">
        <v>417</v>
      </c>
    </row>
    <row r="102" spans="1:10" ht="15.75" x14ac:dyDescent="0.25">
      <c r="A102" s="379">
        <v>45444</v>
      </c>
      <c r="B102" s="380">
        <v>2745804.1999999997</v>
      </c>
      <c r="C102" s="380">
        <v>459934.21</v>
      </c>
      <c r="E102" s="386" t="s">
        <v>375</v>
      </c>
      <c r="F102" s="386" t="s">
        <v>376</v>
      </c>
      <c r="G102" s="386" t="s">
        <v>377</v>
      </c>
    </row>
    <row r="103" spans="1:10" ht="15.75" x14ac:dyDescent="0.25">
      <c r="A103" s="379">
        <v>45474</v>
      </c>
      <c r="B103" s="380">
        <v>4428032.870000001</v>
      </c>
      <c r="C103" s="380">
        <v>686561.66999999981</v>
      </c>
      <c r="E103" s="387" t="s">
        <v>454</v>
      </c>
      <c r="F103" s="388">
        <v>236</v>
      </c>
      <c r="G103" s="389">
        <v>41537619.089999989</v>
      </c>
      <c r="H103" s="352"/>
      <c r="I103" s="352"/>
    </row>
    <row r="104" spans="1:10" ht="15.75" x14ac:dyDescent="0.25">
      <c r="A104" s="379">
        <v>45505</v>
      </c>
      <c r="B104" s="380">
        <v>6650945.0900000008</v>
      </c>
      <c r="C104" s="380">
        <v>786042.87</v>
      </c>
      <c r="E104" s="390" t="s">
        <v>455</v>
      </c>
      <c r="F104" s="388">
        <v>59</v>
      </c>
      <c r="G104" s="389">
        <v>1685636.9300000002</v>
      </c>
      <c r="H104" s="352"/>
      <c r="I104" s="352"/>
    </row>
    <row r="105" spans="1:10" ht="15.75" x14ac:dyDescent="0.25">
      <c r="A105" s="379">
        <v>45536</v>
      </c>
      <c r="B105" s="380">
        <v>4854778.669999999</v>
      </c>
      <c r="C105" s="380">
        <v>834334.03999999992</v>
      </c>
      <c r="E105" s="390" t="s">
        <v>456</v>
      </c>
      <c r="F105" s="388">
        <v>76</v>
      </c>
      <c r="G105" s="389">
        <v>5741501</v>
      </c>
      <c r="H105" s="352"/>
      <c r="I105" s="352"/>
    </row>
    <row r="106" spans="1:10" ht="15.75" x14ac:dyDescent="0.25">
      <c r="A106" s="379">
        <v>45566</v>
      </c>
      <c r="B106" s="380">
        <v>5096100.700000002</v>
      </c>
      <c r="C106" s="380">
        <v>766199.29999999993</v>
      </c>
      <c r="E106" s="390" t="s">
        <v>457</v>
      </c>
      <c r="F106" s="388">
        <v>8</v>
      </c>
      <c r="G106" s="389">
        <v>-413960.4</v>
      </c>
      <c r="H106" s="352"/>
      <c r="I106" s="352"/>
    </row>
    <row r="107" spans="1:10" ht="15" x14ac:dyDescent="0.25">
      <c r="A107" s="379">
        <v>45597</v>
      </c>
      <c r="B107" s="380">
        <v>3969179.6500000004</v>
      </c>
      <c r="C107" s="380">
        <v>655384.56000000006</v>
      </c>
      <c r="E107" s="391"/>
      <c r="F107" s="388">
        <v>0</v>
      </c>
      <c r="G107" s="389">
        <v>0</v>
      </c>
      <c r="H107" s="352"/>
      <c r="I107" s="352"/>
    </row>
    <row r="108" spans="1:10" ht="15" x14ac:dyDescent="0.25">
      <c r="A108" s="379">
        <v>45627</v>
      </c>
      <c r="B108" s="380">
        <v>5866353.7799999993</v>
      </c>
      <c r="C108" s="380">
        <v>972910.69999999984</v>
      </c>
      <c r="E108" s="391"/>
      <c r="F108" s="388">
        <v>0</v>
      </c>
      <c r="G108" s="389">
        <v>0</v>
      </c>
      <c r="H108" s="352"/>
      <c r="I108" s="352"/>
    </row>
    <row r="109" spans="1:10" ht="15" x14ac:dyDescent="0.25">
      <c r="A109" s="392" t="s">
        <v>86</v>
      </c>
      <c r="B109" s="393">
        <f>SUM(B97:B108)</f>
        <v>48541846.650000006</v>
      </c>
      <c r="C109" s="393">
        <f>SUM(C97:C108)</f>
        <v>7298037.0489999996</v>
      </c>
      <c r="E109" s="394"/>
      <c r="F109" s="395">
        <v>0</v>
      </c>
      <c r="G109" s="396">
        <v>0</v>
      </c>
      <c r="H109" s="352"/>
      <c r="I109" s="352"/>
    </row>
    <row r="110" spans="1:10" x14ac:dyDescent="0.2">
      <c r="F110" s="397">
        <f>SUM(F103:F109)</f>
        <v>379</v>
      </c>
      <c r="G110" s="397">
        <f>SUM(G103:G109)</f>
        <v>48550796.61999999</v>
      </c>
      <c r="H110" s="620"/>
      <c r="I110" s="620"/>
    </row>
    <row r="113" spans="1:18" ht="21" x14ac:dyDescent="0.35">
      <c r="A113" s="398"/>
      <c r="B113" s="399" t="s">
        <v>418</v>
      </c>
      <c r="C113" s="400"/>
      <c r="D113" s="400"/>
      <c r="E113" s="398"/>
      <c r="F113" s="398"/>
    </row>
    <row r="114" spans="1:18" ht="15.75" x14ac:dyDescent="0.25">
      <c r="A114" s="398"/>
      <c r="B114" s="401" t="s">
        <v>379</v>
      </c>
      <c r="C114" s="401" t="s">
        <v>380</v>
      </c>
      <c r="D114" s="401" t="s">
        <v>381</v>
      </c>
      <c r="E114" s="621" t="s">
        <v>382</v>
      </c>
      <c r="F114" s="622"/>
    </row>
    <row r="115" spans="1:18" ht="15.75" x14ac:dyDescent="0.25">
      <c r="A115" s="334" t="s">
        <v>383</v>
      </c>
      <c r="B115" s="402">
        <v>29629118.629999995</v>
      </c>
      <c r="C115" s="403">
        <v>10318193.850000001</v>
      </c>
      <c r="D115" s="403">
        <v>179640.72</v>
      </c>
      <c r="E115" s="608">
        <v>40126953.199999996</v>
      </c>
      <c r="F115" s="609"/>
    </row>
    <row r="116" spans="1:18" ht="15.75" x14ac:dyDescent="0.25">
      <c r="A116" s="334" t="s">
        <v>419</v>
      </c>
      <c r="B116" s="402">
        <v>-413960.4</v>
      </c>
      <c r="C116" s="403">
        <v>0</v>
      </c>
      <c r="D116" s="403">
        <v>0</v>
      </c>
      <c r="E116" s="608">
        <v>-413960.4</v>
      </c>
      <c r="F116" s="609"/>
    </row>
    <row r="117" spans="1:18" ht="15.75" x14ac:dyDescent="0.25">
      <c r="A117" s="334" t="s">
        <v>368</v>
      </c>
      <c r="B117" s="402">
        <v>6207442.418999996</v>
      </c>
      <c r="C117" s="403">
        <v>1083411.48</v>
      </c>
      <c r="D117" s="403">
        <v>48502.99</v>
      </c>
      <c r="E117" s="608">
        <v>7339356.8889999958</v>
      </c>
      <c r="F117" s="609"/>
    </row>
    <row r="118" spans="1:18" ht="15.75" x14ac:dyDescent="0.25">
      <c r="A118" s="334" t="s">
        <v>419</v>
      </c>
      <c r="B118" s="402">
        <v>-86930.85</v>
      </c>
      <c r="C118" s="403">
        <v>0</v>
      </c>
      <c r="D118" s="403">
        <v>0</v>
      </c>
      <c r="E118" s="608">
        <v>-86930.85</v>
      </c>
      <c r="F118" s="609"/>
    </row>
    <row r="119" spans="1:18" ht="15.75" x14ac:dyDescent="0.25">
      <c r="A119" s="398" t="s">
        <v>386</v>
      </c>
      <c r="B119" s="404">
        <v>0.20950479481069859</v>
      </c>
      <c r="C119" s="404">
        <v>0.10500010910339699</v>
      </c>
      <c r="D119" s="404">
        <v>0.26999997550666682</v>
      </c>
      <c r="E119" s="610">
        <v>46965418.838999994</v>
      </c>
      <c r="F119" s="611"/>
    </row>
    <row r="124" spans="1:18" ht="26.25" x14ac:dyDescent="0.2">
      <c r="A124" s="612" t="s">
        <v>420</v>
      </c>
      <c r="B124" s="612"/>
      <c r="C124" s="612"/>
      <c r="D124" s="612"/>
      <c r="E124" s="612"/>
      <c r="F124" s="612"/>
      <c r="G124" s="612"/>
      <c r="H124" s="612"/>
      <c r="I124" s="612"/>
      <c r="J124" s="612"/>
      <c r="K124" s="612"/>
      <c r="L124" s="612"/>
      <c r="M124" s="612"/>
      <c r="N124" s="612"/>
      <c r="O124" s="612"/>
      <c r="P124" s="612"/>
      <c r="Q124" s="612"/>
      <c r="R124" s="612"/>
    </row>
    <row r="128" spans="1:18" ht="23.25" x14ac:dyDescent="0.35">
      <c r="B128" s="613" t="s">
        <v>421</v>
      </c>
      <c r="C128" s="614"/>
      <c r="E128" s="615" t="s">
        <v>239</v>
      </c>
      <c r="F128" s="615"/>
      <c r="G128" s="615"/>
      <c r="H128" s="615"/>
      <c r="I128" s="615"/>
      <c r="J128" s="615"/>
      <c r="K128" s="615"/>
    </row>
    <row r="129" spans="1:11" ht="15" x14ac:dyDescent="0.25">
      <c r="A129" s="373" t="s">
        <v>366</v>
      </c>
      <c r="B129" s="346" t="s">
        <v>422</v>
      </c>
      <c r="C129" s="346" t="s">
        <v>423</v>
      </c>
      <c r="E129" s="416" t="s">
        <v>477</v>
      </c>
      <c r="F129" s="417" t="s">
        <v>241</v>
      </c>
      <c r="G129" s="417"/>
      <c r="H129" s="417"/>
      <c r="I129" s="417"/>
      <c r="J129" s="417"/>
      <c r="K129" s="417"/>
    </row>
    <row r="130" spans="1:11" ht="15" x14ac:dyDescent="0.25">
      <c r="A130" s="379">
        <v>45292</v>
      </c>
      <c r="B130" s="354"/>
      <c r="C130" s="354"/>
      <c r="E130" s="418" t="s">
        <v>240</v>
      </c>
      <c r="F130" s="419" t="s">
        <v>242</v>
      </c>
      <c r="G130" s="419"/>
      <c r="H130" s="419"/>
      <c r="I130" s="419"/>
      <c r="J130" s="419"/>
      <c r="K130" s="419"/>
    </row>
    <row r="131" spans="1:11" ht="15" x14ac:dyDescent="0.25">
      <c r="A131" s="379">
        <v>45323</v>
      </c>
      <c r="B131" s="354"/>
      <c r="C131" s="354"/>
      <c r="E131" s="420">
        <v>27020.3</v>
      </c>
      <c r="F131" s="421">
        <v>94795.3</v>
      </c>
      <c r="G131" s="421"/>
      <c r="H131" s="421"/>
      <c r="I131" s="421"/>
      <c r="J131" s="421"/>
      <c r="K131" s="421"/>
    </row>
    <row r="132" spans="1:11" ht="15" x14ac:dyDescent="0.25">
      <c r="A132" s="379">
        <v>45352</v>
      </c>
      <c r="B132" s="354"/>
      <c r="C132" s="354"/>
      <c r="E132" s="420">
        <v>27020.3</v>
      </c>
      <c r="F132" s="421">
        <v>94795.3</v>
      </c>
      <c r="G132" s="421"/>
      <c r="H132" s="421"/>
      <c r="I132" s="421"/>
      <c r="J132" s="421"/>
      <c r="K132" s="421"/>
    </row>
    <row r="133" spans="1:11" ht="15" x14ac:dyDescent="0.25">
      <c r="A133" s="379">
        <v>45383</v>
      </c>
      <c r="B133" s="354"/>
      <c r="C133" s="354"/>
      <c r="E133" s="420">
        <v>27020.3</v>
      </c>
      <c r="F133" s="421">
        <v>94795.3</v>
      </c>
      <c r="G133" s="421"/>
      <c r="H133" s="421"/>
      <c r="I133" s="421"/>
      <c r="J133" s="421"/>
      <c r="K133" s="421"/>
    </row>
    <row r="134" spans="1:11" ht="15" x14ac:dyDescent="0.25">
      <c r="A134" s="379">
        <v>45413</v>
      </c>
      <c r="B134" s="354"/>
      <c r="C134" s="354"/>
      <c r="E134" s="420">
        <v>25733.7</v>
      </c>
      <c r="F134" s="421">
        <v>90281.3</v>
      </c>
      <c r="G134" s="422"/>
      <c r="H134" s="422"/>
      <c r="I134" s="422"/>
      <c r="J134" s="422"/>
      <c r="K134" s="422"/>
    </row>
    <row r="135" spans="1:11" ht="15" x14ac:dyDescent="0.25">
      <c r="A135" s="379">
        <v>45444</v>
      </c>
      <c r="B135" s="354"/>
      <c r="C135" s="354"/>
      <c r="E135" s="420">
        <v>25733.7</v>
      </c>
      <c r="F135" s="421">
        <v>90281.3</v>
      </c>
      <c r="G135" s="421"/>
      <c r="H135" s="421"/>
      <c r="I135" s="421"/>
      <c r="J135" s="421"/>
      <c r="K135" s="421"/>
    </row>
    <row r="136" spans="1:11" ht="15" x14ac:dyDescent="0.25">
      <c r="A136" s="379">
        <v>45474</v>
      </c>
      <c r="B136" s="354"/>
      <c r="C136" s="354"/>
      <c r="E136" s="423"/>
      <c r="F136" s="424"/>
      <c r="G136" s="424"/>
      <c r="H136" s="424"/>
      <c r="I136" s="424"/>
      <c r="J136" s="424"/>
      <c r="K136" s="424"/>
    </row>
    <row r="137" spans="1:11" ht="15" x14ac:dyDescent="0.25">
      <c r="A137" s="379">
        <v>45505</v>
      </c>
      <c r="B137" s="354"/>
      <c r="C137" s="354"/>
      <c r="E137" s="425">
        <f t="shared" ref="E137:K137" si="4">SUM(E131:E136)</f>
        <v>132528.29999999999</v>
      </c>
      <c r="F137" s="426">
        <f t="shared" si="4"/>
        <v>464948.5</v>
      </c>
      <c r="G137" s="426">
        <f t="shared" si="4"/>
        <v>0</v>
      </c>
      <c r="H137" s="426">
        <f t="shared" si="4"/>
        <v>0</v>
      </c>
      <c r="I137" s="426">
        <f t="shared" si="4"/>
        <v>0</v>
      </c>
      <c r="J137" s="426">
        <f t="shared" si="4"/>
        <v>0</v>
      </c>
      <c r="K137" s="426">
        <f t="shared" si="4"/>
        <v>0</v>
      </c>
    </row>
    <row r="138" spans="1:11" ht="15" x14ac:dyDescent="0.25">
      <c r="A138" s="379">
        <v>45536</v>
      </c>
      <c r="B138" s="354"/>
      <c r="C138" s="354"/>
    </row>
    <row r="139" spans="1:11" ht="23.25" x14ac:dyDescent="0.35">
      <c r="A139" s="379">
        <v>45566</v>
      </c>
      <c r="B139" s="354"/>
      <c r="C139" s="354"/>
      <c r="E139" s="606" t="s">
        <v>424</v>
      </c>
      <c r="F139" s="606"/>
      <c r="G139" s="606"/>
      <c r="H139" s="606"/>
      <c r="I139" s="606"/>
      <c r="J139" s="606"/>
      <c r="K139" s="606"/>
    </row>
    <row r="140" spans="1:11" ht="15" x14ac:dyDescent="0.25">
      <c r="A140" s="379">
        <v>45597</v>
      </c>
      <c r="B140" s="354"/>
      <c r="C140" s="354"/>
      <c r="E140" s="416"/>
      <c r="F140" s="427"/>
      <c r="G140" s="427"/>
      <c r="H140" s="427"/>
      <c r="I140" s="427"/>
      <c r="J140" s="427"/>
      <c r="K140" s="417"/>
    </row>
    <row r="141" spans="1:11" ht="15" x14ac:dyDescent="0.25">
      <c r="A141" s="379">
        <v>45627</v>
      </c>
      <c r="B141" s="354"/>
      <c r="C141" s="354"/>
      <c r="E141" s="418"/>
      <c r="F141" s="428"/>
      <c r="G141" s="428"/>
      <c r="H141" s="428"/>
      <c r="I141" s="428"/>
      <c r="J141" s="428"/>
      <c r="K141" s="419"/>
    </row>
    <row r="142" spans="1:11" ht="15" x14ac:dyDescent="0.25">
      <c r="A142" s="392" t="s">
        <v>86</v>
      </c>
      <c r="B142" s="365">
        <f>SUM(B130:B141)</f>
        <v>0</v>
      </c>
      <c r="C142" s="365">
        <f>SUM(C130:C141)</f>
        <v>0</v>
      </c>
      <c r="E142" s="429">
        <f>37976.7+23651.7+26127.8+29836</f>
        <v>117592.2</v>
      </c>
      <c r="F142" s="430">
        <v>22808.6</v>
      </c>
      <c r="G142" s="430">
        <f>26025.4+29105.3+32064.2+36537.6</f>
        <v>123732.5</v>
      </c>
      <c r="H142" s="430"/>
      <c r="I142" s="430"/>
      <c r="J142" s="430"/>
      <c r="K142" s="431"/>
    </row>
    <row r="143" spans="1:11" ht="15" x14ac:dyDescent="0.25">
      <c r="E143" s="425">
        <f t="shared" ref="E143:K143" si="5">SUM(E137:E142)</f>
        <v>250120.5</v>
      </c>
      <c r="F143" s="426">
        <f t="shared" si="5"/>
        <v>487757.1</v>
      </c>
      <c r="G143" s="426">
        <f t="shared" si="5"/>
        <v>123732.5</v>
      </c>
      <c r="H143" s="426">
        <f t="shared" si="5"/>
        <v>0</v>
      </c>
      <c r="I143" s="426">
        <f t="shared" si="5"/>
        <v>0</v>
      </c>
      <c r="J143" s="426">
        <f t="shared" si="5"/>
        <v>0</v>
      </c>
      <c r="K143" s="426">
        <f t="shared" si="5"/>
        <v>0</v>
      </c>
    </row>
    <row r="145" spans="1:9" ht="23.25" x14ac:dyDescent="0.35">
      <c r="A145" s="607" t="s">
        <v>238</v>
      </c>
      <c r="B145" s="607"/>
      <c r="C145" s="607"/>
      <c r="D145" s="607"/>
      <c r="E145" s="607"/>
      <c r="F145" s="607"/>
      <c r="G145" s="607"/>
      <c r="H145" s="607"/>
      <c r="I145" s="607"/>
    </row>
    <row r="146" spans="1:9" ht="15" x14ac:dyDescent="0.25">
      <c r="A146" s="416" t="s">
        <v>224</v>
      </c>
      <c r="B146" s="427" t="s">
        <v>224</v>
      </c>
      <c r="C146" s="427" t="s">
        <v>224</v>
      </c>
      <c r="D146" s="427" t="s">
        <v>227</v>
      </c>
      <c r="E146" s="427" t="s">
        <v>227</v>
      </c>
      <c r="F146" s="427" t="s">
        <v>227</v>
      </c>
      <c r="G146" s="427" t="s">
        <v>224</v>
      </c>
      <c r="H146" s="427" t="s">
        <v>228</v>
      </c>
      <c r="I146" s="417" t="s">
        <v>228</v>
      </c>
    </row>
    <row r="147" spans="1:9" ht="15" x14ac:dyDescent="0.25">
      <c r="A147" s="418" t="s">
        <v>237</v>
      </c>
      <c r="B147" s="428" t="s">
        <v>236</v>
      </c>
      <c r="C147" s="428" t="s">
        <v>230</v>
      </c>
      <c r="D147" s="428" t="s">
        <v>235</v>
      </c>
      <c r="E147" s="428" t="s">
        <v>234</v>
      </c>
      <c r="F147" s="428" t="s">
        <v>233</v>
      </c>
      <c r="G147" s="428" t="s">
        <v>229</v>
      </c>
      <c r="H147" s="428" t="s">
        <v>232</v>
      </c>
      <c r="I147" s="419" t="s">
        <v>231</v>
      </c>
    </row>
    <row r="148" spans="1:9" ht="15" x14ac:dyDescent="0.25">
      <c r="A148" s="420">
        <v>17334.7</v>
      </c>
      <c r="B148" s="432">
        <v>17704.400000000001</v>
      </c>
      <c r="C148" s="432">
        <v>74225.2</v>
      </c>
      <c r="D148" s="432">
        <v>228788.4</v>
      </c>
      <c r="E148" s="432">
        <v>13430.1</v>
      </c>
      <c r="F148" s="432">
        <v>4107.8999999999996</v>
      </c>
      <c r="G148" s="432">
        <v>72987.100000000006</v>
      </c>
      <c r="H148" s="432">
        <v>15033.7</v>
      </c>
      <c r="I148" s="421">
        <v>9925.1</v>
      </c>
    </row>
    <row r="149" spans="1:9" ht="15" x14ac:dyDescent="0.25">
      <c r="A149" s="420">
        <v>17334.7</v>
      </c>
      <c r="B149" s="432">
        <v>17704.400000000001</v>
      </c>
      <c r="C149" s="432">
        <v>67901</v>
      </c>
      <c r="D149" s="432">
        <v>114237.7</v>
      </c>
      <c r="E149" s="432">
        <v>13430.1</v>
      </c>
      <c r="F149" s="432"/>
      <c r="G149" s="432">
        <v>66778.600000000006</v>
      </c>
      <c r="H149" s="432">
        <v>15033.7</v>
      </c>
      <c r="I149" s="421">
        <v>10978.6</v>
      </c>
    </row>
    <row r="150" spans="1:9" ht="15" x14ac:dyDescent="0.25">
      <c r="A150" s="420">
        <v>16509.3</v>
      </c>
      <c r="B150" s="432">
        <v>16861.400000000001</v>
      </c>
      <c r="C150" s="432">
        <v>64667.7</v>
      </c>
      <c r="D150" s="432">
        <v>114237.7</v>
      </c>
      <c r="E150" s="432">
        <v>13430.1</v>
      </c>
      <c r="F150" s="432"/>
      <c r="G150" s="432">
        <v>63598.7</v>
      </c>
      <c r="H150" s="432">
        <v>15033.7</v>
      </c>
      <c r="I150" s="421">
        <v>12019.3</v>
      </c>
    </row>
    <row r="151" spans="1:9" ht="15" x14ac:dyDescent="0.25">
      <c r="A151" s="420">
        <v>16872.2</v>
      </c>
      <c r="B151" s="432">
        <v>17232</v>
      </c>
      <c r="C151" s="432">
        <v>66088.899999999994</v>
      </c>
      <c r="D151" s="432">
        <v>114237.7</v>
      </c>
      <c r="E151" s="432">
        <v>13430.1</v>
      </c>
      <c r="F151" s="432"/>
      <c r="G151" s="432">
        <v>64996.4</v>
      </c>
      <c r="H151" s="432">
        <v>12803.5</v>
      </c>
      <c r="I151" s="421">
        <v>10882</v>
      </c>
    </row>
    <row r="152" spans="1:9" ht="15" x14ac:dyDescent="0.25">
      <c r="A152" s="420"/>
      <c r="B152" s="432"/>
      <c r="C152" s="432"/>
      <c r="D152" s="432">
        <v>96502.2</v>
      </c>
      <c r="E152" s="432">
        <v>11345.1</v>
      </c>
      <c r="F152" s="432"/>
      <c r="G152" s="432"/>
      <c r="H152" s="432"/>
      <c r="I152" s="421"/>
    </row>
    <row r="153" spans="1:9" ht="15" x14ac:dyDescent="0.25">
      <c r="A153" s="423"/>
      <c r="B153" s="433"/>
      <c r="C153" s="433"/>
      <c r="D153" s="433"/>
      <c r="E153" s="433"/>
      <c r="F153" s="433"/>
      <c r="G153" s="434"/>
      <c r="H153" s="433"/>
      <c r="I153" s="424"/>
    </row>
    <row r="154" spans="1:9" ht="15" x14ac:dyDescent="0.25">
      <c r="A154" s="425">
        <f t="shared" ref="A154:I154" si="6">SUM(A148:A153)</f>
        <v>68050.899999999994</v>
      </c>
      <c r="B154" s="435">
        <f t="shared" si="6"/>
        <v>69502.200000000012</v>
      </c>
      <c r="C154" s="435">
        <f t="shared" si="6"/>
        <v>272882.80000000005</v>
      </c>
      <c r="D154" s="435">
        <f t="shared" si="6"/>
        <v>668003.69999999995</v>
      </c>
      <c r="E154" s="435">
        <f t="shared" si="6"/>
        <v>65065.5</v>
      </c>
      <c r="F154" s="435">
        <f t="shared" si="6"/>
        <v>4107.8999999999996</v>
      </c>
      <c r="G154" s="435">
        <f t="shared" si="6"/>
        <v>268360.80000000005</v>
      </c>
      <c r="H154" s="435">
        <f t="shared" si="6"/>
        <v>57904.600000000006</v>
      </c>
      <c r="I154" s="426">
        <f t="shared" si="6"/>
        <v>43805</v>
      </c>
    </row>
  </sheetData>
  <mergeCells count="32">
    <mergeCell ref="E54:F54"/>
    <mergeCell ref="A3:Q3"/>
    <mergeCell ref="B9:F9"/>
    <mergeCell ref="G9:J9"/>
    <mergeCell ref="H33:I33"/>
    <mergeCell ref="H34:I34"/>
    <mergeCell ref="H35:I35"/>
    <mergeCell ref="H36:I36"/>
    <mergeCell ref="H47:I47"/>
    <mergeCell ref="E51:F51"/>
    <mergeCell ref="E52:F52"/>
    <mergeCell ref="E53:F53"/>
    <mergeCell ref="E116:F116"/>
    <mergeCell ref="E55:F55"/>
    <mergeCell ref="E56:F56"/>
    <mergeCell ref="A60:R60"/>
    <mergeCell ref="E64:F64"/>
    <mergeCell ref="H96:I96"/>
    <mergeCell ref="H97:I97"/>
    <mergeCell ref="H98:I98"/>
    <mergeCell ref="H99:I99"/>
    <mergeCell ref="H110:I110"/>
    <mergeCell ref="E114:F114"/>
    <mergeCell ref="E115:F115"/>
    <mergeCell ref="E139:K139"/>
    <mergeCell ref="A145:I145"/>
    <mergeCell ref="E117:F117"/>
    <mergeCell ref="E118:F118"/>
    <mergeCell ref="E119:F119"/>
    <mergeCell ref="A124:R124"/>
    <mergeCell ref="B128:C128"/>
    <mergeCell ref="E128:K128"/>
  </mergeCells>
  <conditionalFormatting sqref="B34:B4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{DFB9C707-C734-408A-876B-65F12CAD4D79}</x14:id>
        </ext>
      </extLst>
    </cfRule>
  </conditionalFormatting>
  <conditionalFormatting sqref="B97:B108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{360F3246-B5F5-4022-86DE-163F4632C05D}</x14:id>
        </ext>
      </extLst>
    </cfRule>
  </conditionalFormatting>
  <conditionalFormatting sqref="C34:C4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{9041A742-F76D-49B0-A7D2-099FA29CBD6D}</x14:id>
        </ext>
      </extLst>
    </cfRule>
  </conditionalFormatting>
  <conditionalFormatting sqref="C97:C10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{73A9C661-9B58-450C-B118-4047835DC055}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9C707-C734-408A-876B-65F12CAD4D79}">
            <x14:dataBar minLength="0" maxLength="100" negativeBarColorSameAsPositive="1" axisPosition="none">
              <x14:cfvo type="min"/>
              <x14:cfvo type="max"/>
            </x14:dataBar>
          </x14:cfRule>
          <xm:sqref>B34:B45</xm:sqref>
        </x14:conditionalFormatting>
        <x14:conditionalFormatting xmlns:xm="http://schemas.microsoft.com/office/excel/2006/main">
          <x14:cfRule type="dataBar" id="{360F3246-B5F5-4022-86DE-163F4632C05D}">
            <x14:dataBar minLength="0" maxLength="100" negativeBarColorSameAsPositive="1" axisPosition="none">
              <x14:cfvo type="min"/>
              <x14:cfvo type="max"/>
            </x14:dataBar>
          </x14:cfRule>
          <xm:sqref>B97:B108</xm:sqref>
        </x14:conditionalFormatting>
        <x14:conditionalFormatting xmlns:xm="http://schemas.microsoft.com/office/excel/2006/main">
          <x14:cfRule type="dataBar" id="{9041A742-F76D-49B0-A7D2-099FA29CBD6D}">
            <x14:dataBar minLength="0" maxLength="100" negativeBarColorSameAsPositive="1" axisPosition="none">
              <x14:cfvo type="min"/>
              <x14:cfvo type="max"/>
            </x14:dataBar>
          </x14:cfRule>
          <xm:sqref>C34:C45</xm:sqref>
        </x14:conditionalFormatting>
        <x14:conditionalFormatting xmlns:xm="http://schemas.microsoft.com/office/excel/2006/main">
          <x14:cfRule type="dataBar" id="{73A9C661-9B58-450C-B118-4047835DC055}">
            <x14:dataBar minLength="0" maxLength="100" negativeBarColorSameAsPositive="1" axisPosition="none">
              <x14:cfvo type="min"/>
              <x14:cfvo type="max"/>
            </x14:dataBar>
          </x14:cfRule>
          <xm:sqref>C97:C108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34"/>
  <sheetViews>
    <sheetView topLeftCell="A2" zoomScale="130" zoomScaleNormal="130" workbookViewId="0">
      <selection activeCell="B33" sqref="B33"/>
    </sheetView>
  </sheetViews>
  <sheetFormatPr baseColWidth="10" defaultRowHeight="12.75" x14ac:dyDescent="0.2"/>
  <cols>
    <col min="1" max="1" width="11.42578125" style="333"/>
    <col min="2" max="2" width="15.7109375" style="333" customWidth="1"/>
    <col min="3" max="3" width="14.28515625" style="333" customWidth="1"/>
    <col min="4" max="4" width="14" style="333" customWidth="1"/>
    <col min="5" max="5" width="14.42578125" style="333" customWidth="1"/>
    <col min="6" max="6" width="13.85546875" style="333" customWidth="1"/>
    <col min="7" max="7" width="13.5703125" style="333" customWidth="1"/>
    <col min="8" max="8" width="11.5703125" style="333" bestFit="1" customWidth="1"/>
    <col min="9" max="10" width="15.42578125" style="333" customWidth="1"/>
    <col min="11" max="16384" width="11.42578125" style="333"/>
  </cols>
  <sheetData>
    <row r="1" spans="1:18" ht="25.5" x14ac:dyDescent="0.35">
      <c r="A1" s="329" t="s">
        <v>425</v>
      </c>
      <c r="B1" s="330"/>
      <c r="C1" s="330"/>
      <c r="D1" s="330"/>
      <c r="E1" s="331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x14ac:dyDescent="0.2">
      <c r="A2" s="436"/>
      <c r="B2" s="436"/>
      <c r="C2" s="436"/>
      <c r="D2" s="436"/>
      <c r="E2" s="436"/>
      <c r="F2" s="436"/>
      <c r="G2" s="436"/>
      <c r="H2" s="436"/>
      <c r="I2" s="436"/>
      <c r="J2" s="436"/>
    </row>
    <row r="3" spans="1:18" x14ac:dyDescent="0.2">
      <c r="A3" s="437" t="s">
        <v>267</v>
      </c>
      <c r="B3" s="438" t="s">
        <v>268</v>
      </c>
      <c r="C3" s="438" t="s">
        <v>269</v>
      </c>
      <c r="D3" s="438" t="s">
        <v>270</v>
      </c>
      <c r="E3" s="438" t="s">
        <v>271</v>
      </c>
      <c r="F3" s="438" t="s">
        <v>272</v>
      </c>
      <c r="G3" s="438" t="s">
        <v>273</v>
      </c>
      <c r="H3" s="438" t="s">
        <v>274</v>
      </c>
      <c r="I3" s="438" t="s">
        <v>426</v>
      </c>
      <c r="J3" s="438" t="s">
        <v>427</v>
      </c>
    </row>
    <row r="4" spans="1:18" x14ac:dyDescent="0.2">
      <c r="A4" s="439">
        <v>45292</v>
      </c>
      <c r="B4" s="440">
        <v>252754.55</v>
      </c>
      <c r="C4" s="440">
        <v>5782</v>
      </c>
      <c r="D4" s="440">
        <v>37660.43</v>
      </c>
      <c r="E4" s="440">
        <v>25780.959999999999</v>
      </c>
      <c r="F4" s="440">
        <v>12890.48</v>
      </c>
      <c r="G4" s="440">
        <v>12449.84</v>
      </c>
      <c r="H4" s="440">
        <v>78.36</v>
      </c>
      <c r="I4" s="441">
        <f>SUM(B4:H4)</f>
        <v>347396.62</v>
      </c>
      <c r="J4" s="442">
        <f>SUM(B4+C4+D4+G4+H4)</f>
        <v>308725.18</v>
      </c>
    </row>
    <row r="5" spans="1:18" x14ac:dyDescent="0.2">
      <c r="A5" s="439">
        <v>45323</v>
      </c>
      <c r="B5" s="440">
        <v>311943.90000000002</v>
      </c>
      <c r="C5" s="440">
        <v>6693.87</v>
      </c>
      <c r="D5" s="440">
        <v>46479.65</v>
      </c>
      <c r="E5" s="440">
        <v>31818.29</v>
      </c>
      <c r="F5" s="440">
        <v>15909.14</v>
      </c>
      <c r="G5" s="440">
        <v>15298.34</v>
      </c>
      <c r="H5" s="440">
        <v>78.36</v>
      </c>
      <c r="I5" s="441">
        <f t="shared" ref="I5:I16" si="0">SUM(B5:H5)</f>
        <v>428221.55000000005</v>
      </c>
      <c r="J5" s="442">
        <f t="shared" ref="J5:J16" si="1">SUM(B5+C5+D5+G5+H5)</f>
        <v>380494.12000000005</v>
      </c>
    </row>
    <row r="6" spans="1:18" x14ac:dyDescent="0.2">
      <c r="A6" s="439">
        <v>45352</v>
      </c>
      <c r="B6" s="440">
        <v>349377.16</v>
      </c>
      <c r="C6" s="440">
        <v>7367.67</v>
      </c>
      <c r="D6" s="440">
        <v>52057.19</v>
      </c>
      <c r="E6" s="440">
        <v>35636.449999999997</v>
      </c>
      <c r="F6" s="440">
        <v>17818.23</v>
      </c>
      <c r="G6" s="440">
        <v>17147.419999999998</v>
      </c>
      <c r="H6" s="440">
        <v>175.89</v>
      </c>
      <c r="I6" s="441">
        <f t="shared" si="0"/>
        <v>479580.00999999995</v>
      </c>
      <c r="J6" s="442">
        <f t="shared" si="1"/>
        <v>426125.32999999996</v>
      </c>
    </row>
    <row r="7" spans="1:18" x14ac:dyDescent="0.2">
      <c r="A7" s="439">
        <v>45383</v>
      </c>
      <c r="B7" s="440">
        <v>349377.16</v>
      </c>
      <c r="C7" s="440">
        <v>7367.67</v>
      </c>
      <c r="D7" s="440">
        <v>52057.19</v>
      </c>
      <c r="E7" s="440">
        <v>35636.449999999997</v>
      </c>
      <c r="F7" s="440">
        <v>17818.23</v>
      </c>
      <c r="G7" s="440">
        <v>17210.419999999998</v>
      </c>
      <c r="H7" s="440">
        <v>175.89</v>
      </c>
      <c r="I7" s="441">
        <f t="shared" si="0"/>
        <v>479643.00999999995</v>
      </c>
      <c r="J7" s="442">
        <f t="shared" si="1"/>
        <v>426188.32999999996</v>
      </c>
    </row>
    <row r="8" spans="1:18" x14ac:dyDescent="0.2">
      <c r="A8" s="439">
        <v>45413</v>
      </c>
      <c r="B8" s="440">
        <v>384314.89</v>
      </c>
      <c r="C8" s="440">
        <v>7996.55</v>
      </c>
      <c r="D8" s="440">
        <v>57262.92</v>
      </c>
      <c r="E8" s="440">
        <v>39200.120000000003</v>
      </c>
      <c r="F8" s="440">
        <v>19600.060000000001</v>
      </c>
      <c r="G8" s="440">
        <v>18956.96</v>
      </c>
      <c r="H8" s="440">
        <v>175.89</v>
      </c>
      <c r="I8" s="441">
        <f t="shared" si="0"/>
        <v>527507.39</v>
      </c>
      <c r="J8" s="442">
        <f t="shared" si="1"/>
        <v>468707.21</v>
      </c>
    </row>
    <row r="9" spans="1:18" x14ac:dyDescent="0.2">
      <c r="A9" s="439">
        <v>45444</v>
      </c>
      <c r="B9" s="440">
        <v>628354.85</v>
      </c>
      <c r="C9" s="440">
        <v>13828.71</v>
      </c>
      <c r="D9" s="440">
        <v>93624.88</v>
      </c>
      <c r="E9" s="440">
        <v>64092.21</v>
      </c>
      <c r="F9" s="440">
        <v>32046.11</v>
      </c>
      <c r="G9" s="440">
        <v>30661.86</v>
      </c>
      <c r="H9" s="440">
        <v>175.89</v>
      </c>
      <c r="I9" s="441">
        <f t="shared" si="0"/>
        <v>862784.50999999989</v>
      </c>
      <c r="J9" s="442">
        <f t="shared" si="1"/>
        <v>766646.19</v>
      </c>
    </row>
    <row r="10" spans="1:18" x14ac:dyDescent="0.2">
      <c r="A10" s="439">
        <v>45474</v>
      </c>
      <c r="B10" s="440">
        <v>450347.17</v>
      </c>
      <c r="C10" s="440">
        <v>9185.1299999999992</v>
      </c>
      <c r="D10" s="440">
        <v>67101.73</v>
      </c>
      <c r="E10" s="440">
        <v>45935.39</v>
      </c>
      <c r="F10" s="440">
        <v>22967.7</v>
      </c>
      <c r="G10" s="440">
        <v>22265.49</v>
      </c>
      <c r="H10" s="440">
        <v>175.89</v>
      </c>
      <c r="I10" s="441">
        <f t="shared" si="0"/>
        <v>617978.5</v>
      </c>
      <c r="J10" s="442">
        <f t="shared" si="1"/>
        <v>549075.41</v>
      </c>
    </row>
    <row r="11" spans="1:18" x14ac:dyDescent="0.2">
      <c r="A11" s="439">
        <v>45505</v>
      </c>
      <c r="B11" s="440">
        <v>477966.13</v>
      </c>
      <c r="C11" s="440">
        <v>9727.25</v>
      </c>
      <c r="D11" s="440">
        <v>71216.95</v>
      </c>
      <c r="E11" s="440">
        <v>48752.55</v>
      </c>
      <c r="F11" s="440">
        <v>24376.27</v>
      </c>
      <c r="G11" s="440">
        <v>23631.39</v>
      </c>
      <c r="H11" s="440">
        <v>175.89</v>
      </c>
      <c r="I11" s="441">
        <f t="shared" si="0"/>
        <v>655846.43000000005</v>
      </c>
      <c r="J11" s="442">
        <f t="shared" si="1"/>
        <v>582717.61</v>
      </c>
    </row>
    <row r="12" spans="1:18" x14ac:dyDescent="0.2">
      <c r="A12" s="439">
        <v>45536</v>
      </c>
      <c r="B12" s="443">
        <v>496261.48</v>
      </c>
      <c r="C12" s="440">
        <v>10056.57</v>
      </c>
      <c r="D12" s="440">
        <v>73942.95</v>
      </c>
      <c r="E12" s="440">
        <v>50618.67</v>
      </c>
      <c r="F12" s="440">
        <v>25309.34</v>
      </c>
      <c r="G12" s="440">
        <v>24561.42</v>
      </c>
      <c r="H12" s="440">
        <v>187.89</v>
      </c>
      <c r="I12" s="441">
        <f t="shared" si="0"/>
        <v>680938.32000000007</v>
      </c>
      <c r="J12" s="442">
        <f t="shared" si="1"/>
        <v>605010.31000000006</v>
      </c>
    </row>
    <row r="13" spans="1:18" x14ac:dyDescent="0.2">
      <c r="A13" s="439">
        <v>45566</v>
      </c>
      <c r="B13" s="440">
        <v>516111.93</v>
      </c>
      <c r="C13" s="440">
        <v>10413.870000000001</v>
      </c>
      <c r="D13" s="440">
        <v>76900.679999999993</v>
      </c>
      <c r="E13" s="440">
        <v>52643.42</v>
      </c>
      <c r="F13" s="440">
        <v>26321.71</v>
      </c>
      <c r="G13" s="440">
        <v>25541.32</v>
      </c>
      <c r="H13" s="440">
        <v>187.89</v>
      </c>
      <c r="I13" s="441">
        <f t="shared" si="0"/>
        <v>708120.82</v>
      </c>
      <c r="J13" s="442">
        <f t="shared" si="1"/>
        <v>629155.68999999994</v>
      </c>
    </row>
    <row r="14" spans="1:18" x14ac:dyDescent="0.2">
      <c r="A14" s="439">
        <v>45597</v>
      </c>
      <c r="B14" s="440">
        <v>567073.05000000005</v>
      </c>
      <c r="C14" s="440">
        <v>11506.6</v>
      </c>
      <c r="D14" s="440">
        <v>84493.89</v>
      </c>
      <c r="E14" s="440">
        <v>57841.45</v>
      </c>
      <c r="F14" s="440">
        <v>28920.73</v>
      </c>
      <c r="G14" s="440">
        <v>28004.97</v>
      </c>
      <c r="H14" s="440">
        <v>175.89</v>
      </c>
      <c r="I14" s="441">
        <f t="shared" si="0"/>
        <v>778016.58</v>
      </c>
      <c r="J14" s="442">
        <f t="shared" si="1"/>
        <v>691254.4</v>
      </c>
    </row>
    <row r="15" spans="1:18" x14ac:dyDescent="0.2">
      <c r="A15" s="439">
        <v>45627</v>
      </c>
      <c r="B15" s="440">
        <v>1652865.49</v>
      </c>
      <c r="C15" s="440">
        <v>36810.589999999997</v>
      </c>
      <c r="D15" s="440">
        <v>246276.96</v>
      </c>
      <c r="E15" s="440">
        <v>168592.28</v>
      </c>
      <c r="F15" s="440">
        <v>84296.14</v>
      </c>
      <c r="G15" s="440">
        <v>80791.11</v>
      </c>
      <c r="H15" s="440">
        <v>351.78</v>
      </c>
      <c r="I15" s="441">
        <f t="shared" si="0"/>
        <v>2269984.3499999996</v>
      </c>
      <c r="J15" s="442">
        <f t="shared" si="1"/>
        <v>2017095.9300000002</v>
      </c>
    </row>
    <row r="16" spans="1:18" x14ac:dyDescent="0.2">
      <c r="A16" s="436"/>
      <c r="B16" s="444">
        <f t="shared" ref="B16:H16" si="2">SUM(B4:B15)</f>
        <v>6436747.7599999998</v>
      </c>
      <c r="C16" s="444">
        <f t="shared" si="2"/>
        <v>136736.48000000001</v>
      </c>
      <c r="D16" s="444">
        <f t="shared" si="2"/>
        <v>959075.42</v>
      </c>
      <c r="E16" s="444">
        <f t="shared" si="2"/>
        <v>656548.24</v>
      </c>
      <c r="F16" s="444">
        <f t="shared" si="2"/>
        <v>328274.14</v>
      </c>
      <c r="G16" s="444">
        <f t="shared" si="2"/>
        <v>316520.53999999998</v>
      </c>
      <c r="H16" s="444">
        <f t="shared" si="2"/>
        <v>2115.5099999999993</v>
      </c>
      <c r="I16" s="445">
        <f t="shared" si="0"/>
        <v>8836018.0899999999</v>
      </c>
      <c r="J16" s="446">
        <f t="shared" si="1"/>
        <v>7851195.71</v>
      </c>
    </row>
    <row r="17" spans="1:10" x14ac:dyDescent="0.2">
      <c r="A17" s="436"/>
      <c r="B17" s="436"/>
      <c r="C17" s="436"/>
      <c r="D17" s="436"/>
      <c r="E17" s="436"/>
      <c r="F17" s="436"/>
      <c r="G17" s="436"/>
      <c r="H17" s="436"/>
      <c r="I17" s="436"/>
      <c r="J17" s="436"/>
    </row>
    <row r="18" spans="1:10" x14ac:dyDescent="0.2">
      <c r="A18" s="436"/>
      <c r="B18" s="436"/>
      <c r="C18" s="436"/>
      <c r="D18" s="436"/>
      <c r="E18" s="436"/>
      <c r="F18" s="436"/>
      <c r="G18" s="436"/>
      <c r="H18" s="436"/>
      <c r="I18" s="436"/>
      <c r="J18" s="436"/>
    </row>
    <row r="19" spans="1:10" x14ac:dyDescent="0.2">
      <c r="A19" s="436" t="s">
        <v>428</v>
      </c>
      <c r="B19" s="436"/>
      <c r="C19" s="436" t="s">
        <v>490</v>
      </c>
      <c r="D19" s="436"/>
      <c r="E19" s="436"/>
      <c r="F19" s="436"/>
      <c r="G19" s="436"/>
      <c r="H19" s="436"/>
      <c r="I19" s="436"/>
      <c r="J19" s="436"/>
    </row>
    <row r="20" spans="1:10" x14ac:dyDescent="0.2">
      <c r="B20" s="447" t="s">
        <v>429</v>
      </c>
      <c r="C20" s="447" t="s">
        <v>430</v>
      </c>
      <c r="D20" s="436"/>
      <c r="E20" s="436"/>
      <c r="F20" s="436"/>
      <c r="G20" s="436"/>
      <c r="H20" s="436"/>
      <c r="I20" s="436"/>
      <c r="J20" s="436"/>
    </row>
    <row r="21" spans="1:10" x14ac:dyDescent="0.2">
      <c r="A21" s="448">
        <v>45292</v>
      </c>
      <c r="B21" s="449">
        <v>127437.75</v>
      </c>
      <c r="C21" s="450">
        <v>12531.15</v>
      </c>
      <c r="D21" s="451"/>
      <c r="E21" s="436"/>
      <c r="F21" s="436"/>
      <c r="G21" s="436"/>
      <c r="H21" s="436"/>
      <c r="I21" s="436"/>
      <c r="J21" s="436"/>
    </row>
    <row r="22" spans="1:10" x14ac:dyDescent="0.2">
      <c r="A22" s="448">
        <v>45323</v>
      </c>
      <c r="B22" s="452">
        <v>150142.44</v>
      </c>
      <c r="C22" s="453">
        <v>12531.15</v>
      </c>
      <c r="D22" s="451"/>
      <c r="E22" s="436"/>
      <c r="F22" s="436"/>
      <c r="G22" s="436"/>
      <c r="H22" s="436"/>
      <c r="I22" s="436"/>
      <c r="J22" s="436"/>
    </row>
    <row r="23" spans="1:10" x14ac:dyDescent="0.2">
      <c r="A23" s="448">
        <v>45352</v>
      </c>
      <c r="B23" s="452">
        <v>190443.21</v>
      </c>
      <c r="C23" s="453">
        <v>12531.15</v>
      </c>
      <c r="D23" s="451"/>
      <c r="E23" s="436"/>
      <c r="F23" s="436"/>
      <c r="G23" s="436"/>
      <c r="H23" s="436"/>
      <c r="I23" s="436"/>
      <c r="J23" s="436"/>
    </row>
    <row r="24" spans="1:10" x14ac:dyDescent="0.2">
      <c r="A24" s="448">
        <v>45383</v>
      </c>
      <c r="B24" s="452">
        <v>193442.26</v>
      </c>
      <c r="C24" s="453">
        <v>12702.15</v>
      </c>
      <c r="D24" s="451"/>
      <c r="E24" s="436"/>
      <c r="F24" s="436"/>
      <c r="G24" s="436"/>
      <c r="H24" s="436"/>
      <c r="I24" s="436"/>
      <c r="J24" s="436"/>
    </row>
    <row r="25" spans="1:10" x14ac:dyDescent="0.2">
      <c r="A25" s="448">
        <v>45413</v>
      </c>
      <c r="B25" s="452">
        <v>207434.9</v>
      </c>
      <c r="C25" s="453">
        <v>15955.5</v>
      </c>
      <c r="D25" s="451"/>
      <c r="E25" s="436"/>
      <c r="F25" s="436"/>
      <c r="G25" s="436"/>
      <c r="H25" s="436"/>
      <c r="I25" s="436"/>
      <c r="J25" s="436"/>
    </row>
    <row r="26" spans="1:10" x14ac:dyDescent="0.2">
      <c r="A26" s="448">
        <v>45444</v>
      </c>
      <c r="B26" s="452">
        <v>314380.98</v>
      </c>
      <c r="C26" s="453">
        <v>15955.5</v>
      </c>
      <c r="D26" s="451"/>
      <c r="E26" s="436"/>
      <c r="F26" s="436"/>
      <c r="G26" s="436"/>
      <c r="H26" s="436"/>
      <c r="I26" s="436"/>
      <c r="J26" s="436"/>
    </row>
    <row r="27" spans="1:10" x14ac:dyDescent="0.2">
      <c r="A27" s="448">
        <v>45474</v>
      </c>
      <c r="B27" s="452">
        <v>207434.9</v>
      </c>
      <c r="C27" s="453">
        <v>16214.5</v>
      </c>
      <c r="D27" s="451"/>
      <c r="E27" s="436"/>
      <c r="F27" s="436"/>
      <c r="G27" s="436"/>
      <c r="H27" s="436"/>
      <c r="I27" s="436"/>
      <c r="J27" s="436"/>
    </row>
    <row r="28" spans="1:10" x14ac:dyDescent="0.2">
      <c r="A28" s="448">
        <v>45505</v>
      </c>
      <c r="B28" s="452">
        <v>253081.71</v>
      </c>
      <c r="C28" s="453">
        <v>17285.919999999998</v>
      </c>
      <c r="D28" s="451"/>
      <c r="E28" s="436"/>
      <c r="F28" s="436"/>
      <c r="G28" s="436"/>
      <c r="H28" s="436"/>
      <c r="I28" s="436"/>
      <c r="J28" s="436"/>
    </row>
    <row r="29" spans="1:10" x14ac:dyDescent="0.2">
      <c r="A29" s="448">
        <v>45536</v>
      </c>
      <c r="B29" s="452">
        <v>237244.54</v>
      </c>
      <c r="C29" s="453">
        <v>17285.919999999998</v>
      </c>
      <c r="D29" s="451"/>
      <c r="E29" s="436"/>
      <c r="F29" s="436"/>
      <c r="G29" s="436"/>
      <c r="H29" s="436"/>
      <c r="I29" s="436"/>
      <c r="J29" s="436"/>
    </row>
    <row r="30" spans="1:10" x14ac:dyDescent="0.2">
      <c r="A30" s="448">
        <v>45566</v>
      </c>
      <c r="B30" s="452">
        <v>259880.54</v>
      </c>
      <c r="C30" s="453">
        <v>17525.34</v>
      </c>
      <c r="D30" s="451"/>
      <c r="E30" s="436"/>
      <c r="F30" s="436"/>
      <c r="G30" s="436"/>
      <c r="H30" s="436"/>
      <c r="I30" s="436"/>
      <c r="J30" s="436"/>
    </row>
    <row r="31" spans="1:10" x14ac:dyDescent="0.2">
      <c r="A31" s="448">
        <v>45597</v>
      </c>
      <c r="B31" s="452">
        <v>288277.51</v>
      </c>
      <c r="C31" s="453">
        <v>17437.919999999998</v>
      </c>
      <c r="D31" s="451"/>
      <c r="E31" s="436"/>
      <c r="F31" s="436"/>
      <c r="G31" s="436"/>
      <c r="H31" s="436"/>
      <c r="I31" s="436"/>
      <c r="J31" s="436"/>
    </row>
    <row r="32" spans="1:10" x14ac:dyDescent="0.2">
      <c r="A32" s="448">
        <v>45627</v>
      </c>
      <c r="B32" s="454">
        <v>399449.25</v>
      </c>
      <c r="C32" s="455">
        <v>17568.18</v>
      </c>
      <c r="D32" s="451"/>
      <c r="E32" s="436"/>
      <c r="F32" s="436"/>
      <c r="G32" s="436"/>
      <c r="H32" s="436"/>
      <c r="I32" s="436"/>
      <c r="J32" s="436"/>
    </row>
    <row r="33" spans="1:10" x14ac:dyDescent="0.2">
      <c r="A33" s="436"/>
      <c r="B33" s="456">
        <f>SUM(B21:B32)</f>
        <v>2828649.99</v>
      </c>
      <c r="C33" s="456">
        <f>SUM(C21:C32)</f>
        <v>185524.38</v>
      </c>
      <c r="D33" s="457"/>
      <c r="E33" s="436"/>
      <c r="F33" s="436"/>
      <c r="G33" s="436"/>
      <c r="H33" s="436"/>
      <c r="I33" s="436"/>
      <c r="J33" s="436"/>
    </row>
    <row r="34" spans="1:10" x14ac:dyDescent="0.2">
      <c r="B34" s="45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B74"/>
  <sheetViews>
    <sheetView zoomScale="80" zoomScaleNormal="80" workbookViewId="0">
      <selection activeCell="X26" sqref="X26"/>
    </sheetView>
  </sheetViews>
  <sheetFormatPr baseColWidth="10" defaultRowHeight="12.75" x14ac:dyDescent="0.2"/>
  <cols>
    <col min="4" max="4" width="13.42578125" customWidth="1"/>
    <col min="5" max="5" width="13.140625" customWidth="1"/>
    <col min="6" max="6" width="12.85546875" bestFit="1" customWidth="1"/>
    <col min="7" max="7" width="13.42578125" customWidth="1"/>
    <col min="8" max="8" width="15.42578125" customWidth="1"/>
    <col min="9" max="9" width="13" customWidth="1"/>
    <col min="10" max="10" width="14" customWidth="1"/>
    <col min="14" max="14" width="12.85546875" customWidth="1"/>
    <col min="16" max="16" width="12.5703125" customWidth="1"/>
    <col min="25" max="25" width="19.85546875" customWidth="1"/>
  </cols>
  <sheetData>
    <row r="1" spans="1:28" s="333" customFormat="1" ht="25.5" x14ac:dyDescent="0.35">
      <c r="A1" s="329" t="s">
        <v>498</v>
      </c>
      <c r="B1" s="330"/>
      <c r="C1" s="330"/>
      <c r="D1" s="330"/>
      <c r="E1" s="331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</row>
    <row r="2" spans="1:28" ht="14.25" x14ac:dyDescent="0.2">
      <c r="A2" s="494" t="str">
        <f>DDJJ!A15</f>
        <v>DDJJ Ganancias Año:</v>
      </c>
      <c r="B2" s="495"/>
      <c r="C2" s="496">
        <f>DDJJ!B15</f>
        <v>2024</v>
      </c>
    </row>
    <row r="3" spans="1:28" ht="23.25" x14ac:dyDescent="0.35">
      <c r="A3" s="471" t="s">
        <v>499</v>
      </c>
    </row>
    <row r="4" spans="1:28" ht="18" x14ac:dyDescent="0.25">
      <c r="A4" s="630" t="s">
        <v>500</v>
      </c>
      <c r="B4" s="631"/>
      <c r="C4" s="631"/>
      <c r="D4" s="631"/>
      <c r="E4" s="631"/>
      <c r="F4" s="631"/>
      <c r="G4" s="631"/>
      <c r="H4" s="631"/>
      <c r="I4" s="631"/>
      <c r="J4" s="631"/>
      <c r="K4" s="631"/>
      <c r="L4" s="631"/>
      <c r="M4" s="631"/>
      <c r="N4" s="631"/>
      <c r="O4" s="631"/>
      <c r="P4" s="632"/>
      <c r="Q4" s="678" t="s">
        <v>581</v>
      </c>
      <c r="R4" s="679" t="s">
        <v>243</v>
      </c>
      <c r="S4" s="695"/>
      <c r="T4" s="4" t="s">
        <v>513</v>
      </c>
      <c r="U4" s="4" t="s">
        <v>503</v>
      </c>
      <c r="V4" s="4" t="s">
        <v>54</v>
      </c>
      <c r="Z4" s="4" t="s">
        <v>593</v>
      </c>
      <c r="AA4" s="4" t="s">
        <v>503</v>
      </c>
      <c r="AB4" s="4" t="s">
        <v>54</v>
      </c>
    </row>
    <row r="5" spans="1:28" x14ac:dyDescent="0.2">
      <c r="A5" s="468" t="s">
        <v>375</v>
      </c>
      <c r="B5" s="469" t="s">
        <v>582</v>
      </c>
      <c r="C5" s="469" t="s">
        <v>583</v>
      </c>
      <c r="D5" s="469" t="s">
        <v>497</v>
      </c>
      <c r="E5" s="469" t="s">
        <v>501</v>
      </c>
      <c r="F5" s="469" t="s">
        <v>502</v>
      </c>
      <c r="G5" s="469" t="s">
        <v>503</v>
      </c>
      <c r="H5" s="470" t="s">
        <v>54</v>
      </c>
      <c r="I5" s="468" t="s">
        <v>375</v>
      </c>
      <c r="J5" s="469" t="s">
        <v>582</v>
      </c>
      <c r="K5" s="469" t="s">
        <v>583</v>
      </c>
      <c r="L5" s="469" t="s">
        <v>497</v>
      </c>
      <c r="M5" s="469" t="s">
        <v>501</v>
      </c>
      <c r="N5" s="469" t="s">
        <v>502</v>
      </c>
      <c r="O5" s="469" t="s">
        <v>503</v>
      </c>
      <c r="P5" s="469" t="s">
        <v>54</v>
      </c>
      <c r="Q5" s="239">
        <f>C6</f>
        <v>1</v>
      </c>
      <c r="R5" s="242" t="str">
        <f>INDEX($A$6:$C$11,(MATCH(Q5,$C$6:$C$11,(0))),1)</f>
        <v>Auto</v>
      </c>
      <c r="S5" s="242" t="str">
        <f>INDEX($B$6:$B$11,(MATCH(Q5,$C$6:$C$11,(0))),1)</f>
        <v>Peugeot 308</v>
      </c>
      <c r="T5" s="242">
        <f>IF(Q5="",(""),(INDEX($F$6:$F$11,(MATCH(Q5,$C$6:$C$11,(0))),1)))</f>
        <v>100000</v>
      </c>
      <c r="U5" s="242">
        <f>IF(Q5="",(""),(INDEX($G$6:$G$11,(MATCH(Q5,$C$6:$C$11,(0))),1)))</f>
        <v>260000</v>
      </c>
      <c r="V5" s="242">
        <f>IF(Q5="",(""),(INDEX($H$6:$H$11,(MATCH(Q5,$C$6:$C$11,(0))),1)))</f>
        <v>0.01</v>
      </c>
      <c r="W5" s="681" t="s">
        <v>586</v>
      </c>
      <c r="X5" s="245" cm="1">
        <f t="array" ref="X5:X8">_xlfn._xlws.FILTER(Q5:Q52, Q5:Q52&lt;&gt;"")</f>
        <v>1</v>
      </c>
      <c r="Y5" t="str">
        <f>IF(X5="",(""),(INDEX(R1:R68,MATCH(X5,Q1:Q68,0))&amp;" "&amp;INDEX(S1:S68,MATCH(X5,Q1:Q68,0))))</f>
        <v>Auto Peugeot 308</v>
      </c>
      <c r="Z5" s="239">
        <f>IF(X5="",(""),(VLOOKUP(X5,$Q$5:$V$52,4,(FALSE))))</f>
        <v>100000</v>
      </c>
      <c r="AA5" s="241">
        <f>IF(X5="",(""),(VLOOKUP(X5,$Q$5:$V$52,5,(FALSE))))</f>
        <v>260000</v>
      </c>
      <c r="AB5" s="242">
        <f>IF(X5="",(""),(VLOOKUP(X5,$Q$5:$V$52,6,(FALSE))))</f>
        <v>0.01</v>
      </c>
    </row>
    <row r="6" spans="1:28" s="674" customFormat="1" x14ac:dyDescent="0.2">
      <c r="A6" s="239" t="s">
        <v>19</v>
      </c>
      <c r="B6" s="696" t="s">
        <v>592</v>
      </c>
      <c r="C6" s="241">
        <f>IF(A6="",(""),(1))</f>
        <v>1</v>
      </c>
      <c r="D6" s="241">
        <v>2019</v>
      </c>
      <c r="E6" s="575">
        <v>40826</v>
      </c>
      <c r="F6" s="493">
        <v>100000</v>
      </c>
      <c r="G6" s="493">
        <f>F6/5*($C$2-(YEAR(E6)))</f>
        <v>260000</v>
      </c>
      <c r="H6" s="255">
        <f>IF(A6="",(""),(IF(F6-G6&lt;1,(0.01),(F6-G6))))</f>
        <v>0.01</v>
      </c>
      <c r="I6" s="239"/>
      <c r="J6" s="241"/>
      <c r="K6" s="241" t="str">
        <f>IF(I6="",(""),(C11+1))</f>
        <v/>
      </c>
      <c r="L6" s="241"/>
      <c r="M6" s="241"/>
      <c r="N6" s="493"/>
      <c r="O6" s="493">
        <f>N6/5*($C$2-(YEAR(M6)))</f>
        <v>0</v>
      </c>
      <c r="P6" s="493" t="str">
        <f>IF(I6="",(""),(IF(N6-O6&lt;1,(0.01),(N6-O6))))</f>
        <v/>
      </c>
      <c r="Q6" s="315" t="str">
        <f t="shared" ref="Q6:Q10" si="0">C7</f>
        <v/>
      </c>
      <c r="R6" s="242">
        <f t="shared" ref="R6:R10" si="1">INDEX($A$6:$C$11,(MATCH(Q6,$C$6:$C$11,(0))),1)</f>
        <v>0</v>
      </c>
      <c r="S6" s="242">
        <f t="shared" ref="S6:S10" si="2">INDEX($B$6:$B$11,(MATCH(Q6,$C$6:$C$11,(0))),1)</f>
        <v>0</v>
      </c>
      <c r="T6" s="242" t="str">
        <f>IF(Q6="",(""),(INDEX($F$6:$F$11,(MATCH(Q6,$C$6:$C$11,(0))),1)))</f>
        <v/>
      </c>
      <c r="U6" s="242" t="str">
        <f>IF(Q6="",(""),(INDEX($G$6:$G$11,(MATCH(Q6,$C$6:$C$11,(0))),1)))</f>
        <v/>
      </c>
      <c r="V6" s="242" t="str">
        <f>IF(Q6="",(""),(INDEX($H$6:$H$11,(MATCH(Q6,$C$6:$C$11,(0))),1)))</f>
        <v/>
      </c>
      <c r="W6" s="682"/>
      <c r="X6" s="690">
        <v>76</v>
      </c>
      <c r="Y6" t="str">
        <f>IF(X6="",(""),(INDEX(R2:R69,MATCH(X6,Q2:Q69,0))&amp;" "&amp;INDEX(S2:S69,MATCH(X6,Q2:Q69,0))))</f>
        <v>Urbano Edif 0</v>
      </c>
      <c r="Z6" s="315">
        <f t="shared" ref="Z6:Z52" si="3">IF(X6="",(""),(VLOOKUP(X6,$Q$5:$V$52,4,(FALSE))))</f>
        <v>100000</v>
      </c>
      <c r="AA6" s="674">
        <f t="shared" ref="AA6:AA52" si="4">IF(X6="",(""),(VLOOKUP(X6,$Q$5:$V$52,5,(FALSE))))</f>
        <v>8000</v>
      </c>
      <c r="AB6" s="280">
        <f t="shared" ref="AB6:AB52" si="5">IF(X6="",(""),(VLOOKUP(X6,$Q$5:$V$52,6,(FALSE))))</f>
        <v>92000</v>
      </c>
    </row>
    <row r="7" spans="1:28" s="674" customFormat="1" x14ac:dyDescent="0.2">
      <c r="A7" s="315"/>
      <c r="C7" s="674" t="str">
        <f>IF(A7="",(""),(C6+1))</f>
        <v/>
      </c>
      <c r="F7" s="677"/>
      <c r="G7" s="677">
        <f t="shared" ref="G7:G11" si="6">F7/5*($C$2-(YEAR(E7)))</f>
        <v>0</v>
      </c>
      <c r="H7" s="320" t="str">
        <f t="shared" ref="H7:H11" si="7">IF(A7="",(""),(IF(F7-G7&lt;1,(0.01),(F7-G7))))</f>
        <v/>
      </c>
      <c r="I7" s="315"/>
      <c r="K7" s="674" t="str">
        <f>IF(I7="",(""),(K6+1))</f>
        <v/>
      </c>
      <c r="N7" s="677"/>
      <c r="O7" s="677">
        <f t="shared" ref="O7:O11" si="8">N7/5*($C$2-(YEAR(M7)))</f>
        <v>0</v>
      </c>
      <c r="P7" s="677" t="str">
        <f t="shared" ref="P7:P11" si="9">IF(I7="",(""),(IF(N7-O7&lt;1,(0.01),(N7-O7))))</f>
        <v/>
      </c>
      <c r="Q7" s="315" t="str">
        <f t="shared" si="0"/>
        <v/>
      </c>
      <c r="R7" s="242">
        <f t="shared" si="1"/>
        <v>0</v>
      </c>
      <c r="S7" s="242">
        <f t="shared" si="2"/>
        <v>0</v>
      </c>
      <c r="T7" s="242" t="str">
        <f>IF(Q7="",(""),(INDEX($F$6:$F$11,(MATCH(Q7,$C$6:$C$11,(0))),1)))</f>
        <v/>
      </c>
      <c r="U7" s="242" t="str">
        <f>IF(Q7="",(""),(INDEX($G$6:$G$11,(MATCH(Q7,$C$6:$C$11,(0))),1)))</f>
        <v/>
      </c>
      <c r="V7" s="242" t="str">
        <f>IF(Q7="",(""),(INDEX($H$6:$H$11,(MATCH(Q7,$C$6:$C$11,(0))),1)))</f>
        <v/>
      </c>
      <c r="W7" s="682"/>
      <c r="X7" s="690">
        <v>145</v>
      </c>
      <c r="Y7" t="str">
        <f>IF(X7="",(""),(INDEX(R3:R70,MATCH(X7,Q3:Q70,0))&amp;" "&amp;INDEX(S3:S70,MATCH(X7,Q3:Q70,0))))</f>
        <v>Urbano Edif 0</v>
      </c>
      <c r="Z7" s="315">
        <f t="shared" si="3"/>
        <v>10</v>
      </c>
      <c r="AA7" s="674">
        <f t="shared" si="4"/>
        <v>9.99</v>
      </c>
      <c r="AB7" s="280">
        <f t="shared" si="5"/>
        <v>0.01</v>
      </c>
    </row>
    <row r="8" spans="1:28" s="674" customFormat="1" x14ac:dyDescent="0.2">
      <c r="A8" s="315"/>
      <c r="C8" s="674" t="str">
        <f t="shared" ref="C8:C11" si="10">IF(A8="",(""),(C7+1))</f>
        <v/>
      </c>
      <c r="F8" s="677"/>
      <c r="G8" s="677">
        <f t="shared" si="6"/>
        <v>0</v>
      </c>
      <c r="H8" s="320" t="str">
        <f t="shared" si="7"/>
        <v/>
      </c>
      <c r="I8" s="315"/>
      <c r="K8" s="674" t="str">
        <f t="shared" ref="K8:K11" si="11">IF(I8="",(""),(K7+1))</f>
        <v/>
      </c>
      <c r="N8" s="677"/>
      <c r="O8" s="677">
        <f t="shared" si="8"/>
        <v>0</v>
      </c>
      <c r="P8" s="677" t="str">
        <f t="shared" si="9"/>
        <v/>
      </c>
      <c r="Q8" s="315" t="str">
        <f t="shared" si="0"/>
        <v/>
      </c>
      <c r="R8" s="242">
        <f t="shared" si="1"/>
        <v>0</v>
      </c>
      <c r="S8" s="242">
        <f t="shared" si="2"/>
        <v>0</v>
      </c>
      <c r="T8" s="242" t="str">
        <f>IF(Q8="",(""),(INDEX($F$6:$F$11,(MATCH(Q8,$C$6:$C$11,(0))),1)))</f>
        <v/>
      </c>
      <c r="U8" s="242" t="str">
        <f>IF(Q8="",(""),(INDEX($G$6:$G$11,(MATCH(Q8,$C$6:$C$11,(0))),1)))</f>
        <v/>
      </c>
      <c r="V8" s="242" t="str">
        <f>IF(Q8="",(""),(INDEX($H$6:$H$11,(MATCH(Q8,$C$6:$C$11,(0))),1)))</f>
        <v/>
      </c>
      <c r="W8" s="682"/>
      <c r="X8" s="690">
        <v>123</v>
      </c>
      <c r="Y8" t="str">
        <f>IF(X8="",(""),(INDEX(R4:R71,MATCH(X8,Q4:Q71,0))&amp;" "&amp;INDEX(S4:S71,MATCH(X8,Q4:Q71,0))))</f>
        <v>Urbano Edif 0</v>
      </c>
      <c r="Z8" s="315">
        <f t="shared" si="3"/>
        <v>100000</v>
      </c>
      <c r="AA8" s="674">
        <f t="shared" si="4"/>
        <v>8000</v>
      </c>
      <c r="AB8" s="280">
        <f t="shared" si="5"/>
        <v>92000</v>
      </c>
    </row>
    <row r="9" spans="1:28" s="674" customFormat="1" x14ac:dyDescent="0.2">
      <c r="A9" s="315"/>
      <c r="C9" s="674" t="str">
        <f t="shared" si="10"/>
        <v/>
      </c>
      <c r="F9" s="677"/>
      <c r="G9" s="677">
        <f t="shared" si="6"/>
        <v>0</v>
      </c>
      <c r="H9" s="320" t="str">
        <f t="shared" si="7"/>
        <v/>
      </c>
      <c r="I9" s="315"/>
      <c r="K9" s="674" t="str">
        <f t="shared" si="11"/>
        <v/>
      </c>
      <c r="N9" s="677"/>
      <c r="O9" s="677">
        <f t="shared" si="8"/>
        <v>0</v>
      </c>
      <c r="P9" s="677" t="str">
        <f t="shared" si="9"/>
        <v/>
      </c>
      <c r="Q9" s="315" t="str">
        <f t="shared" si="0"/>
        <v/>
      </c>
      <c r="R9" s="242">
        <f t="shared" si="1"/>
        <v>0</v>
      </c>
      <c r="S9" s="242">
        <f t="shared" si="2"/>
        <v>0</v>
      </c>
      <c r="T9" s="242" t="str">
        <f>IF(Q9="",(""),(INDEX($F$6:$F$11,(MATCH(Q9,$C$6:$C$11,(0))),1)))</f>
        <v/>
      </c>
      <c r="U9" s="242" t="str">
        <f>IF(Q9="",(""),(INDEX($G$6:$G$11,(MATCH(Q9,$C$6:$C$11,(0))),1)))</f>
        <v/>
      </c>
      <c r="V9" s="242" t="str">
        <f>IF(Q9="",(""),(INDEX($H$6:$H$11,(MATCH(Q9,$C$6:$C$11,(0))),1)))</f>
        <v/>
      </c>
      <c r="W9" s="682"/>
      <c r="X9" s="690"/>
      <c r="Y9" t="str">
        <f>IF(X9="",(""),(INDEX(R5:R72,MATCH(X9,Q5:Q72,0))&amp;" "&amp;INDEX(S5:S72,MATCH(X9,Q5:Q72,0))))</f>
        <v/>
      </c>
      <c r="Z9" s="315" t="str">
        <f t="shared" si="3"/>
        <v/>
      </c>
      <c r="AA9" s="674" t="str">
        <f t="shared" si="4"/>
        <v/>
      </c>
      <c r="AB9" s="280" t="str">
        <f t="shared" si="5"/>
        <v/>
      </c>
    </row>
    <row r="10" spans="1:28" s="674" customFormat="1" x14ac:dyDescent="0.2">
      <c r="A10" s="315"/>
      <c r="C10" s="674" t="str">
        <f t="shared" si="10"/>
        <v/>
      </c>
      <c r="F10" s="677"/>
      <c r="G10" s="677">
        <f t="shared" si="6"/>
        <v>0</v>
      </c>
      <c r="H10" s="320" t="str">
        <f t="shared" si="7"/>
        <v/>
      </c>
      <c r="I10" s="315"/>
      <c r="K10" s="674" t="str">
        <f t="shared" si="11"/>
        <v/>
      </c>
      <c r="N10" s="677"/>
      <c r="O10" s="677">
        <f t="shared" si="8"/>
        <v>0</v>
      </c>
      <c r="P10" s="677" t="str">
        <f t="shared" si="9"/>
        <v/>
      </c>
      <c r="Q10" s="315" t="str">
        <f t="shared" si="0"/>
        <v/>
      </c>
      <c r="R10" s="242">
        <f t="shared" si="1"/>
        <v>0</v>
      </c>
      <c r="S10" s="242">
        <f t="shared" si="2"/>
        <v>0</v>
      </c>
      <c r="T10" s="242" t="str">
        <f>IF(Q10="",(""),(INDEX($F$6:$F$11,(MATCH(Q10,$C$6:$C$11,(0))),1)))</f>
        <v/>
      </c>
      <c r="U10" s="242" t="str">
        <f>IF(Q10="",(""),(INDEX($G$6:$G$11,(MATCH(Q10,$C$6:$C$11,(0))),1)))</f>
        <v/>
      </c>
      <c r="V10" s="242" t="str">
        <f>IF(Q10="",(""),(INDEX($H$6:$H$11,(MATCH(Q10,$C$6:$C$11,(0))),1)))</f>
        <v/>
      </c>
      <c r="W10" s="682"/>
      <c r="X10" s="690"/>
      <c r="Y10" t="str">
        <f>IF(X10="",(""),(INDEX(R6:R73,MATCH(X10,Q6:Q73,0))&amp;" "&amp;INDEX(S6:S73,MATCH(X10,Q6:Q73,0))))</f>
        <v/>
      </c>
      <c r="Z10" s="315" t="str">
        <f t="shared" si="3"/>
        <v/>
      </c>
      <c r="AA10" s="674" t="str">
        <f t="shared" si="4"/>
        <v/>
      </c>
      <c r="AB10" s="280" t="str">
        <f t="shared" si="5"/>
        <v/>
      </c>
    </row>
    <row r="11" spans="1:28" s="674" customFormat="1" x14ac:dyDescent="0.2">
      <c r="A11" s="229"/>
      <c r="B11" s="283"/>
      <c r="C11" s="283" t="str">
        <f t="shared" si="10"/>
        <v/>
      </c>
      <c r="D11" s="283"/>
      <c r="E11" s="283"/>
      <c r="F11" s="465"/>
      <c r="G11" s="465">
        <f t="shared" si="6"/>
        <v>0</v>
      </c>
      <c r="H11" s="485" t="str">
        <f t="shared" si="7"/>
        <v/>
      </c>
      <c r="I11" s="229"/>
      <c r="J11" s="283"/>
      <c r="K11" s="283" t="str">
        <f t="shared" si="11"/>
        <v/>
      </c>
      <c r="L11" s="283"/>
      <c r="M11" s="283"/>
      <c r="N11" s="465"/>
      <c r="O11" s="465">
        <f t="shared" si="8"/>
        <v>0</v>
      </c>
      <c r="P11" s="465" t="str">
        <f t="shared" si="9"/>
        <v/>
      </c>
      <c r="Q11" s="315" t="str">
        <f>K6</f>
        <v/>
      </c>
      <c r="R11" s="280" t="str">
        <f>IF(Q11="",(""),(INDEX($I$6:$K$11,(MATCH(Q11,$I$6:$K$11,(0))),1)))</f>
        <v/>
      </c>
      <c r="S11" s="280" t="str">
        <f>IF(R11="",(""),(INDEX($J$6:$J$11,(MATCH(R11,$I$6:$K$11,(0))),1)))</f>
        <v/>
      </c>
      <c r="T11" s="242">
        <f>INDEX($N$6:$N$11,(MATCH(Q11,$C$6:$C$11,(0))),1)</f>
        <v>0</v>
      </c>
      <c r="U11" s="280" t="e">
        <f>IF(T11="",(""),(INDEX($O$6:$O$11,(MATCH(Q11,$I$6:$K$11,(0))),1)))</f>
        <v>#N/A</v>
      </c>
      <c r="V11" s="280" t="e">
        <f>IF(U11="",(""),(INDEX($P$6:$P$11,(MATCH(Q11,$I$6:$K$11,(0))),1)))</f>
        <v>#N/A</v>
      </c>
      <c r="W11" s="682"/>
      <c r="X11" s="690"/>
      <c r="Y11" t="str">
        <f>IF(X11="",(""),(INDEX(R7:R74,MATCH(X11,Q7:Q74,0))&amp;" "&amp;INDEX(S7:S74,MATCH(X11,Q7:Q74,0))))</f>
        <v/>
      </c>
      <c r="Z11" s="315" t="str">
        <f t="shared" si="3"/>
        <v/>
      </c>
      <c r="AA11" s="674" t="str">
        <f t="shared" si="4"/>
        <v/>
      </c>
      <c r="AB11" s="280" t="str">
        <f t="shared" si="5"/>
        <v/>
      </c>
    </row>
    <row r="12" spans="1:28" ht="18" x14ac:dyDescent="0.25">
      <c r="A12" s="675" t="s">
        <v>18</v>
      </c>
      <c r="B12" s="676"/>
      <c r="C12" s="676"/>
      <c r="D12" s="676"/>
      <c r="E12" s="676"/>
      <c r="F12" s="676"/>
      <c r="G12" s="676"/>
      <c r="H12" s="676"/>
      <c r="I12" s="676"/>
      <c r="J12" s="676"/>
      <c r="K12" s="676"/>
      <c r="L12" s="676"/>
      <c r="M12" s="676"/>
      <c r="N12" s="676"/>
      <c r="O12" s="676"/>
      <c r="P12" s="676"/>
      <c r="Q12" s="315" t="str">
        <f t="shared" ref="Q12:Q16" si="12">K7</f>
        <v/>
      </c>
      <c r="R12" s="280" t="str">
        <f t="shared" ref="R12:R16" si="13">IF(Q12="",(""),(INDEX($I$6:$K$11,(MATCH(Q12,$I$6:$K$11,(0))),1)))</f>
        <v/>
      </c>
      <c r="S12" s="280" t="str">
        <f t="shared" ref="S12:S16" si="14">IF(R12="",(""),(INDEX($J$6:$J$11,(MATCH(R12,$I$6:$K$11,(0))),1)))</f>
        <v/>
      </c>
      <c r="T12" s="242">
        <f>INDEX($N$6:$N$11,(MATCH(Q12,$C$6:$C$11,(0))),1)</f>
        <v>0</v>
      </c>
      <c r="U12" s="280" t="e">
        <f t="shared" ref="U12" si="15">IF(T12="",(""),(INDEX($I$6:$K$11,(MATCH(T12,$I$6:$K$11,(0))),1)))</f>
        <v>#N/A</v>
      </c>
      <c r="V12" s="280" t="e">
        <f>IF(U12="",(""),(INDEX($I$6:$K$11,(MATCH(U12,$I$6:$K$11,(0))),1)))</f>
        <v>#N/A</v>
      </c>
      <c r="W12" s="682"/>
      <c r="X12" s="690"/>
      <c r="Y12" t="str">
        <f>IF(X12="",(""),(INDEX(R8:R75,MATCH(X12,Q8:Q75,0))&amp;" "&amp;INDEX(S8:S75,MATCH(X12,Q8:Q75,0))))</f>
        <v/>
      </c>
      <c r="Z12" s="315" t="str">
        <f t="shared" si="3"/>
        <v/>
      </c>
      <c r="AA12" s="674" t="str">
        <f t="shared" si="4"/>
        <v/>
      </c>
      <c r="AB12" s="280" t="str">
        <f t="shared" si="5"/>
        <v/>
      </c>
    </row>
    <row r="13" spans="1:28" x14ac:dyDescent="0.2">
      <c r="A13" s="468" t="s">
        <v>375</v>
      </c>
      <c r="B13" s="468" t="s">
        <v>584</v>
      </c>
      <c r="C13" s="468" t="s">
        <v>585</v>
      </c>
      <c r="D13" s="468" t="s">
        <v>507</v>
      </c>
      <c r="E13" s="468" t="s">
        <v>508</v>
      </c>
      <c r="F13" s="468" t="s">
        <v>502</v>
      </c>
      <c r="G13" s="468" t="s">
        <v>501</v>
      </c>
      <c r="H13" s="468" t="s">
        <v>54</v>
      </c>
      <c r="I13" s="468" t="s">
        <v>375</v>
      </c>
      <c r="J13" s="468" t="s">
        <v>584</v>
      </c>
      <c r="K13" s="468" t="s">
        <v>585</v>
      </c>
      <c r="L13" s="468" t="s">
        <v>507</v>
      </c>
      <c r="M13" s="468" t="s">
        <v>508</v>
      </c>
      <c r="N13" s="468" t="s">
        <v>502</v>
      </c>
      <c r="O13" s="468" t="s">
        <v>501</v>
      </c>
      <c r="P13" s="468" t="s">
        <v>54</v>
      </c>
      <c r="Q13" s="315" t="str">
        <f t="shared" si="12"/>
        <v/>
      </c>
      <c r="R13" s="280" t="str">
        <f t="shared" si="13"/>
        <v/>
      </c>
      <c r="S13" s="280" t="str">
        <f t="shared" si="14"/>
        <v/>
      </c>
      <c r="T13" s="242">
        <f>INDEX($N$6:$N$11,(MATCH(Q13,$C$6:$C$11,(0))),1)</f>
        <v>0</v>
      </c>
      <c r="U13" s="280" t="e">
        <f t="shared" ref="U13" si="16">IF(T13="",(""),(INDEX($I$6:$K$11,(MATCH(T13,$I$6:$K$11,(0))),1)))</f>
        <v>#N/A</v>
      </c>
      <c r="V13" s="280" t="e">
        <f>IF(U13="",(""),(INDEX($I$6:$K$11,(MATCH(U13,$I$6:$K$11,(0))),1)))</f>
        <v>#N/A</v>
      </c>
      <c r="W13" s="682"/>
      <c r="X13" s="690"/>
      <c r="Y13" t="str">
        <f>IF(X13="",(""),(INDEX(R9:R76,MATCH(X13,Q9:Q76,0))&amp;" "&amp;INDEX(S9:S76,MATCH(X13,Q9:Q76,0))))</f>
        <v/>
      </c>
      <c r="Z13" s="315" t="str">
        <f t="shared" si="3"/>
        <v/>
      </c>
      <c r="AA13" s="674" t="str">
        <f t="shared" si="4"/>
        <v/>
      </c>
      <c r="AB13" s="280" t="str">
        <f t="shared" si="5"/>
        <v/>
      </c>
    </row>
    <row r="14" spans="1:28" x14ac:dyDescent="0.2">
      <c r="A14" s="315" t="s">
        <v>561</v>
      </c>
      <c r="C14">
        <v>76</v>
      </c>
      <c r="F14" s="213">
        <v>100000</v>
      </c>
      <c r="G14" s="156">
        <v>43831</v>
      </c>
      <c r="H14" s="213">
        <f>IF(A14="",(""),IF(A14="Urbano Edif",(IF(G14-(F14/50*($C$2-(YEAR(G14))))&lt;1,(0.01),((F14-(F14/50*($C$2-(YEAR(G14)))))))),(F14)))</f>
        <v>92000</v>
      </c>
      <c r="I14" s="315" t="s">
        <v>561</v>
      </c>
      <c r="K14">
        <v>145</v>
      </c>
      <c r="N14" s="213">
        <v>10</v>
      </c>
      <c r="O14" s="156"/>
      <c r="P14" s="213">
        <f>IF(I14="",(""),IF(I14="Urbano Edif",(IF(O14-(N14/50*($C$2-(YEAR(O14))))&lt;1,(0.01),((N14-(N14/50*($C$2-(YEAR(O14)))))))),(N14)))</f>
        <v>0.01</v>
      </c>
      <c r="Q14" s="315" t="str">
        <f t="shared" si="12"/>
        <v/>
      </c>
      <c r="R14" s="280" t="str">
        <f t="shared" si="13"/>
        <v/>
      </c>
      <c r="S14" s="280" t="str">
        <f t="shared" si="14"/>
        <v/>
      </c>
      <c r="T14" s="242">
        <f>INDEX($N$6:$N$11,(MATCH(Q14,$C$6:$C$11,(0))),1)</f>
        <v>0</v>
      </c>
      <c r="U14" s="280" t="e">
        <f t="shared" ref="U14" si="17">IF(T14="",(""),(INDEX($I$6:$K$11,(MATCH(T14,$I$6:$K$11,(0))),1)))</f>
        <v>#N/A</v>
      </c>
      <c r="V14" s="280" t="e">
        <f>IF(U14="",(""),(INDEX($I$6:$K$11,(MATCH(U14,$I$6:$K$11,(0))),1)))</f>
        <v>#N/A</v>
      </c>
      <c r="W14" s="682"/>
      <c r="X14" s="690"/>
      <c r="Y14" t="str">
        <f>IF(X14="",(""),(INDEX(R10:R77,MATCH(X14,Q10:Q77,0))&amp;" "&amp;INDEX(S10:S77,MATCH(X14,Q10:Q77,0))))</f>
        <v/>
      </c>
      <c r="Z14" s="315" t="str">
        <f t="shared" si="3"/>
        <v/>
      </c>
      <c r="AA14" s="674" t="str">
        <f t="shared" si="4"/>
        <v/>
      </c>
      <c r="AB14" s="280" t="str">
        <f t="shared" si="5"/>
        <v/>
      </c>
    </row>
    <row r="15" spans="1:28" x14ac:dyDescent="0.2">
      <c r="A15" s="315"/>
      <c r="F15" s="213"/>
      <c r="H15" s="213" t="str">
        <f t="shared" ref="H15:H16" si="18">IF(A15="",(""),IF(A15="Urbano Edif",(IF(G15-(F15/50*($C$2-(YEAR(G15))))&lt;1,(0.01),((F15-(F15/50*($C$2-(YEAR(G15)))))))),(F15)))</f>
        <v/>
      </c>
      <c r="I15" s="315"/>
      <c r="N15" s="213"/>
      <c r="P15" s="213" t="str">
        <f t="shared" ref="P15:P16" si="19">IF(I15="",(""),IF(I15="Urbano Edif",(IF(O15-(N15/50*($C$2-(YEAR(O15))))&lt;1,(0.01),((N15-(N15/50*($C$2-(YEAR(O15)))))))),(N15)))</f>
        <v/>
      </c>
      <c r="Q15" s="315" t="str">
        <f t="shared" si="12"/>
        <v/>
      </c>
      <c r="R15" s="280" t="str">
        <f t="shared" si="13"/>
        <v/>
      </c>
      <c r="S15" s="280" t="str">
        <f t="shared" si="14"/>
        <v/>
      </c>
      <c r="T15" s="242">
        <f>INDEX($N$6:$N$11,(MATCH(Q15,$C$6:$C$11,(0))),1)</f>
        <v>0</v>
      </c>
      <c r="U15" s="280" t="e">
        <f t="shared" ref="U15" si="20">IF(T15="",(""),(INDEX($I$6:$K$11,(MATCH(T15,$I$6:$K$11,(0))),1)))</f>
        <v>#N/A</v>
      </c>
      <c r="V15" s="280" t="e">
        <f>IF(U15="",(""),(INDEX($I$6:$K$11,(MATCH(U15,$I$6:$K$11,(0))),1)))</f>
        <v>#N/A</v>
      </c>
      <c r="W15" s="682"/>
      <c r="X15" s="690"/>
      <c r="Y15" t="str">
        <f>IF(X15="",(""),(INDEX(R11:R78,MATCH(X15,Q11:Q78,0))&amp;" "&amp;INDEX(S11:S78,MATCH(X15,Q11:Q78,0))))</f>
        <v/>
      </c>
      <c r="Z15" s="315" t="str">
        <f t="shared" si="3"/>
        <v/>
      </c>
      <c r="AA15" s="674" t="str">
        <f t="shared" si="4"/>
        <v/>
      </c>
      <c r="AB15" s="280" t="str">
        <f t="shared" si="5"/>
        <v/>
      </c>
    </row>
    <row r="16" spans="1:28" x14ac:dyDescent="0.2">
      <c r="A16" s="315"/>
      <c r="F16" s="213"/>
      <c r="H16" s="213" t="str">
        <f t="shared" si="18"/>
        <v/>
      </c>
      <c r="I16" s="315"/>
      <c r="N16" s="213"/>
      <c r="P16" s="213" t="str">
        <f t="shared" si="19"/>
        <v/>
      </c>
      <c r="Q16" s="229" t="str">
        <f t="shared" si="12"/>
        <v/>
      </c>
      <c r="R16" s="280" t="str">
        <f t="shared" si="13"/>
        <v/>
      </c>
      <c r="S16" s="280" t="str">
        <f t="shared" si="14"/>
        <v/>
      </c>
      <c r="T16" s="242">
        <f>INDEX($N$6:$N$11,(MATCH(Q16,$C$6:$C$11,(0))),1)</f>
        <v>0</v>
      </c>
      <c r="U16" s="280" t="e">
        <f t="shared" ref="U16" si="21">IF(T16="",(""),(INDEX($I$6:$K$11,(MATCH(T16,$I$6:$K$11,(0))),1)))</f>
        <v>#N/A</v>
      </c>
      <c r="V16" s="280" t="e">
        <f>IF(U16="",(""),(INDEX($I$6:$K$11,(MATCH(U16,$I$6:$K$11,(0))),1)))</f>
        <v>#N/A</v>
      </c>
      <c r="W16" s="683"/>
      <c r="X16" s="690"/>
      <c r="Y16" t="str">
        <f>IF(X16="",(""),(INDEX(R12:R79,MATCH(X16,Q12:Q79,0))&amp;" "&amp;INDEX(S12:S79,MATCH(X16,Q12:Q79,0))))</f>
        <v/>
      </c>
      <c r="Z16" s="315" t="str">
        <f t="shared" si="3"/>
        <v/>
      </c>
      <c r="AA16" s="674" t="str">
        <f t="shared" si="4"/>
        <v/>
      </c>
      <c r="AB16" s="280" t="str">
        <f t="shared" si="5"/>
        <v/>
      </c>
    </row>
    <row r="17" spans="1:28" ht="18" x14ac:dyDescent="0.25">
      <c r="A17" s="630" t="s">
        <v>505</v>
      </c>
      <c r="B17" s="631"/>
      <c r="C17" s="631"/>
      <c r="D17" s="631"/>
      <c r="E17" s="631"/>
      <c r="F17" s="631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239">
        <f>IF(A14="",(""),(C14))</f>
        <v>76</v>
      </c>
      <c r="R17" s="242" t="str">
        <f>IF(Q17="",(""),(INDEX($A$14:$C$16,(MATCH(Q17,$C$14:$C$16,(0))),(1))))</f>
        <v>Urbano Edif</v>
      </c>
      <c r="S17" s="242">
        <f>IF(Q17="",(""),(INDEX($A$14:$C$16,(MATCH(Q17,$C$14:$C$16,(0))),(2))))</f>
        <v>0</v>
      </c>
      <c r="T17" s="242">
        <f>IF(Q17="",(""),(INDEX($F$14:$F$16,(MATCH(Q17,$C$14:$C$16,(0))),(1))))</f>
        <v>100000</v>
      </c>
      <c r="U17" s="242">
        <f>IF(Q17="",(""),(T17-V17))</f>
        <v>8000</v>
      </c>
      <c r="V17" s="242">
        <f>IF(Q17="",(""),(INDEX($H$14:$H$16,(MATCH(Q17,$C$14:$C$16,(0))),(1))))</f>
        <v>92000</v>
      </c>
      <c r="W17" s="681" t="s">
        <v>587</v>
      </c>
      <c r="X17" s="690"/>
      <c r="Y17" t="str">
        <f>IF(X17="",(""),(INDEX(R13:R80,MATCH(X17,Q13:Q80,0))&amp;" "&amp;INDEX(S13:S80,MATCH(X17,Q13:Q80,0))))</f>
        <v/>
      </c>
      <c r="Z17" s="315" t="str">
        <f t="shared" si="3"/>
        <v/>
      </c>
      <c r="AA17" s="674" t="str">
        <f t="shared" si="4"/>
        <v/>
      </c>
      <c r="AB17" s="280" t="str">
        <f t="shared" si="5"/>
        <v/>
      </c>
    </row>
    <row r="18" spans="1:28" x14ac:dyDescent="0.2">
      <c r="A18" s="468" t="s">
        <v>375</v>
      </c>
      <c r="B18" s="469" t="s">
        <v>582</v>
      </c>
      <c r="C18" s="469" t="s">
        <v>583</v>
      </c>
      <c r="D18" s="469" t="s">
        <v>497</v>
      </c>
      <c r="E18" s="469" t="s">
        <v>501</v>
      </c>
      <c r="F18" s="469" t="s">
        <v>502</v>
      </c>
      <c r="G18" s="469" t="s">
        <v>503</v>
      </c>
      <c r="H18" s="470" t="s">
        <v>54</v>
      </c>
      <c r="I18" s="468" t="s">
        <v>375</v>
      </c>
      <c r="J18" s="469" t="s">
        <v>582</v>
      </c>
      <c r="K18" s="469" t="s">
        <v>583</v>
      </c>
      <c r="L18" s="469" t="s">
        <v>497</v>
      </c>
      <c r="M18" s="469" t="s">
        <v>501</v>
      </c>
      <c r="N18" s="469" t="s">
        <v>502</v>
      </c>
      <c r="O18" s="469" t="s">
        <v>503</v>
      </c>
      <c r="P18" s="469" t="s">
        <v>54</v>
      </c>
      <c r="Q18" s="239" t="str">
        <f t="shared" ref="Q18:Q19" si="22">IF(A15="",(""),(C15))</f>
        <v/>
      </c>
      <c r="R18" s="242" t="str">
        <f t="shared" ref="R18" si="23">IF(Q18="",(""),(INDEX($A$14:$C$16,(MATCH(Q18,$C$14:$C$16,(0))),(1))))</f>
        <v/>
      </c>
      <c r="S18" s="242" t="str">
        <f t="shared" ref="S18:S19" si="24">IF(Q18="",(""),(INDEX($A$14:$C$16,(MATCH(Q18,$C$14:$C$16,(0))),(2))))</f>
        <v/>
      </c>
      <c r="T18" s="242" t="str">
        <f t="shared" ref="T18:T19" si="25">IF(Q18="",(""),(INDEX($F$14:$F$16,(MATCH(Q18,$C$14:$C$16,(0))),(1))))</f>
        <v/>
      </c>
      <c r="U18" s="242" t="str">
        <f t="shared" ref="U18:U22" si="26">IF(Q18="",(""),(T18-V18))</f>
        <v/>
      </c>
      <c r="V18" s="242" t="str">
        <f t="shared" ref="V18:V19" si="27">IF(Q18="",(""),(INDEX($H$14:$H$16,(MATCH(Q18,$C$14:$C$16,(0))),(1))))</f>
        <v/>
      </c>
      <c r="W18" s="682"/>
      <c r="X18" s="690"/>
      <c r="Y18" t="str">
        <f>IF(X18="",(""),(INDEX(R14:R81,MATCH(X18,Q14:Q81,0))&amp;" "&amp;INDEX(S14:S81,MATCH(X18,Q14:Q81,0))))</f>
        <v/>
      </c>
      <c r="Z18" s="315" t="str">
        <f t="shared" si="3"/>
        <v/>
      </c>
      <c r="AA18" s="674" t="str">
        <f t="shared" si="4"/>
        <v/>
      </c>
      <c r="AB18" s="280" t="str">
        <f t="shared" si="5"/>
        <v/>
      </c>
    </row>
    <row r="19" spans="1:28" x14ac:dyDescent="0.2">
      <c r="A19" s="239"/>
      <c r="B19" s="241"/>
      <c r="C19" s="241" t="str">
        <f>IF(A19="",(""),(100))</f>
        <v/>
      </c>
      <c r="D19" s="241"/>
      <c r="E19" s="241"/>
      <c r="F19" s="493"/>
      <c r="G19" s="493"/>
      <c r="H19" s="255"/>
      <c r="I19" s="239"/>
      <c r="J19" s="241"/>
      <c r="K19" s="241" t="str">
        <f>IF(I19="",(""),(C21+1))</f>
        <v/>
      </c>
      <c r="L19" s="241"/>
      <c r="M19" s="493"/>
      <c r="N19" s="493"/>
      <c r="O19" s="493"/>
      <c r="P19" s="493"/>
      <c r="Q19" s="239" t="str">
        <f t="shared" si="22"/>
        <v/>
      </c>
      <c r="R19" s="242" t="str">
        <f>IF(Q19="",(""),(INDEX($A$14:$C$16,(MATCH(Q19,$C$14:$C$16,(0))),(1))))</f>
        <v/>
      </c>
      <c r="S19" s="242" t="str">
        <f t="shared" si="24"/>
        <v/>
      </c>
      <c r="T19" s="242" t="str">
        <f t="shared" si="25"/>
        <v/>
      </c>
      <c r="U19" s="242" t="str">
        <f t="shared" si="26"/>
        <v/>
      </c>
      <c r="V19" s="242" t="str">
        <f t="shared" si="27"/>
        <v/>
      </c>
      <c r="W19" s="682"/>
      <c r="X19" s="690"/>
      <c r="Y19" t="str">
        <f>IF(X19="",(""),(INDEX(R15:R82,MATCH(X19,Q15:Q82,0))&amp;" "&amp;INDEX(S15:S82,MATCH(X19,Q15:Q82,0))))</f>
        <v/>
      </c>
      <c r="Z19" s="315" t="str">
        <f t="shared" si="3"/>
        <v/>
      </c>
      <c r="AA19" s="674" t="str">
        <f t="shared" si="4"/>
        <v/>
      </c>
      <c r="AB19" s="280" t="str">
        <f t="shared" si="5"/>
        <v/>
      </c>
    </row>
    <row r="20" spans="1:28" x14ac:dyDescent="0.2">
      <c r="A20" s="239"/>
      <c r="C20" s="674" t="str">
        <f>IF(A20="",(""),(C19+1))</f>
        <v/>
      </c>
      <c r="F20" s="213"/>
      <c r="G20" s="213"/>
      <c r="H20" s="320"/>
      <c r="I20" s="239"/>
      <c r="K20" s="241" t="str">
        <f t="shared" ref="K20:K21" si="28">IF(I20="",(""),(C22+1))</f>
        <v/>
      </c>
      <c r="M20" s="213"/>
      <c r="N20" s="213"/>
      <c r="O20" s="213"/>
      <c r="P20" s="213"/>
      <c r="Q20" s="315">
        <f>IF(I14="",(""),(K14))</f>
        <v>145</v>
      </c>
      <c r="R20" s="242" t="str">
        <f>IF(Q20="",(""),(INDEX($I$14:$K$16,(MATCH(Q20,$K$14:$K$16,(0))),(1))))</f>
        <v>Urbano Edif</v>
      </c>
      <c r="S20" s="242">
        <f>IF(Q20="",(""),(INDEX($I$14:$K$16,(MATCH(Q20,$K$14:$K$16,(0))),(2))))</f>
        <v>0</v>
      </c>
      <c r="T20" s="242">
        <f>IF(Q20="",(""),(INDEX($N$14:$N$16,(MATCH(Q20,$K$14:$K$16,(0))),(1))))</f>
        <v>10</v>
      </c>
      <c r="U20" s="242">
        <f t="shared" si="26"/>
        <v>9.99</v>
      </c>
      <c r="V20" s="242">
        <f>IF(Q20="",(""),(INDEX($P$14:$P$16,(MATCH(Q20,$K$14:$K$16,(0))),(1))))</f>
        <v>0.01</v>
      </c>
      <c r="W20" s="682"/>
      <c r="X20" s="690"/>
      <c r="Y20" t="str">
        <f>IF(X20="",(""),(INDEX(R16:R83,MATCH(X20,Q16:Q83,0))&amp;" "&amp;INDEX(S16:S83,MATCH(X20,Q16:Q83,0))))</f>
        <v/>
      </c>
      <c r="Z20" s="315" t="str">
        <f t="shared" si="3"/>
        <v/>
      </c>
      <c r="AA20" s="674" t="str">
        <f t="shared" si="4"/>
        <v/>
      </c>
      <c r="AB20" s="280" t="str">
        <f t="shared" si="5"/>
        <v/>
      </c>
    </row>
    <row r="21" spans="1:28" x14ac:dyDescent="0.2">
      <c r="A21" s="239"/>
      <c r="C21" s="674" t="str">
        <f t="shared" ref="C21" si="29">IF(A21="",(""),(C20+1))</f>
        <v/>
      </c>
      <c r="F21" s="213"/>
      <c r="G21" s="213"/>
      <c r="H21" s="320"/>
      <c r="I21" s="239"/>
      <c r="K21" s="241" t="str">
        <f t="shared" si="28"/>
        <v/>
      </c>
      <c r="M21" s="213"/>
      <c r="N21" s="213"/>
      <c r="O21" s="213"/>
      <c r="P21" s="213"/>
      <c r="Q21" s="315" t="str">
        <f t="shared" ref="Q21:Q22" si="30">IF(I15="",(""),(K15))</f>
        <v/>
      </c>
      <c r="R21" s="242" t="str">
        <f t="shared" ref="R21:R22" si="31">IF(Q21="",(""),(INDEX($I$14:$K$16,(MATCH(Q21,$K$14:$K$16,(0))),(1))))</f>
        <v/>
      </c>
      <c r="S21" s="242" t="str">
        <f t="shared" ref="S21:S22" si="32">IF(Q21="",(""),(INDEX($I$14:$K$16,(MATCH(Q21,$K$14:$K$16,(0))),(2))))</f>
        <v/>
      </c>
      <c r="T21" s="242" t="str">
        <f t="shared" ref="T21:T22" si="33">IF(Q21="",(""),(INDEX($N$14:$N$16,(MATCH(Q21,$K$14:$K$16,(0))),(1))))</f>
        <v/>
      </c>
      <c r="U21" s="242" t="str">
        <f t="shared" si="26"/>
        <v/>
      </c>
      <c r="V21" s="242" t="str">
        <f t="shared" ref="V21:V22" si="34">IF(Q21="",(""),(INDEX($P$14:$P$16,(MATCH(Q21,$K$14:$K$16,(0))),(1))))</f>
        <v/>
      </c>
      <c r="W21" s="682"/>
      <c r="X21" s="690"/>
      <c r="Y21" t="str">
        <f>IF(X21="",(""),(INDEX(R17:R84,MATCH(X21,Q17:Q84,0))&amp;" "&amp;INDEX(S17:S84,MATCH(X21,Q17:Q84,0))))</f>
        <v/>
      </c>
      <c r="Z21" s="315" t="str">
        <f t="shared" si="3"/>
        <v/>
      </c>
      <c r="AA21" s="674" t="str">
        <f t="shared" si="4"/>
        <v/>
      </c>
      <c r="AB21" s="280" t="str">
        <f t="shared" si="5"/>
        <v/>
      </c>
    </row>
    <row r="22" spans="1:28" ht="18" x14ac:dyDescent="0.25">
      <c r="A22" s="630" t="s">
        <v>506</v>
      </c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315" t="str">
        <f t="shared" si="30"/>
        <v/>
      </c>
      <c r="R22" s="242" t="str">
        <f t="shared" si="31"/>
        <v/>
      </c>
      <c r="S22" s="242" t="str">
        <f t="shared" si="32"/>
        <v/>
      </c>
      <c r="T22" s="242" t="str">
        <f t="shared" si="33"/>
        <v/>
      </c>
      <c r="U22" s="242" t="str">
        <f t="shared" si="26"/>
        <v/>
      </c>
      <c r="V22" s="242" t="str">
        <f t="shared" si="34"/>
        <v/>
      </c>
      <c r="W22" s="683"/>
      <c r="X22" s="690"/>
      <c r="Y22" t="str">
        <f>IF(X22="",(""),(INDEX(R18:R85,MATCH(X22,Q18:Q85,0))&amp;" "&amp;INDEX(S18:S85,MATCH(X22,Q18:Q85,0))))</f>
        <v/>
      </c>
      <c r="Z22" s="315" t="str">
        <f t="shared" si="3"/>
        <v/>
      </c>
      <c r="AA22" s="674" t="str">
        <f t="shared" si="4"/>
        <v/>
      </c>
      <c r="AB22" s="280" t="str">
        <f t="shared" si="5"/>
        <v/>
      </c>
    </row>
    <row r="23" spans="1:28" x14ac:dyDescent="0.2">
      <c r="A23" s="472" t="s">
        <v>375</v>
      </c>
      <c r="B23" s="473" t="s">
        <v>509</v>
      </c>
      <c r="C23" s="473" t="s">
        <v>514</v>
      </c>
      <c r="D23" s="473" t="s">
        <v>510</v>
      </c>
      <c r="E23" s="473" t="s">
        <v>503</v>
      </c>
      <c r="F23" s="474" t="s">
        <v>54</v>
      </c>
      <c r="G23" s="472" t="s">
        <v>375</v>
      </c>
      <c r="H23" s="473" t="s">
        <v>509</v>
      </c>
      <c r="I23" s="473" t="s">
        <v>514</v>
      </c>
      <c r="J23" s="473" t="s">
        <v>510</v>
      </c>
      <c r="K23" s="473" t="s">
        <v>503</v>
      </c>
      <c r="L23" s="474" t="s">
        <v>54</v>
      </c>
      <c r="Q23" s="239" t="str">
        <f>C19</f>
        <v/>
      </c>
      <c r="R23" s="242" t="str">
        <f>IF(Q23="",(""),(VLOOKUP(Q23,$A$19:$B$21,2,FALSE)))</f>
        <v/>
      </c>
      <c r="S23" s="242"/>
      <c r="T23" s="242">
        <f>B24</f>
        <v>0</v>
      </c>
      <c r="U23" s="255">
        <f>T23-V23</f>
        <v>0</v>
      </c>
      <c r="V23" s="255">
        <f>F24</f>
        <v>0</v>
      </c>
      <c r="W23" s="684" t="s">
        <v>588</v>
      </c>
      <c r="X23" s="690"/>
      <c r="Y23" t="str">
        <f>IF(X23="",(""),(INDEX(R19:R86,MATCH(X23,Q19:Q86,0))&amp;" "&amp;INDEX(S19:S86,MATCH(X23,Q19:Q86,0))))</f>
        <v/>
      </c>
      <c r="Z23" s="315" t="str">
        <f t="shared" si="3"/>
        <v/>
      </c>
      <c r="AA23" s="674" t="str">
        <f t="shared" si="4"/>
        <v/>
      </c>
      <c r="AB23" s="280" t="str">
        <f t="shared" si="5"/>
        <v/>
      </c>
    </row>
    <row r="24" spans="1:28" x14ac:dyDescent="0.2">
      <c r="A24" s="315"/>
      <c r="D24" s="213"/>
      <c r="E24" s="213"/>
      <c r="F24" s="320"/>
      <c r="G24" s="315"/>
      <c r="J24" s="213"/>
      <c r="K24" s="213"/>
      <c r="L24" s="320"/>
      <c r="Q24" s="315" t="str">
        <f t="shared" ref="Q24:Q25" si="35">C20</f>
        <v/>
      </c>
      <c r="R24" s="242" t="str">
        <f t="shared" ref="R24:R25" si="36">IF(Q24="",(""),(VLOOKUP(Q24,$A$19:$B$21,2,FALSE)))</f>
        <v/>
      </c>
      <c r="S24" s="280"/>
      <c r="T24" s="242">
        <f t="shared" ref="T24:T25" si="37">B25</f>
        <v>0</v>
      </c>
      <c r="U24" s="255">
        <f t="shared" ref="U24:U28" si="38">T24-V24</f>
        <v>0</v>
      </c>
      <c r="V24" s="255">
        <f t="shared" ref="V24:V25" si="39">F25</f>
        <v>0</v>
      </c>
      <c r="W24" s="685"/>
      <c r="X24" s="690"/>
      <c r="Y24" t="str">
        <f>IF(X24="",(""),(INDEX(R20:R87,MATCH(X24,Q20:Q87,0))&amp;" "&amp;INDEX(S20:S87,MATCH(X24,Q20:Q87,0))))</f>
        <v/>
      </c>
      <c r="Z24" s="315" t="str">
        <f t="shared" si="3"/>
        <v/>
      </c>
      <c r="AA24" s="674" t="str">
        <f t="shared" si="4"/>
        <v/>
      </c>
      <c r="AB24" s="280" t="str">
        <f t="shared" si="5"/>
        <v/>
      </c>
    </row>
    <row r="25" spans="1:28" x14ac:dyDescent="0.2">
      <c r="A25" s="315"/>
      <c r="D25" s="213"/>
      <c r="E25" s="213"/>
      <c r="F25" s="320"/>
      <c r="G25" s="315"/>
      <c r="J25" s="213"/>
      <c r="K25" s="213"/>
      <c r="L25" s="320"/>
      <c r="Q25" s="315" t="str">
        <f t="shared" si="35"/>
        <v/>
      </c>
      <c r="R25" s="242" t="str">
        <f t="shared" si="36"/>
        <v/>
      </c>
      <c r="S25" s="280"/>
      <c r="T25" s="242">
        <f t="shared" si="37"/>
        <v>0</v>
      </c>
      <c r="U25" s="255">
        <f t="shared" si="38"/>
        <v>0</v>
      </c>
      <c r="V25" s="255">
        <f t="shared" si="39"/>
        <v>0</v>
      </c>
      <c r="W25" s="685"/>
      <c r="X25" s="690"/>
      <c r="Y25" t="str">
        <f>IF(X25="",(""),(INDEX(R21:R88,MATCH(X25,Q21:Q88,0))&amp;" "&amp;INDEX(S21:S88,MATCH(X25,Q21:Q88,0))))</f>
        <v/>
      </c>
      <c r="Z25" s="315" t="str">
        <f t="shared" si="3"/>
        <v/>
      </c>
      <c r="AA25" s="674" t="str">
        <f t="shared" si="4"/>
        <v/>
      </c>
      <c r="AB25" s="280" t="str">
        <f t="shared" si="5"/>
        <v/>
      </c>
    </row>
    <row r="26" spans="1:28" x14ac:dyDescent="0.2">
      <c r="A26" s="229"/>
      <c r="B26" s="283"/>
      <c r="C26" s="283"/>
      <c r="D26" s="465"/>
      <c r="E26" s="465"/>
      <c r="F26" s="485"/>
      <c r="G26" s="229"/>
      <c r="H26" s="283"/>
      <c r="I26" s="283"/>
      <c r="J26" s="465"/>
      <c r="K26" s="465"/>
      <c r="L26" s="485"/>
      <c r="Q26" s="315" t="str">
        <f>K19</f>
        <v/>
      </c>
      <c r="R26" s="242" t="str">
        <f>IF(Q26="",(""),(VLOOKUP(Q26,$I$19:$K$21,2,FALSE)))</f>
        <v/>
      </c>
      <c r="S26" s="280"/>
      <c r="T26" s="280">
        <f>H24</f>
        <v>0</v>
      </c>
      <c r="U26" s="255">
        <f t="shared" si="38"/>
        <v>0</v>
      </c>
      <c r="V26" s="255">
        <f>L24</f>
        <v>0</v>
      </c>
      <c r="W26" s="685"/>
      <c r="X26" s="690"/>
      <c r="Y26" t="str">
        <f>IF(X26="",(""),(INDEX(R22:R89,MATCH(X26,Q22:Q89,0))&amp;" "&amp;INDEX(S22:S89,MATCH(X26,Q22:Q89,0))))</f>
        <v/>
      </c>
      <c r="Z26" s="315" t="str">
        <f t="shared" si="3"/>
        <v/>
      </c>
      <c r="AA26" s="674" t="str">
        <f t="shared" si="4"/>
        <v/>
      </c>
      <c r="AB26" s="280" t="str">
        <f t="shared" si="5"/>
        <v/>
      </c>
    </row>
    <row r="27" spans="1:28" x14ac:dyDescent="0.2">
      <c r="Q27" s="315" t="str">
        <f t="shared" ref="Q27:Q28" si="40">K20</f>
        <v/>
      </c>
      <c r="R27" s="242" t="str">
        <f t="shared" ref="R27:R28" si="41">IF(Q27="",(""),(VLOOKUP(Q27,$I$19:$K$21,2,FALSE)))</f>
        <v/>
      </c>
      <c r="S27" s="280"/>
      <c r="T27" s="280">
        <f t="shared" ref="T27:T28" si="42">H25</f>
        <v>0</v>
      </c>
      <c r="U27" s="255">
        <f t="shared" si="38"/>
        <v>0</v>
      </c>
      <c r="V27" s="255">
        <f t="shared" ref="V27:V28" si="43">L25</f>
        <v>0</v>
      </c>
      <c r="W27" s="685"/>
      <c r="X27" s="690"/>
      <c r="Y27" t="str">
        <f>IF(X27="",(""),(INDEX(R23:R90,MATCH(X27,Q23:Q90,0))&amp;" "&amp;INDEX(S23:S90,MATCH(X27,Q23:Q90,0))))</f>
        <v/>
      </c>
      <c r="Z27" s="315" t="str">
        <f t="shared" si="3"/>
        <v/>
      </c>
      <c r="AA27" s="674" t="str">
        <f t="shared" si="4"/>
        <v/>
      </c>
      <c r="AB27" s="280" t="str">
        <f t="shared" si="5"/>
        <v/>
      </c>
    </row>
    <row r="28" spans="1:28" ht="23.25" x14ac:dyDescent="0.35">
      <c r="A28" s="471" t="s">
        <v>511</v>
      </c>
      <c r="Q28" s="229" t="str">
        <f t="shared" si="40"/>
        <v/>
      </c>
      <c r="R28" s="242" t="str">
        <f t="shared" si="41"/>
        <v/>
      </c>
      <c r="S28" s="284"/>
      <c r="T28" s="280">
        <f t="shared" si="42"/>
        <v>0</v>
      </c>
      <c r="U28" s="255">
        <f t="shared" si="38"/>
        <v>0</v>
      </c>
      <c r="V28" s="255">
        <f t="shared" si="43"/>
        <v>0</v>
      </c>
      <c r="W28" s="686"/>
      <c r="X28" s="690"/>
      <c r="Y28" t="str">
        <f>IF(X28="",(""),(INDEX(R24:R91,MATCH(X28,Q24:Q91,0))&amp;" "&amp;INDEX(S24:S91,MATCH(X28,Q24:Q91,0))))</f>
        <v/>
      </c>
      <c r="Z28" s="315" t="str">
        <f t="shared" si="3"/>
        <v/>
      </c>
      <c r="AA28" s="674" t="str">
        <f t="shared" si="4"/>
        <v/>
      </c>
      <c r="AB28" s="280" t="str">
        <f t="shared" si="5"/>
        <v/>
      </c>
    </row>
    <row r="29" spans="1:28" ht="18" x14ac:dyDescent="0.25">
      <c r="A29" s="630" t="s">
        <v>500</v>
      </c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239" t="str">
        <f>IF(A24="",(""),(A24))</f>
        <v/>
      </c>
      <c r="R29" s="242"/>
      <c r="S29" s="242"/>
      <c r="T29" s="242">
        <f>B24</f>
        <v>0</v>
      </c>
      <c r="U29" s="242" t="str">
        <f>IF(Q29="",(""),(T29-V29))</f>
        <v/>
      </c>
      <c r="V29" s="255">
        <f>F24</f>
        <v>0</v>
      </c>
      <c r="W29" s="687" t="s">
        <v>589</v>
      </c>
      <c r="X29" s="690"/>
      <c r="Y29" t="str">
        <f>IF(X29="",(""),(INDEX(R25:R92,MATCH(X29,Q25:Q92,0))&amp;" "&amp;INDEX(S25:S92,MATCH(X29,Q25:Q92,0))))</f>
        <v/>
      </c>
      <c r="Z29" s="315" t="str">
        <f t="shared" si="3"/>
        <v/>
      </c>
      <c r="AA29" s="674" t="str">
        <f t="shared" si="4"/>
        <v/>
      </c>
      <c r="AB29" s="280" t="str">
        <f t="shared" si="5"/>
        <v/>
      </c>
    </row>
    <row r="30" spans="1:28" x14ac:dyDescent="0.2">
      <c r="A30" s="468" t="s">
        <v>375</v>
      </c>
      <c r="B30" s="469" t="s">
        <v>582</v>
      </c>
      <c r="C30" s="469" t="s">
        <v>583</v>
      </c>
      <c r="D30" s="469" t="s">
        <v>497</v>
      </c>
      <c r="E30" s="469" t="s">
        <v>501</v>
      </c>
      <c r="F30" s="469" t="s">
        <v>502</v>
      </c>
      <c r="G30" s="469" t="s">
        <v>503</v>
      </c>
      <c r="H30" s="470" t="s">
        <v>54</v>
      </c>
      <c r="I30" s="468" t="s">
        <v>375</v>
      </c>
      <c r="J30" s="469" t="s">
        <v>582</v>
      </c>
      <c r="K30" s="469" t="s">
        <v>583</v>
      </c>
      <c r="L30" s="469" t="s">
        <v>497</v>
      </c>
      <c r="M30" s="469" t="s">
        <v>501</v>
      </c>
      <c r="N30" s="469" t="s">
        <v>502</v>
      </c>
      <c r="O30" s="469" t="s">
        <v>503</v>
      </c>
      <c r="P30" s="469" t="s">
        <v>54</v>
      </c>
      <c r="Q30" s="239" t="str">
        <f t="shared" ref="Q30:Q31" si="44">IF(A25="",(""),(A25))</f>
        <v/>
      </c>
      <c r="R30" s="280"/>
      <c r="S30" s="280"/>
      <c r="T30" s="242">
        <f t="shared" ref="T30:T31" si="45">B25</f>
        <v>0</v>
      </c>
      <c r="U30" s="242" t="str">
        <f t="shared" ref="U30:U34" si="46">IF(Q30="",(""),(T30-V30))</f>
        <v/>
      </c>
      <c r="V30" s="255">
        <f t="shared" ref="V30:V31" si="47">F25</f>
        <v>0</v>
      </c>
      <c r="W30" s="688"/>
      <c r="X30" s="690"/>
      <c r="Y30" t="str">
        <f>IF(X30="",(""),(INDEX(R26:R93,MATCH(X30,Q26:Q93,0))&amp;" "&amp;INDEX(S26:S93,MATCH(X30,Q26:Q93,0))))</f>
        <v/>
      </c>
      <c r="Z30" s="315" t="str">
        <f t="shared" si="3"/>
        <v/>
      </c>
      <c r="AA30" s="674" t="str">
        <f t="shared" si="4"/>
        <v/>
      </c>
      <c r="AB30" s="280" t="str">
        <f t="shared" si="5"/>
        <v/>
      </c>
    </row>
    <row r="31" spans="1:28" x14ac:dyDescent="0.2">
      <c r="A31" s="239"/>
      <c r="B31" s="241"/>
      <c r="C31" s="241" t="str">
        <f>IF(A31="",(""),(200))</f>
        <v/>
      </c>
      <c r="D31" s="241"/>
      <c r="E31" s="241"/>
      <c r="F31" s="493"/>
      <c r="G31" s="493"/>
      <c r="H31" s="255"/>
      <c r="I31" s="239"/>
      <c r="J31" s="241"/>
      <c r="K31" s="241" t="str">
        <f>IF(I31="",(""),(C36+1))</f>
        <v/>
      </c>
      <c r="L31" s="241"/>
      <c r="M31" s="493"/>
      <c r="N31" s="493"/>
      <c r="O31" s="493"/>
      <c r="P31" s="255"/>
      <c r="Q31" s="239" t="str">
        <f t="shared" si="44"/>
        <v/>
      </c>
      <c r="R31" s="280"/>
      <c r="S31" s="280"/>
      <c r="T31" s="242">
        <f t="shared" si="45"/>
        <v>0</v>
      </c>
      <c r="U31" s="242" t="str">
        <f t="shared" si="46"/>
        <v/>
      </c>
      <c r="V31" s="255">
        <f t="shared" si="47"/>
        <v>0</v>
      </c>
      <c r="W31" s="688"/>
      <c r="X31" s="690"/>
      <c r="Y31" t="str">
        <f>IF(X31="",(""),(INDEX(R27:R94,MATCH(X31,Q27:Q94,0))&amp;" "&amp;INDEX(S27:S94,MATCH(X31,Q27:Q94,0))))</f>
        <v/>
      </c>
      <c r="Z31" s="315" t="str">
        <f t="shared" si="3"/>
        <v/>
      </c>
      <c r="AA31" s="674" t="str">
        <f t="shared" si="4"/>
        <v/>
      </c>
      <c r="AB31" s="280" t="str">
        <f t="shared" si="5"/>
        <v/>
      </c>
    </row>
    <row r="32" spans="1:28" x14ac:dyDescent="0.2">
      <c r="A32" s="315"/>
      <c r="B32" s="674"/>
      <c r="C32" s="674" t="str">
        <f>IF(A32="",(""),(C31+1))</f>
        <v/>
      </c>
      <c r="D32" s="674"/>
      <c r="E32" s="674"/>
      <c r="F32" s="677"/>
      <c r="G32" s="677"/>
      <c r="H32" s="320"/>
      <c r="I32" s="315"/>
      <c r="J32" s="674"/>
      <c r="K32" s="674" t="str">
        <f>IF(I32="",(""),(K31+1))</f>
        <v/>
      </c>
      <c r="L32" s="674"/>
      <c r="M32" s="677"/>
      <c r="N32" s="677"/>
      <c r="O32" s="677"/>
      <c r="P32" s="320"/>
      <c r="Q32" s="315" t="str">
        <f>IF(G24="",(""),(G24))</f>
        <v/>
      </c>
      <c r="R32" s="280"/>
      <c r="S32" s="280"/>
      <c r="T32" s="280">
        <f>H24</f>
        <v>0</v>
      </c>
      <c r="U32" s="242" t="str">
        <f t="shared" si="46"/>
        <v/>
      </c>
      <c r="V32" s="320">
        <f>L24</f>
        <v>0</v>
      </c>
      <c r="W32" s="688"/>
      <c r="X32" s="690"/>
      <c r="Y32" t="str">
        <f>IF(X32="",(""),(INDEX(R28:R95,MATCH(X32,Q28:Q95,0))&amp;" "&amp;INDEX(S28:S95,MATCH(X32,Q28:Q95,0))))</f>
        <v/>
      </c>
      <c r="Z32" s="315" t="str">
        <f t="shared" si="3"/>
        <v/>
      </c>
      <c r="AA32" s="674" t="str">
        <f t="shared" si="4"/>
        <v/>
      </c>
      <c r="AB32" s="280" t="str">
        <f t="shared" si="5"/>
        <v/>
      </c>
    </row>
    <row r="33" spans="1:28" x14ac:dyDescent="0.2">
      <c r="A33" s="315"/>
      <c r="B33" s="674"/>
      <c r="C33" s="674" t="str">
        <f t="shared" ref="C33:C36" si="48">IF(A33="",(""),(C32+1))</f>
        <v/>
      </c>
      <c r="D33" s="674"/>
      <c r="E33" s="674"/>
      <c r="F33" s="677"/>
      <c r="G33" s="677"/>
      <c r="H33" s="320"/>
      <c r="I33" s="315"/>
      <c r="J33" s="674"/>
      <c r="K33" s="674" t="str">
        <f t="shared" ref="K33:K36" si="49">IF(I33="",(""),(K32+1))</f>
        <v/>
      </c>
      <c r="L33" s="674"/>
      <c r="M33" s="677"/>
      <c r="N33" s="677"/>
      <c r="O33" s="677"/>
      <c r="P33" s="320"/>
      <c r="Q33" s="315" t="str">
        <f t="shared" ref="Q33:Q34" si="50">IF(G25="",(""),(G25))</f>
        <v/>
      </c>
      <c r="R33" s="280"/>
      <c r="S33" s="280"/>
      <c r="T33" s="280">
        <f t="shared" ref="T33:T34" si="51">H25</f>
        <v>0</v>
      </c>
      <c r="U33" s="242" t="str">
        <f t="shared" si="46"/>
        <v/>
      </c>
      <c r="V33" s="320">
        <f t="shared" ref="V33:V34" si="52">L25</f>
        <v>0</v>
      </c>
      <c r="W33" s="688"/>
      <c r="X33" s="690"/>
      <c r="Y33" t="str">
        <f>IF(X33="",(""),(INDEX(R29:R96,MATCH(X33,Q29:Q96,0))&amp;" "&amp;INDEX(S29:S96,MATCH(X33,Q29:Q96,0))))</f>
        <v/>
      </c>
      <c r="Z33" s="315" t="str">
        <f t="shared" si="3"/>
        <v/>
      </c>
      <c r="AA33" s="674" t="str">
        <f t="shared" si="4"/>
        <v/>
      </c>
      <c r="AB33" s="280" t="str">
        <f t="shared" si="5"/>
        <v/>
      </c>
    </row>
    <row r="34" spans="1:28" x14ac:dyDescent="0.2">
      <c r="A34" s="315"/>
      <c r="B34" s="674"/>
      <c r="C34" s="674" t="str">
        <f t="shared" si="48"/>
        <v/>
      </c>
      <c r="D34" s="674"/>
      <c r="E34" s="674"/>
      <c r="F34" s="677"/>
      <c r="G34" s="677"/>
      <c r="H34" s="320"/>
      <c r="I34" s="315"/>
      <c r="J34" s="674"/>
      <c r="K34" s="674" t="str">
        <f t="shared" si="49"/>
        <v/>
      </c>
      <c r="L34" s="674"/>
      <c r="M34" s="677"/>
      <c r="N34" s="677"/>
      <c r="O34" s="677"/>
      <c r="P34" s="320"/>
      <c r="Q34" s="315" t="str">
        <f t="shared" si="50"/>
        <v/>
      </c>
      <c r="R34" s="284"/>
      <c r="S34" s="284"/>
      <c r="T34" s="280">
        <f t="shared" si="51"/>
        <v>0</v>
      </c>
      <c r="U34" s="242" t="str">
        <f t="shared" si="46"/>
        <v/>
      </c>
      <c r="V34" s="320">
        <f t="shared" si="52"/>
        <v>0</v>
      </c>
      <c r="W34" s="689"/>
      <c r="X34" s="690"/>
      <c r="Y34" t="str">
        <f>IF(X34="",(""),(INDEX(R30:R97,MATCH(X34,Q30:Q97,0))&amp;" "&amp;INDEX(S30:S97,MATCH(X34,Q30:Q97,0))))</f>
        <v/>
      </c>
      <c r="Z34" s="315" t="str">
        <f t="shared" si="3"/>
        <v/>
      </c>
      <c r="AA34" s="674" t="str">
        <f t="shared" si="4"/>
        <v/>
      </c>
      <c r="AB34" s="280" t="str">
        <f t="shared" si="5"/>
        <v/>
      </c>
    </row>
    <row r="35" spans="1:28" x14ac:dyDescent="0.2">
      <c r="A35" s="315"/>
      <c r="B35" s="674"/>
      <c r="C35" s="674" t="str">
        <f t="shared" si="48"/>
        <v/>
      </c>
      <c r="D35" s="674"/>
      <c r="E35" s="674"/>
      <c r="F35" s="677"/>
      <c r="G35" s="677"/>
      <c r="H35" s="320"/>
      <c r="I35" s="315"/>
      <c r="J35" s="674"/>
      <c r="K35" s="674" t="str">
        <f t="shared" si="49"/>
        <v/>
      </c>
      <c r="L35" s="674"/>
      <c r="M35" s="677"/>
      <c r="N35" s="677"/>
      <c r="O35" s="677"/>
      <c r="P35" s="320"/>
      <c r="Q35" s="239" t="str">
        <f>C31</f>
        <v/>
      </c>
      <c r="R35" s="242">
        <f>INDEX($A$31:$C$36,(MATCH(Q35,$C$31:$C$36,(0))),1)</f>
        <v>0</v>
      </c>
      <c r="S35" s="242">
        <f>INDEX($A$31:$C$36,(MATCH(Q35,$C$31:$C$36,(0))),2)</f>
        <v>0</v>
      </c>
      <c r="T35" s="242">
        <f>INDEX($F$31:$F$36,(MATCH(Q35,$C$31:$C$36,(0))),1)</f>
        <v>0</v>
      </c>
      <c r="U35" s="697" t="str">
        <f>IF(Q35="",(""),(T35-V35))</f>
        <v/>
      </c>
      <c r="V35" s="242">
        <f>INDEX($H$31:$H$36,(MATCH(U35,$C$31:$C$36,(0))),1)</f>
        <v>0</v>
      </c>
      <c r="W35" s="687" t="s">
        <v>590</v>
      </c>
      <c r="X35" s="690"/>
      <c r="Y35" t="str">
        <f>IF(X35="",(""),(INDEX(R31:R98,MATCH(X35,Q31:Q98,0))&amp;" "&amp;INDEX(S31:S98,MATCH(X35,Q31:Q98,0))))</f>
        <v/>
      </c>
      <c r="Z35" s="315" t="str">
        <f t="shared" si="3"/>
        <v/>
      </c>
      <c r="AA35" s="674" t="str">
        <f t="shared" si="4"/>
        <v/>
      </c>
      <c r="AB35" s="280" t="str">
        <f t="shared" si="5"/>
        <v/>
      </c>
    </row>
    <row r="36" spans="1:28" x14ac:dyDescent="0.2">
      <c r="A36" s="229"/>
      <c r="B36" s="283"/>
      <c r="C36" s="283" t="str">
        <f t="shared" si="48"/>
        <v/>
      </c>
      <c r="D36" s="283"/>
      <c r="E36" s="283"/>
      <c r="F36" s="465"/>
      <c r="G36" s="465"/>
      <c r="H36" s="485"/>
      <c r="I36" s="229"/>
      <c r="J36" s="283"/>
      <c r="K36" s="283" t="str">
        <f t="shared" si="49"/>
        <v/>
      </c>
      <c r="L36" s="283"/>
      <c r="M36" s="465"/>
      <c r="N36" s="465"/>
      <c r="O36" s="465"/>
      <c r="P36" s="485"/>
      <c r="Q36" s="239" t="str">
        <f t="shared" ref="Q36:Q40" si="53">C32</f>
        <v/>
      </c>
      <c r="R36" s="242">
        <f t="shared" ref="R36:R46" si="54">INDEX($A$31:$C$36,(MATCH(Q36,$C$31:$C$36,(0))),1)</f>
        <v>0</v>
      </c>
      <c r="S36" s="242">
        <f t="shared" ref="S36:S40" si="55">INDEX($A$31:$C$36,(MATCH(Q36,$C$31:$C$36,(0))),2)</f>
        <v>0</v>
      </c>
      <c r="T36" s="242">
        <f t="shared" ref="T36:T40" si="56">INDEX($F$31:$F$36,(MATCH(Q36,$C$31:$C$36,(0))),1)</f>
        <v>0</v>
      </c>
      <c r="U36" s="697" t="str">
        <f t="shared" ref="U36:U52" si="57">IF(Q36="",(""),(T36-V36))</f>
        <v/>
      </c>
      <c r="V36" s="242">
        <f t="shared" ref="V36:V40" si="58">INDEX($H$31:$H$36,(MATCH(U36,$C$31:$C$36,(0))),1)</f>
        <v>0</v>
      </c>
      <c r="W36" s="688"/>
      <c r="X36" s="690"/>
      <c r="Y36" t="str">
        <f>IF(X36="",(""),(INDEX(R32:R99,MATCH(X36,Q32:Q99,0))&amp;" "&amp;INDEX(S32:S99,MATCH(X36,Q32:Q99,0))))</f>
        <v/>
      </c>
      <c r="Z36" s="315" t="str">
        <f t="shared" si="3"/>
        <v/>
      </c>
      <c r="AA36" s="674" t="str">
        <f t="shared" si="4"/>
        <v/>
      </c>
      <c r="AB36" s="280" t="str">
        <f t="shared" si="5"/>
        <v/>
      </c>
    </row>
    <row r="37" spans="1:28" ht="18" x14ac:dyDescent="0.25">
      <c r="A37" s="675" t="s">
        <v>18</v>
      </c>
      <c r="B37" s="676"/>
      <c r="C37" s="676"/>
      <c r="D37" s="676"/>
      <c r="E37" s="676"/>
      <c r="F37" s="676"/>
      <c r="G37" s="676"/>
      <c r="H37" s="676"/>
      <c r="I37" s="676"/>
      <c r="J37" s="676"/>
      <c r="K37" s="676"/>
      <c r="L37" s="676"/>
      <c r="M37" s="676"/>
      <c r="N37" s="676"/>
      <c r="O37" s="676"/>
      <c r="P37" s="676"/>
      <c r="Q37" s="239" t="str">
        <f t="shared" si="53"/>
        <v/>
      </c>
      <c r="R37" s="242">
        <f t="shared" si="54"/>
        <v>0</v>
      </c>
      <c r="S37" s="242">
        <f t="shared" si="55"/>
        <v>0</v>
      </c>
      <c r="T37" s="242">
        <f t="shared" si="56"/>
        <v>0</v>
      </c>
      <c r="U37" s="697" t="str">
        <f t="shared" si="57"/>
        <v/>
      </c>
      <c r="V37" s="242">
        <f t="shared" si="58"/>
        <v>0</v>
      </c>
      <c r="W37" s="688"/>
      <c r="X37" s="690"/>
      <c r="Y37" t="str">
        <f>IF(X37="",(""),(INDEX(R33:R100,MATCH(X37,Q33:Q100,0))&amp;" "&amp;INDEX(S33:S100,MATCH(X37,Q33:Q100,0))))</f>
        <v/>
      </c>
      <c r="Z37" s="315" t="str">
        <f t="shared" si="3"/>
        <v/>
      </c>
      <c r="AA37" s="674" t="str">
        <f t="shared" si="4"/>
        <v/>
      </c>
      <c r="AB37" s="280" t="str">
        <f t="shared" si="5"/>
        <v/>
      </c>
    </row>
    <row r="38" spans="1:28" x14ac:dyDescent="0.2">
      <c r="A38" s="468" t="s">
        <v>375</v>
      </c>
      <c r="B38" s="468" t="s">
        <v>584</v>
      </c>
      <c r="C38" s="468" t="s">
        <v>585</v>
      </c>
      <c r="D38" s="468" t="s">
        <v>507</v>
      </c>
      <c r="E38" s="468" t="s">
        <v>508</v>
      </c>
      <c r="F38" s="468" t="s">
        <v>502</v>
      </c>
      <c r="G38" s="468" t="s">
        <v>501</v>
      </c>
      <c r="H38" s="468" t="s">
        <v>54</v>
      </c>
      <c r="I38" s="468" t="s">
        <v>375</v>
      </c>
      <c r="J38" s="468" t="s">
        <v>584</v>
      </c>
      <c r="K38" s="468" t="s">
        <v>585</v>
      </c>
      <c r="L38" s="468" t="s">
        <v>507</v>
      </c>
      <c r="M38" s="468" t="s">
        <v>508</v>
      </c>
      <c r="N38" s="468" t="s">
        <v>502</v>
      </c>
      <c r="O38" s="468" t="s">
        <v>501</v>
      </c>
      <c r="P38" s="468" t="s">
        <v>54</v>
      </c>
      <c r="Q38" s="239" t="str">
        <f t="shared" si="53"/>
        <v/>
      </c>
      <c r="R38" s="242">
        <f t="shared" si="54"/>
        <v>0</v>
      </c>
      <c r="S38" s="242">
        <f t="shared" si="55"/>
        <v>0</v>
      </c>
      <c r="T38" s="242">
        <f t="shared" si="56"/>
        <v>0</v>
      </c>
      <c r="U38" s="697" t="str">
        <f t="shared" si="57"/>
        <v/>
      </c>
      <c r="V38" s="242">
        <f t="shared" si="58"/>
        <v>0</v>
      </c>
      <c r="W38" s="688"/>
      <c r="X38" s="690"/>
      <c r="Y38" t="str">
        <f>IF(X38="",(""),(INDEX(R34:R101,MATCH(X38,Q34:Q101,0))&amp;" "&amp;INDEX(S34:S101,MATCH(X38,Q34:Q101,0))))</f>
        <v/>
      </c>
      <c r="Z38" s="315" t="str">
        <f t="shared" si="3"/>
        <v/>
      </c>
      <c r="AA38" s="674" t="str">
        <f t="shared" si="4"/>
        <v/>
      </c>
      <c r="AB38" s="280" t="str">
        <f t="shared" si="5"/>
        <v/>
      </c>
    </row>
    <row r="39" spans="1:28" x14ac:dyDescent="0.2">
      <c r="A39" s="315" t="s">
        <v>561</v>
      </c>
      <c r="C39">
        <v>123</v>
      </c>
      <c r="F39" s="213">
        <v>100000</v>
      </c>
      <c r="G39" s="156">
        <v>43831</v>
      </c>
      <c r="H39" s="213">
        <f>IF(A39="",(""),IF(A39="Urbano Edif",(IF(G39-(F39/50*($C$2-(YEAR(G39))))&lt;1,(0.01),((F39-(F39/50*($C$2-(YEAR(G39)))))))),(F39)))</f>
        <v>92000</v>
      </c>
      <c r="I39" s="315"/>
      <c r="N39" s="213"/>
      <c r="O39" s="156"/>
      <c r="P39" s="213" t="str">
        <f>IF(I39="",(""),IF(I39="Urbano Edif",(IF(O39-(N39/50*($C$2-(YEAR(O39))))&lt;1,(0.01),((N39-(N39/50*($C$2-(YEAR(O39)))))))),(N39)))</f>
        <v/>
      </c>
      <c r="Q39" s="239" t="str">
        <f t="shared" si="53"/>
        <v/>
      </c>
      <c r="R39" s="242">
        <f t="shared" si="54"/>
        <v>0</v>
      </c>
      <c r="S39" s="242">
        <f t="shared" si="55"/>
        <v>0</v>
      </c>
      <c r="T39" s="242">
        <f t="shared" si="56"/>
        <v>0</v>
      </c>
      <c r="U39" s="697" t="str">
        <f t="shared" si="57"/>
        <v/>
      </c>
      <c r="V39" s="242">
        <f t="shared" si="58"/>
        <v>0</v>
      </c>
      <c r="W39" s="688"/>
      <c r="X39" s="690"/>
      <c r="Y39" t="str">
        <f>IF(X39="",(""),(INDEX(R35:R102,MATCH(X39,Q35:Q102,0))&amp;" "&amp;INDEX(S35:S102,MATCH(X39,Q35:Q102,0))))</f>
        <v/>
      </c>
      <c r="Z39" s="315" t="str">
        <f t="shared" si="3"/>
        <v/>
      </c>
      <c r="AA39" s="674" t="str">
        <f t="shared" si="4"/>
        <v/>
      </c>
      <c r="AB39" s="280" t="str">
        <f t="shared" si="5"/>
        <v/>
      </c>
    </row>
    <row r="40" spans="1:28" x14ac:dyDescent="0.2">
      <c r="A40" s="315"/>
      <c r="F40" s="213"/>
      <c r="H40" s="213" t="str">
        <f t="shared" ref="H40:H41" si="59">IF(A40="",(""),IF(A40="Urbano Edif",(IF(G40-(F40/50*($C$2-(YEAR(G40))))&lt;1,(0.01),((F40-(F40/50*($C$2-(YEAR(G40)))))))),(F40)))</f>
        <v/>
      </c>
      <c r="I40" s="315"/>
      <c r="N40" s="213"/>
      <c r="P40" s="213" t="str">
        <f t="shared" ref="P40:P41" si="60">IF(I40="",(""),IF(I40="Urbano Edif",(IF(O40-(N40/50*($C$2-(YEAR(O40))))&lt;1,(0.01),((N40-(N40/50*($C$2-(YEAR(O40)))))))),(N40)))</f>
        <v/>
      </c>
      <c r="Q40" s="239" t="str">
        <f t="shared" si="53"/>
        <v/>
      </c>
      <c r="R40" s="242">
        <f t="shared" si="54"/>
        <v>0</v>
      </c>
      <c r="S40" s="242">
        <f t="shared" si="55"/>
        <v>0</v>
      </c>
      <c r="T40" s="242">
        <f t="shared" si="56"/>
        <v>0</v>
      </c>
      <c r="U40" s="697" t="str">
        <f t="shared" si="57"/>
        <v/>
      </c>
      <c r="V40" s="242">
        <f t="shared" si="58"/>
        <v>0</v>
      </c>
      <c r="W40" s="688"/>
      <c r="X40" s="690"/>
      <c r="Y40" t="str">
        <f>IF(X40="",(""),(INDEX(R36:R103,MATCH(X40,Q36:Q103,0))&amp;" "&amp;INDEX(S36:S103,MATCH(X40,Q36:Q103,0))))</f>
        <v/>
      </c>
      <c r="Z40" s="315" t="str">
        <f t="shared" si="3"/>
        <v/>
      </c>
      <c r="AA40" s="674" t="str">
        <f t="shared" si="4"/>
        <v/>
      </c>
      <c r="AB40" s="280" t="str">
        <f t="shared" si="5"/>
        <v/>
      </c>
    </row>
    <row r="41" spans="1:28" x14ac:dyDescent="0.2">
      <c r="A41" s="229"/>
      <c r="B41" s="283"/>
      <c r="C41" s="283"/>
      <c r="D41" s="283"/>
      <c r="E41" s="283"/>
      <c r="F41" s="465"/>
      <c r="G41" s="283"/>
      <c r="H41" s="465" t="str">
        <f t="shared" si="59"/>
        <v/>
      </c>
      <c r="I41" s="229"/>
      <c r="J41" s="283"/>
      <c r="K41" s="283"/>
      <c r="L41" s="283"/>
      <c r="M41" s="283"/>
      <c r="N41" s="465"/>
      <c r="O41" s="283"/>
      <c r="P41" s="465" t="str">
        <f t="shared" si="60"/>
        <v/>
      </c>
      <c r="Q41" s="315" t="str">
        <f>K31</f>
        <v/>
      </c>
      <c r="R41" s="242">
        <f t="shared" si="54"/>
        <v>0</v>
      </c>
      <c r="S41" s="280">
        <f>INDEX($A$31:$C$36,(MATCH(Q41,$C$31:$C$36,(0))),2)</f>
        <v>0</v>
      </c>
      <c r="T41" s="280">
        <f>INDEX($N$31:$N$36,(MATCH(Q41,$C$31:$C$36,(0))),1)</f>
        <v>0</v>
      </c>
      <c r="U41" s="697" t="str">
        <f t="shared" si="57"/>
        <v/>
      </c>
      <c r="V41" s="242">
        <f>INDEX($P$31:$P$36,(MATCH(U41,$C$31:$C$36,(0))),1)</f>
        <v>0</v>
      </c>
      <c r="W41" s="688"/>
      <c r="X41" s="690"/>
      <c r="Y41" t="str">
        <f>IF(X41="",(""),(INDEX(R37:R104,MATCH(X41,Q37:Q104,0))&amp;" "&amp;INDEX(S37:S104,MATCH(X41,Q37:Q104,0))))</f>
        <v/>
      </c>
      <c r="Z41" s="315" t="str">
        <f t="shared" si="3"/>
        <v/>
      </c>
      <c r="AA41" s="674" t="str">
        <f t="shared" si="4"/>
        <v/>
      </c>
      <c r="AB41" s="280" t="str">
        <f t="shared" si="5"/>
        <v/>
      </c>
    </row>
    <row r="42" spans="1:28" x14ac:dyDescent="0.2">
      <c r="Q42" s="315" t="str">
        <f t="shared" ref="Q42:Q46" si="61">K32</f>
        <v/>
      </c>
      <c r="R42" s="242">
        <f t="shared" si="54"/>
        <v>0</v>
      </c>
      <c r="S42" s="280">
        <f t="shared" ref="S42:S46" si="62">INDEX($A$31:$C$36,(MATCH(Q42,$C$31:$C$36,(0))),2)</f>
        <v>0</v>
      </c>
      <c r="T42" s="280">
        <f t="shared" ref="T42:T46" si="63">INDEX($N$31:$N$36,(MATCH(Q42,$C$31:$C$36,(0))),1)</f>
        <v>0</v>
      </c>
      <c r="U42" s="697" t="str">
        <f t="shared" si="57"/>
        <v/>
      </c>
      <c r="V42" s="242">
        <f t="shared" ref="V42:V46" si="64">INDEX($P$31:$P$36,(MATCH(U42,$C$31:$C$36,(0))),1)</f>
        <v>0</v>
      </c>
      <c r="W42" s="688"/>
      <c r="X42" s="690"/>
      <c r="Y42" t="str">
        <f>IF(X42="",(""),(INDEX(R38:R105,MATCH(X42,Q38:Q105,0))&amp;" "&amp;INDEX(S38:S105,MATCH(X42,Q38:Q105,0))))</f>
        <v/>
      </c>
      <c r="Z42" s="315" t="str">
        <f t="shared" si="3"/>
        <v/>
      </c>
      <c r="AA42" s="674" t="str">
        <f t="shared" si="4"/>
        <v/>
      </c>
      <c r="AB42" s="280" t="str">
        <f t="shared" si="5"/>
        <v/>
      </c>
    </row>
    <row r="43" spans="1:28" x14ac:dyDescent="0.2">
      <c r="Q43" s="315" t="str">
        <f t="shared" si="61"/>
        <v/>
      </c>
      <c r="R43" s="242">
        <f t="shared" si="54"/>
        <v>0</v>
      </c>
      <c r="S43" s="280">
        <f t="shared" si="62"/>
        <v>0</v>
      </c>
      <c r="T43" s="280">
        <f t="shared" si="63"/>
        <v>0</v>
      </c>
      <c r="U43" s="697" t="str">
        <f t="shared" si="57"/>
        <v/>
      </c>
      <c r="V43" s="242">
        <f t="shared" si="64"/>
        <v>0</v>
      </c>
      <c r="W43" s="688"/>
      <c r="X43" s="690"/>
      <c r="Y43" t="str">
        <f>IF(X43="",(""),(INDEX(R39:R106,MATCH(X43,Q39:Q106,0))&amp;" "&amp;INDEX(S39:S106,MATCH(X43,Q39:Q106,0))))</f>
        <v/>
      </c>
      <c r="Z43" s="315" t="str">
        <f t="shared" si="3"/>
        <v/>
      </c>
      <c r="AA43" s="674" t="str">
        <f t="shared" si="4"/>
        <v/>
      </c>
      <c r="AB43" s="280" t="str">
        <f t="shared" si="5"/>
        <v/>
      </c>
    </row>
    <row r="44" spans="1:28" ht="18" x14ac:dyDescent="0.25">
      <c r="A44" s="479" t="s">
        <v>512</v>
      </c>
      <c r="B44" s="241"/>
      <c r="C44" s="241"/>
      <c r="D44" s="480" t="s">
        <v>513</v>
      </c>
      <c r="E44" s="481" t="s">
        <v>54</v>
      </c>
      <c r="Q44" s="315" t="str">
        <f t="shared" si="61"/>
        <v/>
      </c>
      <c r="R44" s="242">
        <f t="shared" si="54"/>
        <v>0</v>
      </c>
      <c r="S44" s="280">
        <f t="shared" si="62"/>
        <v>0</v>
      </c>
      <c r="T44" s="280">
        <f t="shared" si="63"/>
        <v>0</v>
      </c>
      <c r="U44" s="697" t="str">
        <f t="shared" si="57"/>
        <v/>
      </c>
      <c r="V44" s="242">
        <f t="shared" si="64"/>
        <v>0</v>
      </c>
      <c r="W44" s="688"/>
      <c r="X44" s="690"/>
      <c r="Y44" t="str">
        <f>IF(X44="",(""),(INDEX(R40:R107,MATCH(X44,Q40:Q107,0))&amp;" "&amp;INDEX(S40:S107,MATCH(X44,Q40:Q107,0))))</f>
        <v/>
      </c>
      <c r="Z44" s="315" t="str">
        <f t="shared" si="3"/>
        <v/>
      </c>
      <c r="AA44" s="674" t="str">
        <f t="shared" si="4"/>
        <v/>
      </c>
      <c r="AB44" s="280" t="str">
        <f t="shared" si="5"/>
        <v/>
      </c>
    </row>
    <row r="45" spans="1:28" ht="14.25" x14ac:dyDescent="0.2">
      <c r="A45" s="482" t="str">
        <f>A3</f>
        <v>Bienes Destinados a la actividad</v>
      </c>
      <c r="B45" s="477"/>
      <c r="C45" s="477"/>
      <c r="D45" s="477"/>
      <c r="E45" s="478"/>
      <c r="Q45" s="315" t="str">
        <f t="shared" si="61"/>
        <v/>
      </c>
      <c r="R45" s="242">
        <f t="shared" si="54"/>
        <v>0</v>
      </c>
      <c r="S45" s="280">
        <f t="shared" si="62"/>
        <v>0</v>
      </c>
      <c r="T45" s="280">
        <f t="shared" si="63"/>
        <v>0</v>
      </c>
      <c r="U45" s="697" t="str">
        <f t="shared" si="57"/>
        <v/>
      </c>
      <c r="V45" s="242">
        <f t="shared" si="64"/>
        <v>0</v>
      </c>
      <c r="W45" s="688"/>
      <c r="X45" s="690"/>
      <c r="Y45" t="str">
        <f>IF(X45="",(""),(INDEX(R41:R108,MATCH(X45,Q41:Q108,0))&amp;" "&amp;INDEX(S41:S108,MATCH(X45,Q41:Q108,0))))</f>
        <v/>
      </c>
      <c r="Z45" s="315" t="str">
        <f t="shared" si="3"/>
        <v/>
      </c>
      <c r="AA45" s="674" t="str">
        <f t="shared" si="4"/>
        <v/>
      </c>
      <c r="AB45" s="280" t="str">
        <f t="shared" si="5"/>
        <v/>
      </c>
    </row>
    <row r="46" spans="1:28" x14ac:dyDescent="0.2">
      <c r="A46" s="315"/>
      <c r="B46" s="315" t="str">
        <f>A4</f>
        <v>Rodados:</v>
      </c>
      <c r="D46" s="213">
        <f>SUM(F6:F11,M6:M11)</f>
        <v>100000</v>
      </c>
      <c r="E46" s="320">
        <f>SUM(H6:H11,P6:P11)</f>
        <v>0.01</v>
      </c>
      <c r="Q46" s="315" t="str">
        <f t="shared" si="61"/>
        <v/>
      </c>
      <c r="R46" s="242">
        <f t="shared" si="54"/>
        <v>0</v>
      </c>
      <c r="S46" s="280">
        <f t="shared" si="62"/>
        <v>0</v>
      </c>
      <c r="T46" s="280">
        <f t="shared" si="63"/>
        <v>0</v>
      </c>
      <c r="U46" s="697" t="str">
        <f t="shared" si="57"/>
        <v/>
      </c>
      <c r="V46" s="242">
        <f t="shared" si="64"/>
        <v>0</v>
      </c>
      <c r="W46" s="689"/>
      <c r="X46" s="690"/>
      <c r="Y46" t="str">
        <f>IF(X46="",(""),(INDEX(R42:R109,MATCH(X46,Q42:Q109,0))&amp;" "&amp;INDEX(S42:S109,MATCH(X46,Q42:Q109,0))))</f>
        <v/>
      </c>
      <c r="Z46" s="315" t="str">
        <f t="shared" si="3"/>
        <v/>
      </c>
      <c r="AA46" s="674" t="str">
        <f t="shared" si="4"/>
        <v/>
      </c>
      <c r="AB46" s="280" t="str">
        <f t="shared" si="5"/>
        <v/>
      </c>
    </row>
    <row r="47" spans="1:28" x14ac:dyDescent="0.2">
      <c r="A47" s="315"/>
      <c r="B47" s="315" t="str">
        <f>A12</f>
        <v>Inmuebles</v>
      </c>
      <c r="D47" s="213">
        <f>SUM(H14:H16,P14:P16)</f>
        <v>92000.01</v>
      </c>
      <c r="E47" s="320">
        <f>SUM(F14:F16,L14:L16)</f>
        <v>100000</v>
      </c>
      <c r="Q47" s="680">
        <f>IF(A39="",(""),(C39))</f>
        <v>123</v>
      </c>
      <c r="R47" s="242" t="str">
        <f>IF(Q47="",(""),(INDEX($A$39:$C$41,(MATCH(Q47,$C$39:$C$41,(0))),(1))))</f>
        <v>Urbano Edif</v>
      </c>
      <c r="S47" s="242">
        <f>IF(Q47="",(""),(INDEX($A$39:$C$41,(MATCH(Q47,$C$39:$C$41,(0))),(2))))</f>
        <v>0</v>
      </c>
      <c r="T47" s="242">
        <f>IF(Q47="",(""),(INDEX($F$39:$F$41,(MATCH(Q47,$C$39:$C$41,(0))),(1))))</f>
        <v>100000</v>
      </c>
      <c r="U47" s="697">
        <f t="shared" si="57"/>
        <v>8000</v>
      </c>
      <c r="V47" s="242">
        <f>IF(Q47="",(""),(INDEX($H$39:$H$41,(MATCH(Q47,$C$39:$C$41,(0))),(1))))</f>
        <v>92000</v>
      </c>
      <c r="W47" s="681" t="s">
        <v>591</v>
      </c>
      <c r="X47" s="690"/>
      <c r="Y47" t="str">
        <f>IF(X47="",(""),(INDEX(R43:R110,MATCH(X47,Q43:Q110,0))&amp;" "&amp;INDEX(S43:S110,MATCH(X47,Q43:Q110,0))))</f>
        <v/>
      </c>
      <c r="Z47" s="315" t="str">
        <f t="shared" si="3"/>
        <v/>
      </c>
      <c r="AA47" s="674" t="str">
        <f t="shared" si="4"/>
        <v/>
      </c>
      <c r="AB47" s="280" t="str">
        <f t="shared" si="5"/>
        <v/>
      </c>
    </row>
    <row r="48" spans="1:28" x14ac:dyDescent="0.2">
      <c r="A48" s="315"/>
      <c r="B48" s="315" t="str">
        <f>A17</f>
        <v>Maquinarias</v>
      </c>
      <c r="D48" s="213">
        <f>SUM(F19:F21,M19:M21)</f>
        <v>0</v>
      </c>
      <c r="E48" s="320">
        <f>SUM(H19:H21,P19:P21)</f>
        <v>0</v>
      </c>
      <c r="Q48" s="680" t="str">
        <f t="shared" ref="Q48:Q49" si="65">IF(A40="",(""),(C40))</f>
        <v/>
      </c>
      <c r="R48" s="242" t="str">
        <f t="shared" ref="R48:R49" si="66">IF(Q48="",(""),(INDEX($A$39:$C$41,(MATCH(Q48,$C$39:$C$41,(0))),(1))))</f>
        <v/>
      </c>
      <c r="S48" s="242" t="str">
        <f t="shared" ref="S48:S49" si="67">IF(Q48="",(""),(INDEX($A$39:$C$41,(MATCH(Q48,$C$39:$C$41,(0))),(2))))</f>
        <v/>
      </c>
      <c r="T48" s="242" t="str">
        <f t="shared" ref="T48:T49" si="68">IF(Q48="",(""),(INDEX($F$39:$F$41,(MATCH(Q48,$C$39:$C$41,(0))),(1))))</f>
        <v/>
      </c>
      <c r="U48" s="697" t="str">
        <f t="shared" si="57"/>
        <v/>
      </c>
      <c r="V48" s="242" t="str">
        <f t="shared" ref="V48:V49" si="69">IF(Q48="",(""),(INDEX($H$39:$H$41,(MATCH(Q48,$C$39:$C$41,(0))),(1))))</f>
        <v/>
      </c>
      <c r="W48" s="682"/>
      <c r="X48" s="690"/>
      <c r="Y48" t="str">
        <f>IF(X48="",(""),(INDEX(R44:R111,MATCH(X48,Q44:Q111,0))&amp;" "&amp;INDEX(S44:S111,MATCH(X48,Q44:Q111,0))))</f>
        <v/>
      </c>
      <c r="Z48" s="315" t="str">
        <f t="shared" si="3"/>
        <v/>
      </c>
      <c r="AA48" s="674" t="str">
        <f t="shared" si="4"/>
        <v/>
      </c>
      <c r="AB48" s="280" t="str">
        <f t="shared" si="5"/>
        <v/>
      </c>
    </row>
    <row r="49" spans="1:28" x14ac:dyDescent="0.2">
      <c r="A49" s="315"/>
      <c r="B49" s="229" t="str">
        <f>A22</f>
        <v>Instalaciones</v>
      </c>
      <c r="C49" s="283"/>
      <c r="D49" s="465">
        <f>SUM(B24:B26,H24:H26)</f>
        <v>0</v>
      </c>
      <c r="E49" s="485">
        <f>SUM(F24:F26,L24:L26)</f>
        <v>0</v>
      </c>
      <c r="Q49" s="680" t="str">
        <f t="shared" si="65"/>
        <v/>
      </c>
      <c r="R49" s="242" t="str">
        <f t="shared" si="66"/>
        <v/>
      </c>
      <c r="S49" s="242" t="str">
        <f t="shared" si="67"/>
        <v/>
      </c>
      <c r="T49" s="242" t="str">
        <f t="shared" si="68"/>
        <v/>
      </c>
      <c r="U49" s="697" t="str">
        <f t="shared" si="57"/>
        <v/>
      </c>
      <c r="V49" s="242" t="str">
        <f t="shared" si="69"/>
        <v/>
      </c>
      <c r="W49" s="682"/>
      <c r="X49" s="690"/>
      <c r="Y49" t="str">
        <f>IF(X49="",(""),(INDEX(R45:R112,MATCH(X49,Q45:Q112,0))&amp;" "&amp;INDEX(S45:S112,MATCH(X49,Q45:Q112,0))))</f>
        <v/>
      </c>
      <c r="Z49" s="315" t="str">
        <f t="shared" si="3"/>
        <v/>
      </c>
      <c r="AA49" s="674" t="str">
        <f t="shared" si="4"/>
        <v/>
      </c>
      <c r="AB49" s="280" t="str">
        <f t="shared" si="5"/>
        <v/>
      </c>
    </row>
    <row r="50" spans="1:28" x14ac:dyDescent="0.2">
      <c r="A50" s="315"/>
      <c r="C50" s="476" t="s">
        <v>117</v>
      </c>
      <c r="D50" s="486">
        <f>SUM(D46:D49)</f>
        <v>192000.01</v>
      </c>
      <c r="E50" s="487">
        <f>SUM(E46:E49)</f>
        <v>100000.01</v>
      </c>
      <c r="Q50" s="315" t="str">
        <f>IF(I39="",(""),(K39))</f>
        <v/>
      </c>
      <c r="R50" s="280" t="str">
        <f>IF(Q50="",(""),(INDEX($I$39:$K$41,(MATCH(Q50,$I$39:$I$41,(0))),(1))))</f>
        <v/>
      </c>
      <c r="S50" s="280" t="str">
        <f>IF(Q50="",(""),(INDEX($I$39:$K$41,(MATCH(Q50,$I$39:$I$41,(0))),(2))))</f>
        <v/>
      </c>
      <c r="T50" s="280" t="str">
        <f>IF(Q50="",(""),(INDEX($N$39:$N$41,(MATCH(Q50,$I$39:$I$41,(0))),(1))))</f>
        <v/>
      </c>
      <c r="U50" s="697" t="str">
        <f t="shared" si="57"/>
        <v/>
      </c>
      <c r="V50" s="280" t="str">
        <f>IF(U50="",(""),(INDEX($P$39:$P$41,(MATCH(Q50,$I$39:$I$41,(0))),(1))))</f>
        <v/>
      </c>
      <c r="W50" s="682"/>
      <c r="X50" s="690"/>
      <c r="Y50" t="str">
        <f>IF(X50="",(""),(INDEX(R46:R113,MATCH(X50,Q46:Q113,0))&amp;" "&amp;INDEX(S46:S113,MATCH(X50,Q46:Q113,0))))</f>
        <v/>
      </c>
      <c r="Z50" s="315" t="str">
        <f t="shared" si="3"/>
        <v/>
      </c>
      <c r="AA50" s="674" t="str">
        <f t="shared" si="4"/>
        <v/>
      </c>
      <c r="AB50" s="280" t="str">
        <f t="shared" si="5"/>
        <v/>
      </c>
    </row>
    <row r="51" spans="1:28" ht="14.25" x14ac:dyDescent="0.2">
      <c r="A51" s="482" t="str">
        <f>A28</f>
        <v>Bienes Propios no afectados a la explotación</v>
      </c>
      <c r="B51" s="477"/>
      <c r="C51" s="477"/>
      <c r="D51" s="488"/>
      <c r="E51" s="489"/>
      <c r="Q51" s="315" t="str">
        <f t="shared" ref="Q51:Q52" si="70">IF(I40="",(""),(K40))</f>
        <v/>
      </c>
      <c r="R51" s="280" t="str">
        <f t="shared" ref="R51:R52" si="71">IF(Q51="",(""),(INDEX($I$39:$K$41,(MATCH(Q51,$I$39:$I$41,(0))),(1))))</f>
        <v/>
      </c>
      <c r="S51" s="280" t="str">
        <f t="shared" ref="S51:S52" si="72">IF(Q51="",(""),(INDEX($I$39:$K$41,(MATCH(Q51,$I$39:$I$41,(0))),(2))))</f>
        <v/>
      </c>
      <c r="T51" s="280" t="str">
        <f t="shared" ref="T51:T52" si="73">IF(Q51="",(""),(INDEX($N$39:$N$41,(MATCH(Q51,$I$39:$I$41,(0))),(1))))</f>
        <v/>
      </c>
      <c r="U51" s="697" t="str">
        <f t="shared" si="57"/>
        <v/>
      </c>
      <c r="V51" s="280" t="str">
        <f t="shared" ref="V51:V52" si="74">IF(U51="",(""),(INDEX($P$39:$P$41,(MATCH(Q51,$I$39:$I$41,(0))),(1))))</f>
        <v/>
      </c>
      <c r="W51" s="682"/>
      <c r="X51" s="690"/>
      <c r="Y51" t="str">
        <f>IF(X51="",(""),(INDEX(R47:R114,MATCH(X51,Q47:Q114,0))&amp;" "&amp;INDEX(S47:S114,MATCH(X51,Q47:Q114,0))))</f>
        <v/>
      </c>
      <c r="Z51" s="315" t="str">
        <f t="shared" si="3"/>
        <v/>
      </c>
      <c r="AA51" s="674" t="str">
        <f t="shared" si="4"/>
        <v/>
      </c>
      <c r="AB51" s="280" t="str">
        <f t="shared" si="5"/>
        <v/>
      </c>
    </row>
    <row r="52" spans="1:28" x14ac:dyDescent="0.2">
      <c r="A52" s="315"/>
      <c r="B52" s="315" t="str">
        <f>A29</f>
        <v>Rodados:</v>
      </c>
      <c r="D52" s="213">
        <f>SUM(F31:F36,M31:M36)</f>
        <v>0</v>
      </c>
      <c r="E52" s="320">
        <f>SUM(H31:H36,P31:P36)</f>
        <v>0</v>
      </c>
      <c r="Q52" s="315" t="str">
        <f t="shared" si="70"/>
        <v/>
      </c>
      <c r="R52" s="280" t="str">
        <f t="shared" si="71"/>
        <v/>
      </c>
      <c r="S52" s="280" t="str">
        <f t="shared" si="72"/>
        <v/>
      </c>
      <c r="T52" s="280" t="str">
        <f t="shared" si="73"/>
        <v/>
      </c>
      <c r="U52" s="697" t="str">
        <f t="shared" si="57"/>
        <v/>
      </c>
      <c r="V52" s="280" t="str">
        <f t="shared" si="74"/>
        <v/>
      </c>
      <c r="W52" s="683"/>
      <c r="X52" s="690"/>
      <c r="Y52" t="str">
        <f>IF(X52="",(""),(INDEX(R48:R115,MATCH(X52,Q48:Q115,0))&amp;" "&amp;INDEX(S48:S115,MATCH(X52,Q48:Q115,0))))</f>
        <v/>
      </c>
      <c r="Z52" s="229" t="str">
        <f t="shared" si="3"/>
        <v/>
      </c>
      <c r="AA52" s="283" t="str">
        <f t="shared" si="4"/>
        <v/>
      </c>
      <c r="AB52" s="284" t="str">
        <f t="shared" si="5"/>
        <v/>
      </c>
    </row>
    <row r="53" spans="1:28" x14ac:dyDescent="0.2">
      <c r="A53" s="315"/>
      <c r="B53" s="229" t="str">
        <f>A37</f>
        <v>Inmuebles</v>
      </c>
      <c r="C53" s="283"/>
      <c r="D53" s="465">
        <f>SUM(H39:H41,P39:P41)</f>
        <v>92000</v>
      </c>
      <c r="E53" s="485">
        <f>SUM(F39:F41,L39:L41)</f>
        <v>100000</v>
      </c>
    </row>
    <row r="54" spans="1:28" x14ac:dyDescent="0.2">
      <c r="A54" s="229"/>
      <c r="B54" s="283"/>
      <c r="C54" s="475" t="s">
        <v>117</v>
      </c>
      <c r="D54" s="490">
        <f>SUM(D52:D53)</f>
        <v>92000</v>
      </c>
      <c r="E54" s="491">
        <f>SUM(E52:E53)</f>
        <v>100000</v>
      </c>
    </row>
    <row r="55" spans="1:28" ht="15.75" x14ac:dyDescent="0.25">
      <c r="A55" s="483" t="s">
        <v>426</v>
      </c>
      <c r="B55" s="484"/>
      <c r="C55" s="484"/>
      <c r="D55" s="492">
        <f>SUM(D54,D50)</f>
        <v>284000.01</v>
      </c>
      <c r="E55" s="492">
        <f>SUM(E54,E50)</f>
        <v>200000.01</v>
      </c>
    </row>
    <row r="57" spans="1:28" ht="23.25" x14ac:dyDescent="0.35">
      <c r="A57" s="471" t="s">
        <v>515</v>
      </c>
    </row>
    <row r="58" spans="1:28" ht="18" x14ac:dyDescent="0.25">
      <c r="A58" s="630" t="s">
        <v>516</v>
      </c>
      <c r="B58" s="631"/>
      <c r="C58" s="631"/>
      <c r="D58" s="631"/>
      <c r="E58" s="631"/>
      <c r="F58" s="631"/>
      <c r="G58" s="631"/>
      <c r="H58" s="631"/>
      <c r="I58" s="631"/>
      <c r="J58" s="631"/>
      <c r="K58" s="631"/>
      <c r="L58" s="631"/>
      <c r="M58" s="631"/>
      <c r="N58" s="631"/>
      <c r="O58" s="631"/>
      <c r="P58" s="632"/>
    </row>
    <row r="59" spans="1:28" ht="18" x14ac:dyDescent="0.25">
      <c r="A59" s="633" t="s">
        <v>522</v>
      </c>
      <c r="B59" s="634"/>
      <c r="C59" s="634"/>
      <c r="D59" s="634"/>
      <c r="E59" s="634"/>
      <c r="F59" s="634"/>
      <c r="G59" s="634"/>
      <c r="H59" s="634"/>
      <c r="I59" s="634" t="s">
        <v>523</v>
      </c>
      <c r="J59" s="634"/>
      <c r="K59" s="634"/>
      <c r="L59" s="634"/>
      <c r="M59" s="634"/>
      <c r="N59" s="634"/>
      <c r="O59" s="634"/>
      <c r="P59" s="635"/>
    </row>
    <row r="60" spans="1:28" x14ac:dyDescent="0.2">
      <c r="A60" s="468" t="s">
        <v>375</v>
      </c>
      <c r="B60" s="469" t="s">
        <v>524</v>
      </c>
      <c r="C60" s="469" t="s">
        <v>530</v>
      </c>
      <c r="D60" s="469" t="s">
        <v>525</v>
      </c>
      <c r="E60" s="469" t="s">
        <v>526</v>
      </c>
      <c r="F60" s="469" t="s">
        <v>527</v>
      </c>
      <c r="G60" s="469" t="s">
        <v>528</v>
      </c>
      <c r="H60" s="470" t="s">
        <v>529</v>
      </c>
      <c r="I60" s="468" t="s">
        <v>375</v>
      </c>
      <c r="J60" s="469" t="s">
        <v>524</v>
      </c>
      <c r="K60" s="469" t="s">
        <v>530</v>
      </c>
      <c r="L60" s="469" t="s">
        <v>525</v>
      </c>
      <c r="M60" s="469" t="s">
        <v>526</v>
      </c>
      <c r="N60" s="469" t="s">
        <v>527</v>
      </c>
      <c r="O60" s="469" t="s">
        <v>528</v>
      </c>
      <c r="P60" s="470" t="s">
        <v>529</v>
      </c>
    </row>
    <row r="61" spans="1:28" x14ac:dyDescent="0.2">
      <c r="A61" s="239"/>
      <c r="B61" s="241"/>
      <c r="C61" s="241"/>
      <c r="D61" s="241"/>
      <c r="E61" s="241"/>
      <c r="F61" s="493"/>
      <c r="G61" s="493"/>
      <c r="H61" s="255"/>
      <c r="I61" s="239"/>
      <c r="J61" s="241"/>
      <c r="K61" s="241"/>
      <c r="L61" s="241"/>
      <c r="M61" s="241"/>
      <c r="N61" s="493"/>
      <c r="O61" s="493"/>
      <c r="P61" s="255"/>
    </row>
    <row r="62" spans="1:28" x14ac:dyDescent="0.2">
      <c r="A62" s="239"/>
      <c r="F62" s="213"/>
      <c r="G62" s="213"/>
      <c r="H62" s="320"/>
      <c r="I62" s="239"/>
      <c r="N62" s="213"/>
      <c r="O62" s="213"/>
      <c r="P62" s="320"/>
    </row>
    <row r="63" spans="1:28" x14ac:dyDescent="0.2">
      <c r="A63" s="239"/>
      <c r="F63" s="213"/>
      <c r="G63" s="213"/>
      <c r="H63" s="320"/>
      <c r="I63" s="239"/>
      <c r="N63" s="213"/>
      <c r="O63" s="213"/>
      <c r="P63" s="320"/>
    </row>
    <row r="64" spans="1:28" x14ac:dyDescent="0.2">
      <c r="A64" s="239"/>
      <c r="F64" s="213"/>
      <c r="G64" s="213"/>
      <c r="H64" s="320"/>
      <c r="I64" s="239"/>
      <c r="N64" s="213"/>
      <c r="O64" s="213"/>
      <c r="P64" s="320"/>
    </row>
    <row r="65" spans="1:16" x14ac:dyDescent="0.2">
      <c r="A65" s="239"/>
      <c r="F65" s="213"/>
      <c r="G65" s="213"/>
      <c r="H65" s="320"/>
      <c r="I65" s="239"/>
      <c r="N65" s="213"/>
      <c r="O65" s="213"/>
      <c r="P65" s="320"/>
    </row>
    <row r="66" spans="1:16" x14ac:dyDescent="0.2">
      <c r="A66" s="574"/>
      <c r="B66" s="283"/>
      <c r="C66" s="283"/>
      <c r="D66" s="283"/>
      <c r="E66" s="283"/>
      <c r="F66" s="465"/>
      <c r="G66" s="465"/>
      <c r="H66" s="485"/>
      <c r="I66" s="574"/>
      <c r="J66" s="283"/>
      <c r="K66" s="283"/>
      <c r="L66" s="283"/>
      <c r="M66" s="283"/>
      <c r="N66" s="465"/>
      <c r="O66" s="465"/>
      <c r="P66" s="485"/>
    </row>
    <row r="67" spans="1:16" ht="18" x14ac:dyDescent="0.25">
      <c r="A67" s="630" t="s">
        <v>517</v>
      </c>
      <c r="B67" s="631"/>
      <c r="C67" s="631"/>
      <c r="D67" s="631"/>
      <c r="E67" s="631"/>
      <c r="F67" s="631"/>
      <c r="G67" s="631"/>
      <c r="H67" s="631"/>
      <c r="I67" s="631"/>
      <c r="J67" s="631"/>
      <c r="K67" s="631"/>
      <c r="L67" s="631"/>
      <c r="M67" s="631"/>
      <c r="N67" s="631"/>
      <c r="O67" s="631"/>
      <c r="P67" s="632"/>
    </row>
    <row r="68" spans="1:16" x14ac:dyDescent="0.2">
      <c r="A68" s="468" t="s">
        <v>375</v>
      </c>
      <c r="B68" s="469" t="s">
        <v>521</v>
      </c>
      <c r="C68" s="469" t="s">
        <v>518</v>
      </c>
      <c r="D68" s="469" t="s">
        <v>519</v>
      </c>
      <c r="E68" s="469" t="s">
        <v>367</v>
      </c>
      <c r="F68" s="469" t="s">
        <v>414</v>
      </c>
      <c r="G68" s="469" t="s">
        <v>520</v>
      </c>
      <c r="H68" s="470" t="s">
        <v>504</v>
      </c>
      <c r="I68" s="468" t="s">
        <v>375</v>
      </c>
      <c r="J68" s="469" t="s">
        <v>521</v>
      </c>
      <c r="K68" s="469" t="s">
        <v>518</v>
      </c>
      <c r="L68" s="469" t="s">
        <v>519</v>
      </c>
      <c r="M68" s="469" t="s">
        <v>367</v>
      </c>
      <c r="N68" s="469" t="s">
        <v>414</v>
      </c>
      <c r="O68" s="469" t="s">
        <v>520</v>
      </c>
      <c r="P68" s="470" t="s">
        <v>504</v>
      </c>
    </row>
    <row r="69" spans="1:16" x14ac:dyDescent="0.2">
      <c r="A69" s="239"/>
      <c r="B69" s="241"/>
      <c r="C69" s="241"/>
      <c r="D69" s="241"/>
      <c r="E69" s="241"/>
      <c r="F69" s="493"/>
      <c r="G69" s="493"/>
      <c r="H69" s="255"/>
      <c r="I69" s="239"/>
      <c r="J69" s="241"/>
      <c r="K69" s="241"/>
      <c r="L69" s="241"/>
      <c r="M69" s="241"/>
      <c r="N69" s="493"/>
      <c r="O69" s="493"/>
      <c r="P69" s="255"/>
    </row>
    <row r="70" spans="1:16" x14ac:dyDescent="0.2">
      <c r="A70" s="239"/>
      <c r="F70" s="213"/>
      <c r="G70" s="213"/>
      <c r="H70" s="320"/>
      <c r="I70" s="239"/>
      <c r="N70" s="213"/>
      <c r="O70" s="213"/>
      <c r="P70" s="320"/>
    </row>
    <row r="71" spans="1:16" x14ac:dyDescent="0.2">
      <c r="A71" s="239"/>
      <c r="F71" s="213"/>
      <c r="G71" s="213"/>
      <c r="H71" s="320"/>
      <c r="I71" s="239"/>
      <c r="N71" s="213"/>
      <c r="O71" s="213"/>
      <c r="P71" s="320"/>
    </row>
    <row r="72" spans="1:16" x14ac:dyDescent="0.2">
      <c r="A72" s="239"/>
      <c r="F72" s="213"/>
      <c r="G72" s="213"/>
      <c r="H72" s="320"/>
      <c r="I72" s="239"/>
      <c r="N72" s="213"/>
      <c r="O72" s="213"/>
      <c r="P72" s="320"/>
    </row>
    <row r="73" spans="1:16" x14ac:dyDescent="0.2">
      <c r="A73" s="239"/>
      <c r="F73" s="213"/>
      <c r="G73" s="213"/>
      <c r="H73" s="320"/>
      <c r="I73" s="239"/>
      <c r="N73" s="213"/>
      <c r="O73" s="213"/>
      <c r="P73" s="320"/>
    </row>
    <row r="74" spans="1:16" x14ac:dyDescent="0.2">
      <c r="A74" s="574"/>
      <c r="B74" s="283"/>
      <c r="C74" s="283"/>
      <c r="D74" s="283"/>
      <c r="E74" s="283"/>
      <c r="F74" s="465"/>
      <c r="G74" s="465"/>
      <c r="H74" s="485"/>
      <c r="I74" s="574"/>
      <c r="J74" s="283"/>
      <c r="K74" s="283"/>
      <c r="L74" s="283"/>
      <c r="M74" s="283"/>
      <c r="N74" s="465"/>
      <c r="O74" s="465"/>
      <c r="P74" s="485"/>
    </row>
  </sheetData>
  <mergeCells count="16">
    <mergeCell ref="W47:W52"/>
    <mergeCell ref="W5:W16"/>
    <mergeCell ref="W35:W46"/>
    <mergeCell ref="W17:W22"/>
    <mergeCell ref="W23:W28"/>
    <mergeCell ref="W29:W34"/>
    <mergeCell ref="A58:P58"/>
    <mergeCell ref="A67:P67"/>
    <mergeCell ref="A59:H59"/>
    <mergeCell ref="I59:P59"/>
    <mergeCell ref="A4:P4"/>
    <mergeCell ref="A12:P12"/>
    <mergeCell ref="A17:P17"/>
    <mergeCell ref="A22:P22"/>
    <mergeCell ref="A29:P29"/>
    <mergeCell ref="A37:P37"/>
  </mergeCells>
  <conditionalFormatting sqref="X1:X1048576">
    <cfRule type="containsText" dxfId="1" priority="2" operator="containsText" text="0">
      <formula>NOT(ISERROR(SEARCH("0",X1)))</formula>
    </cfRule>
  </conditionalFormatting>
  <conditionalFormatting sqref="Y5:Y52">
    <cfRule type="cellIs" dxfId="0" priority="1" operator="equal">
      <formula>"Error. No se ha completado con la información necesaria"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183596D2-E4B6-4B21-A640-831D600F3CD4}">
          <x14:formula1>
            <xm:f>'Base de Datos'!$J$4:$J$10</xm:f>
          </x14:formula1>
          <xm:sqref>A6:A11 I6:I11 A31:A36 I31:I36</xm:sqref>
        </x14:dataValidation>
        <x14:dataValidation type="list" allowBlank="1" showInputMessage="1" showErrorMessage="1" xr:uid="{BB059D1C-BADE-43C6-95C1-7C1F4EE10BEF}">
          <x14:formula1>
            <xm:f>'Base de Datos'!$A$14:$A$17</xm:f>
          </x14:formula1>
          <xm:sqref>I14:I16 A14:A16 I39:I41 A39:A41</xm:sqref>
        </x14:dataValidation>
        <x14:dataValidation type="list" allowBlank="1" showInputMessage="1" showErrorMessage="1" xr:uid="{8F160FFB-AB95-4151-BCF6-E93BAA924575}">
          <x14:formula1>
            <xm:f>'Base de Datos'!$L$4:$L$8</xm:f>
          </x14:formula1>
          <xm:sqref>A19:A21 I19:I21</xm:sqref>
        </x14:dataValidation>
        <x14:dataValidation type="list" allowBlank="1" showInputMessage="1" showErrorMessage="1" xr:uid="{6C1838CB-BD8C-46F3-8E93-A208219B8B66}">
          <x14:formula1>
            <xm:f>'Base de Datos'!$P$4:$P$13</xm:f>
          </x14:formula1>
          <xm:sqref>A61:A66 I61:I66</xm:sqref>
        </x14:dataValidation>
        <x14:dataValidation type="list" allowBlank="1" showInputMessage="1" showErrorMessage="1" xr:uid="{1EF0600D-2088-4451-B2C2-1A085841956F}">
          <x14:formula1>
            <xm:f>'Base de Datos'!$N$4:$N$7</xm:f>
          </x14:formula1>
          <xm:sqref>A69:A74 I69:I74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21"/>
  <sheetViews>
    <sheetView workbookViewId="0">
      <selection activeCell="J9" sqref="J9"/>
    </sheetView>
  </sheetViews>
  <sheetFormatPr baseColWidth="10" defaultRowHeight="12.75" x14ac:dyDescent="0.2"/>
  <cols>
    <col min="1" max="8" width="11.42578125" style="333"/>
    <col min="9" max="9" width="6.28515625" style="333" customWidth="1"/>
    <col min="10" max="10" width="11.42578125" style="333"/>
    <col min="11" max="11" width="4.7109375" style="333" customWidth="1"/>
    <col min="12" max="12" width="11.42578125" style="333"/>
    <col min="13" max="13" width="5" style="333" customWidth="1"/>
    <col min="14" max="14" width="11.42578125" style="333"/>
    <col min="15" max="15" width="3.5703125" style="333" customWidth="1"/>
    <col min="16" max="16384" width="11.42578125" style="333"/>
  </cols>
  <sheetData>
    <row r="1" spans="1:18" ht="25.5" x14ac:dyDescent="0.35">
      <c r="A1" s="329" t="s">
        <v>431</v>
      </c>
      <c r="B1" s="330"/>
      <c r="C1" s="330"/>
      <c r="D1" s="330"/>
      <c r="E1" s="331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x14ac:dyDescent="0.2">
      <c r="A2" s="366" t="s">
        <v>432</v>
      </c>
      <c r="C2" s="366" t="s">
        <v>433</v>
      </c>
      <c r="E2" s="366" t="s">
        <v>434</v>
      </c>
      <c r="G2" s="366" t="s">
        <v>435</v>
      </c>
      <c r="J2" s="366" t="s">
        <v>531</v>
      </c>
      <c r="L2" s="366" t="s">
        <v>544</v>
      </c>
      <c r="N2" s="366" t="s">
        <v>545</v>
      </c>
      <c r="P2" s="366" t="s">
        <v>547</v>
      </c>
    </row>
    <row r="3" spans="1:18" x14ac:dyDescent="0.2">
      <c r="A3" s="459" t="s">
        <v>436</v>
      </c>
      <c r="C3" s="459" t="s">
        <v>437</v>
      </c>
      <c r="E3" s="459" t="s">
        <v>438</v>
      </c>
      <c r="G3" s="459" t="s">
        <v>439</v>
      </c>
      <c r="J3" s="333" t="s">
        <v>532</v>
      </c>
      <c r="L3" s="333" t="s">
        <v>537</v>
      </c>
      <c r="N3" s="333" t="s">
        <v>546</v>
      </c>
      <c r="P3" s="333" t="s">
        <v>548</v>
      </c>
    </row>
    <row r="4" spans="1:18" x14ac:dyDescent="0.2">
      <c r="A4" s="460" t="s">
        <v>324</v>
      </c>
      <c r="C4" s="460">
        <v>2022</v>
      </c>
      <c r="E4" s="460" t="s">
        <v>440</v>
      </c>
      <c r="G4" s="460" t="s">
        <v>348</v>
      </c>
      <c r="H4" s="333">
        <v>4010108</v>
      </c>
      <c r="J4" s="333" t="s">
        <v>533</v>
      </c>
      <c r="L4" s="333" t="s">
        <v>539</v>
      </c>
      <c r="N4" s="333" t="s">
        <v>83</v>
      </c>
      <c r="P4" s="333" t="s">
        <v>549</v>
      </c>
    </row>
    <row r="5" spans="1:18" x14ac:dyDescent="0.2">
      <c r="A5" s="460" t="s">
        <v>325</v>
      </c>
      <c r="C5" s="460">
        <f>C4+1</f>
        <v>2023</v>
      </c>
      <c r="E5" s="460" t="s">
        <v>329</v>
      </c>
      <c r="G5" s="460" t="s">
        <v>349</v>
      </c>
      <c r="H5" s="333">
        <v>4010119</v>
      </c>
      <c r="J5" s="333" t="s">
        <v>534</v>
      </c>
      <c r="L5" s="333" t="s">
        <v>540</v>
      </c>
      <c r="N5" s="333" t="s">
        <v>142</v>
      </c>
      <c r="P5" s="333" t="s">
        <v>550</v>
      </c>
    </row>
    <row r="6" spans="1:18" x14ac:dyDescent="0.2">
      <c r="A6" s="461" t="s">
        <v>441</v>
      </c>
      <c r="C6" s="460">
        <f>C5+1</f>
        <v>2024</v>
      </c>
      <c r="G6" s="460" t="s">
        <v>442</v>
      </c>
      <c r="H6" s="333">
        <v>4010123</v>
      </c>
      <c r="J6" s="333" t="s">
        <v>19</v>
      </c>
      <c r="L6" s="333" t="s">
        <v>541</v>
      </c>
      <c r="N6" s="333" t="s">
        <v>84</v>
      </c>
      <c r="P6" s="333" t="s">
        <v>551</v>
      </c>
    </row>
    <row r="7" spans="1:18" x14ac:dyDescent="0.2">
      <c r="C7" s="460">
        <f>C6+1</f>
        <v>2025</v>
      </c>
      <c r="G7" s="460" t="s">
        <v>350</v>
      </c>
      <c r="H7" s="333">
        <v>4010121</v>
      </c>
      <c r="J7" s="333" t="s">
        <v>535</v>
      </c>
      <c r="L7" s="333" t="s">
        <v>543</v>
      </c>
      <c r="N7" s="333" t="s">
        <v>85</v>
      </c>
      <c r="P7" s="333" t="s">
        <v>552</v>
      </c>
    </row>
    <row r="8" spans="1:18" x14ac:dyDescent="0.2">
      <c r="C8" s="460">
        <f>C7+1</f>
        <v>2026</v>
      </c>
      <c r="G8" s="460" t="s">
        <v>354</v>
      </c>
      <c r="H8" s="333">
        <v>4010120</v>
      </c>
      <c r="J8" s="333" t="s">
        <v>542</v>
      </c>
      <c r="L8" s="333" t="s">
        <v>538</v>
      </c>
      <c r="P8" s="333" t="s">
        <v>553</v>
      </c>
    </row>
    <row r="9" spans="1:18" x14ac:dyDescent="0.2">
      <c r="C9" s="461">
        <f>C8+1</f>
        <v>2027</v>
      </c>
      <c r="G9" s="461" t="s">
        <v>443</v>
      </c>
      <c r="H9" s="333">
        <v>4010135</v>
      </c>
      <c r="J9" s="333" t="s">
        <v>536</v>
      </c>
      <c r="P9" s="333" t="s">
        <v>554</v>
      </c>
    </row>
    <row r="10" spans="1:18" x14ac:dyDescent="0.2">
      <c r="G10" s="460" t="s">
        <v>444</v>
      </c>
      <c r="J10" s="333" t="s">
        <v>538</v>
      </c>
      <c r="P10" s="333" t="s">
        <v>555</v>
      </c>
    </row>
    <row r="11" spans="1:18" x14ac:dyDescent="0.2">
      <c r="G11" s="460" t="s">
        <v>353</v>
      </c>
      <c r="H11" s="333">
        <v>4010124</v>
      </c>
      <c r="P11" s="333" t="s">
        <v>556</v>
      </c>
    </row>
    <row r="12" spans="1:18" x14ac:dyDescent="0.2">
      <c r="A12" s="366" t="s">
        <v>559</v>
      </c>
      <c r="G12" s="460" t="s">
        <v>351</v>
      </c>
      <c r="H12" s="333">
        <v>4010125</v>
      </c>
      <c r="P12" s="333" t="s">
        <v>557</v>
      </c>
    </row>
    <row r="13" spans="1:18" x14ac:dyDescent="0.2">
      <c r="A13" s="333" t="s">
        <v>560</v>
      </c>
      <c r="G13" s="460" t="s">
        <v>352</v>
      </c>
      <c r="H13" s="333">
        <v>4010130</v>
      </c>
      <c r="P13" s="333" t="s">
        <v>558</v>
      </c>
    </row>
    <row r="14" spans="1:18" x14ac:dyDescent="0.2">
      <c r="A14" s="333" t="s">
        <v>224</v>
      </c>
      <c r="G14" s="333" t="s">
        <v>445</v>
      </c>
    </row>
    <row r="15" spans="1:18" x14ac:dyDescent="0.2">
      <c r="A15" s="333" t="s">
        <v>561</v>
      </c>
      <c r="G15" s="333" t="s">
        <v>446</v>
      </c>
    </row>
    <row r="16" spans="1:18" x14ac:dyDescent="0.2">
      <c r="A16" s="333" t="s">
        <v>228</v>
      </c>
      <c r="G16" s="333" t="s">
        <v>447</v>
      </c>
    </row>
    <row r="17" spans="1:8" x14ac:dyDescent="0.2">
      <c r="A17" s="333" t="s">
        <v>441</v>
      </c>
      <c r="G17" s="333" t="s">
        <v>448</v>
      </c>
    </row>
    <row r="18" spans="1:8" x14ac:dyDescent="0.2">
      <c r="G18" s="333" t="s">
        <v>449</v>
      </c>
    </row>
    <row r="19" spans="1:8" x14ac:dyDescent="0.2">
      <c r="G19" s="333" t="s">
        <v>450</v>
      </c>
      <c r="H19" s="333">
        <v>4010137</v>
      </c>
    </row>
    <row r="20" spans="1:8" x14ac:dyDescent="0.2">
      <c r="G20" s="333" t="s">
        <v>451</v>
      </c>
      <c r="H20" s="333">
        <v>4010129</v>
      </c>
    </row>
    <row r="21" spans="1:8" x14ac:dyDescent="0.2">
      <c r="G21" s="333" t="s">
        <v>452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C27"/>
  <sheetViews>
    <sheetView workbookViewId="0">
      <selection activeCell="A24" sqref="A24"/>
    </sheetView>
  </sheetViews>
  <sheetFormatPr baseColWidth="10" defaultRowHeight="12.75" x14ac:dyDescent="0.2"/>
  <cols>
    <col min="1" max="1" width="37.28515625" bestFit="1" customWidth="1"/>
    <col min="2" max="2" width="14.42578125" bestFit="1" customWidth="1"/>
  </cols>
  <sheetData>
    <row r="3" spans="1:3" x14ac:dyDescent="0.2">
      <c r="B3" s="7"/>
    </row>
    <row r="4" spans="1:3" x14ac:dyDescent="0.2">
      <c r="B4" s="7"/>
    </row>
    <row r="5" spans="1:3" x14ac:dyDescent="0.2">
      <c r="B5" s="7"/>
    </row>
    <row r="6" spans="1:3" x14ac:dyDescent="0.2">
      <c r="A6" t="s">
        <v>8</v>
      </c>
      <c r="B6" s="2">
        <v>27297919.469017196</v>
      </c>
    </row>
    <row r="7" spans="1:3" x14ac:dyDescent="0.2">
      <c r="A7" s="150" t="s">
        <v>34</v>
      </c>
      <c r="B7" s="147">
        <f>512160.65*2</f>
        <v>1024321.3</v>
      </c>
    </row>
    <row r="8" spans="1:3" x14ac:dyDescent="0.2">
      <c r="A8" s="150" t="s">
        <v>214</v>
      </c>
      <c r="B8" s="147">
        <v>0</v>
      </c>
    </row>
    <row r="9" spans="1:3" x14ac:dyDescent="0.2">
      <c r="A9" s="150" t="s">
        <v>9</v>
      </c>
      <c r="B9" s="147">
        <v>1089368.57</v>
      </c>
    </row>
    <row r="10" spans="1:3" x14ac:dyDescent="0.2">
      <c r="A10" s="150" t="s">
        <v>10</v>
      </c>
      <c r="B10" s="155">
        <v>3812790.04</v>
      </c>
    </row>
    <row r="11" spans="1:3" x14ac:dyDescent="0.2">
      <c r="A11" t="s">
        <v>32</v>
      </c>
      <c r="B11" s="2">
        <f>B6-B7-B9-B10</f>
        <v>21371439.559017196</v>
      </c>
    </row>
    <row r="12" spans="1:3" x14ac:dyDescent="0.2">
      <c r="A12" s="1"/>
      <c r="B12" s="36"/>
    </row>
    <row r="13" spans="1:3" x14ac:dyDescent="0.2">
      <c r="B13" s="7"/>
    </row>
    <row r="14" spans="1:3" x14ac:dyDescent="0.2">
      <c r="B14" s="7"/>
    </row>
    <row r="15" spans="1:3" x14ac:dyDescent="0.2">
      <c r="A15" s="116" t="s">
        <v>134</v>
      </c>
      <c r="B15" s="60" t="s">
        <v>133</v>
      </c>
      <c r="C15" s="60" t="s">
        <v>177</v>
      </c>
    </row>
    <row r="16" spans="1:3" x14ac:dyDescent="0.2">
      <c r="A16" s="40">
        <v>837795.93</v>
      </c>
      <c r="B16" s="117">
        <v>0.35</v>
      </c>
      <c r="C16" s="118">
        <v>3754827.7</v>
      </c>
    </row>
    <row r="20" spans="1:2" x14ac:dyDescent="0.2">
      <c r="A20" t="s">
        <v>311</v>
      </c>
      <c r="B20" s="213">
        <f>A16+(B11-C16)*0.35</f>
        <v>7003610.0806560181</v>
      </c>
    </row>
    <row r="22" spans="1:2" x14ac:dyDescent="0.2">
      <c r="A22" t="s">
        <v>299</v>
      </c>
      <c r="B22" s="213">
        <v>4479350.34</v>
      </c>
    </row>
    <row r="24" spans="1:2" x14ac:dyDescent="0.2">
      <c r="B24" s="213">
        <f>B20-B22</f>
        <v>2524259.7406560183</v>
      </c>
    </row>
    <row r="27" spans="1:2" x14ac:dyDescent="0.2">
      <c r="B27" s="213">
        <f>B24/5</f>
        <v>504851.94813120365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38"/>
  <sheetViews>
    <sheetView topLeftCell="A7" workbookViewId="0">
      <selection activeCell="G38" sqref="G38"/>
    </sheetView>
  </sheetViews>
  <sheetFormatPr baseColWidth="10" defaultRowHeight="12.75" x14ac:dyDescent="0.2"/>
  <cols>
    <col min="1" max="1" width="5.140625" customWidth="1"/>
    <col min="2" max="2" width="5.85546875" customWidth="1"/>
    <col min="3" max="3" width="38" customWidth="1"/>
    <col min="4" max="4" width="14.5703125" bestFit="1" customWidth="1"/>
    <col min="5" max="5" width="21" bestFit="1" customWidth="1"/>
    <col min="6" max="6" width="13.42578125" bestFit="1" customWidth="1"/>
    <col min="7" max="8" width="9" customWidth="1"/>
    <col min="9" max="9" width="12.28515625" bestFit="1" customWidth="1"/>
    <col min="12" max="12" width="14" bestFit="1" customWidth="1"/>
    <col min="13" max="13" width="13.42578125" bestFit="1" customWidth="1"/>
    <col min="14" max="14" width="5.7109375" customWidth="1"/>
  </cols>
  <sheetData>
    <row r="1" spans="1:14" x14ac:dyDescent="0.2">
      <c r="A1" t="s">
        <v>497</v>
      </c>
    </row>
    <row r="3" spans="1:14" ht="13.5" thickBot="1" x14ac:dyDescent="0.25"/>
    <row r="4" spans="1:14" ht="13.5" thickBot="1" x14ac:dyDescent="0.25">
      <c r="B4" s="48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111"/>
    </row>
    <row r="5" spans="1:14" ht="15.75" thickBot="1" x14ac:dyDescent="0.3">
      <c r="B5" s="50"/>
      <c r="C5" s="645" t="s">
        <v>105</v>
      </c>
      <c r="D5" s="646"/>
      <c r="G5" s="658" t="s">
        <v>106</v>
      </c>
      <c r="H5" s="659"/>
      <c r="I5" s="659"/>
      <c r="J5" s="659"/>
      <c r="K5" s="659"/>
      <c r="L5" s="659"/>
      <c r="M5" s="660"/>
      <c r="N5" s="82"/>
    </row>
    <row r="6" spans="1:14" ht="30.75" thickBot="1" x14ac:dyDescent="0.25">
      <c r="B6" s="50"/>
      <c r="C6" s="134" t="s">
        <v>107</v>
      </c>
      <c r="D6" s="135">
        <f>DDJJ!B177</f>
        <v>10397119.279999999</v>
      </c>
      <c r="G6" s="193" t="s">
        <v>108</v>
      </c>
      <c r="H6" s="211" t="s">
        <v>218</v>
      </c>
      <c r="I6" s="194" t="s">
        <v>109</v>
      </c>
      <c r="J6" s="194" t="s">
        <v>110</v>
      </c>
      <c r="K6" s="194" t="s">
        <v>111</v>
      </c>
      <c r="L6" s="194" t="s">
        <v>112</v>
      </c>
      <c r="M6" s="195" t="s">
        <v>113</v>
      </c>
      <c r="N6" s="82"/>
    </row>
    <row r="7" spans="1:14" ht="15.75" thickBot="1" x14ac:dyDescent="0.3">
      <c r="B7" s="50"/>
      <c r="C7" s="188" t="s">
        <v>114</v>
      </c>
      <c r="D7" s="189">
        <f>-SUM(D8:D16)</f>
        <v>-5829533.0300000003</v>
      </c>
      <c r="G7" s="197">
        <v>1</v>
      </c>
      <c r="H7" s="208"/>
      <c r="I7" s="202" t="e">
        <f>+$L$33</f>
        <v>#VALUE!</v>
      </c>
      <c r="J7" s="192">
        <v>3533.1922</v>
      </c>
      <c r="K7" s="200">
        <v>1202.979</v>
      </c>
      <c r="L7" s="204">
        <f>K7/J7</f>
        <v>0.34047935461874962</v>
      </c>
      <c r="M7" s="203" t="e">
        <f>(+I7+H7)*L7</f>
        <v>#VALUE!</v>
      </c>
      <c r="N7" s="82"/>
    </row>
    <row r="8" spans="1:14" ht="15.75" thickBot="1" x14ac:dyDescent="0.3">
      <c r="B8" s="50"/>
      <c r="C8" s="168" t="s">
        <v>145</v>
      </c>
      <c r="D8" s="190">
        <v>5829533.0300000003</v>
      </c>
      <c r="G8" s="196">
        <v>2</v>
      </c>
      <c r="H8" s="209">
        <v>896895.82</v>
      </c>
      <c r="I8" s="202" t="e">
        <f>+$L$33</f>
        <v>#VALUE!</v>
      </c>
      <c r="J8" s="205">
        <v>3533.1922</v>
      </c>
      <c r="K8" s="199">
        <v>1282.7091</v>
      </c>
      <c r="L8" s="204">
        <f t="shared" ref="L8:L17" si="0">K8/J8</f>
        <v>0.36304537862389713</v>
      </c>
      <c r="M8" s="203" t="e">
        <f t="shared" ref="M8:M18" si="1">(+I8+H8)*L8</f>
        <v>#VALUE!</v>
      </c>
      <c r="N8" s="82"/>
    </row>
    <row r="9" spans="1:14" ht="15.75" thickBot="1" x14ac:dyDescent="0.3">
      <c r="B9" s="50"/>
      <c r="C9" s="50"/>
      <c r="D9" s="136"/>
      <c r="G9" s="196">
        <v>3</v>
      </c>
      <c r="H9" s="209"/>
      <c r="I9" s="202" t="e">
        <f t="shared" ref="I9:I18" si="2">+$L$33</f>
        <v>#VALUE!</v>
      </c>
      <c r="J9" s="205">
        <v>3533.1922</v>
      </c>
      <c r="K9" s="199">
        <v>1381.1601000000001</v>
      </c>
      <c r="L9" s="204">
        <f t="shared" si="0"/>
        <v>0.39090998219683609</v>
      </c>
      <c r="M9" s="203" t="e">
        <f t="shared" si="1"/>
        <v>#VALUE!</v>
      </c>
      <c r="N9" s="82"/>
    </row>
    <row r="10" spans="1:14" ht="15.75" thickBot="1" x14ac:dyDescent="0.3">
      <c r="B10" s="50"/>
      <c r="C10" s="50"/>
      <c r="D10" s="136"/>
      <c r="G10" s="196">
        <v>4</v>
      </c>
      <c r="H10" s="209">
        <v>85650.16</v>
      </c>
      <c r="I10" s="202" t="e">
        <f t="shared" si="2"/>
        <v>#VALUE!</v>
      </c>
      <c r="J10" s="205">
        <v>3533.1922</v>
      </c>
      <c r="K10" s="199">
        <v>1497.2147</v>
      </c>
      <c r="L10" s="204">
        <f t="shared" si="0"/>
        <v>0.42375693572514961</v>
      </c>
      <c r="M10" s="203" t="e">
        <f t="shared" si="1"/>
        <v>#VALUE!</v>
      </c>
      <c r="N10" s="82"/>
    </row>
    <row r="11" spans="1:14" ht="15.75" thickBot="1" x14ac:dyDescent="0.3">
      <c r="B11" s="50"/>
      <c r="C11" s="50"/>
      <c r="D11" s="136"/>
      <c r="G11" s="196">
        <v>5</v>
      </c>
      <c r="H11" s="209">
        <v>1500000</v>
      </c>
      <c r="I11" s="202" t="e">
        <f t="shared" si="2"/>
        <v>#VALUE!</v>
      </c>
      <c r="J11" s="205">
        <v>3533.1922</v>
      </c>
      <c r="K11" s="199">
        <v>1613.5895</v>
      </c>
      <c r="L11" s="204">
        <f t="shared" si="0"/>
        <v>0.45669451551489332</v>
      </c>
      <c r="M11" s="203" t="e">
        <f t="shared" si="1"/>
        <v>#VALUE!</v>
      </c>
      <c r="N11" s="82"/>
    </row>
    <row r="12" spans="1:14" ht="15.75" thickBot="1" x14ac:dyDescent="0.3">
      <c r="B12" s="50"/>
      <c r="C12" s="50"/>
      <c r="D12" s="136"/>
      <c r="G12" s="196">
        <v>6</v>
      </c>
      <c r="H12" s="209" t="str">
        <f>DDJJ!B242</f>
        <v/>
      </c>
      <c r="I12" s="202" t="e">
        <f t="shared" si="2"/>
        <v>#VALUE!</v>
      </c>
      <c r="J12" s="205">
        <v>3533.1922</v>
      </c>
      <c r="K12" s="199">
        <v>1709.6115</v>
      </c>
      <c r="L12" s="204">
        <f t="shared" si="0"/>
        <v>0.4838716387973459</v>
      </c>
      <c r="M12" s="203" t="e">
        <f t="shared" si="1"/>
        <v>#VALUE!</v>
      </c>
      <c r="N12" s="82"/>
    </row>
    <row r="13" spans="1:14" ht="15.75" thickBot="1" x14ac:dyDescent="0.3">
      <c r="B13" s="50"/>
      <c r="C13" s="50"/>
      <c r="D13" s="136"/>
      <c r="G13" s="196">
        <v>7</v>
      </c>
      <c r="H13" s="209">
        <v>0</v>
      </c>
      <c r="I13" s="202" t="e">
        <f t="shared" si="2"/>
        <v>#VALUE!</v>
      </c>
      <c r="J13" s="205">
        <v>3533.1922</v>
      </c>
      <c r="K13" s="199">
        <v>1818.0838000000001</v>
      </c>
      <c r="L13" s="204">
        <f t="shared" si="0"/>
        <v>0.51457257264408096</v>
      </c>
      <c r="M13" s="203" t="e">
        <f t="shared" si="1"/>
        <v>#VALUE!</v>
      </c>
      <c r="N13" s="82"/>
    </row>
    <row r="14" spans="1:14" ht="15.75" thickBot="1" x14ac:dyDescent="0.3">
      <c r="B14" s="50"/>
      <c r="C14" s="50"/>
      <c r="D14" s="136"/>
      <c r="G14" s="196">
        <v>8</v>
      </c>
      <c r="H14" s="209">
        <v>34645.46</v>
      </c>
      <c r="I14" s="202" t="e">
        <f t="shared" si="2"/>
        <v>#VALUE!</v>
      </c>
      <c r="J14" s="205">
        <v>3533.1922</v>
      </c>
      <c r="K14" s="199">
        <v>2044.2832000000001</v>
      </c>
      <c r="L14" s="204">
        <f t="shared" si="0"/>
        <v>0.57859382798365744</v>
      </c>
      <c r="M14" s="203" t="e">
        <f t="shared" si="1"/>
        <v>#VALUE!</v>
      </c>
      <c r="N14" s="82"/>
    </row>
    <row r="15" spans="1:14" ht="15.75" thickBot="1" x14ac:dyDescent="0.3">
      <c r="B15" s="50"/>
      <c r="C15" s="50"/>
      <c r="D15" s="136"/>
      <c r="G15" s="196">
        <v>9</v>
      </c>
      <c r="H15" s="209">
        <v>1563000</v>
      </c>
      <c r="I15" s="202" t="e">
        <f t="shared" si="2"/>
        <v>#VALUE!</v>
      </c>
      <c r="J15" s="205">
        <v>3533.1922</v>
      </c>
      <c r="K15" s="199">
        <v>2304.9241999999999</v>
      </c>
      <c r="L15" s="204">
        <f t="shared" si="0"/>
        <v>0.65236309533344949</v>
      </c>
      <c r="M15" s="203" t="e">
        <f t="shared" si="1"/>
        <v>#VALUE!</v>
      </c>
      <c r="N15" s="82"/>
    </row>
    <row r="16" spans="1:14" ht="15.75" thickBot="1" x14ac:dyDescent="0.3">
      <c r="B16" s="50"/>
      <c r="C16" s="51"/>
      <c r="D16" s="137"/>
      <c r="G16" s="196">
        <v>10</v>
      </c>
      <c r="H16" s="209">
        <v>0</v>
      </c>
      <c r="I16" s="202" t="e">
        <f t="shared" si="2"/>
        <v>#VALUE!</v>
      </c>
      <c r="J16" s="205">
        <v>3533.1922</v>
      </c>
      <c r="K16" s="199">
        <v>2496.2730000000001</v>
      </c>
      <c r="L16" s="204">
        <f t="shared" si="0"/>
        <v>0.70652057932200807</v>
      </c>
      <c r="M16" s="203" t="e">
        <f t="shared" si="1"/>
        <v>#VALUE!</v>
      </c>
      <c r="N16" s="82"/>
    </row>
    <row r="17" spans="2:14" ht="15.75" thickBot="1" x14ac:dyDescent="0.3">
      <c r="B17" s="50"/>
      <c r="C17" s="138" t="s">
        <v>115</v>
      </c>
      <c r="D17" s="139">
        <f>D6+D7</f>
        <v>4567586.2499999991</v>
      </c>
      <c r="E17" s="4"/>
      <c r="G17" s="196">
        <v>11</v>
      </c>
      <c r="H17" s="209">
        <v>0</v>
      </c>
      <c r="I17" s="202" t="e">
        <f t="shared" si="2"/>
        <v>#VALUE!</v>
      </c>
      <c r="J17" s="205">
        <v>3533.1922</v>
      </c>
      <c r="K17" s="199">
        <v>2816.0628000000002</v>
      </c>
      <c r="L17" s="204">
        <f t="shared" si="0"/>
        <v>0.7970307417751008</v>
      </c>
      <c r="M17" s="203" t="e">
        <f t="shared" si="1"/>
        <v>#VALUE!</v>
      </c>
      <c r="N17" s="82"/>
    </row>
    <row r="18" spans="2:14" ht="15.75" thickBot="1" x14ac:dyDescent="0.3">
      <c r="B18" s="50"/>
      <c r="D18" s="5"/>
      <c r="E18" s="4"/>
      <c r="G18" s="198">
        <v>12</v>
      </c>
      <c r="H18" s="210">
        <v>87075.48</v>
      </c>
      <c r="I18" s="202" t="e">
        <f t="shared" si="2"/>
        <v>#VALUE!</v>
      </c>
      <c r="J18" s="206">
        <v>3533.1922</v>
      </c>
      <c r="K18" s="201">
        <v>3533.1922</v>
      </c>
      <c r="L18" s="204">
        <f>(J18/K18)-1</f>
        <v>0</v>
      </c>
      <c r="M18" s="203" t="e">
        <f t="shared" si="1"/>
        <v>#VALUE!</v>
      </c>
      <c r="N18" s="82"/>
    </row>
    <row r="19" spans="2:14" ht="15.75" thickBot="1" x14ac:dyDescent="0.3">
      <c r="B19" s="50"/>
      <c r="C19" s="186" t="s">
        <v>116</v>
      </c>
      <c r="D19" s="187">
        <f>DDJJ!C177</f>
        <v>2268923.04</v>
      </c>
      <c r="G19" s="661" t="s">
        <v>117</v>
      </c>
      <c r="H19" s="662"/>
      <c r="I19" s="663"/>
      <c r="J19" s="663"/>
      <c r="K19" s="663"/>
      <c r="L19" s="663"/>
      <c r="M19" s="52" t="e">
        <f>SUM(M7:M18)</f>
        <v>#VALUE!</v>
      </c>
      <c r="N19" s="82"/>
    </row>
    <row r="20" spans="2:14" ht="15.75" thickBot="1" x14ac:dyDescent="0.3">
      <c r="B20" s="50"/>
      <c r="C20" s="186" t="s">
        <v>155</v>
      </c>
      <c r="D20" s="191">
        <v>3.114076437471768</v>
      </c>
      <c r="G20" s="53"/>
      <c r="H20" s="54"/>
      <c r="I20" s="54"/>
      <c r="J20" s="54"/>
      <c r="K20" s="54"/>
      <c r="L20" s="54"/>
      <c r="M20" s="55"/>
      <c r="N20" s="82"/>
    </row>
    <row r="21" spans="2:14" ht="15.75" customHeight="1" thickBot="1" x14ac:dyDescent="0.3">
      <c r="B21" s="50"/>
      <c r="C21" s="138" t="s">
        <v>118</v>
      </c>
      <c r="D21" s="139">
        <f>+D17-D19</f>
        <v>2298663.209999999</v>
      </c>
      <c r="G21" s="664" t="s">
        <v>119</v>
      </c>
      <c r="H21" s="665"/>
      <c r="I21" s="665"/>
      <c r="J21" s="665"/>
      <c r="K21" s="665"/>
      <c r="L21" s="666"/>
      <c r="N21" s="82"/>
    </row>
    <row r="22" spans="2:14" ht="13.5" thickBot="1" x14ac:dyDescent="0.25">
      <c r="B22" s="50"/>
      <c r="D22" s="5"/>
      <c r="G22" s="667"/>
      <c r="H22" s="668"/>
      <c r="I22" s="668"/>
      <c r="J22" s="668"/>
      <c r="K22" s="668"/>
      <c r="L22" s="669"/>
      <c r="N22" s="82"/>
    </row>
    <row r="23" spans="2:14" ht="15.75" thickBot="1" x14ac:dyDescent="0.3">
      <c r="B23" s="50"/>
      <c r="C23" s="138" t="s">
        <v>154</v>
      </c>
      <c r="D23" s="139">
        <f>+D21*D20</f>
        <v>7158212.9399442151</v>
      </c>
      <c r="G23" s="649" t="s">
        <v>120</v>
      </c>
      <c r="H23" s="650"/>
      <c r="I23" s="651"/>
      <c r="J23" s="651"/>
      <c r="K23" s="651"/>
      <c r="L23" s="140">
        <f>DDJJ!B177-DDJJ!C177</f>
        <v>8128196.2399999993</v>
      </c>
      <c r="N23" s="82"/>
    </row>
    <row r="24" spans="2:14" ht="15" x14ac:dyDescent="0.25">
      <c r="B24" s="50"/>
      <c r="G24" s="647" t="s">
        <v>301</v>
      </c>
      <c r="H24" s="648"/>
      <c r="I24" s="644"/>
      <c r="J24" s="644"/>
      <c r="K24" s="644"/>
      <c r="L24" s="141">
        <f>DDJJ!D114</f>
        <v>204304514.55000001</v>
      </c>
      <c r="N24" s="82"/>
    </row>
    <row r="25" spans="2:14" ht="15.75" thickBot="1" x14ac:dyDescent="0.3">
      <c r="B25" s="50"/>
      <c r="G25" s="642" t="s">
        <v>121</v>
      </c>
      <c r="H25" s="643"/>
      <c r="I25" s="644"/>
      <c r="J25" s="644"/>
      <c r="K25" s="644"/>
      <c r="L25" s="141">
        <v>0</v>
      </c>
      <c r="N25" s="82"/>
    </row>
    <row r="26" spans="2:14" ht="15.75" thickBot="1" x14ac:dyDescent="0.3">
      <c r="B26" s="50"/>
      <c r="C26" s="645" t="s">
        <v>122</v>
      </c>
      <c r="D26" s="646"/>
      <c r="E26" s="142" t="s">
        <v>123</v>
      </c>
      <c r="G26" s="642" t="s">
        <v>124</v>
      </c>
      <c r="H26" s="643"/>
      <c r="I26" s="644"/>
      <c r="J26" s="644"/>
      <c r="K26" s="644"/>
      <c r="L26" s="141">
        <f>DDJJ!B108</f>
        <v>0</v>
      </c>
      <c r="N26" s="82"/>
    </row>
    <row r="27" spans="2:14" ht="15" x14ac:dyDescent="0.25">
      <c r="B27" s="50"/>
      <c r="C27" s="81" t="s">
        <v>154</v>
      </c>
      <c r="D27" s="136">
        <f>-D23</f>
        <v>-7158212.9399442151</v>
      </c>
      <c r="E27" s="127">
        <f>+D27</f>
        <v>-7158212.9399442151</v>
      </c>
      <c r="G27" s="642" t="s">
        <v>125</v>
      </c>
      <c r="H27" s="643"/>
      <c r="I27" s="644"/>
      <c r="J27" s="644"/>
      <c r="K27" s="644"/>
      <c r="L27" s="141">
        <v>0</v>
      </c>
      <c r="M27" s="18"/>
      <c r="N27" s="82"/>
    </row>
    <row r="28" spans="2:14" ht="15.75" thickBot="1" x14ac:dyDescent="0.3">
      <c r="B28" s="50"/>
      <c r="C28" s="50" t="s">
        <v>106</v>
      </c>
      <c r="D28" s="136" t="e">
        <f>+M19</f>
        <v>#VALUE!</v>
      </c>
      <c r="E28" s="127" t="e">
        <f>+D28</f>
        <v>#VALUE!</v>
      </c>
      <c r="G28" s="642" t="s">
        <v>126</v>
      </c>
      <c r="H28" s="643"/>
      <c r="I28" s="644"/>
      <c r="J28" s="644"/>
      <c r="K28" s="644"/>
      <c r="L28" s="141">
        <f>-DDJJ!F176</f>
        <v>-2987102.5199999996</v>
      </c>
      <c r="M28" s="18"/>
      <c r="N28" s="82"/>
    </row>
    <row r="29" spans="2:14" ht="15.75" thickBot="1" x14ac:dyDescent="0.3">
      <c r="B29" s="50"/>
      <c r="C29" s="138" t="s">
        <v>122</v>
      </c>
      <c r="D29" s="139" t="e">
        <f>SUM(D27:D28)</f>
        <v>#VALUE!</v>
      </c>
      <c r="E29" s="127" t="e">
        <f>+D29</f>
        <v>#VALUE!</v>
      </c>
      <c r="G29" s="647" t="s">
        <v>212</v>
      </c>
      <c r="H29" s="648"/>
      <c r="I29" s="644"/>
      <c r="J29" s="644"/>
      <c r="K29" s="644"/>
      <c r="L29" s="141" t="e">
        <f>-(H7+H8+H9+H10+H11+H12+H13+H14+H15+H16+H17+H18)</f>
        <v>#VALUE!</v>
      </c>
      <c r="N29" s="82"/>
    </row>
    <row r="30" spans="2:14" ht="15.75" thickBot="1" x14ac:dyDescent="0.3">
      <c r="B30" s="50"/>
      <c r="G30" s="652"/>
      <c r="H30" s="653"/>
      <c r="I30" s="654"/>
      <c r="J30" s="654"/>
      <c r="K30" s="654"/>
      <c r="L30" s="143"/>
      <c r="N30" s="82"/>
    </row>
    <row r="31" spans="2:14" ht="15.75" thickBot="1" x14ac:dyDescent="0.3">
      <c r="B31" s="50"/>
      <c r="C31" s="56" t="s">
        <v>127</v>
      </c>
      <c r="D31" s="57" t="s">
        <v>128</v>
      </c>
      <c r="G31" s="655" t="s">
        <v>129</v>
      </c>
      <c r="H31" s="656"/>
      <c r="I31" s="657"/>
      <c r="J31" s="657"/>
      <c r="K31" s="657"/>
      <c r="L31" s="144" t="e">
        <f>SUM(L23:L30)</f>
        <v>#VALUE!</v>
      </c>
      <c r="N31" s="82"/>
    </row>
    <row r="32" spans="2:14" ht="15.75" thickBot="1" x14ac:dyDescent="0.3">
      <c r="B32" s="50"/>
      <c r="C32" s="45" t="s">
        <v>130</v>
      </c>
      <c r="D32" s="46" t="s">
        <v>131</v>
      </c>
      <c r="G32" s="636"/>
      <c r="H32" s="637"/>
      <c r="I32" s="637"/>
      <c r="J32" s="637"/>
      <c r="K32" s="637"/>
      <c r="L32" s="638"/>
      <c r="N32" s="82"/>
    </row>
    <row r="33" spans="2:14" ht="15.75" thickBot="1" x14ac:dyDescent="0.3">
      <c r="B33" s="50"/>
      <c r="G33" s="639" t="s">
        <v>132</v>
      </c>
      <c r="H33" s="640"/>
      <c r="I33" s="641"/>
      <c r="J33" s="145">
        <v>0</v>
      </c>
      <c r="K33" s="146"/>
      <c r="L33" s="274" t="e">
        <f>+L31/12</f>
        <v>#VALUE!</v>
      </c>
      <c r="N33" s="82"/>
    </row>
    <row r="34" spans="2:14" ht="13.5" thickBot="1" x14ac:dyDescent="0.25">
      <c r="B34" s="51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110"/>
    </row>
    <row r="35" spans="2:14" x14ac:dyDescent="0.2">
      <c r="E35" t="s">
        <v>312</v>
      </c>
      <c r="G35" t="s">
        <v>313</v>
      </c>
    </row>
    <row r="36" spans="2:14" x14ac:dyDescent="0.2">
      <c r="D36" s="18">
        <f>+E27</f>
        <v>-7158212.9399442151</v>
      </c>
      <c r="E36">
        <v>-228017.25</v>
      </c>
      <c r="F36" s="212">
        <f>+D36+E36</f>
        <v>-7386230.1899442151</v>
      </c>
      <c r="G36">
        <f>SUM(E36:F36)</f>
        <v>-7614247.4399442151</v>
      </c>
    </row>
    <row r="37" spans="2:14" x14ac:dyDescent="0.2">
      <c r="D37" s="18" t="e">
        <f>+E28</f>
        <v>#VALUE!</v>
      </c>
      <c r="E37">
        <v>369638.33</v>
      </c>
      <c r="F37" t="e">
        <f>+D37+E37</f>
        <v>#VALUE!</v>
      </c>
      <c r="G37" t="e">
        <f>SUM(E37:F37)</f>
        <v>#VALUE!</v>
      </c>
    </row>
    <row r="38" spans="2:14" x14ac:dyDescent="0.2">
      <c r="B38" t="s">
        <v>308</v>
      </c>
      <c r="G38" t="e">
        <f>SUM(G36:G37)</f>
        <v>#VALUE!</v>
      </c>
    </row>
  </sheetData>
  <mergeCells count="16">
    <mergeCell ref="G23:K23"/>
    <mergeCell ref="G24:K24"/>
    <mergeCell ref="G30:K30"/>
    <mergeCell ref="G31:K31"/>
    <mergeCell ref="C5:D5"/>
    <mergeCell ref="G5:M5"/>
    <mergeCell ref="G19:L19"/>
    <mergeCell ref="G21:L22"/>
    <mergeCell ref="G32:L32"/>
    <mergeCell ref="G33:I33"/>
    <mergeCell ref="G25:K25"/>
    <mergeCell ref="C26:D26"/>
    <mergeCell ref="G26:K26"/>
    <mergeCell ref="G27:K27"/>
    <mergeCell ref="G28:K28"/>
    <mergeCell ref="G29:K29"/>
  </mergeCells>
  <phoneticPr fontId="1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L42"/>
  <sheetViews>
    <sheetView workbookViewId="0">
      <selection activeCell="A17" sqref="A17:A20"/>
    </sheetView>
  </sheetViews>
  <sheetFormatPr baseColWidth="10" defaultRowHeight="12.75" x14ac:dyDescent="0.2"/>
  <cols>
    <col min="1" max="1" width="20.7109375" customWidth="1"/>
    <col min="3" max="3" width="13.42578125" bestFit="1" customWidth="1"/>
    <col min="5" max="5" width="15.5703125" bestFit="1" customWidth="1"/>
    <col min="6" max="6" width="11.85546875" bestFit="1" customWidth="1"/>
    <col min="11" max="11" width="14.42578125" bestFit="1" customWidth="1"/>
  </cols>
  <sheetData>
    <row r="4" spans="1:12" x14ac:dyDescent="0.2">
      <c r="A4" s="1" t="s">
        <v>82</v>
      </c>
      <c r="G4" s="1" t="s">
        <v>82</v>
      </c>
    </row>
    <row r="5" spans="1:12" x14ac:dyDescent="0.2">
      <c r="C5" t="s">
        <v>219</v>
      </c>
      <c r="D5" t="s">
        <v>220</v>
      </c>
      <c r="E5" s="4" t="s">
        <v>221</v>
      </c>
      <c r="F5" s="4" t="s">
        <v>88</v>
      </c>
      <c r="I5" t="s">
        <v>219</v>
      </c>
      <c r="J5" t="s">
        <v>220</v>
      </c>
      <c r="K5" s="4" t="s">
        <v>221</v>
      </c>
      <c r="L5" s="4" t="s">
        <v>88</v>
      </c>
    </row>
    <row r="6" spans="1:12" x14ac:dyDescent="0.2">
      <c r="A6" s="61">
        <v>45261</v>
      </c>
      <c r="B6" s="59"/>
      <c r="C6" s="59">
        <v>7</v>
      </c>
      <c r="D6" s="59">
        <v>8</v>
      </c>
      <c r="E6" s="213">
        <v>353185</v>
      </c>
      <c r="F6" s="214">
        <f>E6*60%</f>
        <v>211911</v>
      </c>
      <c r="G6" s="61">
        <v>44896</v>
      </c>
      <c r="H6" s="59"/>
      <c r="I6" s="59">
        <v>5</v>
      </c>
      <c r="J6" s="59">
        <v>26</v>
      </c>
      <c r="K6" s="213">
        <f>327*190</f>
        <v>62130</v>
      </c>
      <c r="L6" s="214">
        <f>K6*60%</f>
        <v>37278</v>
      </c>
    </row>
    <row r="7" spans="1:12" x14ac:dyDescent="0.2">
      <c r="A7" s="61">
        <v>45231</v>
      </c>
      <c r="B7" s="59"/>
      <c r="C7" s="59">
        <v>1</v>
      </c>
      <c r="D7" s="59"/>
      <c r="G7" s="61">
        <v>44866</v>
      </c>
      <c r="H7" s="59"/>
      <c r="I7" s="59">
        <v>6</v>
      </c>
      <c r="J7" s="59"/>
    </row>
    <row r="8" spans="1:12" x14ac:dyDescent="0.2">
      <c r="A8" s="61">
        <v>45170</v>
      </c>
      <c r="B8" s="59"/>
      <c r="C8" s="59">
        <v>1</v>
      </c>
      <c r="D8" s="59"/>
      <c r="G8" s="61"/>
      <c r="H8" s="59"/>
      <c r="I8" s="59"/>
      <c r="J8" s="59"/>
    </row>
    <row r="9" spans="1:12" x14ac:dyDescent="0.2">
      <c r="A9" s="61"/>
      <c r="B9" s="59"/>
      <c r="C9" s="59"/>
      <c r="D9" s="59"/>
      <c r="G9" s="61"/>
      <c r="H9" s="59"/>
      <c r="I9" s="59"/>
      <c r="J9" s="59"/>
    </row>
    <row r="10" spans="1:12" x14ac:dyDescent="0.2">
      <c r="A10" s="59"/>
      <c r="B10" s="59"/>
      <c r="C10" s="59">
        <f>SUM(C6:C9)</f>
        <v>9</v>
      </c>
      <c r="D10" s="59">
        <f>SUM(D6:D9)</f>
        <v>8</v>
      </c>
      <c r="G10" s="59"/>
      <c r="H10" s="59"/>
      <c r="I10" s="59">
        <f>SUM(I6:I9)</f>
        <v>11</v>
      </c>
      <c r="J10" s="59">
        <f>SUM(J6:J9)</f>
        <v>26</v>
      </c>
    </row>
    <row r="13" spans="1:12" x14ac:dyDescent="0.2">
      <c r="A13" s="1" t="s">
        <v>292</v>
      </c>
      <c r="B13" s="1"/>
      <c r="C13" s="1"/>
      <c r="D13" s="1"/>
      <c r="E13" s="1"/>
      <c r="F13" s="1"/>
      <c r="G13" s="1" t="s">
        <v>222</v>
      </c>
      <c r="H13" s="1"/>
      <c r="I13" s="1"/>
      <c r="J13" s="1"/>
      <c r="K13" s="1"/>
      <c r="L13" s="1"/>
    </row>
    <row r="14" spans="1:12" x14ac:dyDescent="0.2">
      <c r="A14" s="1" t="s">
        <v>293</v>
      </c>
      <c r="B14" s="1"/>
      <c r="C14" s="1"/>
      <c r="D14" s="1"/>
      <c r="E14" s="1" t="s">
        <v>86</v>
      </c>
      <c r="F14" s="1"/>
      <c r="G14" s="1"/>
      <c r="H14" s="1"/>
      <c r="I14" s="1"/>
      <c r="J14" s="1"/>
      <c r="K14" s="1" t="s">
        <v>86</v>
      </c>
      <c r="L14" s="1"/>
    </row>
    <row r="15" spans="1:12" x14ac:dyDescent="0.2">
      <c r="C15" s="21"/>
      <c r="D15" s="21"/>
      <c r="I15" s="21"/>
      <c r="J15" s="21"/>
    </row>
    <row r="17" spans="1:11" x14ac:dyDescent="0.2">
      <c r="A17" t="s">
        <v>83</v>
      </c>
      <c r="C17">
        <v>17</v>
      </c>
      <c r="E17">
        <f>C17+D17</f>
        <v>17</v>
      </c>
      <c r="G17" t="s">
        <v>83</v>
      </c>
      <c r="I17">
        <v>0</v>
      </c>
      <c r="K17">
        <f>I17+J17</f>
        <v>0</v>
      </c>
    </row>
    <row r="18" spans="1:11" x14ac:dyDescent="0.2">
      <c r="A18" s="4" t="s">
        <v>142</v>
      </c>
      <c r="C18">
        <v>15</v>
      </c>
      <c r="E18">
        <f>C18+D18</f>
        <v>15</v>
      </c>
      <c r="G18" s="4" t="s">
        <v>142</v>
      </c>
      <c r="I18">
        <v>0</v>
      </c>
      <c r="K18">
        <f>I18+J18</f>
        <v>0</v>
      </c>
    </row>
    <row r="19" spans="1:11" x14ac:dyDescent="0.2">
      <c r="A19" t="s">
        <v>84</v>
      </c>
      <c r="C19">
        <v>63</v>
      </c>
      <c r="E19">
        <f>C19+D19</f>
        <v>63</v>
      </c>
      <c r="G19" t="s">
        <v>84</v>
      </c>
      <c r="I19">
        <v>0</v>
      </c>
      <c r="K19">
        <f>I19+J19</f>
        <v>0</v>
      </c>
    </row>
    <row r="20" spans="1:11" x14ac:dyDescent="0.2">
      <c r="A20" t="s">
        <v>85</v>
      </c>
      <c r="C20">
        <v>77</v>
      </c>
      <c r="E20">
        <f>C20+D20</f>
        <v>77</v>
      </c>
      <c r="G20" t="s">
        <v>85</v>
      </c>
      <c r="I20">
        <v>0</v>
      </c>
      <c r="K20">
        <f>I20+J20</f>
        <v>0</v>
      </c>
    </row>
    <row r="21" spans="1:11" x14ac:dyDescent="0.2">
      <c r="A21" t="s">
        <v>86</v>
      </c>
      <c r="C21">
        <f>SUM(C16:C20)</f>
        <v>172</v>
      </c>
      <c r="E21">
        <f>C21+D21</f>
        <v>172</v>
      </c>
      <c r="G21" t="s">
        <v>86</v>
      </c>
      <c r="I21">
        <f>SUM(I16:I20)</f>
        <v>0</v>
      </c>
      <c r="K21">
        <f>I21+J21</f>
        <v>0</v>
      </c>
    </row>
    <row r="23" spans="1:11" x14ac:dyDescent="0.2">
      <c r="A23" s="1" t="s">
        <v>294</v>
      </c>
      <c r="B23" s="1"/>
      <c r="C23" s="1">
        <v>192</v>
      </c>
      <c r="D23" s="4" t="s">
        <v>295</v>
      </c>
      <c r="G23" s="1"/>
      <c r="H23" s="1"/>
      <c r="I23" s="1"/>
    </row>
    <row r="26" spans="1:11" x14ac:dyDescent="0.2">
      <c r="A26" s="4" t="s">
        <v>87</v>
      </c>
      <c r="G26" s="4" t="s">
        <v>87</v>
      </c>
    </row>
    <row r="28" spans="1:11" x14ac:dyDescent="0.2">
      <c r="C28" s="4" t="s">
        <v>89</v>
      </c>
      <c r="D28" s="47" t="s">
        <v>88</v>
      </c>
      <c r="E28" s="4" t="s">
        <v>81</v>
      </c>
      <c r="I28" s="4" t="s">
        <v>89</v>
      </c>
      <c r="J28" s="47" t="s">
        <v>88</v>
      </c>
      <c r="K28" s="4" t="s">
        <v>81</v>
      </c>
    </row>
    <row r="29" spans="1:11" x14ac:dyDescent="0.2">
      <c r="D29" s="4"/>
      <c r="E29" s="213"/>
      <c r="J29" s="4"/>
      <c r="K29" s="213"/>
    </row>
    <row r="30" spans="1:11" x14ac:dyDescent="0.2">
      <c r="A30" t="s">
        <v>83</v>
      </c>
      <c r="B30" t="s">
        <v>305</v>
      </c>
      <c r="C30">
        <f>E17</f>
        <v>17</v>
      </c>
      <c r="D30" s="215">
        <f>F6</f>
        <v>211911</v>
      </c>
      <c r="E30" s="213">
        <v>0</v>
      </c>
      <c r="G30" t="s">
        <v>83</v>
      </c>
      <c r="I30">
        <f>K17</f>
        <v>0</v>
      </c>
      <c r="J30" s="215">
        <f>L6</f>
        <v>37278</v>
      </c>
      <c r="K30" s="213">
        <f>J30*I30</f>
        <v>0</v>
      </c>
    </row>
    <row r="31" spans="1:11" x14ac:dyDescent="0.2">
      <c r="A31" s="4" t="s">
        <v>142</v>
      </c>
      <c r="C31">
        <f>E18</f>
        <v>15</v>
      </c>
      <c r="D31" s="215">
        <f>F6</f>
        <v>211911</v>
      </c>
      <c r="E31" s="213">
        <f>D31*C31</f>
        <v>3178665</v>
      </c>
      <c r="G31" s="4" t="s">
        <v>142</v>
      </c>
      <c r="I31">
        <f>K18</f>
        <v>0</v>
      </c>
      <c r="J31" s="215">
        <f>L6</f>
        <v>37278</v>
      </c>
      <c r="K31" s="213">
        <f>J31*I31</f>
        <v>0</v>
      </c>
    </row>
    <row r="32" spans="1:11" x14ac:dyDescent="0.2">
      <c r="A32" t="s">
        <v>84</v>
      </c>
      <c r="C32">
        <f>E19</f>
        <v>63</v>
      </c>
      <c r="D32" s="215">
        <f>F6</f>
        <v>211911</v>
      </c>
      <c r="E32" s="213">
        <f>D32*C32</f>
        <v>13350393</v>
      </c>
      <c r="G32" t="s">
        <v>84</v>
      </c>
      <c r="I32">
        <f>K19</f>
        <v>0</v>
      </c>
      <c r="J32" s="215">
        <f>L6</f>
        <v>37278</v>
      </c>
      <c r="K32" s="213">
        <f>J32*I32</f>
        <v>0</v>
      </c>
    </row>
    <row r="33" spans="1:11" x14ac:dyDescent="0.2">
      <c r="A33" t="s">
        <v>85</v>
      </c>
      <c r="C33">
        <f>E20</f>
        <v>77</v>
      </c>
      <c r="D33" s="215">
        <f>F6</f>
        <v>211911</v>
      </c>
      <c r="E33" s="213">
        <f>D33*C33</f>
        <v>16317147</v>
      </c>
      <c r="G33" t="s">
        <v>85</v>
      </c>
      <c r="I33">
        <f>K20</f>
        <v>0</v>
      </c>
      <c r="J33" s="215">
        <f>L6</f>
        <v>37278</v>
      </c>
      <c r="K33" s="213">
        <f>J33*I33</f>
        <v>0</v>
      </c>
    </row>
    <row r="34" spans="1:11" x14ac:dyDescent="0.2">
      <c r="C34">
        <f>SUM(C29:C33)</f>
        <v>172</v>
      </c>
      <c r="E34" s="213">
        <f>SUM(E29:E33)</f>
        <v>32846205</v>
      </c>
      <c r="I34">
        <f>SUM(I29:I33)</f>
        <v>0</v>
      </c>
      <c r="K34" s="213">
        <f>SUM(K29:K33)</f>
        <v>0</v>
      </c>
    </row>
    <row r="35" spans="1:11" x14ac:dyDescent="0.2">
      <c r="C35" s="127"/>
    </row>
    <row r="36" spans="1:11" x14ac:dyDescent="0.2">
      <c r="A36" s="4"/>
      <c r="C36" s="127"/>
    </row>
    <row r="37" spans="1:11" x14ac:dyDescent="0.2">
      <c r="A37" s="4" t="s">
        <v>283</v>
      </c>
      <c r="C37" s="270">
        <v>45291</v>
      </c>
    </row>
    <row r="38" spans="1:11" x14ac:dyDescent="0.2">
      <c r="A38" s="4" t="s">
        <v>284</v>
      </c>
      <c r="B38" s="4" t="s">
        <v>285</v>
      </c>
      <c r="C38" s="171" t="s">
        <v>290</v>
      </c>
    </row>
    <row r="39" spans="1:11" x14ac:dyDescent="0.2">
      <c r="A39" s="4" t="s">
        <v>286</v>
      </c>
      <c r="B39" s="4" t="s">
        <v>287</v>
      </c>
      <c r="C39" s="171" t="s">
        <v>291</v>
      </c>
    </row>
    <row r="40" spans="1:11" x14ac:dyDescent="0.2">
      <c r="A40" s="4" t="s">
        <v>288</v>
      </c>
      <c r="B40" s="4" t="s">
        <v>289</v>
      </c>
      <c r="C40" s="171" t="s">
        <v>290</v>
      </c>
    </row>
    <row r="41" spans="1:11" x14ac:dyDescent="0.2">
      <c r="C41" s="127"/>
    </row>
    <row r="42" spans="1:11" x14ac:dyDescent="0.2">
      <c r="A42" s="4"/>
      <c r="C42" s="127"/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77"/>
  <sheetViews>
    <sheetView topLeftCell="A43" workbookViewId="0">
      <selection activeCell="E77" sqref="E77:F77"/>
    </sheetView>
  </sheetViews>
  <sheetFormatPr baseColWidth="10" defaultRowHeight="12.75" x14ac:dyDescent="0.2"/>
  <cols>
    <col min="9" max="9" width="12.85546875" bestFit="1" customWidth="1"/>
    <col min="10" max="10" width="11.85546875" bestFit="1" customWidth="1"/>
    <col min="11" max="11" width="12.85546875" bestFit="1" customWidth="1"/>
  </cols>
  <sheetData>
    <row r="1" spans="1:21" x14ac:dyDescent="0.2">
      <c r="A1" s="224"/>
      <c r="B1" s="224" t="s">
        <v>243</v>
      </c>
      <c r="C1" s="224" t="s">
        <v>244</v>
      </c>
      <c r="D1" s="224" t="s">
        <v>161</v>
      </c>
      <c r="E1" s="224" t="s">
        <v>191</v>
      </c>
      <c r="F1" s="224" t="s">
        <v>192</v>
      </c>
      <c r="G1" s="224" t="s">
        <v>193</v>
      </c>
      <c r="H1" s="224" t="s">
        <v>194</v>
      </c>
      <c r="I1" s="224" t="s">
        <v>195</v>
      </c>
      <c r="J1" s="224" t="s">
        <v>196</v>
      </c>
      <c r="K1" s="224" t="s">
        <v>197</v>
      </c>
    </row>
    <row r="2" spans="1:21" x14ac:dyDescent="0.2">
      <c r="A2" s="225" t="s">
        <v>245</v>
      </c>
      <c r="B2" s="224" t="s">
        <v>246</v>
      </c>
      <c r="C2" s="225">
        <v>45627</v>
      </c>
      <c r="D2" s="224" t="s">
        <v>198</v>
      </c>
      <c r="E2" s="224">
        <v>19</v>
      </c>
      <c r="F2" s="226">
        <v>19</v>
      </c>
      <c r="G2" s="224" t="s">
        <v>199</v>
      </c>
      <c r="H2" s="226">
        <v>45665</v>
      </c>
      <c r="I2" s="227">
        <v>46630.57</v>
      </c>
      <c r="J2" s="224"/>
      <c r="K2" s="224"/>
      <c r="U2">
        <f>SUM(E2:T2)</f>
        <v>92333.57</v>
      </c>
    </row>
    <row r="3" spans="1:21" x14ac:dyDescent="0.2">
      <c r="A3" s="224"/>
      <c r="B3" s="224"/>
      <c r="C3" s="224"/>
      <c r="D3" s="224"/>
      <c r="E3" s="224"/>
      <c r="F3" s="224"/>
      <c r="G3" s="224"/>
      <c r="H3" s="224"/>
      <c r="I3" s="224"/>
      <c r="J3" s="224"/>
      <c r="K3" s="224"/>
    </row>
    <row r="4" spans="1:21" x14ac:dyDescent="0.2">
      <c r="A4" s="225" t="s">
        <v>245</v>
      </c>
      <c r="B4" s="224" t="s">
        <v>246</v>
      </c>
      <c r="C4" s="225">
        <v>45627</v>
      </c>
      <c r="D4" s="224" t="s">
        <v>198</v>
      </c>
      <c r="E4" s="224">
        <v>19</v>
      </c>
      <c r="F4" s="226">
        <v>19</v>
      </c>
      <c r="G4" s="224" t="s">
        <v>200</v>
      </c>
      <c r="H4" s="226">
        <v>45665</v>
      </c>
      <c r="I4" s="224"/>
      <c r="J4" s="227">
        <v>46630.57</v>
      </c>
      <c r="K4" s="224"/>
      <c r="U4">
        <f>SUM(E4:T4)</f>
        <v>92333.57</v>
      </c>
    </row>
    <row r="5" spans="1:21" x14ac:dyDescent="0.2">
      <c r="A5" s="224"/>
      <c r="B5" s="224"/>
      <c r="C5" s="224"/>
      <c r="D5" s="224"/>
      <c r="E5" s="224"/>
      <c r="F5" s="224"/>
      <c r="G5" s="224"/>
      <c r="H5" s="224"/>
      <c r="I5" s="224"/>
      <c r="J5" s="224"/>
      <c r="K5" s="224"/>
    </row>
    <row r="6" spans="1:21" x14ac:dyDescent="0.2">
      <c r="A6" s="225"/>
      <c r="B6" s="224"/>
      <c r="C6" s="225">
        <v>45627</v>
      </c>
      <c r="D6" s="224"/>
      <c r="E6" s="224"/>
      <c r="F6" s="226"/>
      <c r="G6" s="224" t="s">
        <v>197</v>
      </c>
      <c r="H6" s="226">
        <v>45768</v>
      </c>
      <c r="I6" s="224"/>
      <c r="J6" s="224"/>
      <c r="K6" s="227">
        <v>0</v>
      </c>
      <c r="U6">
        <f>SUM(E6:T6)</f>
        <v>45768</v>
      </c>
    </row>
    <row r="7" spans="1:21" x14ac:dyDescent="0.2">
      <c r="A7" s="225" t="s">
        <v>245</v>
      </c>
      <c r="B7" s="224" t="s">
        <v>246</v>
      </c>
      <c r="C7" s="225">
        <v>45597</v>
      </c>
      <c r="D7" s="224" t="s">
        <v>198</v>
      </c>
      <c r="E7" s="224">
        <v>19</v>
      </c>
      <c r="F7" s="226">
        <v>19</v>
      </c>
      <c r="G7" s="224" t="s">
        <v>199</v>
      </c>
      <c r="H7" s="226">
        <v>45635</v>
      </c>
      <c r="I7" s="227">
        <v>45409.07</v>
      </c>
      <c r="J7" s="224"/>
      <c r="K7" s="224"/>
      <c r="U7">
        <f>SUM(E7:T7)</f>
        <v>91082.07</v>
      </c>
    </row>
    <row r="8" spans="1:21" x14ac:dyDescent="0.2">
      <c r="A8" s="224"/>
      <c r="B8" s="224"/>
      <c r="C8" s="224"/>
      <c r="D8" s="224"/>
      <c r="E8" s="224"/>
      <c r="F8" s="224"/>
      <c r="G8" s="224"/>
      <c r="H8" s="224"/>
      <c r="I8" s="224"/>
      <c r="J8" s="224"/>
      <c r="K8" s="224"/>
    </row>
    <row r="9" spans="1:21" x14ac:dyDescent="0.2">
      <c r="A9" s="225" t="s">
        <v>245</v>
      </c>
      <c r="B9" s="224" t="s">
        <v>246</v>
      </c>
      <c r="C9" s="225">
        <v>45597</v>
      </c>
      <c r="D9" s="224" t="s">
        <v>198</v>
      </c>
      <c r="E9" s="224">
        <v>19</v>
      </c>
      <c r="F9" s="226">
        <v>19</v>
      </c>
      <c r="G9" s="224" t="s">
        <v>200</v>
      </c>
      <c r="H9" s="226">
        <v>45635</v>
      </c>
      <c r="I9" s="224"/>
      <c r="J9" s="227">
        <v>45409.07</v>
      </c>
      <c r="K9" s="224"/>
      <c r="U9">
        <f>SUM(E9:T9)</f>
        <v>91082.07</v>
      </c>
    </row>
    <row r="10" spans="1:21" x14ac:dyDescent="0.2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</row>
    <row r="11" spans="1:21" x14ac:dyDescent="0.2">
      <c r="A11" s="225"/>
      <c r="B11" s="224"/>
      <c r="C11" s="225">
        <v>45597</v>
      </c>
      <c r="D11" s="224"/>
      <c r="E11" s="224"/>
      <c r="F11" s="226"/>
      <c r="G11" s="224" t="s">
        <v>197</v>
      </c>
      <c r="H11" s="226">
        <v>45768</v>
      </c>
      <c r="I11" s="224"/>
      <c r="J11" s="224"/>
      <c r="K11" s="227">
        <v>0</v>
      </c>
      <c r="U11">
        <f>SUM(E11:T11)</f>
        <v>45768</v>
      </c>
    </row>
    <row r="12" spans="1:21" x14ac:dyDescent="0.2">
      <c r="A12" s="225" t="s">
        <v>245</v>
      </c>
      <c r="B12" s="224" t="s">
        <v>246</v>
      </c>
      <c r="C12" s="225">
        <v>45566</v>
      </c>
      <c r="D12" s="224" t="s">
        <v>198</v>
      </c>
      <c r="E12" s="224">
        <v>19</v>
      </c>
      <c r="F12" s="226">
        <v>19</v>
      </c>
      <c r="G12" s="224" t="s">
        <v>199</v>
      </c>
      <c r="H12" s="226">
        <v>45604</v>
      </c>
      <c r="I12" s="227">
        <v>43886.22</v>
      </c>
      <c r="J12" s="224"/>
      <c r="K12" s="224"/>
      <c r="U12">
        <f>SUM(E12:T12)</f>
        <v>89528.22</v>
      </c>
    </row>
    <row r="13" spans="1:21" x14ac:dyDescent="0.2">
      <c r="A13" s="224"/>
      <c r="B13" s="224"/>
      <c r="C13" s="224"/>
      <c r="D13" s="224"/>
      <c r="E13" s="224"/>
      <c r="F13" s="224"/>
      <c r="G13" s="224"/>
      <c r="H13" s="224"/>
      <c r="I13" s="224"/>
      <c r="J13" s="224"/>
      <c r="K13" s="224"/>
    </row>
    <row r="14" spans="1:21" x14ac:dyDescent="0.2">
      <c r="A14" s="225" t="s">
        <v>245</v>
      </c>
      <c r="B14" s="224" t="s">
        <v>246</v>
      </c>
      <c r="C14" s="225">
        <v>45566</v>
      </c>
      <c r="D14" s="224" t="s">
        <v>198</v>
      </c>
      <c r="E14" s="224">
        <v>19</v>
      </c>
      <c r="F14" s="226">
        <v>19</v>
      </c>
      <c r="G14" s="224" t="s">
        <v>200</v>
      </c>
      <c r="H14" s="226">
        <v>45604</v>
      </c>
      <c r="I14" s="224"/>
      <c r="J14" s="227">
        <v>43886.22</v>
      </c>
      <c r="K14" s="224"/>
      <c r="U14">
        <f>SUM(E14:T14)</f>
        <v>89528.22</v>
      </c>
    </row>
    <row r="15" spans="1:21" x14ac:dyDescent="0.2">
      <c r="A15" s="224"/>
      <c r="B15" s="224"/>
      <c r="C15" s="224"/>
      <c r="D15" s="224"/>
      <c r="E15" s="224"/>
      <c r="F15" s="224"/>
      <c r="G15" s="224"/>
      <c r="H15" s="224"/>
      <c r="I15" s="224"/>
      <c r="J15" s="224"/>
      <c r="K15" s="224"/>
    </row>
    <row r="16" spans="1:21" x14ac:dyDescent="0.2">
      <c r="A16" s="225"/>
      <c r="B16" s="224"/>
      <c r="C16" s="225">
        <v>45566</v>
      </c>
      <c r="D16" s="224"/>
      <c r="E16" s="224"/>
      <c r="F16" s="226"/>
      <c r="G16" s="224" t="s">
        <v>197</v>
      </c>
      <c r="H16" s="226">
        <v>45768</v>
      </c>
      <c r="I16" s="224"/>
      <c r="J16" s="224"/>
      <c r="K16" s="227">
        <v>0</v>
      </c>
      <c r="U16">
        <f>SUM(E16:T16)</f>
        <v>45768</v>
      </c>
    </row>
    <row r="17" spans="1:21" x14ac:dyDescent="0.2">
      <c r="A17" s="225" t="s">
        <v>245</v>
      </c>
      <c r="B17" s="224" t="s">
        <v>246</v>
      </c>
      <c r="C17" s="225">
        <v>45536</v>
      </c>
      <c r="D17" s="224" t="s">
        <v>198</v>
      </c>
      <c r="E17" s="224">
        <v>19</v>
      </c>
      <c r="F17" s="226">
        <v>19</v>
      </c>
      <c r="G17" s="224" t="s">
        <v>199</v>
      </c>
      <c r="H17" s="226">
        <v>45574</v>
      </c>
      <c r="I17" s="227">
        <v>42129.42</v>
      </c>
      <c r="J17" s="224"/>
      <c r="K17" s="224"/>
      <c r="U17">
        <f>SUM(E17:T17)</f>
        <v>87741.42</v>
      </c>
    </row>
    <row r="18" spans="1:21" x14ac:dyDescent="0.2">
      <c r="A18" s="224"/>
      <c r="B18" s="224"/>
      <c r="C18" s="224"/>
      <c r="D18" s="224"/>
      <c r="E18" s="224"/>
      <c r="F18" s="224"/>
      <c r="G18" s="224"/>
      <c r="H18" s="224"/>
      <c r="I18" s="224"/>
      <c r="J18" s="224"/>
      <c r="K18" s="224"/>
    </row>
    <row r="19" spans="1:21" x14ac:dyDescent="0.2">
      <c r="A19" s="225" t="s">
        <v>245</v>
      </c>
      <c r="B19" s="224" t="s">
        <v>246</v>
      </c>
      <c r="C19" s="225">
        <v>45536</v>
      </c>
      <c r="D19" s="224" t="s">
        <v>198</v>
      </c>
      <c r="E19" s="224">
        <v>19</v>
      </c>
      <c r="F19" s="226">
        <v>19</v>
      </c>
      <c r="G19" s="224" t="s">
        <v>200</v>
      </c>
      <c r="H19" s="226">
        <v>45574</v>
      </c>
      <c r="I19" s="224"/>
      <c r="J19" s="227">
        <v>42129.42</v>
      </c>
      <c r="K19" s="224"/>
      <c r="U19">
        <f>SUM(E19:T19)</f>
        <v>87741.42</v>
      </c>
    </row>
    <row r="20" spans="1:21" x14ac:dyDescent="0.2">
      <c r="A20" s="224"/>
      <c r="B20" s="224"/>
      <c r="C20" s="224"/>
      <c r="D20" s="224"/>
      <c r="E20" s="224"/>
      <c r="F20" s="224"/>
      <c r="G20" s="224"/>
      <c r="H20" s="224"/>
      <c r="I20" s="224"/>
      <c r="J20" s="224"/>
      <c r="K20" s="224"/>
    </row>
    <row r="21" spans="1:21" x14ac:dyDescent="0.2">
      <c r="A21" s="225"/>
      <c r="B21" s="224"/>
      <c r="C21" s="225">
        <v>45536</v>
      </c>
      <c r="D21" s="224"/>
      <c r="E21" s="224"/>
      <c r="F21" s="226"/>
      <c r="G21" s="224" t="s">
        <v>197</v>
      </c>
      <c r="H21" s="226">
        <v>45768</v>
      </c>
      <c r="I21" s="224"/>
      <c r="J21" s="224"/>
      <c r="K21" s="227">
        <v>0</v>
      </c>
      <c r="U21">
        <f>SUM(E21:T21)</f>
        <v>45768</v>
      </c>
    </row>
    <row r="22" spans="1:21" x14ac:dyDescent="0.2">
      <c r="A22" s="225" t="s">
        <v>245</v>
      </c>
      <c r="B22" s="224" t="s">
        <v>246</v>
      </c>
      <c r="C22" s="225">
        <v>45505</v>
      </c>
      <c r="D22" s="224" t="s">
        <v>198</v>
      </c>
      <c r="E22" s="224">
        <v>19</v>
      </c>
      <c r="F22" s="226">
        <v>19</v>
      </c>
      <c r="G22" s="224" t="s">
        <v>199</v>
      </c>
      <c r="H22" s="226">
        <v>45544</v>
      </c>
      <c r="I22" s="227">
        <v>40497.370000000003</v>
      </c>
      <c r="J22" s="224"/>
      <c r="K22" s="224"/>
      <c r="U22">
        <f>SUM(E22:T22)</f>
        <v>86079.37</v>
      </c>
    </row>
    <row r="23" spans="1:21" x14ac:dyDescent="0.2">
      <c r="A23" s="224"/>
      <c r="B23" s="224"/>
      <c r="C23" s="224"/>
      <c r="D23" s="224"/>
      <c r="E23" s="224"/>
      <c r="F23" s="224"/>
      <c r="G23" s="224"/>
      <c r="H23" s="224"/>
      <c r="I23" s="224"/>
      <c r="J23" s="224"/>
      <c r="K23" s="224"/>
    </row>
    <row r="24" spans="1:21" x14ac:dyDescent="0.2">
      <c r="A24" s="225" t="s">
        <v>245</v>
      </c>
      <c r="B24" s="224" t="s">
        <v>246</v>
      </c>
      <c r="C24" s="225">
        <v>45505</v>
      </c>
      <c r="D24" s="224" t="s">
        <v>198</v>
      </c>
      <c r="E24" s="224">
        <v>19</v>
      </c>
      <c r="F24" s="226">
        <v>19</v>
      </c>
      <c r="G24" s="224" t="s">
        <v>200</v>
      </c>
      <c r="H24" s="226">
        <v>45544</v>
      </c>
      <c r="I24" s="224"/>
      <c r="J24" s="227">
        <v>40497.370000000003</v>
      </c>
      <c r="K24" s="224"/>
      <c r="U24">
        <f>SUM(E24:T24)</f>
        <v>86079.37</v>
      </c>
    </row>
    <row r="25" spans="1:21" x14ac:dyDescent="0.2">
      <c r="A25" s="224"/>
      <c r="B25" s="224"/>
      <c r="C25" s="224"/>
      <c r="D25" s="224"/>
      <c r="E25" s="224"/>
      <c r="F25" s="224"/>
      <c r="G25" s="224"/>
      <c r="H25" s="224"/>
      <c r="I25" s="224"/>
      <c r="J25" s="224"/>
      <c r="K25" s="224"/>
    </row>
    <row r="26" spans="1:21" x14ac:dyDescent="0.2">
      <c r="A26" s="225"/>
      <c r="B26" s="224"/>
      <c r="C26" s="225">
        <v>45505</v>
      </c>
      <c r="D26" s="224"/>
      <c r="E26" s="224"/>
      <c r="F26" s="226"/>
      <c r="G26" s="224" t="s">
        <v>197</v>
      </c>
      <c r="H26" s="226">
        <v>45768</v>
      </c>
      <c r="I26" s="224"/>
      <c r="J26" s="224"/>
      <c r="K26" s="224">
        <v>0</v>
      </c>
      <c r="U26">
        <f>SUM(E26:T26)</f>
        <v>45768</v>
      </c>
    </row>
    <row r="27" spans="1:21" x14ac:dyDescent="0.2">
      <c r="A27" s="225" t="s">
        <v>245</v>
      </c>
      <c r="B27" s="224" t="s">
        <v>246</v>
      </c>
      <c r="C27" s="225">
        <v>45474</v>
      </c>
      <c r="D27" s="224" t="s">
        <v>198</v>
      </c>
      <c r="E27" s="224">
        <v>19</v>
      </c>
      <c r="F27" s="226">
        <v>19</v>
      </c>
      <c r="G27" s="224" t="s">
        <v>199</v>
      </c>
      <c r="H27" s="226">
        <v>45511</v>
      </c>
      <c r="I27" s="227">
        <v>38723.82</v>
      </c>
      <c r="J27" s="224"/>
      <c r="K27" s="224"/>
      <c r="U27">
        <f>SUM(E27:T27)</f>
        <v>84272.82</v>
      </c>
    </row>
    <row r="28" spans="1:21" x14ac:dyDescent="0.2">
      <c r="A28" s="224"/>
      <c r="B28" s="224"/>
      <c r="C28" s="224"/>
      <c r="D28" s="224"/>
      <c r="E28" s="224"/>
      <c r="F28" s="224"/>
      <c r="G28" s="224"/>
      <c r="H28" s="224"/>
      <c r="I28" s="224"/>
      <c r="J28" s="224"/>
      <c r="K28" s="224"/>
    </row>
    <row r="29" spans="1:21" x14ac:dyDescent="0.2">
      <c r="A29" s="225" t="s">
        <v>245</v>
      </c>
      <c r="B29" s="224" t="s">
        <v>246</v>
      </c>
      <c r="C29" s="225">
        <v>45474</v>
      </c>
      <c r="D29" s="224" t="s">
        <v>198</v>
      </c>
      <c r="E29" s="224">
        <v>19</v>
      </c>
      <c r="F29" s="226">
        <v>19</v>
      </c>
      <c r="G29" s="224" t="s">
        <v>200</v>
      </c>
      <c r="H29" s="226">
        <v>45511</v>
      </c>
      <c r="I29" s="224"/>
      <c r="J29" s="227">
        <v>38723.82</v>
      </c>
      <c r="K29" s="224"/>
      <c r="U29">
        <f>SUM(E29:T29)</f>
        <v>84272.82</v>
      </c>
    </row>
    <row r="30" spans="1:21" x14ac:dyDescent="0.2">
      <c r="A30" s="224"/>
      <c r="B30" s="224"/>
      <c r="C30" s="224"/>
      <c r="D30" s="224"/>
      <c r="E30" s="224"/>
      <c r="F30" s="224"/>
      <c r="G30" s="224"/>
      <c r="H30" s="224"/>
      <c r="I30" s="224"/>
      <c r="J30" s="224"/>
      <c r="K30" s="224"/>
    </row>
    <row r="31" spans="1:21" x14ac:dyDescent="0.2">
      <c r="A31" s="225"/>
      <c r="B31" s="224"/>
      <c r="C31" s="225">
        <v>45474</v>
      </c>
      <c r="D31" s="224"/>
      <c r="E31" s="224"/>
      <c r="F31" s="226"/>
      <c r="G31" s="224" t="s">
        <v>197</v>
      </c>
      <c r="H31" s="226">
        <v>45768</v>
      </c>
      <c r="I31" s="224"/>
      <c r="J31" s="224"/>
      <c r="K31" s="224">
        <v>0</v>
      </c>
      <c r="U31">
        <f>SUM(E31:T31)</f>
        <v>45768</v>
      </c>
    </row>
    <row r="32" spans="1:21" x14ac:dyDescent="0.2">
      <c r="A32" s="225" t="s">
        <v>245</v>
      </c>
      <c r="B32" s="224" t="s">
        <v>246</v>
      </c>
      <c r="C32" s="225">
        <v>45444</v>
      </c>
      <c r="D32" s="224" t="s">
        <v>198</v>
      </c>
      <c r="E32" s="224">
        <v>19</v>
      </c>
      <c r="F32" s="226">
        <v>19</v>
      </c>
      <c r="G32" s="224" t="s">
        <v>199</v>
      </c>
      <c r="H32" s="226">
        <v>45483</v>
      </c>
      <c r="I32" s="227">
        <v>37170.1</v>
      </c>
      <c r="J32" s="224"/>
      <c r="K32" s="224"/>
      <c r="U32">
        <f>SUM(E32:T32)</f>
        <v>82691.100000000006</v>
      </c>
    </row>
    <row r="33" spans="1:21" x14ac:dyDescent="0.2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</row>
    <row r="34" spans="1:21" x14ac:dyDescent="0.2">
      <c r="A34" s="225" t="s">
        <v>245</v>
      </c>
      <c r="B34" s="224" t="s">
        <v>246</v>
      </c>
      <c r="C34" s="225">
        <v>45444</v>
      </c>
      <c r="D34" s="224" t="s">
        <v>198</v>
      </c>
      <c r="E34" s="224">
        <v>19</v>
      </c>
      <c r="F34" s="226">
        <v>19</v>
      </c>
      <c r="G34" s="224" t="s">
        <v>200</v>
      </c>
      <c r="H34" s="226">
        <v>45483</v>
      </c>
      <c r="I34" s="224"/>
      <c r="J34" s="227">
        <v>37170.1</v>
      </c>
      <c r="K34" s="224"/>
      <c r="U34">
        <f>SUM(E34:T34)</f>
        <v>82691.100000000006</v>
      </c>
    </row>
    <row r="35" spans="1:21" x14ac:dyDescent="0.2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</row>
    <row r="36" spans="1:21" x14ac:dyDescent="0.2">
      <c r="A36" s="225"/>
      <c r="B36" s="224"/>
      <c r="C36" s="225">
        <v>45444</v>
      </c>
      <c r="D36" s="224"/>
      <c r="E36" s="224"/>
      <c r="F36" s="226"/>
      <c r="G36" s="224" t="s">
        <v>197</v>
      </c>
      <c r="H36" s="226">
        <v>45768</v>
      </c>
      <c r="I36" s="224"/>
      <c r="J36" s="224"/>
      <c r="K36" s="224">
        <v>0</v>
      </c>
      <c r="U36">
        <f>SUM(E36:T36)</f>
        <v>45768</v>
      </c>
    </row>
    <row r="37" spans="1:21" x14ac:dyDescent="0.2">
      <c r="A37" s="225" t="s">
        <v>245</v>
      </c>
      <c r="B37" s="224" t="s">
        <v>246</v>
      </c>
      <c r="C37" s="225">
        <v>45413</v>
      </c>
      <c r="D37" s="224" t="s">
        <v>198</v>
      </c>
      <c r="E37" s="224">
        <v>19</v>
      </c>
      <c r="F37" s="226">
        <v>19</v>
      </c>
      <c r="G37" s="224" t="s">
        <v>199</v>
      </c>
      <c r="H37" s="226">
        <v>45450</v>
      </c>
      <c r="I37" s="227">
        <v>34154.28</v>
      </c>
      <c r="J37" s="224"/>
      <c r="K37" s="224"/>
      <c r="U37">
        <f>SUM(E37:T37)</f>
        <v>79642.28</v>
      </c>
    </row>
    <row r="38" spans="1:21" x14ac:dyDescent="0.2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</row>
    <row r="39" spans="1:21" x14ac:dyDescent="0.2">
      <c r="A39" s="225" t="s">
        <v>245</v>
      </c>
      <c r="B39" s="224" t="s">
        <v>246</v>
      </c>
      <c r="C39" s="225">
        <v>45413</v>
      </c>
      <c r="D39" s="224" t="s">
        <v>198</v>
      </c>
      <c r="E39" s="224">
        <v>19</v>
      </c>
      <c r="F39" s="226">
        <v>19</v>
      </c>
      <c r="G39" s="224" t="s">
        <v>200</v>
      </c>
      <c r="H39" s="226">
        <v>45450</v>
      </c>
      <c r="I39" s="224"/>
      <c r="J39" s="227">
        <v>34154.28</v>
      </c>
      <c r="K39" s="224"/>
      <c r="U39">
        <f>SUM(E39:T39)</f>
        <v>79642.28</v>
      </c>
    </row>
    <row r="40" spans="1:21" x14ac:dyDescent="0.2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</row>
    <row r="41" spans="1:21" x14ac:dyDescent="0.2">
      <c r="A41" s="225"/>
      <c r="B41" s="224"/>
      <c r="C41" s="225">
        <v>45413</v>
      </c>
      <c r="D41" s="224"/>
      <c r="E41" s="224"/>
      <c r="F41" s="226"/>
      <c r="G41" s="224" t="s">
        <v>197</v>
      </c>
      <c r="H41" s="226">
        <v>45768</v>
      </c>
      <c r="I41" s="224"/>
      <c r="J41" s="224"/>
      <c r="K41" s="224">
        <v>0</v>
      </c>
      <c r="U41">
        <f>SUM(E41:T41)</f>
        <v>45768</v>
      </c>
    </row>
    <row r="42" spans="1:21" x14ac:dyDescent="0.2">
      <c r="A42" s="225" t="s">
        <v>245</v>
      </c>
      <c r="B42" s="224" t="s">
        <v>246</v>
      </c>
      <c r="C42" s="225">
        <v>45383</v>
      </c>
      <c r="D42" s="224" t="s">
        <v>198</v>
      </c>
      <c r="E42" s="224">
        <v>19</v>
      </c>
      <c r="F42" s="226">
        <v>19</v>
      </c>
      <c r="G42" s="224" t="s">
        <v>199</v>
      </c>
      <c r="H42" s="226">
        <v>45420</v>
      </c>
      <c r="I42" s="227">
        <v>30766.86</v>
      </c>
      <c r="J42" s="224"/>
      <c r="K42" s="224"/>
      <c r="U42">
        <f>SUM(E42:T42)</f>
        <v>76224.86</v>
      </c>
    </row>
    <row r="43" spans="1:21" x14ac:dyDescent="0.2">
      <c r="A43" s="224"/>
      <c r="B43" s="224"/>
      <c r="C43" s="224"/>
      <c r="D43" s="224"/>
      <c r="E43" s="224"/>
      <c r="F43" s="224"/>
      <c r="G43" s="224"/>
      <c r="H43" s="224"/>
      <c r="I43" s="224"/>
      <c r="J43" s="224"/>
      <c r="K43" s="224"/>
    </row>
    <row r="44" spans="1:21" x14ac:dyDescent="0.2">
      <c r="A44" s="225" t="s">
        <v>245</v>
      </c>
      <c r="B44" s="224" t="s">
        <v>246</v>
      </c>
      <c r="C44" s="225">
        <v>45383</v>
      </c>
      <c r="D44" s="224" t="s">
        <v>198</v>
      </c>
      <c r="E44" s="224">
        <v>19</v>
      </c>
      <c r="F44" s="226">
        <v>19</v>
      </c>
      <c r="G44" s="224" t="s">
        <v>200</v>
      </c>
      <c r="H44" s="226">
        <v>45420</v>
      </c>
      <c r="I44" s="224"/>
      <c r="J44" s="227">
        <v>30766.86</v>
      </c>
      <c r="K44" s="224"/>
      <c r="U44">
        <f>SUM(E44:T44)</f>
        <v>76224.86</v>
      </c>
    </row>
    <row r="45" spans="1:21" x14ac:dyDescent="0.2">
      <c r="A45" s="224"/>
      <c r="B45" s="224"/>
      <c r="C45" s="224"/>
      <c r="D45" s="224"/>
      <c r="E45" s="224"/>
      <c r="F45" s="224"/>
      <c r="G45" s="224"/>
      <c r="H45" s="224"/>
      <c r="I45" s="224"/>
      <c r="J45" s="224"/>
      <c r="K45" s="224"/>
    </row>
    <row r="46" spans="1:21" x14ac:dyDescent="0.2">
      <c r="A46" s="225" t="s">
        <v>245</v>
      </c>
      <c r="B46" s="224"/>
      <c r="C46" s="225">
        <v>45383</v>
      </c>
      <c r="D46" s="224" t="s">
        <v>198</v>
      </c>
      <c r="E46" s="224">
        <v>19</v>
      </c>
      <c r="F46" s="226">
        <v>51</v>
      </c>
      <c r="G46" s="224" t="s">
        <v>494</v>
      </c>
      <c r="H46" s="226">
        <v>45429</v>
      </c>
      <c r="I46" s="224"/>
      <c r="J46" s="224">
        <v>35.11</v>
      </c>
      <c r="K46" s="224"/>
      <c r="U46">
        <f>SUM(E46:T46)</f>
        <v>45534.11</v>
      </c>
    </row>
    <row r="47" spans="1:21" x14ac:dyDescent="0.2">
      <c r="A47" s="225"/>
      <c r="B47" s="224"/>
      <c r="C47" s="225"/>
      <c r="D47" s="224"/>
      <c r="E47" s="224"/>
      <c r="F47" s="226"/>
      <c r="G47" s="224"/>
      <c r="H47" s="226"/>
      <c r="I47" s="227"/>
      <c r="J47" s="224"/>
      <c r="K47" s="224"/>
    </row>
    <row r="48" spans="1:21" x14ac:dyDescent="0.2">
      <c r="A48" s="224" t="s">
        <v>245</v>
      </c>
      <c r="B48" s="224"/>
      <c r="C48" s="225">
        <v>45383</v>
      </c>
      <c r="D48" s="224" t="s">
        <v>198</v>
      </c>
      <c r="E48" s="224">
        <v>19</v>
      </c>
      <c r="F48" s="224">
        <v>51</v>
      </c>
      <c r="G48" s="224" t="s">
        <v>494</v>
      </c>
      <c r="H48" s="226">
        <v>45429</v>
      </c>
      <c r="I48" s="224"/>
      <c r="J48" s="224">
        <v>67.03</v>
      </c>
      <c r="K48" s="224"/>
      <c r="U48">
        <f>SUM(E48:T48)</f>
        <v>45566.03</v>
      </c>
    </row>
    <row r="49" spans="1:21" x14ac:dyDescent="0.2">
      <c r="A49" s="225"/>
      <c r="B49" s="224"/>
      <c r="C49" s="225"/>
      <c r="D49" s="224"/>
      <c r="E49" s="224"/>
      <c r="F49" s="226"/>
      <c r="G49" s="224"/>
      <c r="H49" s="226"/>
      <c r="I49" s="224"/>
      <c r="J49" s="227"/>
      <c r="K49" s="224"/>
    </row>
    <row r="50" spans="1:21" x14ac:dyDescent="0.2">
      <c r="A50" s="224"/>
      <c r="B50" s="224"/>
      <c r="C50" s="225">
        <v>45383</v>
      </c>
      <c r="D50" s="224"/>
      <c r="E50" s="224"/>
      <c r="F50" s="224"/>
      <c r="G50" s="224" t="s">
        <v>197</v>
      </c>
      <c r="H50" s="226">
        <v>45768</v>
      </c>
      <c r="I50" s="224"/>
      <c r="J50" s="224"/>
      <c r="K50" s="224">
        <v>102.14</v>
      </c>
      <c r="U50">
        <f>SUM(E50:T50)</f>
        <v>45870.14</v>
      </c>
    </row>
    <row r="51" spans="1:21" x14ac:dyDescent="0.2">
      <c r="A51" s="225" t="s">
        <v>245</v>
      </c>
      <c r="B51" s="224" t="s">
        <v>246</v>
      </c>
      <c r="C51" s="225">
        <v>45352</v>
      </c>
      <c r="D51" s="224" t="s">
        <v>198</v>
      </c>
      <c r="E51" s="224">
        <v>19</v>
      </c>
      <c r="F51" s="226">
        <v>19</v>
      </c>
      <c r="G51" s="224" t="s">
        <v>199</v>
      </c>
      <c r="H51" s="226">
        <v>45391</v>
      </c>
      <c r="I51" s="227">
        <v>24149.81</v>
      </c>
      <c r="J51" s="224"/>
      <c r="K51" s="224"/>
      <c r="U51">
        <f>SUM(E51:T51)</f>
        <v>69578.81</v>
      </c>
    </row>
    <row r="52" spans="1:21" x14ac:dyDescent="0.2">
      <c r="A52" s="225"/>
      <c r="B52" s="224"/>
      <c r="C52" s="225"/>
      <c r="D52" s="224"/>
      <c r="E52" s="224"/>
      <c r="F52" s="226"/>
      <c r="G52" s="224"/>
      <c r="H52" s="226"/>
      <c r="I52" s="227"/>
      <c r="J52" s="224"/>
      <c r="K52" s="224"/>
    </row>
    <row r="53" spans="1:21" x14ac:dyDescent="0.2">
      <c r="A53" s="224" t="s">
        <v>245</v>
      </c>
      <c r="B53" s="224" t="s">
        <v>246</v>
      </c>
      <c r="C53" s="225">
        <v>45352</v>
      </c>
      <c r="D53" s="224" t="s">
        <v>198</v>
      </c>
      <c r="E53" s="224">
        <v>19</v>
      </c>
      <c r="F53" s="224">
        <v>19</v>
      </c>
      <c r="G53" s="224" t="s">
        <v>200</v>
      </c>
      <c r="H53" s="226">
        <v>45391</v>
      </c>
      <c r="I53" s="224"/>
      <c r="J53" s="227">
        <v>24149.81</v>
      </c>
      <c r="K53" s="224"/>
      <c r="U53">
        <f>SUM(E53:T53)</f>
        <v>69578.81</v>
      </c>
    </row>
    <row r="54" spans="1:21" x14ac:dyDescent="0.2">
      <c r="A54" s="225"/>
      <c r="B54" s="224"/>
      <c r="C54" s="225"/>
      <c r="D54" s="224"/>
      <c r="E54" s="224"/>
      <c r="F54" s="226"/>
      <c r="G54" s="224"/>
      <c r="H54" s="226"/>
      <c r="I54" s="224"/>
      <c r="J54" s="227"/>
      <c r="K54" s="224"/>
    </row>
    <row r="55" spans="1:21" x14ac:dyDescent="0.2">
      <c r="A55" s="224"/>
      <c r="B55" s="224"/>
      <c r="C55" s="225">
        <v>45352</v>
      </c>
      <c r="D55" s="224"/>
      <c r="E55" s="224"/>
      <c r="F55" s="224"/>
      <c r="G55" s="224" t="s">
        <v>197</v>
      </c>
      <c r="H55" s="226">
        <v>45768</v>
      </c>
      <c r="I55" s="224"/>
      <c r="J55" s="224"/>
      <c r="K55" s="224">
        <v>0</v>
      </c>
      <c r="U55">
        <f>SUM(E55:T55)</f>
        <v>45768</v>
      </c>
    </row>
    <row r="56" spans="1:21" x14ac:dyDescent="0.2">
      <c r="A56" s="225" t="s">
        <v>245</v>
      </c>
      <c r="B56" s="224" t="s">
        <v>246</v>
      </c>
      <c r="C56" s="225">
        <v>45323</v>
      </c>
      <c r="D56" s="224" t="s">
        <v>198</v>
      </c>
      <c r="E56" s="224">
        <v>19</v>
      </c>
      <c r="F56" s="226">
        <v>19</v>
      </c>
      <c r="G56" s="224" t="s">
        <v>199</v>
      </c>
      <c r="H56" s="226">
        <v>45358</v>
      </c>
      <c r="I56" s="227">
        <v>18988.68</v>
      </c>
      <c r="J56" s="224"/>
      <c r="K56" s="224"/>
      <c r="U56">
        <f>SUM(E56:T56)</f>
        <v>64384.68</v>
      </c>
    </row>
    <row r="57" spans="1:21" x14ac:dyDescent="0.2">
      <c r="A57" s="225"/>
      <c r="B57" s="224"/>
      <c r="C57" s="225"/>
      <c r="D57" s="224"/>
      <c r="E57" s="224"/>
      <c r="F57" s="226"/>
      <c r="G57" s="224"/>
      <c r="H57" s="226"/>
      <c r="I57" s="227"/>
      <c r="J57" s="224"/>
      <c r="K57" s="224"/>
    </row>
    <row r="58" spans="1:21" x14ac:dyDescent="0.2">
      <c r="A58" s="224" t="s">
        <v>245</v>
      </c>
      <c r="B58" s="224" t="s">
        <v>246</v>
      </c>
      <c r="C58" s="225">
        <v>45323</v>
      </c>
      <c r="D58" s="224" t="s">
        <v>198</v>
      </c>
      <c r="E58" s="224">
        <v>19</v>
      </c>
      <c r="F58" s="224">
        <v>19</v>
      </c>
      <c r="G58" s="224" t="s">
        <v>200</v>
      </c>
      <c r="H58" s="226">
        <v>45358</v>
      </c>
      <c r="I58" s="224"/>
      <c r="J58" s="227">
        <v>18988.68</v>
      </c>
      <c r="K58" s="224"/>
      <c r="U58">
        <f>SUM(E58:T58)</f>
        <v>64384.68</v>
      </c>
    </row>
    <row r="59" spans="1:21" x14ac:dyDescent="0.2">
      <c r="A59" s="225"/>
      <c r="B59" s="224"/>
      <c r="C59" s="225"/>
      <c r="D59" s="224"/>
      <c r="E59" s="224"/>
      <c r="F59" s="226"/>
      <c r="G59" s="224"/>
      <c r="H59" s="226"/>
      <c r="I59" s="224"/>
      <c r="J59" s="227"/>
      <c r="K59" s="224"/>
    </row>
    <row r="60" spans="1:21" x14ac:dyDescent="0.2">
      <c r="A60" s="224"/>
      <c r="B60" s="224"/>
      <c r="C60" s="225">
        <v>45323</v>
      </c>
      <c r="D60" s="224"/>
      <c r="E60" s="224"/>
      <c r="F60" s="224"/>
      <c r="G60" s="224" t="s">
        <v>197</v>
      </c>
      <c r="H60" s="226">
        <v>45768</v>
      </c>
      <c r="I60" s="224"/>
      <c r="J60" s="224"/>
      <c r="K60" s="224">
        <v>0</v>
      </c>
      <c r="U60">
        <f>SUM(E60:T60)</f>
        <v>45768</v>
      </c>
    </row>
    <row r="61" spans="1:21" x14ac:dyDescent="0.2">
      <c r="A61" s="225" t="s">
        <v>245</v>
      </c>
      <c r="B61" s="224" t="s">
        <v>246</v>
      </c>
      <c r="C61" s="225">
        <v>45292</v>
      </c>
      <c r="D61" s="224" t="s">
        <v>198</v>
      </c>
      <c r="E61" s="224">
        <v>19</v>
      </c>
      <c r="F61" s="226">
        <v>19</v>
      </c>
      <c r="G61" s="224" t="s">
        <v>199</v>
      </c>
      <c r="H61" s="226">
        <v>45365</v>
      </c>
      <c r="I61" s="227">
        <v>51340.68</v>
      </c>
      <c r="J61" s="224"/>
      <c r="K61" s="224"/>
      <c r="U61">
        <f>SUM(E61:T61)</f>
        <v>96743.679999999993</v>
      </c>
    </row>
    <row r="62" spans="1:21" x14ac:dyDescent="0.2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</row>
    <row r="63" spans="1:21" x14ac:dyDescent="0.2">
      <c r="A63" t="s">
        <v>245</v>
      </c>
      <c r="B63" t="s">
        <v>246</v>
      </c>
      <c r="C63" s="265">
        <v>45292</v>
      </c>
      <c r="D63" t="s">
        <v>198</v>
      </c>
      <c r="E63" s="224">
        <v>19</v>
      </c>
      <c r="F63" s="224">
        <v>19</v>
      </c>
      <c r="G63" s="224" t="s">
        <v>200</v>
      </c>
      <c r="H63" s="226">
        <v>45429</v>
      </c>
      <c r="I63" s="266"/>
      <c r="J63" s="266">
        <v>30766.86</v>
      </c>
      <c r="K63" s="266"/>
      <c r="U63">
        <f>SUM(E63:T63)</f>
        <v>76233.86</v>
      </c>
    </row>
    <row r="64" spans="1:21" x14ac:dyDescent="0.2">
      <c r="E64" s="224"/>
      <c r="F64" s="224"/>
      <c r="G64" s="224"/>
      <c r="H64" s="224"/>
      <c r="I64" s="224"/>
      <c r="J64" s="224"/>
      <c r="K64" s="224"/>
    </row>
    <row r="65" spans="1:21" x14ac:dyDescent="0.2">
      <c r="A65" t="s">
        <v>245</v>
      </c>
      <c r="C65" s="265">
        <v>45292</v>
      </c>
      <c r="D65" t="s">
        <v>198</v>
      </c>
      <c r="E65" s="224">
        <v>19</v>
      </c>
      <c r="F65" s="224">
        <v>19</v>
      </c>
      <c r="G65" s="224" t="s">
        <v>495</v>
      </c>
      <c r="H65" s="226">
        <v>45429</v>
      </c>
      <c r="I65" s="224"/>
      <c r="J65" s="227">
        <v>15481.85</v>
      </c>
      <c r="K65" s="224"/>
      <c r="U65">
        <f>SUM(E65:T65)</f>
        <v>60948.85</v>
      </c>
    </row>
    <row r="66" spans="1:21" x14ac:dyDescent="0.2">
      <c r="E66" s="224"/>
      <c r="F66" s="224"/>
      <c r="G66" s="224"/>
      <c r="H66" s="224"/>
      <c r="I66" s="224"/>
      <c r="J66" s="224"/>
      <c r="K66" s="224"/>
    </row>
    <row r="67" spans="1:21" x14ac:dyDescent="0.2">
      <c r="A67" t="s">
        <v>245</v>
      </c>
      <c r="B67" t="s">
        <v>246</v>
      </c>
      <c r="C67" s="265">
        <v>45292</v>
      </c>
      <c r="D67" t="s">
        <v>198</v>
      </c>
      <c r="E67" s="224">
        <v>19</v>
      </c>
      <c r="F67" s="224">
        <v>51</v>
      </c>
      <c r="G67" s="224" t="s">
        <v>247</v>
      </c>
      <c r="H67" s="226">
        <v>45429</v>
      </c>
      <c r="I67" s="224">
        <v>536.26</v>
      </c>
      <c r="J67" s="224"/>
      <c r="K67" s="224"/>
      <c r="U67">
        <f>SUM(E67:T67)</f>
        <v>46035.26</v>
      </c>
    </row>
    <row r="68" spans="1:21" x14ac:dyDescent="0.2">
      <c r="E68" s="224"/>
      <c r="F68" s="224"/>
      <c r="G68" s="224"/>
      <c r="H68" s="224"/>
      <c r="I68" s="224"/>
      <c r="J68" s="224"/>
      <c r="K68" s="224"/>
    </row>
    <row r="69" spans="1:21" x14ac:dyDescent="0.2">
      <c r="A69" t="s">
        <v>245</v>
      </c>
      <c r="B69" t="s">
        <v>246</v>
      </c>
      <c r="C69" s="265">
        <v>45292</v>
      </c>
      <c r="D69" t="s">
        <v>198</v>
      </c>
      <c r="E69" s="224">
        <v>19</v>
      </c>
      <c r="F69" s="224">
        <v>51</v>
      </c>
      <c r="G69" s="224" t="s">
        <v>247</v>
      </c>
      <c r="H69" s="226">
        <v>45768</v>
      </c>
      <c r="I69" s="224">
        <v>559.28</v>
      </c>
      <c r="J69" s="224"/>
      <c r="K69" s="224"/>
      <c r="U69">
        <f>SUM(E69:T69)</f>
        <v>46397.279999999999</v>
      </c>
    </row>
    <row r="70" spans="1:21" x14ac:dyDescent="0.2">
      <c r="E70" s="224"/>
      <c r="F70" s="224"/>
      <c r="G70" s="224"/>
      <c r="H70" s="224"/>
      <c r="I70" s="224"/>
      <c r="J70" s="224"/>
      <c r="K70" s="224"/>
    </row>
    <row r="71" spans="1:21" x14ac:dyDescent="0.2">
      <c r="A71" t="s">
        <v>245</v>
      </c>
      <c r="B71" t="s">
        <v>246</v>
      </c>
      <c r="C71" s="265">
        <v>45292</v>
      </c>
      <c r="D71" t="s">
        <v>198</v>
      </c>
      <c r="E71" s="224">
        <v>19</v>
      </c>
      <c r="F71" s="224">
        <v>51</v>
      </c>
      <c r="G71" s="224" t="s">
        <v>494</v>
      </c>
      <c r="H71" s="226">
        <v>45429</v>
      </c>
      <c r="I71" s="224"/>
      <c r="J71" s="224">
        <v>193.12</v>
      </c>
      <c r="K71" s="224"/>
      <c r="U71">
        <f>SUM(E71:T71)</f>
        <v>45692.12</v>
      </c>
    </row>
    <row r="72" spans="1:21" x14ac:dyDescent="0.2">
      <c r="E72" s="224"/>
      <c r="F72" s="224"/>
      <c r="G72" s="224"/>
      <c r="H72" s="224"/>
      <c r="I72" s="224"/>
      <c r="J72" s="224"/>
      <c r="K72" s="224"/>
    </row>
    <row r="73" spans="1:21" x14ac:dyDescent="0.2">
      <c r="A73" t="s">
        <v>245</v>
      </c>
      <c r="B73" t="s">
        <v>246</v>
      </c>
      <c r="C73" s="265">
        <v>45292</v>
      </c>
      <c r="D73" t="s">
        <v>198</v>
      </c>
      <c r="E73" s="224">
        <v>19</v>
      </c>
      <c r="F73" s="224">
        <v>51</v>
      </c>
      <c r="G73" s="224" t="s">
        <v>494</v>
      </c>
      <c r="H73" s="226">
        <v>45429</v>
      </c>
      <c r="I73" s="224"/>
      <c r="J73" s="224">
        <v>368.68</v>
      </c>
      <c r="K73" s="224"/>
      <c r="U73">
        <f>SUM(E73:T73)</f>
        <v>45867.68</v>
      </c>
    </row>
    <row r="74" spans="1:21" x14ac:dyDescent="0.2">
      <c r="E74" s="224"/>
      <c r="F74" s="224"/>
      <c r="G74" s="224"/>
      <c r="H74" s="224"/>
      <c r="I74" s="224"/>
      <c r="J74" s="224"/>
      <c r="K74" s="224"/>
    </row>
    <row r="75" spans="1:21" x14ac:dyDescent="0.2">
      <c r="C75" s="265">
        <v>45292</v>
      </c>
      <c r="E75" s="224"/>
      <c r="F75" s="224"/>
      <c r="G75" s="224" t="s">
        <v>197</v>
      </c>
      <c r="H75" s="226">
        <v>45768</v>
      </c>
      <c r="I75" s="224"/>
      <c r="J75" s="224"/>
      <c r="K75" s="227">
        <v>-5625.71</v>
      </c>
      <c r="U75">
        <f>SUM(E75:T75)</f>
        <v>40142.29</v>
      </c>
    </row>
    <row r="76" spans="1:21" x14ac:dyDescent="0.2">
      <c r="E76" s="224"/>
      <c r="F76" s="224"/>
      <c r="G76" s="224"/>
      <c r="H76" s="224"/>
      <c r="I76" s="224"/>
      <c r="J76" s="224"/>
      <c r="K76" s="224"/>
    </row>
    <row r="77" spans="1:21" x14ac:dyDescent="0.2">
      <c r="A77" t="s">
        <v>248</v>
      </c>
      <c r="E77" s="224"/>
      <c r="F77" s="226"/>
      <c r="G77" s="224"/>
      <c r="H77" s="224"/>
      <c r="I77" s="467">
        <f>SUM(I2:I76)</f>
        <v>454942.42</v>
      </c>
      <c r="J77" s="228">
        <f>SUM(J2:J76)</f>
        <v>449418.84999999992</v>
      </c>
      <c r="K77" s="228">
        <f>SUM(K2:K76)</f>
        <v>-5523.57</v>
      </c>
      <c r="U77">
        <f>SUM(E77:T77)</f>
        <v>898837.7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22"/>
  <sheetViews>
    <sheetView zoomScale="130" zoomScaleNormal="130" workbookViewId="0">
      <selection activeCell="C1" sqref="C1"/>
    </sheetView>
  </sheetViews>
  <sheetFormatPr baseColWidth="10" defaultRowHeight="12.75" x14ac:dyDescent="0.2"/>
  <cols>
    <col min="1" max="1" width="0.85546875" customWidth="1"/>
    <col min="2" max="2" width="12.7109375" bestFit="1" customWidth="1"/>
    <col min="3" max="3" width="0.85546875" customWidth="1"/>
    <col min="4" max="4" width="8" customWidth="1"/>
    <col min="6" max="6" width="12.42578125" customWidth="1"/>
    <col min="7" max="7" width="12.7109375" bestFit="1" customWidth="1"/>
    <col min="9" max="9" width="12.7109375" bestFit="1" customWidth="1"/>
    <col min="10" max="10" width="14.42578125" customWidth="1"/>
    <col min="11" max="11" width="14.7109375" customWidth="1"/>
    <col min="12" max="12" width="15.42578125" customWidth="1"/>
  </cols>
  <sheetData>
    <row r="1" spans="1:16" ht="28.5" x14ac:dyDescent="0.45">
      <c r="E1" s="239"/>
      <c r="F1" s="240" t="s">
        <v>255</v>
      </c>
      <c r="G1" s="241"/>
      <c r="H1" s="241"/>
      <c r="I1" s="242"/>
    </row>
    <row r="2" spans="1:16" ht="15" x14ac:dyDescent="0.25">
      <c r="A2" s="216"/>
      <c r="B2" s="216"/>
      <c r="E2" s="219"/>
      <c r="F2" s="670" t="s">
        <v>256</v>
      </c>
      <c r="G2" s="671"/>
      <c r="H2" s="672" t="s">
        <v>257</v>
      </c>
      <c r="I2" s="673"/>
      <c r="J2" s="672" t="s">
        <v>258</v>
      </c>
      <c r="K2" s="673"/>
      <c r="L2" s="216"/>
      <c r="M2" s="216"/>
      <c r="N2" s="216"/>
      <c r="O2" s="216"/>
      <c r="P2" s="216"/>
    </row>
    <row r="3" spans="1:16" ht="30" x14ac:dyDescent="0.25">
      <c r="A3" s="243"/>
      <c r="B3" s="244" t="s">
        <v>259</v>
      </c>
      <c r="D3" s="245"/>
      <c r="E3" s="246" t="s">
        <v>260</v>
      </c>
      <c r="F3" s="246" t="s">
        <v>261</v>
      </c>
      <c r="G3" s="247" t="s">
        <v>262</v>
      </c>
      <c r="H3" s="248" t="s">
        <v>263</v>
      </c>
      <c r="I3" s="249" t="s">
        <v>264</v>
      </c>
      <c r="J3" s="248" t="s">
        <v>265</v>
      </c>
      <c r="K3" s="249" t="s">
        <v>266</v>
      </c>
      <c r="L3" s="250" t="s">
        <v>117</v>
      </c>
      <c r="M3" s="216"/>
      <c r="N3" s="216"/>
      <c r="O3" s="216"/>
      <c r="P3" s="216"/>
    </row>
    <row r="4" spans="1:16" ht="15" x14ac:dyDescent="0.25">
      <c r="A4" s="243"/>
      <c r="B4" s="251"/>
      <c r="D4" s="252">
        <v>45292</v>
      </c>
      <c r="E4" s="253"/>
      <c r="F4" s="253"/>
      <c r="G4" s="254"/>
      <c r="H4" s="220"/>
      <c r="I4" s="221"/>
      <c r="J4" s="220"/>
      <c r="K4" s="255"/>
      <c r="L4" s="256">
        <f>K4+J4+I4+G4+E4</f>
        <v>0</v>
      </c>
      <c r="M4" s="216"/>
      <c r="N4" s="216"/>
      <c r="O4" s="216"/>
      <c r="P4" s="216"/>
    </row>
    <row r="5" spans="1:16" ht="15" x14ac:dyDescent="0.25">
      <c r="A5" s="243"/>
      <c r="B5" s="251"/>
      <c r="C5" s="243"/>
      <c r="D5" s="252">
        <v>45323</v>
      </c>
      <c r="E5" s="257"/>
      <c r="F5" s="217"/>
      <c r="G5" s="218"/>
      <c r="H5" s="217"/>
      <c r="I5" s="218"/>
      <c r="J5" s="217"/>
      <c r="K5" s="218"/>
      <c r="L5" s="256">
        <f t="shared" ref="L5:L15" si="0">K5+J5+I5+G5+E5</f>
        <v>0</v>
      </c>
      <c r="M5" s="216"/>
      <c r="N5" s="216"/>
      <c r="O5" s="216"/>
      <c r="P5" s="216"/>
    </row>
    <row r="6" spans="1:16" ht="15" x14ac:dyDescent="0.25">
      <c r="A6" s="243"/>
      <c r="B6" s="251"/>
      <c r="C6" s="243"/>
      <c r="D6" s="252">
        <v>45352</v>
      </c>
      <c r="E6" s="257"/>
      <c r="F6" s="217"/>
      <c r="G6" s="218"/>
      <c r="H6" s="217"/>
      <c r="I6" s="218"/>
      <c r="J6" s="217"/>
      <c r="K6" s="218"/>
      <c r="L6" s="256">
        <f t="shared" si="0"/>
        <v>0</v>
      </c>
      <c r="M6" s="216"/>
      <c r="N6" s="216"/>
      <c r="O6" s="216"/>
      <c r="P6" s="216"/>
    </row>
    <row r="7" spans="1:16" ht="15" x14ac:dyDescent="0.25">
      <c r="A7" s="243"/>
      <c r="B7" s="251"/>
      <c r="C7" s="243"/>
      <c r="D7" s="252">
        <v>45383</v>
      </c>
      <c r="E7" s="257"/>
      <c r="F7" s="217"/>
      <c r="G7" s="218"/>
      <c r="H7" s="217"/>
      <c r="I7" s="218"/>
      <c r="J7" s="217"/>
      <c r="K7" s="218"/>
      <c r="L7" s="256">
        <f t="shared" si="0"/>
        <v>0</v>
      </c>
      <c r="M7" s="216"/>
      <c r="N7" s="216"/>
      <c r="O7" s="216"/>
      <c r="P7" s="216"/>
    </row>
    <row r="8" spans="1:16" ht="15" x14ac:dyDescent="0.25">
      <c r="A8" s="243"/>
      <c r="B8" s="251"/>
      <c r="C8" s="243"/>
      <c r="D8" s="252">
        <v>45413</v>
      </c>
      <c r="E8" s="257"/>
      <c r="F8" s="217"/>
      <c r="G8" s="218"/>
      <c r="H8" s="217"/>
      <c r="I8" s="218"/>
      <c r="J8" s="217"/>
      <c r="K8" s="218"/>
      <c r="L8" s="256">
        <f t="shared" si="0"/>
        <v>0</v>
      </c>
      <c r="M8" s="216"/>
      <c r="N8" s="216"/>
      <c r="O8" s="216"/>
      <c r="P8" s="216"/>
    </row>
    <row r="9" spans="1:16" ht="15" x14ac:dyDescent="0.25">
      <c r="A9" s="243"/>
      <c r="B9" s="251"/>
      <c r="C9" s="243"/>
      <c r="D9" s="252">
        <v>45444</v>
      </c>
      <c r="E9" s="257"/>
      <c r="F9" s="217"/>
      <c r="G9" s="218"/>
      <c r="H9" s="217"/>
      <c r="I9" s="218"/>
      <c r="J9" s="217"/>
      <c r="K9" s="218"/>
      <c r="L9" s="256">
        <f t="shared" si="0"/>
        <v>0</v>
      </c>
      <c r="M9" s="216"/>
      <c r="N9" s="216"/>
      <c r="O9" s="216"/>
      <c r="P9" s="216"/>
    </row>
    <row r="10" spans="1:16" ht="15" x14ac:dyDescent="0.25">
      <c r="A10" s="243"/>
      <c r="B10" s="251"/>
      <c r="C10" s="243"/>
      <c r="D10" s="252">
        <v>45474</v>
      </c>
      <c r="E10" s="257"/>
      <c r="F10" s="217"/>
      <c r="G10" s="218"/>
      <c r="H10" s="217"/>
      <c r="I10" s="218"/>
      <c r="J10" s="217"/>
      <c r="K10" s="218"/>
      <c r="L10" s="256">
        <f t="shared" si="0"/>
        <v>0</v>
      </c>
      <c r="M10" s="216"/>
      <c r="N10" s="216"/>
      <c r="O10" s="216"/>
      <c r="P10" s="216"/>
    </row>
    <row r="11" spans="1:16" ht="15" x14ac:dyDescent="0.25">
      <c r="A11" s="243"/>
      <c r="B11" s="251"/>
      <c r="C11" s="243"/>
      <c r="D11" s="252">
        <v>45505</v>
      </c>
      <c r="E11" s="257"/>
      <c r="F11" s="217"/>
      <c r="G11" s="218"/>
      <c r="H11" s="217"/>
      <c r="I11" s="218"/>
      <c r="J11" s="217"/>
      <c r="K11" s="218"/>
      <c r="L11" s="256">
        <f t="shared" si="0"/>
        <v>0</v>
      </c>
      <c r="M11" s="216"/>
      <c r="N11" s="216"/>
      <c r="O11" s="216"/>
      <c r="P11" s="216"/>
    </row>
    <row r="12" spans="1:16" ht="15" x14ac:dyDescent="0.25">
      <c r="A12" s="243"/>
      <c r="B12" s="251"/>
      <c r="C12" s="243"/>
      <c r="D12" s="252">
        <v>45536</v>
      </c>
      <c r="E12" s="257"/>
      <c r="F12" s="217"/>
      <c r="G12" s="218"/>
      <c r="H12" s="217"/>
      <c r="I12" s="218"/>
      <c r="J12" s="217"/>
      <c r="K12" s="218"/>
      <c r="L12" s="256">
        <f t="shared" si="0"/>
        <v>0</v>
      </c>
      <c r="M12" s="216"/>
      <c r="N12" s="216"/>
      <c r="O12" s="216"/>
      <c r="P12" s="216"/>
    </row>
    <row r="13" spans="1:16" ht="15" x14ac:dyDescent="0.25">
      <c r="A13" s="243"/>
      <c r="B13" s="251"/>
      <c r="C13" s="243"/>
      <c r="D13" s="252">
        <v>45566</v>
      </c>
      <c r="E13" s="257"/>
      <c r="F13" s="217"/>
      <c r="G13" s="218"/>
      <c r="H13" s="217"/>
      <c r="I13" s="218"/>
      <c r="J13" s="217"/>
      <c r="K13" s="218"/>
      <c r="L13" s="256">
        <f t="shared" si="0"/>
        <v>0</v>
      </c>
      <c r="M13" s="216"/>
      <c r="N13" s="216"/>
      <c r="O13" s="216"/>
      <c r="P13" s="216"/>
    </row>
    <row r="14" spans="1:16" ht="15" x14ac:dyDescent="0.25">
      <c r="A14" s="243"/>
      <c r="B14" s="251"/>
      <c r="C14" s="243"/>
      <c r="D14" s="252">
        <v>45597</v>
      </c>
      <c r="E14" s="257"/>
      <c r="F14" s="217"/>
      <c r="G14" s="218"/>
      <c r="H14" s="217"/>
      <c r="I14" s="218"/>
      <c r="J14" s="217"/>
      <c r="K14" s="218"/>
      <c r="L14" s="256">
        <f t="shared" si="0"/>
        <v>0</v>
      </c>
      <c r="M14" s="216"/>
      <c r="N14" s="216"/>
      <c r="O14" s="216"/>
      <c r="P14" s="216"/>
    </row>
    <row r="15" spans="1:16" ht="15" x14ac:dyDescent="0.25">
      <c r="A15" s="243"/>
      <c r="B15" s="258"/>
      <c r="C15" s="243"/>
      <c r="D15" s="252">
        <v>45627</v>
      </c>
      <c r="E15" s="259"/>
      <c r="F15" s="222"/>
      <c r="G15" s="223"/>
      <c r="H15" s="222"/>
      <c r="I15" s="223"/>
      <c r="J15" s="217"/>
      <c r="K15" s="218"/>
      <c r="L15" s="256">
        <f t="shared" si="0"/>
        <v>0</v>
      </c>
      <c r="M15" s="216"/>
      <c r="N15" s="216"/>
      <c r="O15" s="216"/>
      <c r="P15" s="216"/>
    </row>
    <row r="16" spans="1:16" ht="15" x14ac:dyDescent="0.25">
      <c r="A16" s="243"/>
      <c r="B16" s="267">
        <f>SUM(B4:B15)</f>
        <v>0</v>
      </c>
      <c r="C16" s="243"/>
      <c r="D16" s="260"/>
      <c r="E16" s="261">
        <f t="shared" ref="E16:L16" si="1">SUM(E4:E15)</f>
        <v>0</v>
      </c>
      <c r="F16" s="262">
        <f t="shared" si="1"/>
        <v>0</v>
      </c>
      <c r="G16" s="263">
        <f t="shared" si="1"/>
        <v>0</v>
      </c>
      <c r="H16" s="262">
        <f>SUM(H4:H15)</f>
        <v>0</v>
      </c>
      <c r="I16" s="263">
        <f>SUM(I4:I15)</f>
        <v>0</v>
      </c>
      <c r="J16" s="262">
        <f t="shared" si="1"/>
        <v>0</v>
      </c>
      <c r="K16" s="263">
        <f t="shared" si="1"/>
        <v>0</v>
      </c>
      <c r="L16" s="264">
        <f t="shared" si="1"/>
        <v>0</v>
      </c>
      <c r="M16" s="216"/>
      <c r="N16" s="216"/>
      <c r="O16" s="216"/>
      <c r="P16" s="216"/>
    </row>
    <row r="17" spans="1:16" ht="15" x14ac:dyDescent="0.25">
      <c r="A17" s="243"/>
      <c r="B17" s="243"/>
      <c r="C17" s="243"/>
      <c r="D17" s="243"/>
      <c r="E17" s="243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</row>
    <row r="18" spans="1:16" ht="15" x14ac:dyDescent="0.25">
      <c r="A18" s="243"/>
      <c r="B18" s="243"/>
      <c r="C18" s="243"/>
      <c r="D18" s="243"/>
      <c r="E18" s="243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</row>
    <row r="19" spans="1:16" ht="15" x14ac:dyDescent="0.25">
      <c r="A19" s="243"/>
      <c r="B19" s="243"/>
      <c r="C19" s="243"/>
      <c r="D19" s="243"/>
      <c r="E19" s="243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</row>
    <row r="20" spans="1:16" ht="15" x14ac:dyDescent="0.25">
      <c r="A20" s="243"/>
      <c r="B20" s="243"/>
      <c r="C20" s="243"/>
      <c r="D20" s="243"/>
      <c r="E20" s="243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</row>
    <row r="21" spans="1:16" ht="15" x14ac:dyDescent="0.25">
      <c r="A21" s="243"/>
      <c r="B21" s="243"/>
      <c r="C21" s="243"/>
      <c r="D21" s="243"/>
      <c r="E21" s="243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</row>
    <row r="22" spans="1:16" ht="15" x14ac:dyDescent="0.25">
      <c r="A22" s="243"/>
      <c r="B22" s="243"/>
      <c r="C22" s="243"/>
      <c r="D22" s="243"/>
      <c r="E22" s="243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</row>
  </sheetData>
  <mergeCells count="3">
    <mergeCell ref="F2:G2"/>
    <mergeCell ref="H2:I2"/>
    <mergeCell ref="J2:K2"/>
  </mergeCells>
  <phoneticPr fontId="6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H65"/>
  <sheetViews>
    <sheetView workbookViewId="0">
      <selection activeCell="B53" sqref="B53"/>
    </sheetView>
  </sheetViews>
  <sheetFormatPr baseColWidth="10" defaultRowHeight="12.75" x14ac:dyDescent="0.2"/>
  <cols>
    <col min="1" max="1" width="50.28515625" bestFit="1" customWidth="1"/>
    <col min="2" max="2" width="47.28515625" customWidth="1"/>
    <col min="3" max="3" width="17" customWidth="1"/>
    <col min="5" max="5" width="11.85546875" bestFit="1" customWidth="1"/>
  </cols>
  <sheetData>
    <row r="1" spans="1:6" x14ac:dyDescent="0.2">
      <c r="A1" s="4" t="s">
        <v>36</v>
      </c>
    </row>
    <row r="2" spans="1:6" x14ac:dyDescent="0.2">
      <c r="A2" s="4" t="s">
        <v>104</v>
      </c>
      <c r="B2" t="s">
        <v>151</v>
      </c>
    </row>
    <row r="4" spans="1:6" x14ac:dyDescent="0.2">
      <c r="A4" s="4" t="s">
        <v>37</v>
      </c>
    </row>
    <row r="5" spans="1:6" x14ac:dyDescent="0.2">
      <c r="A5" s="4" t="s">
        <v>38</v>
      </c>
    </row>
    <row r="6" spans="1:6" x14ac:dyDescent="0.2">
      <c r="A6" s="4"/>
    </row>
    <row r="7" spans="1:6" x14ac:dyDescent="0.2">
      <c r="A7" s="1" t="s">
        <v>30</v>
      </c>
    </row>
    <row r="8" spans="1:6" ht="13.5" thickBot="1" x14ac:dyDescent="0.25"/>
    <row r="9" spans="1:6" x14ac:dyDescent="0.2">
      <c r="A9" s="76" t="s">
        <v>180</v>
      </c>
      <c r="B9" s="77"/>
      <c r="C9" s="78"/>
      <c r="D9" s="75">
        <v>7865984</v>
      </c>
    </row>
    <row r="10" spans="1:6" x14ac:dyDescent="0.2">
      <c r="A10" s="79"/>
      <c r="B10" s="75"/>
      <c r="C10" s="80"/>
    </row>
    <row r="11" spans="1:6" x14ac:dyDescent="0.2">
      <c r="A11" s="88" t="s">
        <v>62</v>
      </c>
      <c r="B11" s="75"/>
      <c r="C11" s="80"/>
    </row>
    <row r="12" spans="1:6" x14ac:dyDescent="0.2">
      <c r="A12" s="88" t="s">
        <v>63</v>
      </c>
      <c r="B12" s="75"/>
      <c r="C12" s="92"/>
    </row>
    <row r="13" spans="1:6" ht="13.5" thickBot="1" x14ac:dyDescent="0.25">
      <c r="A13" s="89" t="s">
        <v>64</v>
      </c>
      <c r="B13" s="90"/>
      <c r="C13" s="93"/>
    </row>
    <row r="14" spans="1:6" x14ac:dyDescent="0.2">
      <c r="A14" s="76"/>
      <c r="B14" s="77"/>
      <c r="C14" s="86"/>
    </row>
    <row r="15" spans="1:6" x14ac:dyDescent="0.2">
      <c r="A15" s="79"/>
      <c r="B15" s="75"/>
      <c r="C15" s="87"/>
      <c r="D15" s="4"/>
      <c r="E15" s="4"/>
      <c r="F15" s="4"/>
    </row>
    <row r="16" spans="1:6" x14ac:dyDescent="0.2">
      <c r="A16" s="88" t="s">
        <v>71</v>
      </c>
      <c r="B16" s="75"/>
      <c r="C16" s="87">
        <v>1683714</v>
      </c>
      <c r="D16" s="5" t="s">
        <v>149</v>
      </c>
      <c r="E16" s="18"/>
      <c r="F16" s="5"/>
    </row>
    <row r="17" spans="1:5" ht="13.5" thickBot="1" x14ac:dyDescent="0.25">
      <c r="A17" s="89" t="s">
        <v>72</v>
      </c>
      <c r="B17" s="90"/>
      <c r="C17" s="91"/>
      <c r="E17" s="5"/>
    </row>
    <row r="18" spans="1:5" x14ac:dyDescent="0.2">
      <c r="C18" s="69"/>
      <c r="E18" s="18"/>
    </row>
    <row r="19" spans="1:5" ht="13.5" thickBot="1" x14ac:dyDescent="0.25">
      <c r="A19" s="75"/>
      <c r="B19" s="75"/>
      <c r="C19" s="75"/>
    </row>
    <row r="20" spans="1:5" x14ac:dyDescent="0.2">
      <c r="A20" s="76" t="s">
        <v>39</v>
      </c>
      <c r="B20" s="77"/>
      <c r="C20" s="86"/>
    </row>
    <row r="21" spans="1:5" x14ac:dyDescent="0.2">
      <c r="A21" s="88" t="s">
        <v>40</v>
      </c>
      <c r="B21" s="75"/>
      <c r="C21" s="80"/>
    </row>
    <row r="22" spans="1:5" x14ac:dyDescent="0.2">
      <c r="A22" s="88" t="s">
        <v>56</v>
      </c>
      <c r="B22" s="75"/>
      <c r="C22" s="80"/>
    </row>
    <row r="23" spans="1:5" x14ac:dyDescent="0.2">
      <c r="A23" s="88" t="s">
        <v>42</v>
      </c>
      <c r="B23" s="75"/>
      <c r="C23" s="80"/>
    </row>
    <row r="24" spans="1:5" ht="13.5" thickBot="1" x14ac:dyDescent="0.25">
      <c r="A24" s="94" t="s">
        <v>41</v>
      </c>
      <c r="B24" s="90"/>
      <c r="C24" s="95">
        <v>1828491</v>
      </c>
    </row>
    <row r="25" spans="1:5" ht="13.5" thickBot="1" x14ac:dyDescent="0.25"/>
    <row r="26" spans="1:5" x14ac:dyDescent="0.2">
      <c r="A26" s="84" t="s">
        <v>93</v>
      </c>
      <c r="B26" s="96"/>
      <c r="C26" s="97"/>
      <c r="D26" t="s">
        <v>150</v>
      </c>
    </row>
    <row r="27" spans="1:5" x14ac:dyDescent="0.2">
      <c r="A27" s="81" t="s">
        <v>94</v>
      </c>
      <c r="C27" s="82"/>
    </row>
    <row r="28" spans="1:5" x14ac:dyDescent="0.2">
      <c r="A28" s="81" t="s">
        <v>95</v>
      </c>
      <c r="C28" s="82"/>
    </row>
    <row r="29" spans="1:5" ht="13.5" thickBot="1" x14ac:dyDescent="0.25">
      <c r="A29" s="83" t="s">
        <v>98</v>
      </c>
      <c r="B29" s="98"/>
      <c r="C29" s="85"/>
      <c r="D29" t="s">
        <v>150</v>
      </c>
    </row>
    <row r="30" spans="1:5" x14ac:dyDescent="0.2">
      <c r="A30" s="4"/>
      <c r="B30" s="70"/>
      <c r="C30" s="30"/>
    </row>
    <row r="31" spans="1:5" x14ac:dyDescent="0.2">
      <c r="A31" s="4" t="s">
        <v>43</v>
      </c>
      <c r="C31" s="71">
        <f>+E18+C24+C9+C16+C26+C29</f>
        <v>3512205</v>
      </c>
      <c r="E31" s="6"/>
    </row>
    <row r="34" spans="1:6" x14ac:dyDescent="0.2">
      <c r="A34" s="1" t="s">
        <v>44</v>
      </c>
      <c r="D34" s="4" t="s">
        <v>59</v>
      </c>
      <c r="E34" s="4" t="s">
        <v>68</v>
      </c>
      <c r="F34" s="4" t="s">
        <v>69</v>
      </c>
    </row>
    <row r="36" spans="1:6" x14ac:dyDescent="0.2">
      <c r="A36" s="74" t="s">
        <v>181</v>
      </c>
      <c r="B36" s="75"/>
      <c r="C36" s="99">
        <v>2000000</v>
      </c>
      <c r="D36" s="100">
        <v>2673000</v>
      </c>
    </row>
    <row r="37" spans="1:6" x14ac:dyDescent="0.2">
      <c r="A37" s="74" t="s">
        <v>182</v>
      </c>
      <c r="B37" s="75"/>
      <c r="C37" s="101">
        <v>2136100</v>
      </c>
      <c r="D37" s="100">
        <v>520000</v>
      </c>
    </row>
    <row r="38" spans="1:6" x14ac:dyDescent="0.2">
      <c r="C38" s="19">
        <f>SUM(C36:C37)</f>
        <v>4136100</v>
      </c>
    </row>
    <row r="39" spans="1:6" x14ac:dyDescent="0.2">
      <c r="A39" s="13"/>
      <c r="C39" s="19"/>
    </row>
    <row r="40" spans="1:6" x14ac:dyDescent="0.2">
      <c r="A40" s="15"/>
      <c r="C40" s="19"/>
    </row>
    <row r="41" spans="1:6" x14ac:dyDescent="0.2">
      <c r="A41" s="100" t="s">
        <v>74</v>
      </c>
      <c r="B41" s="75"/>
      <c r="C41" s="99"/>
      <c r="D41" s="75"/>
      <c r="E41" s="75">
        <v>-5022139.0139225181</v>
      </c>
      <c r="F41" s="4" t="s">
        <v>186</v>
      </c>
    </row>
    <row r="42" spans="1:6" ht="13.5" thickBot="1" x14ac:dyDescent="0.25">
      <c r="A42" s="4"/>
      <c r="C42" s="20"/>
    </row>
    <row r="43" spans="1:6" ht="13.5" thickBot="1" x14ac:dyDescent="0.25">
      <c r="A43" s="74" t="s">
        <v>45</v>
      </c>
      <c r="B43" s="102" t="s">
        <v>184</v>
      </c>
      <c r="C43" s="103">
        <v>0</v>
      </c>
      <c r="D43" s="104">
        <v>366917</v>
      </c>
      <c r="E43" s="105" t="s">
        <v>183</v>
      </c>
    </row>
    <row r="44" spans="1:6" x14ac:dyDescent="0.2">
      <c r="A44" s="74" t="s">
        <v>73</v>
      </c>
      <c r="B44" s="75"/>
      <c r="C44" s="103">
        <v>7689000</v>
      </c>
    </row>
    <row r="45" spans="1:6" x14ac:dyDescent="0.2">
      <c r="A45" s="74" t="s">
        <v>46</v>
      </c>
      <c r="B45" s="75"/>
      <c r="C45" s="103">
        <v>153196.19566785084</v>
      </c>
      <c r="D45" s="4" t="s">
        <v>185</v>
      </c>
    </row>
    <row r="46" spans="1:6" x14ac:dyDescent="0.2">
      <c r="A46" s="4"/>
    </row>
    <row r="47" spans="1:6" ht="13.5" thickBot="1" x14ac:dyDescent="0.25">
      <c r="A47" s="74" t="s">
        <v>47</v>
      </c>
      <c r="B47" s="75"/>
      <c r="C47" s="106"/>
    </row>
    <row r="48" spans="1:6" ht="13.5" thickTop="1" x14ac:dyDescent="0.2"/>
    <row r="49" spans="1:8" x14ac:dyDescent="0.2">
      <c r="A49" s="100" t="s">
        <v>48</v>
      </c>
      <c r="B49" s="100"/>
      <c r="C49" s="103">
        <f>+C31+C38+C43+C45+C47+C41+C44</f>
        <v>15490501.195667852</v>
      </c>
    </row>
    <row r="51" spans="1:8" ht="13.5" thickBot="1" x14ac:dyDescent="0.25">
      <c r="A51" s="100" t="s">
        <v>49</v>
      </c>
      <c r="B51" s="75"/>
      <c r="C51" s="106">
        <f>+C49*0.05</f>
        <v>774525.05978339259</v>
      </c>
    </row>
    <row r="52" spans="1:8" ht="14.25" thickTop="1" thickBot="1" x14ac:dyDescent="0.25"/>
    <row r="53" spans="1:8" ht="13.5" thickBot="1" x14ac:dyDescent="0.25">
      <c r="A53" s="107" t="s">
        <v>50</v>
      </c>
      <c r="B53" s="108"/>
      <c r="C53" s="109">
        <f>+C49+C51</f>
        <v>16265026.255451243</v>
      </c>
    </row>
    <row r="55" spans="1:8" x14ac:dyDescent="0.2">
      <c r="A55" s="1" t="s">
        <v>51</v>
      </c>
      <c r="C55" s="20">
        <v>2000000</v>
      </c>
    </row>
    <row r="57" spans="1:8" x14ac:dyDescent="0.2">
      <c r="A57" s="1" t="s">
        <v>52</v>
      </c>
      <c r="C57" s="20">
        <f>+((C53-C55)-H57)*G57+F57</f>
        <v>109562.82819314054</v>
      </c>
      <c r="F57">
        <v>156250</v>
      </c>
      <c r="G57">
        <v>1.2500000000000001E-2</v>
      </c>
      <c r="H57">
        <v>18000000</v>
      </c>
    </row>
    <row r="59" spans="1:8" x14ac:dyDescent="0.2">
      <c r="A59" s="1" t="s">
        <v>75</v>
      </c>
      <c r="C59" s="20"/>
    </row>
    <row r="60" spans="1:8" x14ac:dyDescent="0.2">
      <c r="A60" s="1"/>
      <c r="C60" s="20"/>
    </row>
    <row r="61" spans="1:8" x14ac:dyDescent="0.2">
      <c r="A61" s="1" t="s">
        <v>90</v>
      </c>
      <c r="C61" s="20"/>
    </row>
    <row r="62" spans="1:8" ht="13.5" thickBot="1" x14ac:dyDescent="0.25"/>
    <row r="63" spans="1:8" ht="13.5" thickBot="1" x14ac:dyDescent="0.25">
      <c r="A63" s="9" t="s">
        <v>77</v>
      </c>
      <c r="B63" s="72"/>
      <c r="C63" s="73">
        <f>SUM(C57:C62)</f>
        <v>109562.82819314054</v>
      </c>
      <c r="D63" s="4"/>
    </row>
    <row r="65" spans="1:4" x14ac:dyDescent="0.2">
      <c r="A65" s="1" t="s">
        <v>76</v>
      </c>
      <c r="C65" s="19">
        <f>+C57/5</f>
        <v>21912.565638628108</v>
      </c>
      <c r="D65" s="4"/>
    </row>
  </sheetData>
  <phoneticPr fontId="4" type="noConversion"/>
  <pageMargins left="0.7" right="0.7" top="0.75" bottom="0.75" header="0.3" footer="0.3"/>
  <pageSetup paperSize="9" scale="51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Interfaz</vt:lpstr>
      <vt:lpstr>DDJJ</vt:lpstr>
      <vt:lpstr>Ingresos-Egresos</vt:lpstr>
      <vt:lpstr>Sueldos</vt:lpstr>
      <vt:lpstr>Bienes</vt:lpstr>
      <vt:lpstr>Base de Datos</vt:lpstr>
      <vt:lpstr>anticipos nuevo calculo</vt:lpstr>
      <vt:lpstr>AXI</vt:lpstr>
      <vt:lpstr>valuacion ganado</vt:lpstr>
      <vt:lpstr>CCMA</vt:lpstr>
      <vt:lpstr>LIQ MEDICAS</vt:lpstr>
      <vt:lpstr>Biene Personales</vt:lpstr>
    </vt:vector>
  </TitlesOfParts>
  <Company>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Tripano</dc:creator>
  <cp:lastModifiedBy>Geronimo</cp:lastModifiedBy>
  <cp:lastPrinted>2023-11-07T15:27:33Z</cp:lastPrinted>
  <dcterms:created xsi:type="dcterms:W3CDTF">2000-03-18T15:57:30Z</dcterms:created>
  <dcterms:modified xsi:type="dcterms:W3CDTF">2025-05-12T15:39:51Z</dcterms:modified>
</cp:coreProperties>
</file>