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studio\Gerónimo Tomé Herrera\Ganancias\Plantilla\"/>
    </mc:Choice>
  </mc:AlternateContent>
  <xr:revisionPtr revIDLastSave="0" documentId="13_ncr:1_{91BFA83D-8A2D-44EB-872E-C90206608BAD}" xr6:coauthVersionLast="47" xr6:coauthVersionMax="47" xr10:uidLastSave="{00000000-0000-0000-0000-000000000000}"/>
  <bookViews>
    <workbookView xWindow="870" yWindow="-120" windowWidth="18450" windowHeight="15600" tabRatio="599" xr2:uid="{00000000-000D-0000-FFFF-FFFF00000000}"/>
  </bookViews>
  <sheets>
    <sheet name="DDJJ" sheetId="1" r:id="rId1"/>
    <sheet name="Ingresos-Egresos" sheetId="22" r:id="rId2"/>
    <sheet name="Sueldos" sheetId="23" r:id="rId3"/>
    <sheet name="Bienes" sheetId="25" r:id="rId4"/>
    <sheet name="AXI" sheetId="17" r:id="rId5"/>
    <sheet name="CCMA" sheetId="19" r:id="rId6"/>
    <sheet name="Liq Med" sheetId="11" r:id="rId7"/>
    <sheet name="Base de Datos" sheetId="24" r:id="rId8"/>
  </sheets>
  <externalReferences>
    <externalReference r:id="rId9"/>
  </externalReferences>
  <definedNames>
    <definedName name="_xlnm.Print_Area" localSheetId="0">#N/A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5" i="1" l="1"/>
  <c r="F78" i="17"/>
  <c r="D6" i="17" s="1"/>
  <c r="E78" i="17"/>
  <c r="D78" i="17"/>
  <c r="G6" i="25"/>
  <c r="C271" i="1"/>
  <c r="C272" i="1"/>
  <c r="C273" i="1"/>
  <c r="C274" i="1"/>
  <c r="C275" i="1"/>
  <c r="C276" i="1"/>
  <c r="C277" i="1"/>
  <c r="C278" i="1"/>
  <c r="C270" i="1"/>
  <c r="K2" i="19"/>
  <c r="C114" i="1"/>
  <c r="C119" i="1"/>
  <c r="C120" i="1"/>
  <c r="C121" i="1"/>
  <c r="C122" i="1"/>
  <c r="A119" i="1"/>
  <c r="A120" i="1"/>
  <c r="A121" i="1"/>
  <c r="A122" i="1"/>
  <c r="A118" i="1"/>
  <c r="C118" i="1" s="1"/>
  <c r="AD35" i="25"/>
  <c r="E244" i="1" s="1"/>
  <c r="AD36" i="25"/>
  <c r="E245" i="1" s="1"/>
  <c r="AD37" i="25"/>
  <c r="E246" i="1" s="1"/>
  <c r="AD38" i="25"/>
  <c r="E247" i="1" s="1"/>
  <c r="AD39" i="25"/>
  <c r="E248" i="1" s="1"/>
  <c r="AD40" i="25"/>
  <c r="E249" i="1" s="1"/>
  <c r="AD41" i="25"/>
  <c r="E250" i="1" s="1"/>
  <c r="AD42" i="25"/>
  <c r="E251" i="1" s="1"/>
  <c r="AD43" i="25"/>
  <c r="AD44" i="25"/>
  <c r="AD45" i="25"/>
  <c r="AD46" i="25"/>
  <c r="AD47" i="25"/>
  <c r="AD48" i="25"/>
  <c r="AD49" i="25"/>
  <c r="AD50" i="25"/>
  <c r="AD51" i="25"/>
  <c r="AD52" i="25"/>
  <c r="AD53" i="25"/>
  <c r="W33" i="25"/>
  <c r="W34" i="25"/>
  <c r="W32" i="25"/>
  <c r="W30" i="25"/>
  <c r="W31" i="25"/>
  <c r="W29" i="25"/>
  <c r="S33" i="25"/>
  <c r="S34" i="25"/>
  <c r="S32" i="25"/>
  <c r="S30" i="25"/>
  <c r="S31" i="25"/>
  <c r="S29" i="25"/>
  <c r="T27" i="25"/>
  <c r="T28" i="25"/>
  <c r="T26" i="25"/>
  <c r="T24" i="25"/>
  <c r="T25" i="25"/>
  <c r="T23" i="25"/>
  <c r="D20" i="17"/>
  <c r="J8" i="17"/>
  <c r="J9" i="17"/>
  <c r="J10" i="17"/>
  <c r="J11" i="17"/>
  <c r="J12" i="17"/>
  <c r="J13" i="17"/>
  <c r="J14" i="17"/>
  <c r="J15" i="17"/>
  <c r="J16" i="17"/>
  <c r="J17" i="17"/>
  <c r="J18" i="17"/>
  <c r="J7" i="17"/>
  <c r="K8" i="17"/>
  <c r="K9" i="17"/>
  <c r="K10" i="17"/>
  <c r="K11" i="17"/>
  <c r="K12" i="17"/>
  <c r="K13" i="17"/>
  <c r="K14" i="17"/>
  <c r="K15" i="17"/>
  <c r="K16" i="17"/>
  <c r="K17" i="17"/>
  <c r="K18" i="17"/>
  <c r="K7" i="17"/>
  <c r="D271" i="1"/>
  <c r="D272" i="1"/>
  <c r="D273" i="1"/>
  <c r="D274" i="1"/>
  <c r="D275" i="1"/>
  <c r="D276" i="1"/>
  <c r="D277" i="1"/>
  <c r="D278" i="1"/>
  <c r="C288" i="1"/>
  <c r="D288" i="1" s="1"/>
  <c r="C282" i="1"/>
  <c r="D282" i="1" s="1"/>
  <c r="C283" i="1"/>
  <c r="C284" i="1"/>
  <c r="C285" i="1"/>
  <c r="C286" i="1"/>
  <c r="C287" i="1"/>
  <c r="C289" i="1"/>
  <c r="D289" i="1" s="1"/>
  <c r="C281" i="1"/>
  <c r="P71" i="25"/>
  <c r="P72" i="25"/>
  <c r="P73" i="25"/>
  <c r="P74" i="25"/>
  <c r="P75" i="25"/>
  <c r="P76" i="25"/>
  <c r="P77" i="25"/>
  <c r="P78" i="25"/>
  <c r="P70" i="25"/>
  <c r="C146" i="1" l="1"/>
  <c r="B37" i="24"/>
  <c r="E30" i="24"/>
  <c r="E31" i="24"/>
  <c r="E32" i="24"/>
  <c r="E33" i="24"/>
  <c r="E34" i="24"/>
  <c r="E35" i="24"/>
  <c r="E36" i="24"/>
  <c r="E29" i="24"/>
  <c r="A30" i="24"/>
  <c r="A31" i="24"/>
  <c r="A32" i="24"/>
  <c r="A33" i="24"/>
  <c r="A34" i="24"/>
  <c r="A35" i="24"/>
  <c r="A36" i="24"/>
  <c r="A29" i="24"/>
  <c r="G71" i="25"/>
  <c r="H71" i="25" s="1"/>
  <c r="G72" i="25"/>
  <c r="H72" i="25" s="1"/>
  <c r="G73" i="25"/>
  <c r="H73" i="25" s="1"/>
  <c r="G74" i="25"/>
  <c r="H74" i="25" s="1"/>
  <c r="G75" i="25"/>
  <c r="H75" i="25" s="1"/>
  <c r="G76" i="25"/>
  <c r="H76" i="25" s="1"/>
  <c r="G77" i="25"/>
  <c r="H77" i="25" s="1"/>
  <c r="G78" i="25"/>
  <c r="H78" i="25" s="1"/>
  <c r="G70" i="25"/>
  <c r="H70" i="25" s="1"/>
  <c r="J71" i="25"/>
  <c r="J72" i="25"/>
  <c r="J73" i="25"/>
  <c r="J74" i="25"/>
  <c r="J75" i="25"/>
  <c r="J76" i="25"/>
  <c r="J77" i="25"/>
  <c r="J78" i="25"/>
  <c r="J70" i="25"/>
  <c r="A287" i="1"/>
  <c r="B287" i="1"/>
  <c r="D287" i="1" s="1"/>
  <c r="A288" i="1"/>
  <c r="B288" i="1"/>
  <c r="A289" i="1"/>
  <c r="B289" i="1"/>
  <c r="A276" i="1"/>
  <c r="B276" i="1"/>
  <c r="A277" i="1"/>
  <c r="B277" i="1"/>
  <c r="A278" i="1"/>
  <c r="B278" i="1"/>
  <c r="I154" i="22"/>
  <c r="H154" i="22"/>
  <c r="G154" i="22"/>
  <c r="F154" i="22"/>
  <c r="E154" i="22"/>
  <c r="D154" i="22"/>
  <c r="C154" i="22"/>
  <c r="B154" i="22"/>
  <c r="A154" i="22"/>
  <c r="K143" i="22"/>
  <c r="J143" i="22"/>
  <c r="I143" i="22"/>
  <c r="H143" i="22"/>
  <c r="G143" i="22"/>
  <c r="F143" i="22"/>
  <c r="E143" i="22"/>
  <c r="C73" i="1" s="1"/>
  <c r="C142" i="22"/>
  <c r="B142" i="22"/>
  <c r="C79" i="1" s="1"/>
  <c r="K137" i="22"/>
  <c r="J137" i="22"/>
  <c r="I137" i="22"/>
  <c r="H137" i="22"/>
  <c r="G137" i="22"/>
  <c r="F137" i="22"/>
  <c r="E137" i="22"/>
  <c r="C75" i="1" s="1"/>
  <c r="F110" i="22"/>
  <c r="C90" i="22"/>
  <c r="F47" i="22"/>
  <c r="I23" i="22"/>
  <c r="H23" i="22"/>
  <c r="G23" i="22"/>
  <c r="E23" i="22"/>
  <c r="C72" i="1" s="1"/>
  <c r="D23" i="22"/>
  <c r="C23" i="22"/>
  <c r="B23" i="22"/>
  <c r="J22" i="22"/>
  <c r="F22" i="22"/>
  <c r="J21" i="22"/>
  <c r="F21" i="22"/>
  <c r="J20" i="22"/>
  <c r="F20" i="22"/>
  <c r="J19" i="22"/>
  <c r="F19" i="22"/>
  <c r="J18" i="22"/>
  <c r="F18" i="22"/>
  <c r="J17" i="22"/>
  <c r="F17" i="22"/>
  <c r="J16" i="22"/>
  <c r="F16" i="22"/>
  <c r="J15" i="22"/>
  <c r="F15" i="22"/>
  <c r="J14" i="22"/>
  <c r="F14" i="22"/>
  <c r="J13" i="22"/>
  <c r="F13" i="22"/>
  <c r="J12" i="22"/>
  <c r="F12" i="22"/>
  <c r="J11" i="22"/>
  <c r="J23" i="22" s="1"/>
  <c r="F11" i="22"/>
  <c r="F23" i="22" s="1"/>
  <c r="B26" i="22" s="1"/>
  <c r="C74" i="1" l="1"/>
  <c r="G47" i="22"/>
  <c r="G110" i="22" l="1"/>
  <c r="K23" i="22" l="1"/>
  <c r="B28" i="22" s="1"/>
  <c r="B46" i="22"/>
  <c r="C46" i="22"/>
  <c r="B109" i="22" l="1"/>
  <c r="C109" i="22" l="1"/>
  <c r="G90" i="22" l="1"/>
  <c r="H90" i="22"/>
  <c r="J2" i="19" l="1"/>
  <c r="C11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B94" i="1"/>
  <c r="B95" i="1"/>
  <c r="B96" i="1"/>
  <c r="B97" i="1"/>
  <c r="B98" i="1"/>
  <c r="A99" i="1"/>
  <c r="B99" i="1" s="1"/>
  <c r="A100" i="1"/>
  <c r="B100" i="1" s="1"/>
  <c r="A101" i="1"/>
  <c r="B101" i="1" s="1"/>
  <c r="A102" i="1"/>
  <c r="B102" i="1" s="1"/>
  <c r="A103" i="1"/>
  <c r="B103" i="1" s="1"/>
  <c r="A104" i="1"/>
  <c r="B104" i="1" s="1"/>
  <c r="A105" i="1"/>
  <c r="B105" i="1" s="1"/>
  <c r="A106" i="1"/>
  <c r="B106" i="1" s="1"/>
  <c r="A82" i="1"/>
  <c r="B82" i="1" s="1"/>
  <c r="A107" i="1"/>
  <c r="A308" i="1"/>
  <c r="B308" i="1"/>
  <c r="C308" i="1"/>
  <c r="D308" i="1"/>
  <c r="E308" i="1"/>
  <c r="A309" i="1"/>
  <c r="B309" i="1"/>
  <c r="C309" i="1"/>
  <c r="D309" i="1"/>
  <c r="E309" i="1"/>
  <c r="A310" i="1"/>
  <c r="B310" i="1"/>
  <c r="C310" i="1"/>
  <c r="D310" i="1"/>
  <c r="E310" i="1"/>
  <c r="A311" i="1"/>
  <c r="B311" i="1"/>
  <c r="C311" i="1"/>
  <c r="D311" i="1"/>
  <c r="E311" i="1"/>
  <c r="A312" i="1"/>
  <c r="B312" i="1"/>
  <c r="C312" i="1"/>
  <c r="D312" i="1"/>
  <c r="E312" i="1"/>
  <c r="E307" i="1"/>
  <c r="D307" i="1"/>
  <c r="C307" i="1"/>
  <c r="B307" i="1"/>
  <c r="A307" i="1"/>
  <c r="A300" i="1"/>
  <c r="B300" i="1"/>
  <c r="C300" i="1"/>
  <c r="D300" i="1"/>
  <c r="E300" i="1"/>
  <c r="A301" i="1"/>
  <c r="B301" i="1"/>
  <c r="C301" i="1"/>
  <c r="D301" i="1"/>
  <c r="E301" i="1"/>
  <c r="A302" i="1"/>
  <c r="B302" i="1"/>
  <c r="C302" i="1"/>
  <c r="D302" i="1"/>
  <c r="E302" i="1"/>
  <c r="A303" i="1"/>
  <c r="B303" i="1"/>
  <c r="C303" i="1"/>
  <c r="D303" i="1"/>
  <c r="E303" i="1"/>
  <c r="A304" i="1"/>
  <c r="B304" i="1"/>
  <c r="C304" i="1"/>
  <c r="D304" i="1"/>
  <c r="E304" i="1"/>
  <c r="E299" i="1"/>
  <c r="D299" i="1"/>
  <c r="C299" i="1"/>
  <c r="B299" i="1"/>
  <c r="A299" i="1"/>
  <c r="A282" i="1"/>
  <c r="B282" i="1"/>
  <c r="A283" i="1"/>
  <c r="B283" i="1"/>
  <c r="D283" i="1" s="1"/>
  <c r="A284" i="1"/>
  <c r="B284" i="1"/>
  <c r="D284" i="1" s="1"/>
  <c r="A285" i="1"/>
  <c r="B285" i="1"/>
  <c r="D285" i="1" s="1"/>
  <c r="A286" i="1"/>
  <c r="B286" i="1"/>
  <c r="D286" i="1" s="1"/>
  <c r="B281" i="1"/>
  <c r="D281" i="1" s="1"/>
  <c r="A281" i="1"/>
  <c r="B271" i="1"/>
  <c r="B272" i="1"/>
  <c r="B273" i="1"/>
  <c r="B274" i="1"/>
  <c r="B275" i="1"/>
  <c r="B270" i="1"/>
  <c r="E270" i="1"/>
  <c r="D270" i="1"/>
  <c r="B291" i="1" s="1"/>
  <c r="A271" i="1"/>
  <c r="A272" i="1"/>
  <c r="A273" i="1"/>
  <c r="A274" i="1"/>
  <c r="A275" i="1"/>
  <c r="A270" i="1"/>
  <c r="AC52" i="25"/>
  <c r="AB52" i="25"/>
  <c r="AA52" i="25"/>
  <c r="Z52" i="25"/>
  <c r="AC51" i="25"/>
  <c r="AB51" i="25"/>
  <c r="AA51" i="25"/>
  <c r="Z51" i="25"/>
  <c r="AC50" i="25"/>
  <c r="AB50" i="25"/>
  <c r="AA50" i="25"/>
  <c r="Z50" i="25"/>
  <c r="AC49" i="25"/>
  <c r="AB49" i="25"/>
  <c r="AA49" i="25"/>
  <c r="Z49" i="25"/>
  <c r="AC48" i="25"/>
  <c r="AB48" i="25"/>
  <c r="AA48" i="25"/>
  <c r="Z48" i="25"/>
  <c r="AC47" i="25"/>
  <c r="AB47" i="25"/>
  <c r="AA47" i="25"/>
  <c r="Z47" i="25"/>
  <c r="AC46" i="25"/>
  <c r="AB46" i="25"/>
  <c r="AA46" i="25"/>
  <c r="Z46" i="25"/>
  <c r="AC45" i="25"/>
  <c r="AB45" i="25"/>
  <c r="AA45" i="25"/>
  <c r="Z45" i="25"/>
  <c r="AC44" i="25"/>
  <c r="AB44" i="25"/>
  <c r="AA44" i="25"/>
  <c r="Z44" i="25"/>
  <c r="AC43" i="25"/>
  <c r="AB43" i="25"/>
  <c r="AA43" i="25"/>
  <c r="Z43" i="25"/>
  <c r="AC42" i="25"/>
  <c r="AB42" i="25"/>
  <c r="C251" i="1" s="1"/>
  <c r="AA42" i="25"/>
  <c r="Z42" i="25"/>
  <c r="AC41" i="25"/>
  <c r="AB41" i="25"/>
  <c r="AA41" i="25"/>
  <c r="Z41" i="25"/>
  <c r="P41" i="25"/>
  <c r="H41" i="25"/>
  <c r="AC40" i="25"/>
  <c r="AB40" i="25"/>
  <c r="AA40" i="25"/>
  <c r="Z40" i="25"/>
  <c r="P40" i="25"/>
  <c r="H40" i="25"/>
  <c r="AC39" i="25"/>
  <c r="AB39" i="25"/>
  <c r="AA39" i="25"/>
  <c r="Z39" i="25"/>
  <c r="P39" i="25"/>
  <c r="AC38" i="25"/>
  <c r="AB38" i="25"/>
  <c r="AA38" i="25"/>
  <c r="Z38" i="25"/>
  <c r="AC37" i="25"/>
  <c r="AB37" i="25"/>
  <c r="AA37" i="25"/>
  <c r="Z37" i="25"/>
  <c r="AC36" i="25"/>
  <c r="AB36" i="25"/>
  <c r="AA36" i="25"/>
  <c r="Z36" i="25"/>
  <c r="AC35" i="25"/>
  <c r="AB35" i="25"/>
  <c r="AA35" i="25"/>
  <c r="Z35" i="25"/>
  <c r="P16" i="25"/>
  <c r="V28" i="25" s="1"/>
  <c r="H16" i="25"/>
  <c r="P15" i="25"/>
  <c r="V27" i="25" s="1"/>
  <c r="H15" i="25"/>
  <c r="L29" i="17"/>
  <c r="C123" i="1"/>
  <c r="B145" i="1" s="1"/>
  <c r="L26" i="25"/>
  <c r="L25" i="25"/>
  <c r="L24" i="25"/>
  <c r="F25" i="25"/>
  <c r="F26" i="25"/>
  <c r="P21" i="25"/>
  <c r="P20" i="25"/>
  <c r="P19" i="25"/>
  <c r="B261" i="1" l="1"/>
  <c r="B293" i="1"/>
  <c r="B292" i="1"/>
  <c r="H21" i="25"/>
  <c r="V25" i="25" s="1"/>
  <c r="H20" i="25"/>
  <c r="V24" i="25" s="1"/>
  <c r="P36" i="25"/>
  <c r="P35" i="25"/>
  <c r="P34" i="25"/>
  <c r="P33" i="25"/>
  <c r="P32" i="25"/>
  <c r="P31" i="25"/>
  <c r="H36" i="25"/>
  <c r="H35" i="25"/>
  <c r="H34" i="25"/>
  <c r="H33" i="25"/>
  <c r="H32" i="25"/>
  <c r="B244" i="1"/>
  <c r="C244" i="1"/>
  <c r="D244" i="1"/>
  <c r="B245" i="1"/>
  <c r="C245" i="1"/>
  <c r="D245" i="1"/>
  <c r="B246" i="1"/>
  <c r="C246" i="1"/>
  <c r="D246" i="1"/>
  <c r="B247" i="1"/>
  <c r="C247" i="1"/>
  <c r="D247" i="1"/>
  <c r="B248" i="1"/>
  <c r="C248" i="1"/>
  <c r="D248" i="1"/>
  <c r="B249" i="1"/>
  <c r="C249" i="1"/>
  <c r="D249" i="1"/>
  <c r="B250" i="1"/>
  <c r="C250" i="1"/>
  <c r="D250" i="1"/>
  <c r="B251" i="1"/>
  <c r="D251" i="1"/>
  <c r="V33" i="25"/>
  <c r="V34" i="25"/>
  <c r="V32" i="25"/>
  <c r="V30" i="25"/>
  <c r="V31" i="25"/>
  <c r="T33" i="25"/>
  <c r="T34" i="25"/>
  <c r="T32" i="25"/>
  <c r="T30" i="25"/>
  <c r="T31" i="25"/>
  <c r="T29" i="25"/>
  <c r="A244" i="1"/>
  <c r="A245" i="1"/>
  <c r="A246" i="1"/>
  <c r="A247" i="1"/>
  <c r="A248" i="1"/>
  <c r="A249" i="1"/>
  <c r="A250" i="1"/>
  <c r="A251" i="1"/>
  <c r="Q21" i="25"/>
  <c r="W21" i="25" s="1"/>
  <c r="Q22" i="25"/>
  <c r="W22" i="25" s="1"/>
  <c r="Q20" i="25"/>
  <c r="W20" i="25" s="1"/>
  <c r="Q18" i="25"/>
  <c r="W18" i="25" s="1"/>
  <c r="Q19" i="25"/>
  <c r="W19" i="25" s="1"/>
  <c r="Q17" i="25"/>
  <c r="W17" i="25" s="1"/>
  <c r="Q51" i="25"/>
  <c r="Q52" i="25"/>
  <c r="Q50" i="25"/>
  <c r="Q48" i="25"/>
  <c r="W48" i="25" s="1"/>
  <c r="Q49" i="25"/>
  <c r="W49" i="25" s="1"/>
  <c r="Q47" i="25"/>
  <c r="W47" i="25" s="1"/>
  <c r="Q33" i="25"/>
  <c r="Q34" i="25"/>
  <c r="Q32" i="25"/>
  <c r="Q30" i="25"/>
  <c r="Q31" i="25"/>
  <c r="Q29" i="25"/>
  <c r="R29" i="25" s="1"/>
  <c r="Q35" i="25"/>
  <c r="W35" i="25" s="1"/>
  <c r="Q27" i="25"/>
  <c r="Q28" i="25"/>
  <c r="Q23" i="25"/>
  <c r="W23" i="25" s="1"/>
  <c r="Q25" i="25"/>
  <c r="W25" i="25" s="1"/>
  <c r="Q24" i="25"/>
  <c r="W24" i="25" s="1"/>
  <c r="Q46" i="25"/>
  <c r="Q45" i="25"/>
  <c r="Q44" i="25"/>
  <c r="Q43" i="25"/>
  <c r="Q42" i="25"/>
  <c r="Q41" i="25"/>
  <c r="W41" i="25" s="1"/>
  <c r="Q40" i="25"/>
  <c r="W40" i="25" s="1"/>
  <c r="Q39" i="25"/>
  <c r="W39" i="25" s="1"/>
  <c r="Q38" i="25"/>
  <c r="W38" i="25" s="1"/>
  <c r="Q37" i="25"/>
  <c r="W37" i="25" s="1"/>
  <c r="Q36" i="25"/>
  <c r="W36" i="25" s="1"/>
  <c r="Q13" i="25"/>
  <c r="W13" i="25" s="1"/>
  <c r="Q14" i="25"/>
  <c r="W14" i="25" s="1"/>
  <c r="Q15" i="25"/>
  <c r="W15" i="25" s="1"/>
  <c r="Q16" i="25"/>
  <c r="W16" i="25" s="1"/>
  <c r="Q12" i="25"/>
  <c r="W12" i="25" s="1"/>
  <c r="Q11" i="25"/>
  <c r="W11" i="25" s="1"/>
  <c r="Q7" i="25"/>
  <c r="W7" i="25" s="1"/>
  <c r="Q8" i="25"/>
  <c r="W8" i="25" s="1"/>
  <c r="Q9" i="25"/>
  <c r="W9" i="25" s="1"/>
  <c r="Q10" i="25"/>
  <c r="W10" i="25" s="1"/>
  <c r="Q6" i="25"/>
  <c r="W6" i="25" s="1"/>
  <c r="P7" i="25"/>
  <c r="P8" i="25"/>
  <c r="P9" i="25"/>
  <c r="P10" i="25"/>
  <c r="P11" i="25"/>
  <c r="P6" i="25"/>
  <c r="H8" i="25"/>
  <c r="H9" i="25"/>
  <c r="H10" i="25"/>
  <c r="H11" i="25"/>
  <c r="D108" i="1"/>
  <c r="B134" i="1" s="1"/>
  <c r="B45" i="1"/>
  <c r="C45" i="1"/>
  <c r="D42" i="1"/>
  <c r="D43" i="1"/>
  <c r="D44" i="1"/>
  <c r="D41" i="1"/>
  <c r="D45" i="1"/>
  <c r="C2" i="25"/>
  <c r="E24" i="25" s="1"/>
  <c r="F24" i="25" s="1"/>
  <c r="A2" i="25"/>
  <c r="E53" i="25"/>
  <c r="D52" i="25"/>
  <c r="E49" i="25"/>
  <c r="E47" i="25"/>
  <c r="D49" i="25"/>
  <c r="D48" i="25"/>
  <c r="D46" i="25"/>
  <c r="B53" i="25"/>
  <c r="B52" i="25"/>
  <c r="A51" i="25"/>
  <c r="B49" i="25"/>
  <c r="B48" i="25"/>
  <c r="B47" i="25"/>
  <c r="B46" i="25"/>
  <c r="A45" i="25"/>
  <c r="I2" i="19"/>
  <c r="U4" i="19"/>
  <c r="U6" i="19"/>
  <c r="U8" i="19"/>
  <c r="U9" i="19"/>
  <c r="U11" i="19"/>
  <c r="U13" i="19"/>
  <c r="U14" i="19"/>
  <c r="U16" i="19"/>
  <c r="U18" i="19"/>
  <c r="U19" i="19"/>
  <c r="U21" i="19"/>
  <c r="U23" i="19"/>
  <c r="U24" i="19"/>
  <c r="U26" i="19"/>
  <c r="U28" i="19"/>
  <c r="U29" i="19"/>
  <c r="U31" i="19"/>
  <c r="U33" i="19"/>
  <c r="U34" i="19"/>
  <c r="U36" i="19"/>
  <c r="U38" i="19"/>
  <c r="U39" i="19"/>
  <c r="U41" i="19"/>
  <c r="U43" i="19"/>
  <c r="U44" i="19"/>
  <c r="U46" i="19"/>
  <c r="U48" i="19"/>
  <c r="U50" i="19"/>
  <c r="U52" i="19"/>
  <c r="U53" i="19"/>
  <c r="U55" i="19"/>
  <c r="U57" i="19"/>
  <c r="U58" i="19"/>
  <c r="U60" i="19"/>
  <c r="U62" i="19"/>
  <c r="U63" i="19"/>
  <c r="U65" i="19"/>
  <c r="U67" i="19"/>
  <c r="U69" i="19"/>
  <c r="U71" i="19"/>
  <c r="U73" i="19"/>
  <c r="U75" i="19"/>
  <c r="U77" i="19"/>
  <c r="U79" i="19"/>
  <c r="B51" i="1"/>
  <c r="C51" i="1"/>
  <c r="D51" i="1"/>
  <c r="B52" i="1"/>
  <c r="C52" i="1"/>
  <c r="D52" i="1"/>
  <c r="B53" i="1"/>
  <c r="C53" i="1"/>
  <c r="D53" i="1"/>
  <c r="B54" i="1"/>
  <c r="C54" i="1"/>
  <c r="D54" i="1"/>
  <c r="B55" i="1"/>
  <c r="C55" i="1"/>
  <c r="D55" i="1"/>
  <c r="B56" i="1"/>
  <c r="C56" i="1"/>
  <c r="D56" i="1"/>
  <c r="B57" i="1"/>
  <c r="C57" i="1"/>
  <c r="D57" i="1"/>
  <c r="B58" i="1"/>
  <c r="C58" i="1"/>
  <c r="D58" i="1"/>
  <c r="B59" i="1"/>
  <c r="C59" i="1"/>
  <c r="D59" i="1"/>
  <c r="B60" i="1"/>
  <c r="C60" i="1"/>
  <c r="D60" i="1"/>
  <c r="B61" i="1"/>
  <c r="C61" i="1"/>
  <c r="D61" i="1"/>
  <c r="C50" i="1"/>
  <c r="C62" i="1"/>
  <c r="D50" i="1"/>
  <c r="D62" i="1"/>
  <c r="B50" i="1"/>
  <c r="B62" i="1"/>
  <c r="E49" i="1"/>
  <c r="C49" i="1"/>
  <c r="D49" i="1"/>
  <c r="B49" i="1"/>
  <c r="C5" i="24"/>
  <c r="C6" i="24"/>
  <c r="C7" i="24"/>
  <c r="C8" i="24"/>
  <c r="C9" i="24"/>
  <c r="C33" i="23"/>
  <c r="B33" i="23"/>
  <c r="C78" i="1" s="1"/>
  <c r="H16" i="23"/>
  <c r="G16" i="23"/>
  <c r="F16" i="23"/>
  <c r="E16" i="23"/>
  <c r="D16" i="23"/>
  <c r="C16" i="23"/>
  <c r="B16" i="23"/>
  <c r="C76" i="1" s="1"/>
  <c r="J15" i="23"/>
  <c r="I15" i="23"/>
  <c r="J14" i="23"/>
  <c r="I14" i="23"/>
  <c r="J13" i="23"/>
  <c r="I13" i="23"/>
  <c r="J12" i="23"/>
  <c r="I12" i="23"/>
  <c r="J11" i="23"/>
  <c r="I11" i="23"/>
  <c r="J10" i="23"/>
  <c r="I10" i="23"/>
  <c r="J9" i="23"/>
  <c r="I9" i="23"/>
  <c r="J8" i="23"/>
  <c r="I8" i="23"/>
  <c r="J7" i="23"/>
  <c r="I7" i="23"/>
  <c r="J6" i="23"/>
  <c r="I6" i="23"/>
  <c r="J5" i="23"/>
  <c r="I5" i="23"/>
  <c r="J4" i="23"/>
  <c r="I4" i="23"/>
  <c r="B67" i="1"/>
  <c r="B64" i="1"/>
  <c r="E62" i="1"/>
  <c r="B126" i="1" s="1"/>
  <c r="E61" i="1"/>
  <c r="E60" i="1"/>
  <c r="E59" i="1"/>
  <c r="E58" i="1"/>
  <c r="E57" i="1"/>
  <c r="E56" i="1"/>
  <c r="E55" i="1"/>
  <c r="E54" i="1"/>
  <c r="E53" i="1"/>
  <c r="E52" i="1"/>
  <c r="E51" i="1"/>
  <c r="E50" i="1"/>
  <c r="B19" i="1"/>
  <c r="C18" i="1"/>
  <c r="I16" i="11"/>
  <c r="C193" i="1"/>
  <c r="B193" i="1"/>
  <c r="L4" i="11"/>
  <c r="L5" i="11"/>
  <c r="L6" i="11"/>
  <c r="L7" i="11"/>
  <c r="L8" i="11"/>
  <c r="L9" i="11"/>
  <c r="L10" i="11"/>
  <c r="L11" i="11"/>
  <c r="L12" i="11"/>
  <c r="L13" i="11"/>
  <c r="L14" i="11"/>
  <c r="L15" i="11"/>
  <c r="B16" i="11"/>
  <c r="E16" i="11"/>
  <c r="F16" i="11"/>
  <c r="G16" i="11"/>
  <c r="H16" i="11"/>
  <c r="J16" i="11"/>
  <c r="K16" i="11"/>
  <c r="L16" i="11"/>
  <c r="L7" i="17"/>
  <c r="L8" i="17"/>
  <c r="L9" i="17"/>
  <c r="L10" i="17"/>
  <c r="L11" i="17"/>
  <c r="L12" i="17"/>
  <c r="L13" i="17"/>
  <c r="L14" i="17"/>
  <c r="L15" i="17"/>
  <c r="L16" i="17"/>
  <c r="L17" i="17"/>
  <c r="L18" i="17"/>
  <c r="D19" i="17"/>
  <c r="L23" i="17"/>
  <c r="B32" i="1"/>
  <c r="B33" i="1"/>
  <c r="B34" i="1"/>
  <c r="B35" i="1"/>
  <c r="B36" i="1"/>
  <c r="B37" i="1"/>
  <c r="B38" i="1"/>
  <c r="B39" i="1"/>
  <c r="B40" i="1"/>
  <c r="B133" i="1"/>
  <c r="B136" i="1"/>
  <c r="D134" i="1" s="1"/>
  <c r="C194" i="1"/>
  <c r="D265" i="1"/>
  <c r="E193" i="1"/>
  <c r="B294" i="1"/>
  <c r="J16" i="23"/>
  <c r="C77" i="1" s="1"/>
  <c r="I16" i="23"/>
  <c r="U52" i="25" l="1"/>
  <c r="V52" i="25"/>
  <c r="W52" i="25"/>
  <c r="U51" i="25"/>
  <c r="V51" i="25"/>
  <c r="W51" i="25"/>
  <c r="W42" i="25"/>
  <c r="W43" i="25"/>
  <c r="W44" i="25"/>
  <c r="W45" i="25"/>
  <c r="W46" i="25"/>
  <c r="Q26" i="25"/>
  <c r="W26" i="25" s="1"/>
  <c r="W28" i="25"/>
  <c r="W27" i="25"/>
  <c r="U50" i="25"/>
  <c r="V50" i="25"/>
  <c r="W50" i="25"/>
  <c r="T50" i="25"/>
  <c r="S50" i="25"/>
  <c r="R50" i="25"/>
  <c r="U24" i="25"/>
  <c r="R24" i="25"/>
  <c r="S24" i="25"/>
  <c r="U25" i="25"/>
  <c r="R25" i="25"/>
  <c r="S25" i="25"/>
  <c r="S23" i="25"/>
  <c r="R23" i="25"/>
  <c r="S26" i="25"/>
  <c r="R26" i="25"/>
  <c r="U28" i="25"/>
  <c r="R28" i="25"/>
  <c r="S28" i="25"/>
  <c r="U27" i="25"/>
  <c r="R27" i="25"/>
  <c r="S27" i="25"/>
  <c r="U31" i="25"/>
  <c r="R31" i="25"/>
  <c r="U30" i="25"/>
  <c r="R30" i="25"/>
  <c r="U32" i="25"/>
  <c r="R32" i="25"/>
  <c r="U34" i="25"/>
  <c r="R34" i="25"/>
  <c r="U33" i="25"/>
  <c r="R33" i="25"/>
  <c r="C108" i="1"/>
  <c r="B127" i="1" s="1"/>
  <c r="D126" i="1" s="1"/>
  <c r="V29" i="25"/>
  <c r="U29" i="25"/>
  <c r="T6" i="25"/>
  <c r="S6" i="25"/>
  <c r="R6" i="25"/>
  <c r="V10" i="25"/>
  <c r="U10" i="25"/>
  <c r="T10" i="25"/>
  <c r="S10" i="25"/>
  <c r="R10" i="25"/>
  <c r="V9" i="25"/>
  <c r="U9" i="25"/>
  <c r="T9" i="25"/>
  <c r="S9" i="25"/>
  <c r="R9" i="25"/>
  <c r="V8" i="25"/>
  <c r="U8" i="25"/>
  <c r="T8" i="25"/>
  <c r="S8" i="25"/>
  <c r="R8" i="25"/>
  <c r="V7" i="25"/>
  <c r="U7" i="25"/>
  <c r="T7" i="25"/>
  <c r="S7" i="25"/>
  <c r="R7" i="25"/>
  <c r="T11" i="25"/>
  <c r="U11" i="25" s="1"/>
  <c r="V11" i="25" s="1"/>
  <c r="R11" i="25"/>
  <c r="S11" i="25" s="1"/>
  <c r="T12" i="25"/>
  <c r="U12" i="25" s="1"/>
  <c r="V12" i="25" s="1"/>
  <c r="R12" i="25"/>
  <c r="S12" i="25" s="1"/>
  <c r="T16" i="25"/>
  <c r="U16" i="25" s="1"/>
  <c r="V16" i="25" s="1"/>
  <c r="R16" i="25"/>
  <c r="S16" i="25" s="1"/>
  <c r="T15" i="25"/>
  <c r="U15" i="25" s="1"/>
  <c r="V15" i="25" s="1"/>
  <c r="R15" i="25"/>
  <c r="S15" i="25" s="1"/>
  <c r="T14" i="25"/>
  <c r="U14" i="25" s="1"/>
  <c r="V14" i="25" s="1"/>
  <c r="R14" i="25"/>
  <c r="S14" i="25" s="1"/>
  <c r="T13" i="25"/>
  <c r="U13" i="25" s="1"/>
  <c r="V13" i="25" s="1"/>
  <c r="R13" i="25"/>
  <c r="S13" i="25" s="1"/>
  <c r="T36" i="25"/>
  <c r="S36" i="25"/>
  <c r="R36" i="25"/>
  <c r="T37" i="25"/>
  <c r="S37" i="25"/>
  <c r="R37" i="25"/>
  <c r="T38" i="25"/>
  <c r="S38" i="25"/>
  <c r="R38" i="25"/>
  <c r="T39" i="25"/>
  <c r="S39" i="25"/>
  <c r="R39" i="25"/>
  <c r="T40" i="25"/>
  <c r="S40" i="25"/>
  <c r="R40" i="25"/>
  <c r="T41" i="25"/>
  <c r="S41" i="25"/>
  <c r="R41" i="25"/>
  <c r="T42" i="25"/>
  <c r="S42" i="25"/>
  <c r="R42" i="25"/>
  <c r="T43" i="25"/>
  <c r="S43" i="25"/>
  <c r="R43" i="25"/>
  <c r="T44" i="25"/>
  <c r="S44" i="25"/>
  <c r="R44" i="25"/>
  <c r="T45" i="25"/>
  <c r="S45" i="25"/>
  <c r="R45" i="25"/>
  <c r="T46" i="25"/>
  <c r="S46" i="25"/>
  <c r="R46" i="25"/>
  <c r="T35" i="25"/>
  <c r="S35" i="25"/>
  <c r="R35" i="25"/>
  <c r="V49" i="25"/>
  <c r="T49" i="25"/>
  <c r="S49" i="25"/>
  <c r="R49" i="25"/>
  <c r="U49" i="25"/>
  <c r="V48" i="25"/>
  <c r="T48" i="25"/>
  <c r="S48" i="25"/>
  <c r="R48" i="25"/>
  <c r="U48" i="25"/>
  <c r="T52" i="25"/>
  <c r="S52" i="25"/>
  <c r="R52" i="25"/>
  <c r="T51" i="25"/>
  <c r="S51" i="25"/>
  <c r="R51" i="25"/>
  <c r="V19" i="25"/>
  <c r="T19" i="25"/>
  <c r="S19" i="25"/>
  <c r="R19" i="25"/>
  <c r="U19" i="25"/>
  <c r="V18" i="25"/>
  <c r="T18" i="25"/>
  <c r="S18" i="25"/>
  <c r="R18" i="25"/>
  <c r="U18" i="25"/>
  <c r="V22" i="25"/>
  <c r="T22" i="25"/>
  <c r="S22" i="25"/>
  <c r="R22" i="25"/>
  <c r="U22" i="25"/>
  <c r="V21" i="25"/>
  <c r="T21" i="25"/>
  <c r="S21" i="25"/>
  <c r="R21" i="25"/>
  <c r="U21" i="25"/>
  <c r="H39" i="25"/>
  <c r="P14" i="25"/>
  <c r="V26" i="25" s="1"/>
  <c r="U26" i="25" s="1"/>
  <c r="H14" i="25"/>
  <c r="V47" i="25"/>
  <c r="T47" i="25"/>
  <c r="S47" i="25"/>
  <c r="R47" i="25"/>
  <c r="V17" i="25"/>
  <c r="T17" i="25"/>
  <c r="S17" i="25"/>
  <c r="R17" i="25"/>
  <c r="V20" i="25"/>
  <c r="T20" i="25"/>
  <c r="S20" i="25"/>
  <c r="R20" i="25"/>
  <c r="O21" i="25"/>
  <c r="O20" i="25"/>
  <c r="O19" i="25"/>
  <c r="G21" i="25"/>
  <c r="G20" i="25"/>
  <c r="G19" i="25"/>
  <c r="H19" i="25" s="1"/>
  <c r="U17" i="25"/>
  <c r="O36" i="25"/>
  <c r="O35" i="25"/>
  <c r="O34" i="25"/>
  <c r="O33" i="25"/>
  <c r="O32" i="25"/>
  <c r="O31" i="25"/>
  <c r="G36" i="25"/>
  <c r="G35" i="25"/>
  <c r="G34" i="25"/>
  <c r="G33" i="25"/>
  <c r="G32" i="25"/>
  <c r="G31" i="25"/>
  <c r="H31" i="25" s="1"/>
  <c r="E52" i="25" s="1"/>
  <c r="E54" i="25" s="1"/>
  <c r="O7" i="25"/>
  <c r="O8" i="25"/>
  <c r="O9" i="25"/>
  <c r="O10" i="25"/>
  <c r="O11" i="25"/>
  <c r="O6" i="25"/>
  <c r="G7" i="25"/>
  <c r="G8" i="25"/>
  <c r="G9" i="25"/>
  <c r="G10" i="25"/>
  <c r="G11" i="25"/>
  <c r="Q5" i="25"/>
  <c r="W5" i="25" s="1"/>
  <c r="B140" i="1"/>
  <c r="D47" i="25"/>
  <c r="D50" i="25" s="1"/>
  <c r="E48" i="25" l="1"/>
  <c r="V23" i="25"/>
  <c r="U23" i="25" s="1"/>
  <c r="H7" i="25"/>
  <c r="V6" i="25" s="1"/>
  <c r="U6" i="25"/>
  <c r="T5" i="25"/>
  <c r="S5" i="25"/>
  <c r="R5" i="25"/>
  <c r="Y5" i="25" a="1"/>
  <c r="U5" i="25"/>
  <c r="AB6" i="25"/>
  <c r="D53" i="25"/>
  <c r="D54" i="25" s="1"/>
  <c r="C215" i="1"/>
  <c r="H6" i="25"/>
  <c r="V5" i="25" s="1"/>
  <c r="L24" i="17"/>
  <c r="D127" i="1"/>
  <c r="D55" i="25"/>
  <c r="AD29" i="25" l="1"/>
  <c r="E238" i="1" s="1"/>
  <c r="AD30" i="25"/>
  <c r="E239" i="1" s="1"/>
  <c r="AD31" i="25"/>
  <c r="E240" i="1" s="1"/>
  <c r="AD32" i="25"/>
  <c r="E241" i="1" s="1"/>
  <c r="AD33" i="25"/>
  <c r="E242" i="1" s="1"/>
  <c r="AD34" i="25"/>
  <c r="E243" i="1" s="1"/>
  <c r="AC34" i="25"/>
  <c r="D243" i="1" s="1"/>
  <c r="AB34" i="25"/>
  <c r="C243" i="1" s="1"/>
  <c r="AA34" i="25"/>
  <c r="B243" i="1" s="1"/>
  <c r="Z34" i="25"/>
  <c r="A243" i="1" s="1"/>
  <c r="AC33" i="25"/>
  <c r="D242" i="1" s="1"/>
  <c r="AB33" i="25"/>
  <c r="C242" i="1" s="1"/>
  <c r="AA33" i="25"/>
  <c r="B242" i="1" s="1"/>
  <c r="Z33" i="25"/>
  <c r="A242" i="1" s="1"/>
  <c r="AC32" i="25"/>
  <c r="D241" i="1" s="1"/>
  <c r="AB32" i="25"/>
  <c r="C241" i="1" s="1"/>
  <c r="AA32" i="25"/>
  <c r="B241" i="1" s="1"/>
  <c r="Z32" i="25"/>
  <c r="A241" i="1" s="1"/>
  <c r="AC31" i="25"/>
  <c r="D240" i="1" s="1"/>
  <c r="AB31" i="25"/>
  <c r="C240" i="1" s="1"/>
  <c r="AA31" i="25"/>
  <c r="B240" i="1" s="1"/>
  <c r="Z31" i="25"/>
  <c r="A240" i="1" s="1"/>
  <c r="AC30" i="25"/>
  <c r="D239" i="1" s="1"/>
  <c r="AB30" i="25"/>
  <c r="C239" i="1" s="1"/>
  <c r="AA30" i="25"/>
  <c r="B239" i="1" s="1"/>
  <c r="Z30" i="25"/>
  <c r="A239" i="1" s="1"/>
  <c r="AC29" i="25"/>
  <c r="D238" i="1" s="1"/>
  <c r="AB29" i="25"/>
  <c r="C238" i="1" s="1"/>
  <c r="AA29" i="25"/>
  <c r="B238" i="1" s="1"/>
  <c r="Z29" i="25"/>
  <c r="A238" i="1" s="1"/>
  <c r="AD24" i="25"/>
  <c r="E233" i="1" s="1"/>
  <c r="AD25" i="25"/>
  <c r="E234" i="1" s="1"/>
  <c r="AD26" i="25"/>
  <c r="E235" i="1" s="1"/>
  <c r="AD27" i="25"/>
  <c r="E236" i="1" s="1"/>
  <c r="AD28" i="25"/>
  <c r="E237" i="1" s="1"/>
  <c r="AC28" i="25"/>
  <c r="D237" i="1" s="1"/>
  <c r="AB28" i="25"/>
  <c r="C237" i="1" s="1"/>
  <c r="AA28" i="25"/>
  <c r="B237" i="1" s="1"/>
  <c r="Z28" i="25"/>
  <c r="A237" i="1" s="1"/>
  <c r="AC27" i="25"/>
  <c r="D236" i="1" s="1"/>
  <c r="AB27" i="25"/>
  <c r="C236" i="1" s="1"/>
  <c r="AA27" i="25"/>
  <c r="B236" i="1" s="1"/>
  <c r="Z27" i="25"/>
  <c r="A236" i="1" s="1"/>
  <c r="AC26" i="25"/>
  <c r="D235" i="1" s="1"/>
  <c r="AB26" i="25"/>
  <c r="C235" i="1" s="1"/>
  <c r="AA26" i="25"/>
  <c r="B235" i="1" s="1"/>
  <c r="Z26" i="25"/>
  <c r="A235" i="1" s="1"/>
  <c r="AC25" i="25"/>
  <c r="D234" i="1" s="1"/>
  <c r="AB25" i="25"/>
  <c r="C234" i="1" s="1"/>
  <c r="AA25" i="25"/>
  <c r="B234" i="1" s="1"/>
  <c r="Z25" i="25"/>
  <c r="A234" i="1" s="1"/>
  <c r="AC24" i="25"/>
  <c r="D233" i="1" s="1"/>
  <c r="AB24" i="25"/>
  <c r="C233" i="1" s="1"/>
  <c r="AA24" i="25"/>
  <c r="B233" i="1" s="1"/>
  <c r="Z24" i="25"/>
  <c r="A233" i="1" s="1"/>
  <c r="AD21" i="25"/>
  <c r="E230" i="1" s="1"/>
  <c r="AD22" i="25"/>
  <c r="E231" i="1" s="1"/>
  <c r="AD23" i="25"/>
  <c r="E232" i="1" s="1"/>
  <c r="AC23" i="25"/>
  <c r="D232" i="1" s="1"/>
  <c r="AB23" i="25"/>
  <c r="C232" i="1" s="1"/>
  <c r="AA23" i="25"/>
  <c r="B232" i="1" s="1"/>
  <c r="Z23" i="25"/>
  <c r="A232" i="1" s="1"/>
  <c r="AC22" i="25"/>
  <c r="D231" i="1" s="1"/>
  <c r="AB22" i="25"/>
  <c r="C231" i="1" s="1"/>
  <c r="AA22" i="25"/>
  <c r="B231" i="1" s="1"/>
  <c r="Z22" i="25"/>
  <c r="A231" i="1" s="1"/>
  <c r="AC21" i="25"/>
  <c r="D230" i="1" s="1"/>
  <c r="AB21" i="25"/>
  <c r="C230" i="1" s="1"/>
  <c r="AA21" i="25"/>
  <c r="B230" i="1" s="1"/>
  <c r="Z21" i="25"/>
  <c r="A230" i="1" s="1"/>
  <c r="AD19" i="25"/>
  <c r="E228" i="1" s="1"/>
  <c r="AD20" i="25"/>
  <c r="E229" i="1" s="1"/>
  <c r="AC20" i="25"/>
  <c r="D229" i="1" s="1"/>
  <c r="AB20" i="25"/>
  <c r="C229" i="1" s="1"/>
  <c r="AA20" i="25"/>
  <c r="B229" i="1" s="1"/>
  <c r="Z20" i="25"/>
  <c r="A229" i="1" s="1"/>
  <c r="AC19" i="25"/>
  <c r="D228" i="1" s="1"/>
  <c r="AB19" i="25"/>
  <c r="C228" i="1" s="1"/>
  <c r="AA19" i="25"/>
  <c r="B228" i="1" s="1"/>
  <c r="Z19" i="25"/>
  <c r="A228" i="1" s="1"/>
  <c r="AD13" i="25"/>
  <c r="E222" i="1" s="1"/>
  <c r="AD14" i="25"/>
  <c r="E223" i="1" s="1"/>
  <c r="AD15" i="25"/>
  <c r="E224" i="1" s="1"/>
  <c r="AD16" i="25"/>
  <c r="E225" i="1" s="1"/>
  <c r="AD17" i="25"/>
  <c r="E226" i="1" s="1"/>
  <c r="AD18" i="25"/>
  <c r="E227" i="1" s="1"/>
  <c r="AC18" i="25"/>
  <c r="D227" i="1" s="1"/>
  <c r="AB18" i="25"/>
  <c r="C227" i="1" s="1"/>
  <c r="AA18" i="25"/>
  <c r="B227" i="1" s="1"/>
  <c r="Z18" i="25"/>
  <c r="A227" i="1" s="1"/>
  <c r="AC17" i="25"/>
  <c r="D226" i="1" s="1"/>
  <c r="AB17" i="25"/>
  <c r="C226" i="1" s="1"/>
  <c r="AA17" i="25"/>
  <c r="B226" i="1" s="1"/>
  <c r="Z17" i="25"/>
  <c r="A226" i="1" s="1"/>
  <c r="AC16" i="25"/>
  <c r="D225" i="1" s="1"/>
  <c r="AB16" i="25"/>
  <c r="C225" i="1" s="1"/>
  <c r="AA16" i="25"/>
  <c r="B225" i="1" s="1"/>
  <c r="Z16" i="25"/>
  <c r="A225" i="1" s="1"/>
  <c r="AC15" i="25"/>
  <c r="D224" i="1" s="1"/>
  <c r="AB15" i="25"/>
  <c r="C224" i="1" s="1"/>
  <c r="AA15" i="25"/>
  <c r="B224" i="1" s="1"/>
  <c r="Z15" i="25"/>
  <c r="A224" i="1" s="1"/>
  <c r="AC14" i="25"/>
  <c r="D223" i="1" s="1"/>
  <c r="AB14" i="25"/>
  <c r="C223" i="1" s="1"/>
  <c r="AA14" i="25"/>
  <c r="B223" i="1" s="1"/>
  <c r="Z14" i="25"/>
  <c r="A223" i="1" s="1"/>
  <c r="AC13" i="25"/>
  <c r="D222" i="1" s="1"/>
  <c r="AB13" i="25"/>
  <c r="C222" i="1" s="1"/>
  <c r="AA13" i="25"/>
  <c r="B222" i="1" s="1"/>
  <c r="Z13" i="25"/>
  <c r="A222" i="1" s="1"/>
  <c r="AD9" i="25"/>
  <c r="E218" i="1" s="1"/>
  <c r="AD10" i="25"/>
  <c r="E219" i="1" s="1"/>
  <c r="AD11" i="25"/>
  <c r="E220" i="1" s="1"/>
  <c r="AD12" i="25"/>
  <c r="E221" i="1" s="1"/>
  <c r="AC12" i="25"/>
  <c r="D221" i="1" s="1"/>
  <c r="D190" i="1" s="1"/>
  <c r="AB12" i="25"/>
  <c r="C221" i="1" s="1"/>
  <c r="AA12" i="25"/>
  <c r="B221" i="1" s="1"/>
  <c r="Z12" i="25"/>
  <c r="A221" i="1" s="1"/>
  <c r="A190" i="1" s="1"/>
  <c r="AC11" i="25"/>
  <c r="D220" i="1" s="1"/>
  <c r="D189" i="1" s="1"/>
  <c r="AB11" i="25"/>
  <c r="C220" i="1" s="1"/>
  <c r="AA11" i="25"/>
  <c r="B220" i="1" s="1"/>
  <c r="Z11" i="25"/>
  <c r="A220" i="1" s="1"/>
  <c r="A189" i="1" s="1"/>
  <c r="AC10" i="25"/>
  <c r="D219" i="1" s="1"/>
  <c r="D188" i="1" s="1"/>
  <c r="AB10" i="25"/>
  <c r="C219" i="1" s="1"/>
  <c r="AA10" i="25"/>
  <c r="B219" i="1" s="1"/>
  <c r="Z10" i="25"/>
  <c r="A219" i="1" s="1"/>
  <c r="A188" i="1" s="1"/>
  <c r="AC7" i="25"/>
  <c r="D216" i="1" s="1"/>
  <c r="D185" i="1" s="1"/>
  <c r="AC6" i="25"/>
  <c r="D215" i="1" s="1"/>
  <c r="D184" i="1" s="1"/>
  <c r="AC8" i="25"/>
  <c r="AD6" i="25"/>
  <c r="E215" i="1" s="1"/>
  <c r="AD7" i="25"/>
  <c r="E216" i="1" s="1"/>
  <c r="AD8" i="25"/>
  <c r="E217" i="1" s="1"/>
  <c r="AA9" i="25"/>
  <c r="B218" i="1" s="1"/>
  <c r="Z9" i="25"/>
  <c r="A218" i="1" s="1"/>
  <c r="A187" i="1" s="1"/>
  <c r="Y5" i="25"/>
  <c r="AD5" i="25" s="1"/>
  <c r="E214" i="1" s="1"/>
  <c r="AA8" i="25"/>
  <c r="B217" i="1" s="1"/>
  <c r="Z8" i="25"/>
  <c r="A217" i="1" s="1"/>
  <c r="A186" i="1" s="1"/>
  <c r="AA7" i="25"/>
  <c r="B216" i="1" s="1"/>
  <c r="Z7" i="25"/>
  <c r="A216" i="1" s="1"/>
  <c r="A185" i="1" s="1"/>
  <c r="AA6" i="25"/>
  <c r="B215" i="1" s="1"/>
  <c r="Z6" i="25"/>
  <c r="A215" i="1" s="1"/>
  <c r="A184" i="1" s="1"/>
  <c r="E46" i="25"/>
  <c r="E50" i="25" s="1"/>
  <c r="E55" i="25" s="1"/>
  <c r="AB5" i="25" l="1"/>
  <c r="C214" i="1" s="1"/>
  <c r="AA5" i="25"/>
  <c r="B214" i="1" s="1"/>
  <c r="B252" i="1" s="1"/>
  <c r="Z5" i="25"/>
  <c r="A214" i="1" s="1"/>
  <c r="A183" i="1" s="1"/>
  <c r="AC5" i="25"/>
  <c r="D214" i="1" s="1"/>
  <c r="D183" i="1" s="1"/>
  <c r="U20" i="25"/>
  <c r="U47" i="25"/>
  <c r="AB8" i="25" s="1"/>
  <c r="C217" i="1"/>
  <c r="D217" i="1"/>
  <c r="D186" i="1" s="1"/>
  <c r="AB7" i="25" l="1"/>
  <c r="C216" i="1" s="1"/>
  <c r="B128" i="1" l="1"/>
  <c r="C210" i="1" l="1"/>
  <c r="AB9" i="25" l="1"/>
  <c r="C218" i="1"/>
  <c r="B201" i="1" s="1"/>
  <c r="C252" i="1"/>
  <c r="L26" i="17"/>
  <c r="AC9" i="25"/>
  <c r="D218" i="1"/>
  <c r="D187" i="1" s="1"/>
  <c r="D193" i="1" s="1"/>
  <c r="E194" i="1" s="1"/>
  <c r="B199" i="1" s="1"/>
  <c r="D252" i="1"/>
  <c r="B262" i="1"/>
  <c r="B265" i="1" l="1"/>
  <c r="D8" i="17"/>
  <c r="D7" i="17" s="1"/>
  <c r="D17" i="17" s="1"/>
  <c r="D21" i="17" s="1"/>
  <c r="D23" i="17" s="1"/>
  <c r="L28" i="17"/>
  <c r="L31" i="17" s="1"/>
  <c r="L33" i="17" s="1"/>
  <c r="B208" i="1"/>
  <c r="B198" i="1"/>
  <c r="C27" i="17" l="1"/>
  <c r="D27" i="17"/>
  <c r="D198" i="1"/>
  <c r="B210" i="1"/>
  <c r="I8" i="17"/>
  <c r="M8" i="17" s="1"/>
  <c r="I9" i="17"/>
  <c r="M9" i="17" s="1"/>
  <c r="I10" i="17"/>
  <c r="M10" i="17" s="1"/>
  <c r="I11" i="17"/>
  <c r="M11" i="17" s="1"/>
  <c r="I12" i="17"/>
  <c r="M12" i="17" s="1"/>
  <c r="I13" i="17"/>
  <c r="M13" i="17" s="1"/>
  <c r="I14" i="17"/>
  <c r="M14" i="17" s="1"/>
  <c r="I15" i="17"/>
  <c r="M15" i="17" s="1"/>
  <c r="I16" i="17"/>
  <c r="M16" i="17" s="1"/>
  <c r="I17" i="17"/>
  <c r="M17" i="17" s="1"/>
  <c r="I18" i="17"/>
  <c r="M18" i="17" s="1"/>
  <c r="I7" i="17"/>
  <c r="M7" i="17" s="1"/>
  <c r="M19" i="17" s="1"/>
  <c r="D28" i="17" s="1"/>
  <c r="D29" i="17" s="1"/>
  <c r="B129" i="1" s="1"/>
  <c r="B130" i="1" s="1"/>
  <c r="E127" i="1" l="1"/>
  <c r="B139" i="1"/>
  <c r="B141" i="1" s="1"/>
  <c r="B143" i="1" s="1"/>
  <c r="B146" i="1" s="1"/>
  <c r="D146" i="1" l="1"/>
  <c r="A149" i="1"/>
  <c r="B149" i="1" l="1"/>
  <c r="C149" i="1"/>
  <c r="B151" i="1"/>
  <c r="B155" i="1" l="1"/>
  <c r="B161" i="1" s="1"/>
  <c r="B164" i="1"/>
  <c r="B165" i="1" s="1"/>
  <c r="U41" i="25"/>
  <c r="V41" i="25"/>
  <c r="U42" i="25"/>
  <c r="V42" i="25"/>
  <c r="U43" i="25"/>
  <c r="V43" i="25"/>
  <c r="U44" i="25"/>
  <c r="V44" i="25"/>
  <c r="U45" i="25"/>
  <c r="V45" i="25"/>
  <c r="U46" i="25"/>
  <c r="V46" i="25"/>
  <c r="V35" i="25"/>
  <c r="U35" i="25"/>
  <c r="V40" i="25"/>
  <c r="U40" i="25"/>
  <c r="V39" i="25"/>
  <c r="U39" i="25"/>
  <c r="V38" i="25"/>
  <c r="U38" i="25"/>
  <c r="V37" i="25"/>
  <c r="U37" i="25"/>
  <c r="V36" i="25"/>
  <c r="U36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<sst xmlns="http://schemas.openxmlformats.org/spreadsheetml/2006/main" count="628" uniqueCount="421">
  <si>
    <t>Agencia Nº:</t>
  </si>
  <si>
    <t>Cargas de Flía.:</t>
  </si>
  <si>
    <t>Gastos</t>
  </si>
  <si>
    <t>Resultado Neto</t>
  </si>
  <si>
    <t>RUBRO I - Determinación del Impuesto</t>
  </si>
  <si>
    <t>Rtdo. Neto de las categ.</t>
  </si>
  <si>
    <t>Deducción Generales</t>
  </si>
  <si>
    <t>Resultado Impositivo</t>
  </si>
  <si>
    <t>Resultado Final</t>
  </si>
  <si>
    <t>RUBRO II - Determinación del Saldo</t>
  </si>
  <si>
    <t>Impuesto Determinado</t>
  </si>
  <si>
    <t>Periodo Anterior</t>
  </si>
  <si>
    <t>Periodo que se liquida</t>
  </si>
  <si>
    <t>Activo</t>
  </si>
  <si>
    <t>Pasivo</t>
  </si>
  <si>
    <t>Inmuebles</t>
  </si>
  <si>
    <t>Auto</t>
  </si>
  <si>
    <t>Consumido</t>
  </si>
  <si>
    <t>Total PN ejer.</t>
  </si>
  <si>
    <t>Total PN ejer. Anterior</t>
  </si>
  <si>
    <t>130 - Delegación Necochea</t>
  </si>
  <si>
    <t xml:space="preserve"> ANTICIPOS</t>
  </si>
  <si>
    <t>Base Imponible sujeta a Impuesto</t>
  </si>
  <si>
    <t>Imp. Determinado art 90</t>
  </si>
  <si>
    <t>Valor de Origen</t>
  </si>
  <si>
    <t>Valor Residual</t>
  </si>
  <si>
    <t>Amortizacion</t>
  </si>
  <si>
    <t>Ingresos 3º Categ. (s/liquidación IVA)</t>
  </si>
  <si>
    <t>TOTAL</t>
  </si>
  <si>
    <t>Saldo a Favor Contrib. 2017 Ganacias</t>
  </si>
  <si>
    <t>Saldo a favor Bs Personales 2017</t>
  </si>
  <si>
    <t>AJUSTE ESTATICO</t>
  </si>
  <si>
    <t>AJUSTE DINAMICO</t>
  </si>
  <si>
    <t>TOTAL DEL ACTIVO</t>
  </si>
  <si>
    <t>Mes retiro </t>
  </si>
  <si>
    <t>Importe retiro</t>
  </si>
  <si>
    <t>IPC cierre</t>
  </si>
  <si>
    <t>IPC retiro</t>
  </si>
  <si>
    <t>Coeficiente</t>
  </si>
  <si>
    <t>Retiro ajustado</t>
  </si>
  <si>
    <t>TOTAL ACTIVO NO COMPUTABLE</t>
  </si>
  <si>
    <t>ACTIVO COMPUTABLE</t>
  </si>
  <si>
    <t>PASIVO COMPUTABLE</t>
  </si>
  <si>
    <t>Total</t>
  </si>
  <si>
    <t>CAPITAL COMPUTABLE</t>
  </si>
  <si>
    <t>Calculo retiros mensuales</t>
  </si>
  <si>
    <t>Patrimonio al inicio</t>
  </si>
  <si>
    <t>(-) gastos no deducibles explotacion unipersonal</t>
  </si>
  <si>
    <t>AJUSTE TOTAL</t>
  </si>
  <si>
    <t>(+) amortizaciones ejercicio</t>
  </si>
  <si>
    <t>(-) amort. Acum. Bienes dados de baja </t>
  </si>
  <si>
    <t>(-)patrimonio al cierre </t>
  </si>
  <si>
    <t>AJUSTE ESTATICO = A&gt;P</t>
  </si>
  <si>
    <t>PERDIDA</t>
  </si>
  <si>
    <t>Retiro total anual</t>
  </si>
  <si>
    <t>AJUSTE DINAMICO CON VALOR POSTIVO</t>
  </si>
  <si>
    <t>GANANCIA</t>
  </si>
  <si>
    <t>Retiros mensuales </t>
  </si>
  <si>
    <t>alicuota</t>
  </si>
  <si>
    <t>fijo</t>
  </si>
  <si>
    <t>TOTAL PASIVO</t>
  </si>
  <si>
    <t xml:space="preserve">B. USO </t>
  </si>
  <si>
    <t>COEF DE PUNTA A PUNTA (DIC/DIC)</t>
  </si>
  <si>
    <t>4010123 - Combustibles y Lubricantes</t>
  </si>
  <si>
    <t>4010130 - Gastos Varios</t>
  </si>
  <si>
    <t>Ingresos 4ta</t>
  </si>
  <si>
    <t>Gastos Cuarta</t>
  </si>
  <si>
    <t>Capital afectado</t>
  </si>
  <si>
    <t>TOTAL ACTIVO</t>
  </si>
  <si>
    <t>excedente</t>
  </si>
  <si>
    <t>Ajuste 3era 2020 1/6 2020 + 1/6 2019</t>
  </si>
  <si>
    <t>Concepto</t>
  </si>
  <si>
    <t>CCMA</t>
  </si>
  <si>
    <t>subtotal</t>
  </si>
  <si>
    <t>PN TOTAL</t>
  </si>
  <si>
    <t>Compra b.u</t>
  </si>
  <si>
    <t>Rdo tercera antes de ajuste y sin ajuste 2020/19</t>
  </si>
  <si>
    <t>Compra bu</t>
  </si>
  <si>
    <t>Ingresos Brutos</t>
  </si>
  <si>
    <t>Rural</t>
  </si>
  <si>
    <t>Impto Det</t>
  </si>
  <si>
    <t>Totales</t>
  </si>
  <si>
    <t>Urbano Edificado</t>
  </si>
  <si>
    <t>Urbano Baldío</t>
  </si>
  <si>
    <t>Inmobiliario</t>
  </si>
  <si>
    <t>Automotores</t>
  </si>
  <si>
    <t>Detalle</t>
  </si>
  <si>
    <t>Krause</t>
  </si>
  <si>
    <t>S IIBB</t>
  </si>
  <si>
    <t>bienes de uso</t>
  </si>
  <si>
    <t>Ganada tasa cero</t>
  </si>
  <si>
    <t>Gravado medic (Grav+exent)</t>
  </si>
  <si>
    <t>Circulo médico</t>
  </si>
  <si>
    <t>Cooperativa Médica</t>
  </si>
  <si>
    <t>OSDE</t>
  </si>
  <si>
    <t>Circulo Médico</t>
  </si>
  <si>
    <t>OSDE Ap Jubilatorios</t>
  </si>
  <si>
    <t>Osecac</t>
  </si>
  <si>
    <t>Gastos Adm</t>
  </si>
  <si>
    <t>Impt Transf</t>
  </si>
  <si>
    <t>Ret. IIBB</t>
  </si>
  <si>
    <t>Otras Ret</t>
  </si>
  <si>
    <t>Deb. Adicionales</t>
  </si>
  <si>
    <t>Deducciones</t>
  </si>
  <si>
    <t>Fecha</t>
  </si>
  <si>
    <t>Rem 9</t>
  </si>
  <si>
    <t>Contrib SS</t>
  </si>
  <si>
    <t>Aportes SS</t>
  </si>
  <si>
    <t>Contrib OS</t>
  </si>
  <si>
    <t>Aportes OS</t>
  </si>
  <si>
    <t>LRT</t>
  </si>
  <si>
    <t>SCVO</t>
  </si>
  <si>
    <t>CALCULO DE ANTICIPOS 2023</t>
  </si>
  <si>
    <t>CAPITAL AFECTADO 2023</t>
  </si>
  <si>
    <t>Anticipos 2023</t>
  </si>
  <si>
    <t>gcia neta de 4ta</t>
  </si>
  <si>
    <t>Datos del Contribuyente</t>
  </si>
  <si>
    <t>Nombre</t>
  </si>
  <si>
    <t>CUIT</t>
  </si>
  <si>
    <t>Código Act. Principal:</t>
  </si>
  <si>
    <t>Código Act. Secundaria:</t>
  </si>
  <si>
    <t>Código Act. Terciaria:</t>
  </si>
  <si>
    <t>CUIT/CUIL</t>
  </si>
  <si>
    <t>Fecha Cas.</t>
  </si>
  <si>
    <t>Fecha Nacimiento</t>
  </si>
  <si>
    <t>Conyuge</t>
  </si>
  <si>
    <t>Hijo/a</t>
  </si>
  <si>
    <t>DDJJ Ganancias Año:</t>
  </si>
  <si>
    <t>Otros datos del Contribuyente</t>
  </si>
  <si>
    <t>¿Es Jubilado?</t>
  </si>
  <si>
    <t>No</t>
  </si>
  <si>
    <t>s/iibb</t>
  </si>
  <si>
    <t>Resumen Ingresos</t>
  </si>
  <si>
    <t>Krause/Horizonte</t>
  </si>
  <si>
    <t>Nuestra Parte</t>
  </si>
  <si>
    <t>Mis Comprobantes</t>
  </si>
  <si>
    <t>Ingresos Brutos (s/ dj anual iibb)</t>
  </si>
  <si>
    <t>Tasa Seg. e Higiene</t>
  </si>
  <si>
    <t>Impuesto inmobiliario Compl/ Sellos</t>
  </si>
  <si>
    <t>Impuesto inmobiliario</t>
  </si>
  <si>
    <t>Patentes</t>
  </si>
  <si>
    <t>Cs Sociales 2024</t>
  </si>
  <si>
    <t>Gastos:</t>
  </si>
  <si>
    <t>Código</t>
  </si>
  <si>
    <t>Honorarios</t>
  </si>
  <si>
    <t>Imprenta y Librería</t>
  </si>
  <si>
    <t>Gastos de mantenimiento</t>
  </si>
  <si>
    <t>Cuota Mutual</t>
  </si>
  <si>
    <t>Gastos Varios</t>
  </si>
  <si>
    <t>Luz, Gas y Teléfono</t>
  </si>
  <si>
    <t>Reparaciones y Repuestos</t>
  </si>
  <si>
    <t>Tercera</t>
  </si>
  <si>
    <t>Cuarta</t>
  </si>
  <si>
    <t>Ingresos y Detalle de Declaraciones</t>
  </si>
  <si>
    <t>Ingresos Correspondientes a Cuarta Categoría:</t>
  </si>
  <si>
    <t>Cuadro de Ingresos Comparativo</t>
  </si>
  <si>
    <t>ARBA</t>
  </si>
  <si>
    <t>Mis comprobantes</t>
  </si>
  <si>
    <t>FCs Emitidas</t>
  </si>
  <si>
    <t>Ingresos Según</t>
  </si>
  <si>
    <t>Datos Obtenidos de Sistema de clasificación por proveedores</t>
  </si>
  <si>
    <t>Mes</t>
  </si>
  <si>
    <t>Ventas</t>
  </si>
  <si>
    <t>Débito Fiscal</t>
  </si>
  <si>
    <t>Nro</t>
  </si>
  <si>
    <t>Denominación</t>
  </si>
  <si>
    <t>Cant. de facturas emitidas</t>
  </si>
  <si>
    <t>Monto Neto Total Facturado</t>
  </si>
  <si>
    <t>% de egresos del total</t>
  </si>
  <si>
    <t>Resumen de Comprobantes Emitidos</t>
  </si>
  <si>
    <t>Tipo</t>
  </si>
  <si>
    <t>Cantidad</t>
  </si>
  <si>
    <t>Total Neto</t>
  </si>
  <si>
    <t>Resumen Comprobantes Emitidos</t>
  </si>
  <si>
    <t>Al 21%</t>
  </si>
  <si>
    <t>Al 10.5%</t>
  </si>
  <si>
    <t>Al 27%</t>
  </si>
  <si>
    <t>Total Emitido</t>
  </si>
  <si>
    <t>Monto neto gravado</t>
  </si>
  <si>
    <t>Notas de débito</t>
  </si>
  <si>
    <t>Crédito fiscal</t>
  </si>
  <si>
    <t>Chequeo</t>
  </si>
  <si>
    <t>Egresos y Gastos En relación Directa a la Actividad</t>
  </si>
  <si>
    <t>Según Krause</t>
  </si>
  <si>
    <t>Cuentas</t>
  </si>
  <si>
    <t>Monto Neto</t>
  </si>
  <si>
    <t>Detalle de Cuenta</t>
  </si>
  <si>
    <t>Monto</t>
  </si>
  <si>
    <t>Participación</t>
  </si>
  <si>
    <t>4010116 - ITC</t>
  </si>
  <si>
    <t>4010118 - Imptos y grav Diarios</t>
  </si>
  <si>
    <t>4010120 - Reparaciones y Repuestos</t>
  </si>
  <si>
    <t>4010121 - Gastos de Mantenimiento</t>
  </si>
  <si>
    <t>4010124 - Luz, teléfono e internet</t>
  </si>
  <si>
    <t>4010129 - Gastos Por Servicios Recibidos</t>
  </si>
  <si>
    <t>4010135 - Insumos</t>
  </si>
  <si>
    <t>4010136 - Prepaga</t>
  </si>
  <si>
    <t>4010137 - Cuota Colegio</t>
  </si>
  <si>
    <t>4020106 - Flete</t>
  </si>
  <si>
    <t>Compras</t>
  </si>
  <si>
    <t>Crédito Fiscal</t>
  </si>
  <si>
    <t>Cant. de facturas Recibidas</t>
  </si>
  <si>
    <t>Resumen de Comprobantes Recibidos</t>
  </si>
  <si>
    <t>Resumen Comprobantes Recibidos</t>
  </si>
  <si>
    <t>Notas de crédito</t>
  </si>
  <si>
    <t>Otros Egresos E impuestos</t>
  </si>
  <si>
    <t>Tasa SH</t>
  </si>
  <si>
    <t>Mensual</t>
  </si>
  <si>
    <t>PyP y OyP</t>
  </si>
  <si>
    <t>Inmobiliario Complementario o Sellos</t>
  </si>
  <si>
    <t>Sueldos F931 y Doméstico/a</t>
  </si>
  <si>
    <t>Total General</t>
  </si>
  <si>
    <t>Total Empleador</t>
  </si>
  <si>
    <t>EMPELADA DOMESTICA</t>
  </si>
  <si>
    <t>Sueldo</t>
  </si>
  <si>
    <t>Cs Ss</t>
  </si>
  <si>
    <t>Base de datos para el funcionamiento</t>
  </si>
  <si>
    <t>Lista 1</t>
  </si>
  <si>
    <t>Lista 2</t>
  </si>
  <si>
    <t>Lista 3</t>
  </si>
  <si>
    <t>Lista 4</t>
  </si>
  <si>
    <t>Lista Elección de Cargas Familiares</t>
  </si>
  <si>
    <t>Lista año Ganancias</t>
  </si>
  <si>
    <t>Cat Jubilado</t>
  </si>
  <si>
    <t>Gastos s/ krause</t>
  </si>
  <si>
    <t>Si</t>
  </si>
  <si>
    <t>Otro</t>
  </si>
  <si>
    <t>Combustibles y lubricantes</t>
  </si>
  <si>
    <t>Servicios recibidos</t>
  </si>
  <si>
    <t>Gastos Bancarios</t>
  </si>
  <si>
    <t>CMV - Animales</t>
  </si>
  <si>
    <t>Impuesto sellos, derechos, guías y Senasa (vtas)</t>
  </si>
  <si>
    <t>Comisiones Compras/Venta de Ganado y Gtos Varios (vtas)</t>
  </si>
  <si>
    <t>Ropa de Trabajo</t>
  </si>
  <si>
    <t>Gastos Insumos Agropecuarios</t>
  </si>
  <si>
    <t>Gasto Rep. Y mant. Campo</t>
  </si>
  <si>
    <t>Fletes</t>
  </si>
  <si>
    <t>Servicios Agropecuarios Recibidos</t>
  </si>
  <si>
    <t>Empleada Doméstica</t>
  </si>
  <si>
    <t>Año</t>
  </si>
  <si>
    <t>Anexo, bienes de uso, existencias, bienes propios</t>
  </si>
  <si>
    <t>Bienes Destinados a la actividad</t>
  </si>
  <si>
    <t>Rodados:</t>
  </si>
  <si>
    <t>Fecha Adq</t>
  </si>
  <si>
    <t>Valor Adq</t>
  </si>
  <si>
    <t>Amortización</t>
  </si>
  <si>
    <t>Valor Actual</t>
  </si>
  <si>
    <t>Maquinarias</t>
  </si>
  <si>
    <t>Instalaciones</t>
  </si>
  <si>
    <t>Sup Total</t>
  </si>
  <si>
    <t>Sup Edif</t>
  </si>
  <si>
    <t>Valor Inv.</t>
  </si>
  <si>
    <t>Depreciación</t>
  </si>
  <si>
    <t>Bienes Propios no afectados a la explotación</t>
  </si>
  <si>
    <t>Resumen Bienes</t>
  </si>
  <si>
    <t>Valor Origen</t>
  </si>
  <si>
    <t>Fecha inv</t>
  </si>
  <si>
    <t>Existencias, Cereales, Ganado, valuación</t>
  </si>
  <si>
    <t>Cereales</t>
  </si>
  <si>
    <t>Ganado</t>
  </si>
  <si>
    <t>KG unitario</t>
  </si>
  <si>
    <t>Existencia Final</t>
  </si>
  <si>
    <t>Existencia inicial</t>
  </si>
  <si>
    <t>Campaña Actual</t>
  </si>
  <si>
    <t>Tn a inicio</t>
  </si>
  <si>
    <t>Tn Final</t>
  </si>
  <si>
    <t>Gastos Inherentes</t>
  </si>
  <si>
    <t>Valor Inicial</t>
  </si>
  <si>
    <t>Valor Final</t>
  </si>
  <si>
    <t>Tn Cosechadas</t>
  </si>
  <si>
    <t>Lista 5</t>
  </si>
  <si>
    <t>Tipos BU</t>
  </si>
  <si>
    <t>Camioneta</t>
  </si>
  <si>
    <t>Camión</t>
  </si>
  <si>
    <t>Moto</t>
  </si>
  <si>
    <t>Lancha</t>
  </si>
  <si>
    <t>Tipos Maquinarias</t>
  </si>
  <si>
    <t>Otros</t>
  </si>
  <si>
    <t>Tractor</t>
  </si>
  <si>
    <t>Cosechadora</t>
  </si>
  <si>
    <t>Fumigadora</t>
  </si>
  <si>
    <t>Acoplado</t>
  </si>
  <si>
    <t>Tolva</t>
  </si>
  <si>
    <t>Lista 6</t>
  </si>
  <si>
    <t>Lista 7</t>
  </si>
  <si>
    <t>Tipo ganado</t>
  </si>
  <si>
    <t>Lista 8</t>
  </si>
  <si>
    <t>Tipo Cereal</t>
  </si>
  <si>
    <t>Soja (1ra)</t>
  </si>
  <si>
    <t>Soja (2da)</t>
  </si>
  <si>
    <t>Girasol</t>
  </si>
  <si>
    <t>Trigo</t>
  </si>
  <si>
    <t>Cebada Cer,</t>
  </si>
  <si>
    <t>Cebada For.</t>
  </si>
  <si>
    <t>Maiz</t>
  </si>
  <si>
    <t>Alpiste</t>
  </si>
  <si>
    <t>Papa</t>
  </si>
  <si>
    <t>Avena</t>
  </si>
  <si>
    <t>Lista 9</t>
  </si>
  <si>
    <t>(Inmuebles)</t>
  </si>
  <si>
    <t>Urbano Edif</t>
  </si>
  <si>
    <t>Primera Categoría: Renta del suelo</t>
  </si>
  <si>
    <t>Segunda Categoría: Ingresos por Acciones, intereses, Dividendos, Tenencias</t>
  </si>
  <si>
    <t>Tipo de Ingreso</t>
  </si>
  <si>
    <t>Valuación inicial</t>
  </si>
  <si>
    <t>Valuación Final</t>
  </si>
  <si>
    <t xml:space="preserve">Dif </t>
  </si>
  <si>
    <t>Tercera Categoría: Profesion y/o Explotaciones Comerciales</t>
  </si>
  <si>
    <t>Cuarta Categoría: Ingresos Autónomos e independientes</t>
  </si>
  <si>
    <t>A- Ingresos</t>
  </si>
  <si>
    <t>B- Egresos</t>
  </si>
  <si>
    <t>C- Resultados de Tercera</t>
  </si>
  <si>
    <t>Impuestos y Gastos Generales:</t>
  </si>
  <si>
    <t>Sueldos</t>
  </si>
  <si>
    <t>Gasto Colegio</t>
  </si>
  <si>
    <t>Gastos Inherentes de la actividad</t>
  </si>
  <si>
    <t>Ingresos 3ra</t>
  </si>
  <si>
    <t>Actividad 1</t>
  </si>
  <si>
    <t>Actividad 2</t>
  </si>
  <si>
    <t>Actividad 3</t>
  </si>
  <si>
    <t>Lista</t>
  </si>
  <si>
    <t>Marca/Modelo</t>
  </si>
  <si>
    <t>Clasif</t>
  </si>
  <si>
    <t>Dirección</t>
  </si>
  <si>
    <t>Partida</t>
  </si>
  <si>
    <t>RODADOS AFECTADOS</t>
  </si>
  <si>
    <t>INMUEB</t>
  </si>
  <si>
    <t>MAQUIN</t>
  </si>
  <si>
    <t>INSTAL</t>
  </si>
  <si>
    <t>RODADOS PROPIOS</t>
  </si>
  <si>
    <t>INM PROP</t>
  </si>
  <si>
    <t>Valor origen</t>
  </si>
  <si>
    <t>TOTALES</t>
  </si>
  <si>
    <t>Deducciones Generales</t>
  </si>
  <si>
    <t>Deducciones Personales</t>
  </si>
  <si>
    <t>Benef. Pago Autónomos (especial)</t>
  </si>
  <si>
    <t>Gastos Totales</t>
  </si>
  <si>
    <t>Notas</t>
  </si>
  <si>
    <t>Bienes de Uso: Tercera y Cuarta</t>
  </si>
  <si>
    <t>Año adq</t>
  </si>
  <si>
    <t>a terminar</t>
  </si>
  <si>
    <t>Rubro V - Justificación Patrimonial</t>
  </si>
  <si>
    <t>Rubro IV - Bienes y Deudas</t>
  </si>
  <si>
    <t>CBU</t>
  </si>
  <si>
    <t>Dólares</t>
  </si>
  <si>
    <t>Capital Afectado</t>
  </si>
  <si>
    <t>Bienes</t>
  </si>
  <si>
    <t>Total Amortización Cuarta Categoría</t>
  </si>
  <si>
    <t>Total Amortización Tercera Categoría</t>
  </si>
  <si>
    <t>Intereses Ganados Nuestra Parte</t>
  </si>
  <si>
    <t>Ajuste Global</t>
  </si>
  <si>
    <t>Total Nuevas Adquisiciones</t>
  </si>
  <si>
    <t>Compa de Dólares</t>
  </si>
  <si>
    <t>Resultado final ejercicio</t>
  </si>
  <si>
    <t>Año Origen</t>
  </si>
  <si>
    <t>Bien (Detalle)</t>
  </si>
  <si>
    <t>Disponibilidades</t>
  </si>
  <si>
    <t>Bienes de Cambio</t>
  </si>
  <si>
    <t>Bienes de Uso</t>
  </si>
  <si>
    <t>Valuación y Existencia Ganado</t>
  </si>
  <si>
    <t>Cierre Periodo Anterior</t>
  </si>
  <si>
    <t>Valor Unitario</t>
  </si>
  <si>
    <t>Cierre Periodo Actual</t>
  </si>
  <si>
    <t>Existencia Inicial</t>
  </si>
  <si>
    <t>Valuación y Existencia Cereales</t>
  </si>
  <si>
    <t>Sementeras</t>
  </si>
  <si>
    <t>Tn Sembradas</t>
  </si>
  <si>
    <t>Valor</t>
  </si>
  <si>
    <t>Tns</t>
  </si>
  <si>
    <t>Campaña Anterior</t>
  </si>
  <si>
    <t>Tope de Beneficio</t>
  </si>
  <si>
    <t>Resultado</t>
  </si>
  <si>
    <t>PEGAR en A3</t>
  </si>
  <si>
    <t>Obligación</t>
  </si>
  <si>
    <t>Pagado</t>
  </si>
  <si>
    <t>Adeudado</t>
  </si>
  <si>
    <t>Ventas Bienes de Uso</t>
  </si>
  <si>
    <t>Concepto detalle</t>
  </si>
  <si>
    <t>Fecha Venta</t>
  </si>
  <si>
    <t>Exento tasa cero</t>
  </si>
  <si>
    <t>Cría de Ganado</t>
  </si>
  <si>
    <t>Serv. Inm</t>
  </si>
  <si>
    <t>4010108 - Honorarios</t>
  </si>
  <si>
    <t>4010134 - Gastos Explotación Agropecuaria</t>
  </si>
  <si>
    <t>7000001 - Partidas Pendientes de Imputar</t>
  </si>
  <si>
    <t>Rodados Bienes de uso</t>
  </si>
  <si>
    <t>Muebles y Útiles</t>
  </si>
  <si>
    <t>Ajuste 3era 2024</t>
  </si>
  <si>
    <t>Vaca</t>
  </si>
  <si>
    <t>Toro</t>
  </si>
  <si>
    <t>Novillo</t>
  </si>
  <si>
    <t>novillito</t>
  </si>
  <si>
    <t>Vaquillona</t>
  </si>
  <si>
    <t>Ternera</t>
  </si>
  <si>
    <t>Ternero</t>
  </si>
  <si>
    <t>Caballo</t>
  </si>
  <si>
    <t>Tabla Régimen de Retención Ganancias</t>
  </si>
  <si>
    <t>Ganancia Neta Acumulada</t>
  </si>
  <si>
    <t>Desde</t>
  </si>
  <si>
    <t>Hasta</t>
  </si>
  <si>
    <t>Pagarán</t>
  </si>
  <si>
    <t>Mas %</t>
  </si>
  <si>
    <t>Sobre Excedente de</t>
  </si>
  <si>
    <t>Solo p/ Formula</t>
  </si>
  <si>
    <t>Tope de Beneficio Dscto Ganancias</t>
  </si>
  <si>
    <t>Precio KG</t>
  </si>
  <si>
    <t>(+) resultado ejercicio 2024 de 3era</t>
  </si>
  <si>
    <t>Índice FACPCE</t>
  </si>
  <si>
    <t>Retenciones y Percepciones Sufridas 2024</t>
  </si>
  <si>
    <t>Saldo a Favor ARCA 2023</t>
  </si>
  <si>
    <t>precio KG</t>
  </si>
  <si>
    <t>Tabla deducciones especiales</t>
  </si>
  <si>
    <t>Por carga de Familia</t>
  </si>
  <si>
    <t>Jubilación y Autónomos</t>
  </si>
  <si>
    <t>Pago completo Autónomos</t>
  </si>
  <si>
    <t>Deducción</t>
  </si>
  <si>
    <t>Cargas Familiares</t>
  </si>
  <si>
    <t>Hijo/a Incapacitado</t>
  </si>
  <si>
    <t>Valor Residual a la vta</t>
  </si>
  <si>
    <t>Detalle de Activos del Periodo Fiscal Anterior</t>
  </si>
  <si>
    <t>*Copiar en Formato texto la tabla del año anterior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</si>
</sst>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-* #,##0.00\ _€_-;\-* #,##0.00\ _€_-;_-* &quot;-&quot;??\ _€_-;_-@_-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-* #,##0.000000\ _€_-;\-* #,##0.000000\ _€_-;_-* &quot;-&quot;??\ _€_-;_-@_-"/>
    <numFmt numFmtId="168" formatCode="_-* #,##0.0000000\ _€_-;\-* #,##0.0000000\ _€_-;_-* &quot;-&quot;??\ _€_-;_-@_-"/>
    <numFmt numFmtId="169" formatCode="_-[$$-2C0A]\ * #,##0.00_-;\-[$$-2C0A]\ * #,##0.00_-;_-[$$-2C0A]\ * &quot;-&quot;??_-;_-@_-"/>
    <numFmt numFmtId="170" formatCode="mm/yy"/>
    <numFmt numFmtId="171" formatCode="_ * #,##0.00_ ;_ * \-#,##0.00_ ;_ * \-??_ ;_ @_ "/>
    <numFmt numFmtId="172" formatCode="_-[$$-80A]* #,##0.00_-;\-[$$-80A]* #,##0.00_-;_-[$$-80A]* &quot;-&quot;??_-;_-@_-"/>
    <numFmt numFmtId="173" formatCode="_ &quot;$ &quot;* #,##0.00_ ;_ &quot;$ &quot;* \-#,##0.00_ ;_ &quot;$ &quot;* \-??_ ;_ @_ "/>
    <numFmt numFmtId="174" formatCode="0.0000"/>
  </numFmts>
  <fonts count="7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Arial"/>
      <family val="2"/>
    </font>
    <font>
      <sz val="12"/>
      <name val="Arial"/>
      <family val="2"/>
    </font>
    <font>
      <b/>
      <sz val="12"/>
      <color indexed="10"/>
      <name val="Arial"/>
      <family val="2"/>
    </font>
    <font>
      <b/>
      <sz val="15"/>
      <name val="Arial"/>
      <family val="2"/>
    </font>
    <font>
      <b/>
      <sz val="16"/>
      <name val="Arial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20"/>
      <name val="Arial"/>
      <family val="2"/>
    </font>
    <font>
      <b/>
      <u/>
      <sz val="20"/>
      <name val="Arial"/>
      <family val="2"/>
    </font>
    <font>
      <sz val="11"/>
      <name val="Arial"/>
      <family val="2"/>
    </font>
    <font>
      <b/>
      <u/>
      <sz val="14"/>
      <name val="Arial"/>
      <family val="2"/>
    </font>
    <font>
      <b/>
      <i/>
      <sz val="12"/>
      <name val="Goudy Old Style"/>
      <family val="1"/>
    </font>
    <font>
      <b/>
      <i/>
      <sz val="11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b/>
      <i/>
      <sz val="14"/>
      <name val="Goudy Old Style"/>
      <family val="1"/>
    </font>
    <font>
      <b/>
      <sz val="14"/>
      <name val="Arial"/>
      <family val="2"/>
    </font>
    <font>
      <b/>
      <sz val="18"/>
      <name val="Arial"/>
      <family val="2"/>
    </font>
    <font>
      <i/>
      <sz val="10"/>
      <name val="Arial"/>
      <family val="2"/>
    </font>
    <font>
      <i/>
      <sz val="11"/>
      <name val="Arial"/>
      <family val="2"/>
    </font>
    <font>
      <b/>
      <u/>
      <sz val="12"/>
      <name val="Arial"/>
      <family val="2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16"/>
      <color theme="0"/>
      <name val="Arial"/>
      <family val="2"/>
    </font>
    <font>
      <sz val="10"/>
      <color theme="0"/>
      <name val="Arial"/>
      <family val="2"/>
    </font>
    <font>
      <b/>
      <sz val="16"/>
      <color theme="0"/>
      <name val="Arial"/>
      <family val="2"/>
    </font>
    <font>
      <sz val="16"/>
      <color theme="0"/>
      <name val="Arial"/>
      <family val="2"/>
    </font>
    <font>
      <sz val="10"/>
      <color rgb="FFC00000"/>
      <name val="Arial"/>
      <family val="2"/>
    </font>
    <font>
      <b/>
      <i/>
      <sz val="20"/>
      <color theme="0"/>
      <name val="Arial"/>
      <family val="2"/>
    </font>
    <font>
      <sz val="20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0"/>
      <name val="Calibri"/>
      <family val="2"/>
      <scheme val="minor"/>
    </font>
    <font>
      <b/>
      <i/>
      <sz val="18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2"/>
      <color indexed="8"/>
      <name val="Calibri"/>
      <family val="2"/>
      <scheme val="minor"/>
    </font>
    <font>
      <b/>
      <i/>
      <sz val="24"/>
      <color theme="0"/>
      <name val="Arial"/>
      <family val="2"/>
    </font>
    <font>
      <b/>
      <sz val="10"/>
      <color rgb="FFFF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5F3D8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5FDDB"/>
        <bgColor indexed="64"/>
      </patternFill>
    </fill>
    <fill>
      <patternFill patternType="solid">
        <fgColor rgb="FFFAF5D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D1"/>
        <bgColor indexed="64"/>
      </patternFill>
    </fill>
    <fill>
      <patternFill patternType="solid">
        <fgColor theme="8" tint="-0.499984740745262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1">
    <xf numFmtId="0" fontId="0" fillId="0" borderId="0"/>
    <xf numFmtId="0" fontId="41" fillId="2" borderId="54" applyNumberFormat="0" applyAlignment="0" applyProtection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3" fontId="4" fillId="0" borderId="0" applyFill="0" applyBorder="0" applyAlignment="0" applyProtection="0"/>
    <xf numFmtId="0" fontId="4" fillId="0" borderId="0"/>
    <xf numFmtId="0" fontId="4" fillId="0" borderId="0"/>
    <xf numFmtId="9" fontId="2" fillId="0" borderId="0" applyFont="0" applyFill="0" applyBorder="0" applyAlignment="0" applyProtection="0"/>
    <xf numFmtId="9" fontId="4" fillId="0" borderId="0" applyFill="0" applyBorder="0" applyAlignment="0" applyProtection="0"/>
    <xf numFmtId="9" fontId="24" fillId="0" borderId="0" applyFill="0" applyBorder="0" applyAlignment="0" applyProtection="0"/>
    <xf numFmtId="0" fontId="2" fillId="0" borderId="0"/>
  </cellStyleXfs>
  <cellXfs count="686">
    <xf numFmtId="0" fontId="0" fillId="0" borderId="0" xfId="0"/>
    <xf numFmtId="0" fontId="3" fillId="0" borderId="0" xfId="0" applyFont="1"/>
    <xf numFmtId="166" fontId="2" fillId="0" borderId="0" xfId="2" applyFill="1"/>
    <xf numFmtId="166" fontId="2" fillId="0" borderId="0" xfId="2" applyFont="1" applyFill="1"/>
    <xf numFmtId="0" fontId="4" fillId="0" borderId="0" xfId="0" applyFont="1"/>
    <xf numFmtId="166" fontId="0" fillId="0" borderId="0" xfId="2" applyFont="1" applyFill="1" applyBorder="1"/>
    <xf numFmtId="4" fontId="0" fillId="0" borderId="0" xfId="0" applyNumberFormat="1"/>
    <xf numFmtId="166" fontId="2" fillId="0" borderId="0" xfId="2" applyFill="1" applyBorder="1"/>
    <xf numFmtId="0" fontId="8" fillId="0" borderId="0" xfId="0" applyFont="1"/>
    <xf numFmtId="165" fontId="0" fillId="0" borderId="0" xfId="3" applyFont="1" applyFill="1" applyBorder="1"/>
    <xf numFmtId="166" fontId="9" fillId="0" borderId="0" xfId="2" applyFont="1" applyFill="1" applyBorder="1"/>
    <xf numFmtId="166" fontId="3" fillId="0" borderId="0" xfId="2" applyFont="1" applyFill="1" applyBorder="1"/>
    <xf numFmtId="166" fontId="0" fillId="0" borderId="0" xfId="0" applyNumberFormat="1"/>
    <xf numFmtId="165" fontId="3" fillId="0" borderId="0" xfId="3" applyFont="1" applyFill="1"/>
    <xf numFmtId="0" fontId="13" fillId="0" borderId="0" xfId="0" applyFont="1" applyAlignment="1">
      <alignment horizontal="center" vertical="center"/>
    </xf>
    <xf numFmtId="165" fontId="13" fillId="0" borderId="0" xfId="3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4" fillId="0" borderId="0" xfId="0" applyFont="1"/>
    <xf numFmtId="166" fontId="3" fillId="0" borderId="2" xfId="2" applyFont="1" applyFill="1" applyBorder="1"/>
    <xf numFmtId="166" fontId="2" fillId="0" borderId="2" xfId="2" applyFill="1" applyBorder="1"/>
    <xf numFmtId="166" fontId="2" fillId="0" borderId="3" xfId="2" applyFill="1" applyBorder="1"/>
    <xf numFmtId="166" fontId="0" fillId="0" borderId="4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66" fontId="16" fillId="0" borderId="11" xfId="2" applyFont="1" applyFill="1" applyBorder="1" applyAlignment="1">
      <alignment horizontal="right" wrapText="1"/>
    </xf>
    <xf numFmtId="0" fontId="16" fillId="0" borderId="9" xfId="0" applyFont="1" applyBorder="1" applyAlignment="1">
      <alignment horizontal="center" wrapText="1"/>
    </xf>
    <xf numFmtId="0" fontId="16" fillId="0" borderId="0" xfId="0" applyFont="1" applyAlignment="1">
      <alignment horizontal="center" wrapText="1"/>
    </xf>
    <xf numFmtId="0" fontId="16" fillId="0" borderId="12" xfId="0" applyFont="1" applyBorder="1" applyAlignment="1">
      <alignment horizontal="right" wrapText="1"/>
    </xf>
    <xf numFmtId="0" fontId="0" fillId="0" borderId="13" xfId="0" applyBorder="1"/>
    <xf numFmtId="0" fontId="0" fillId="0" borderId="14" xfId="0" applyBorder="1"/>
    <xf numFmtId="0" fontId="0" fillId="0" borderId="3" xfId="0" applyBorder="1"/>
    <xf numFmtId="166" fontId="2" fillId="0" borderId="15" xfId="2" applyFont="1" applyFill="1" applyBorder="1"/>
    <xf numFmtId="164" fontId="0" fillId="0" borderId="0" xfId="0" applyNumberFormat="1"/>
    <xf numFmtId="2" fontId="0" fillId="0" borderId="0" xfId="0" applyNumberFormat="1"/>
    <xf numFmtId="0" fontId="4" fillId="0" borderId="9" xfId="0" applyFont="1" applyBorder="1"/>
    <xf numFmtId="0" fontId="0" fillId="0" borderId="12" xfId="0" applyBorder="1"/>
    <xf numFmtId="0" fontId="0" fillId="0" borderId="20" xfId="0" applyBorder="1"/>
    <xf numFmtId="0" fontId="0" fillId="0" borderId="19" xfId="0" applyBorder="1"/>
    <xf numFmtId="166" fontId="10" fillId="0" borderId="0" xfId="2" applyFont="1" applyFill="1"/>
    <xf numFmtId="166" fontId="2" fillId="0" borderId="19" xfId="2" applyFill="1" applyBorder="1"/>
    <xf numFmtId="166" fontId="2" fillId="0" borderId="21" xfId="2" applyFill="1" applyBorder="1"/>
    <xf numFmtId="165" fontId="10" fillId="0" borderId="0" xfId="3" applyFont="1" applyFill="1"/>
    <xf numFmtId="165" fontId="10" fillId="0" borderId="0" xfId="3" applyFont="1" applyFill="1" applyBorder="1"/>
    <xf numFmtId="166" fontId="10" fillId="0" borderId="0" xfId="2" applyFont="1" applyFill="1" applyBorder="1"/>
    <xf numFmtId="0" fontId="15" fillId="0" borderId="0" xfId="0" applyFont="1"/>
    <xf numFmtId="0" fontId="12" fillId="0" borderId="1" xfId="0" applyFont="1" applyBorder="1" applyAlignment="1">
      <alignment horizontal="center" vertical="center"/>
    </xf>
    <xf numFmtId="166" fontId="12" fillId="0" borderId="18" xfId="2" applyFont="1" applyFill="1" applyBorder="1" applyAlignment="1">
      <alignment vertical="center"/>
    </xf>
    <xf numFmtId="166" fontId="10" fillId="0" borderId="12" xfId="2" applyFont="1" applyFill="1" applyBorder="1"/>
    <xf numFmtId="166" fontId="10" fillId="0" borderId="20" xfId="2" applyFont="1" applyFill="1" applyBorder="1"/>
    <xf numFmtId="0" fontId="12" fillId="0" borderId="1" xfId="0" applyFont="1" applyBorder="1"/>
    <xf numFmtId="166" fontId="12" fillId="0" borderId="18" xfId="2" applyFont="1" applyFill="1" applyBorder="1"/>
    <xf numFmtId="166" fontId="17" fillId="0" borderId="14" xfId="2" applyFont="1" applyFill="1" applyBorder="1" applyAlignment="1">
      <alignment wrapText="1"/>
    </xf>
    <xf numFmtId="166" fontId="17" fillId="0" borderId="23" xfId="2" applyFont="1" applyFill="1" applyBorder="1" applyAlignment="1">
      <alignment wrapText="1"/>
    </xf>
    <xf numFmtId="49" fontId="0" fillId="0" borderId="0" xfId="0" applyNumberFormat="1" applyAlignment="1">
      <alignment vertical="center"/>
    </xf>
    <xf numFmtId="166" fontId="17" fillId="0" borderId="24" xfId="2" applyFont="1" applyFill="1" applyBorder="1" applyAlignment="1">
      <alignment wrapText="1"/>
    </xf>
    <xf numFmtId="166" fontId="17" fillId="0" borderId="25" xfId="2" applyFont="1" applyFill="1" applyBorder="1" applyAlignment="1">
      <alignment horizontal="right" wrapText="1"/>
    </xf>
    <xf numFmtId="0" fontId="17" fillId="0" borderId="26" xfId="0" applyFont="1" applyBorder="1" applyAlignment="1">
      <alignment horizontal="right" wrapText="1"/>
    </xf>
    <xf numFmtId="0" fontId="17" fillId="0" borderId="26" xfId="0" applyFont="1" applyBorder="1" applyAlignment="1">
      <alignment wrapText="1"/>
    </xf>
    <xf numFmtId="14" fontId="0" fillId="0" borderId="0" xfId="0" applyNumberFormat="1"/>
    <xf numFmtId="165" fontId="10" fillId="4" borderId="0" xfId="3" applyFont="1" applyFill="1" applyBorder="1"/>
    <xf numFmtId="0" fontId="4" fillId="4" borderId="9" xfId="0" applyFont="1" applyFill="1" applyBorder="1"/>
    <xf numFmtId="166" fontId="4" fillId="0" borderId="0" xfId="2" applyFont="1" applyFill="1" applyBorder="1"/>
    <xf numFmtId="166" fontId="6" fillId="0" borderId="0" xfId="2" applyFont="1" applyFill="1" applyBorder="1"/>
    <xf numFmtId="0" fontId="12" fillId="4" borderId="1" xfId="0" applyFont="1" applyFill="1" applyBorder="1"/>
    <xf numFmtId="166" fontId="12" fillId="4" borderId="18" xfId="2" applyFont="1" applyFill="1" applyBorder="1"/>
    <xf numFmtId="0" fontId="12" fillId="4" borderId="7" xfId="0" applyFont="1" applyFill="1" applyBorder="1"/>
    <xf numFmtId="166" fontId="12" fillId="4" borderId="19" xfId="2" applyFont="1" applyFill="1" applyBorder="1"/>
    <xf numFmtId="166" fontId="10" fillId="4" borderId="12" xfId="2" applyFont="1" applyFill="1" applyBorder="1"/>
    <xf numFmtId="167" fontId="12" fillId="4" borderId="18" xfId="2" applyNumberFormat="1" applyFont="1" applyFill="1" applyBorder="1"/>
    <xf numFmtId="0" fontId="16" fillId="4" borderId="27" xfId="0" applyFont="1" applyFill="1" applyBorder="1" applyAlignment="1">
      <alignment horizontal="center" vertical="center" wrapText="1"/>
    </xf>
    <xf numFmtId="0" fontId="16" fillId="4" borderId="28" xfId="0" applyFont="1" applyFill="1" applyBorder="1" applyAlignment="1">
      <alignment horizontal="center" vertical="center" wrapText="1"/>
    </xf>
    <xf numFmtId="0" fontId="16" fillId="4" borderId="25" xfId="0" applyFont="1" applyFill="1" applyBorder="1" applyAlignment="1">
      <alignment horizontal="center" vertical="center" wrapText="1"/>
    </xf>
    <xf numFmtId="0" fontId="17" fillId="4" borderId="29" xfId="0" applyFont="1" applyFill="1" applyBorder="1" applyAlignment="1">
      <alignment horizontal="right" wrapText="1"/>
    </xf>
    <xf numFmtId="0" fontId="17" fillId="4" borderId="13" xfId="0" applyFont="1" applyFill="1" applyBorder="1" applyAlignment="1">
      <alignment horizontal="right" wrapText="1"/>
    </xf>
    <xf numFmtId="0" fontId="17" fillId="4" borderId="5" xfId="0" applyFont="1" applyFill="1" applyBorder="1" applyAlignment="1">
      <alignment horizontal="right" wrapText="1"/>
    </xf>
    <xf numFmtId="0" fontId="11" fillId="4" borderId="30" xfId="0" applyFont="1" applyFill="1" applyBorder="1" applyAlignment="1">
      <alignment horizontal="right" wrapText="1"/>
    </xf>
    <xf numFmtId="0" fontId="11" fillId="4" borderId="31" xfId="0" applyFont="1" applyFill="1" applyBorder="1" applyAlignment="1">
      <alignment horizontal="right" wrapText="1"/>
    </xf>
    <xf numFmtId="166" fontId="17" fillId="4" borderId="32" xfId="2" applyFont="1" applyFill="1" applyBorder="1" applyAlignment="1">
      <alignment horizontal="right" wrapText="1"/>
    </xf>
    <xf numFmtId="166" fontId="17" fillId="4" borderId="33" xfId="2" applyFont="1" applyFill="1" applyBorder="1" applyAlignment="1">
      <alignment horizontal="right" wrapText="1"/>
    </xf>
    <xf numFmtId="0" fontId="11" fillId="4" borderId="14" xfId="0" applyFont="1" applyFill="1" applyBorder="1" applyAlignment="1">
      <alignment horizontal="right" wrapText="1"/>
    </xf>
    <xf numFmtId="9" fontId="44" fillId="0" borderId="34" xfId="7" applyFont="1" applyFill="1" applyBorder="1"/>
    <xf numFmtId="0" fontId="17" fillId="4" borderId="35" xfId="0" applyFont="1" applyFill="1" applyBorder="1" applyAlignment="1">
      <alignment horizontal="right" wrapText="1"/>
    </xf>
    <xf numFmtId="0" fontId="17" fillId="4" borderId="36" xfId="0" applyFont="1" applyFill="1" applyBorder="1" applyAlignment="1">
      <alignment horizontal="right" wrapText="1"/>
    </xf>
    <xf numFmtId="0" fontId="17" fillId="4" borderId="37" xfId="0" applyFont="1" applyFill="1" applyBorder="1" applyAlignment="1">
      <alignment horizontal="right" wrapText="1"/>
    </xf>
    <xf numFmtId="0" fontId="12" fillId="4" borderId="38" xfId="0" applyFont="1" applyFill="1" applyBorder="1" applyAlignment="1">
      <alignment horizontal="center" vertical="center" wrapText="1"/>
    </xf>
    <xf numFmtId="169" fontId="0" fillId="0" borderId="0" xfId="0" applyNumberFormat="1"/>
    <xf numFmtId="0" fontId="45" fillId="0" borderId="0" xfId="0" applyFont="1"/>
    <xf numFmtId="169" fontId="45" fillId="0" borderId="15" xfId="0" applyNumberFormat="1" applyFont="1" applyBorder="1"/>
    <xf numFmtId="169" fontId="45" fillId="0" borderId="39" xfId="0" applyNumberFormat="1" applyFont="1" applyBorder="1"/>
    <xf numFmtId="0" fontId="45" fillId="0" borderId="15" xfId="0" applyFont="1" applyBorder="1"/>
    <xf numFmtId="169" fontId="45" fillId="0" borderId="40" xfId="0" applyNumberFormat="1" applyFont="1" applyBorder="1"/>
    <xf numFmtId="169" fontId="45" fillId="0" borderId="41" xfId="0" applyNumberFormat="1" applyFont="1" applyBorder="1"/>
    <xf numFmtId="169" fontId="45" fillId="0" borderId="42" xfId="0" applyNumberFormat="1" applyFont="1" applyBorder="1"/>
    <xf numFmtId="169" fontId="45" fillId="0" borderId="43" xfId="0" applyNumberFormat="1" applyFont="1" applyBorder="1"/>
    <xf numFmtId="0" fontId="0" fillId="5" borderId="0" xfId="0" applyFill="1"/>
    <xf numFmtId="17" fontId="0" fillId="5" borderId="0" xfId="0" applyNumberFormat="1" applyFill="1"/>
    <xf numFmtId="14" fontId="0" fillId="5" borderId="0" xfId="0" applyNumberFormat="1" applyFill="1"/>
    <xf numFmtId="4" fontId="0" fillId="5" borderId="0" xfId="0" applyNumberFormat="1" applyFill="1"/>
    <xf numFmtId="0" fontId="0" fillId="0" borderId="42" xfId="0" applyBorder="1"/>
    <xf numFmtId="0" fontId="0" fillId="0" borderId="40" xfId="0" applyBorder="1"/>
    <xf numFmtId="0" fontId="46" fillId="0" borderId="44" xfId="0" applyFont="1" applyBorder="1"/>
    <xf numFmtId="0" fontId="0" fillId="0" borderId="44" xfId="0" applyBorder="1"/>
    <xf numFmtId="0" fontId="0" fillId="0" borderId="41" xfId="0" applyBorder="1"/>
    <xf numFmtId="166" fontId="45" fillId="0" borderId="0" xfId="2" applyFont="1" applyFill="1" applyBorder="1"/>
    <xf numFmtId="166" fontId="45" fillId="7" borderId="45" xfId="2" applyFont="1" applyFill="1" applyBorder="1" applyAlignment="1">
      <alignment wrapText="1"/>
    </xf>
    <xf numFmtId="0" fontId="0" fillId="0" borderId="45" xfId="0" applyBorder="1"/>
    <xf numFmtId="166" fontId="45" fillId="8" borderId="32" xfId="2" applyFont="1" applyFill="1" applyBorder="1" applyAlignment="1">
      <alignment horizontal="center" vertical="center"/>
    </xf>
    <xf numFmtId="166" fontId="45" fillId="8" borderId="46" xfId="2" applyFont="1" applyFill="1" applyBorder="1" applyAlignment="1">
      <alignment horizontal="center" vertical="center"/>
    </xf>
    <xf numFmtId="0" fontId="45" fillId="8" borderId="32" xfId="0" applyFont="1" applyFill="1" applyBorder="1" applyAlignment="1">
      <alignment horizontal="center" vertical="center"/>
    </xf>
    <xf numFmtId="0" fontId="45" fillId="8" borderId="46" xfId="0" applyFont="1" applyFill="1" applyBorder="1" applyAlignment="1">
      <alignment horizontal="center" vertical="center"/>
    </xf>
    <xf numFmtId="0" fontId="45" fillId="8" borderId="4" xfId="0" applyFont="1" applyFill="1" applyBorder="1" applyAlignment="1">
      <alignment horizontal="center" vertical="center"/>
    </xf>
    <xf numFmtId="169" fontId="45" fillId="0" borderId="47" xfId="2" applyNumberFormat="1" applyFont="1" applyFill="1" applyBorder="1"/>
    <xf numFmtId="17" fontId="0" fillId="9" borderId="47" xfId="0" applyNumberFormat="1" applyFill="1" applyBorder="1" applyAlignment="1">
      <alignment horizontal="center"/>
    </xf>
    <xf numFmtId="169" fontId="45" fillId="0" borderId="40" xfId="2" applyNumberFormat="1" applyFont="1" applyFill="1" applyBorder="1"/>
    <xf numFmtId="169" fontId="45" fillId="0" borderId="41" xfId="2" applyNumberFormat="1" applyFont="1" applyFill="1" applyBorder="1"/>
    <xf numFmtId="169" fontId="0" fillId="0" borderId="41" xfId="0" applyNumberFormat="1" applyBorder="1"/>
    <xf numFmtId="169" fontId="45" fillId="0" borderId="47" xfId="0" applyNumberFormat="1" applyFont="1" applyBorder="1"/>
    <xf numFmtId="169" fontId="45" fillId="0" borderId="15" xfId="2" applyNumberFormat="1" applyFont="1" applyFill="1" applyBorder="1"/>
    <xf numFmtId="169" fontId="45" fillId="0" borderId="22" xfId="2" applyNumberFormat="1" applyFont="1" applyFill="1" applyBorder="1"/>
    <xf numFmtId="169" fontId="45" fillId="0" borderId="42" xfId="2" applyNumberFormat="1" applyFont="1" applyFill="1" applyBorder="1"/>
    <xf numFmtId="166" fontId="45" fillId="0" borderId="22" xfId="2" applyFont="1" applyFill="1" applyBorder="1"/>
    <xf numFmtId="166" fontId="45" fillId="5" borderId="32" xfId="2" applyFont="1" applyFill="1" applyBorder="1"/>
    <xf numFmtId="169" fontId="45" fillId="5" borderId="32" xfId="0" applyNumberFormat="1" applyFont="1" applyFill="1" applyBorder="1"/>
    <xf numFmtId="169" fontId="45" fillId="5" borderId="46" xfId="0" applyNumberFormat="1" applyFont="1" applyFill="1" applyBorder="1"/>
    <xf numFmtId="169" fontId="45" fillId="5" borderId="4" xfId="0" applyNumberFormat="1" applyFont="1" applyFill="1" applyBorder="1"/>
    <xf numFmtId="169" fontId="0" fillId="5" borderId="0" xfId="0" applyNumberFormat="1" applyFill="1"/>
    <xf numFmtId="169" fontId="45" fillId="5" borderId="0" xfId="2" applyNumberFormat="1" applyFont="1" applyFill="1" applyBorder="1"/>
    <xf numFmtId="166" fontId="8" fillId="0" borderId="0" xfId="2" applyFont="1" applyFill="1" applyBorder="1"/>
    <xf numFmtId="165" fontId="6" fillId="0" borderId="0" xfId="3" applyFont="1" applyFill="1" applyBorder="1"/>
    <xf numFmtId="165" fontId="3" fillId="0" borderId="0" xfId="3" applyFont="1" applyFill="1" applyBorder="1"/>
    <xf numFmtId="169" fontId="17" fillId="0" borderId="11" xfId="0" applyNumberFormat="1" applyFont="1" applyBorder="1" applyAlignment="1">
      <alignment wrapText="1"/>
    </xf>
    <xf numFmtId="0" fontId="47" fillId="10" borderId="32" xfId="0" applyFont="1" applyFill="1" applyBorder="1"/>
    <xf numFmtId="0" fontId="48" fillId="10" borderId="36" xfId="0" applyFont="1" applyFill="1" applyBorder="1"/>
    <xf numFmtId="0" fontId="48" fillId="10" borderId="46" xfId="0" applyFont="1" applyFill="1" applyBorder="1"/>
    <xf numFmtId="0" fontId="3" fillId="0" borderId="40" xfId="0" applyFont="1" applyBorder="1"/>
    <xf numFmtId="0" fontId="3" fillId="0" borderId="15" xfId="0" applyFont="1" applyBorder="1"/>
    <xf numFmtId="0" fontId="0" fillId="0" borderId="39" xfId="0" applyBorder="1"/>
    <xf numFmtId="0" fontId="3" fillId="0" borderId="42" xfId="0" applyFont="1" applyBorder="1"/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43" xfId="0" applyBorder="1"/>
    <xf numFmtId="0" fontId="0" fillId="0" borderId="44" xfId="0" applyBorder="1" applyAlignment="1">
      <alignment horizontal="left"/>
    </xf>
    <xf numFmtId="0" fontId="0" fillId="0" borderId="0" xfId="0" applyAlignment="1">
      <alignment horizontal="left"/>
    </xf>
    <xf numFmtId="0" fontId="3" fillId="0" borderId="32" xfId="0" applyFont="1" applyBorder="1"/>
    <xf numFmtId="0" fontId="3" fillId="0" borderId="36" xfId="0" applyFont="1" applyBorder="1" applyAlignment="1">
      <alignment horizontal="center"/>
    </xf>
    <xf numFmtId="0" fontId="3" fillId="0" borderId="46" xfId="0" applyFont="1" applyBorder="1" applyAlignment="1">
      <alignment horizontal="center"/>
    </xf>
    <xf numFmtId="0" fontId="41" fillId="2" borderId="55" xfId="1" applyBorder="1" applyAlignment="1">
      <alignment horizontal="left"/>
    </xf>
    <xf numFmtId="14" fontId="0" fillId="0" borderId="0" xfId="0" applyNumberFormat="1" applyAlignment="1">
      <alignment horizontal="center"/>
    </xf>
    <xf numFmtId="14" fontId="0" fillId="0" borderId="39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43" xfId="0" applyBorder="1" applyAlignment="1">
      <alignment horizontal="center"/>
    </xf>
    <xf numFmtId="0" fontId="21" fillId="0" borderId="48" xfId="0" applyFont="1" applyBorder="1"/>
    <xf numFmtId="0" fontId="22" fillId="0" borderId="48" xfId="0" applyFont="1" applyBorder="1" applyAlignment="1">
      <alignment horizontal="center"/>
    </xf>
    <xf numFmtId="0" fontId="49" fillId="10" borderId="0" xfId="0" applyFont="1" applyFill="1"/>
    <xf numFmtId="0" fontId="50" fillId="10" borderId="0" xfId="0" applyFont="1" applyFill="1"/>
    <xf numFmtId="0" fontId="41" fillId="2" borderId="56" xfId="1" applyBorder="1" applyAlignment="1">
      <alignment horizontal="center" vertical="center"/>
    </xf>
    <xf numFmtId="0" fontId="0" fillId="0" borderId="32" xfId="0" applyBorder="1" applyAlignment="1">
      <alignment horizontal="center"/>
    </xf>
    <xf numFmtId="169" fontId="41" fillId="2" borderId="56" xfId="1" applyNumberFormat="1" applyBorder="1"/>
    <xf numFmtId="170" fontId="0" fillId="0" borderId="0" xfId="0" applyNumberFormat="1"/>
    <xf numFmtId="166" fontId="0" fillId="0" borderId="49" xfId="2" applyFont="1" applyFill="1" applyBorder="1" applyAlignment="1" applyProtection="1"/>
    <xf numFmtId="170" fontId="3" fillId="0" borderId="40" xfId="0" applyNumberFormat="1" applyFont="1" applyBorder="1" applyAlignment="1">
      <alignment horizontal="center" vertical="center"/>
    </xf>
    <xf numFmtId="166" fontId="3" fillId="0" borderId="44" xfId="2" applyFont="1" applyFill="1" applyBorder="1" applyAlignment="1" applyProtection="1">
      <alignment horizontal="center" vertical="center"/>
    </xf>
    <xf numFmtId="17" fontId="3" fillId="11" borderId="40" xfId="0" applyNumberFormat="1" applyFont="1" applyFill="1" applyBorder="1" applyAlignment="1">
      <alignment horizontal="center"/>
    </xf>
    <xf numFmtId="166" fontId="4" fillId="0" borderId="44" xfId="2" applyFont="1" applyFill="1" applyBorder="1" applyAlignment="1" applyProtection="1"/>
    <xf numFmtId="166" fontId="4" fillId="0" borderId="41" xfId="2" applyFont="1" applyFill="1" applyBorder="1" applyAlignment="1" applyProtection="1"/>
    <xf numFmtId="17" fontId="3" fillId="11" borderId="15" xfId="0" applyNumberFormat="1" applyFont="1" applyFill="1" applyBorder="1" applyAlignment="1">
      <alignment horizontal="center"/>
    </xf>
    <xf numFmtId="17" fontId="3" fillId="11" borderId="42" xfId="0" applyNumberFormat="1" applyFont="1" applyFill="1" applyBorder="1" applyAlignment="1">
      <alignment horizontal="center"/>
    </xf>
    <xf numFmtId="170" fontId="23" fillId="8" borderId="32" xfId="0" applyNumberFormat="1" applyFont="1" applyFill="1" applyBorder="1" applyAlignment="1">
      <alignment horizontal="center" vertical="center"/>
    </xf>
    <xf numFmtId="166" fontId="23" fillId="8" borderId="36" xfId="2" applyFont="1" applyFill="1" applyBorder="1" applyAlignment="1" applyProtection="1">
      <alignment horizontal="center" vertical="center"/>
    </xf>
    <xf numFmtId="166" fontId="23" fillId="8" borderId="46" xfId="2" applyFont="1" applyFill="1" applyBorder="1" applyAlignment="1" applyProtection="1">
      <alignment horizontal="center" vertical="center"/>
    </xf>
    <xf numFmtId="0" fontId="0" fillId="0" borderId="15" xfId="0" applyBorder="1"/>
    <xf numFmtId="166" fontId="3" fillId="0" borderId="15" xfId="2" applyFont="1" applyFill="1" applyBorder="1" applyAlignment="1" applyProtection="1"/>
    <xf numFmtId="9" fontId="51" fillId="0" borderId="0" xfId="7" applyFont="1" applyFill="1" applyBorder="1"/>
    <xf numFmtId="171" fontId="0" fillId="0" borderId="0" xfId="0" applyNumberFormat="1"/>
    <xf numFmtId="166" fontId="3" fillId="0" borderId="0" xfId="2" applyFont="1" applyFill="1" applyBorder="1" applyAlignment="1" applyProtection="1"/>
    <xf numFmtId="169" fontId="0" fillId="0" borderId="39" xfId="0" applyNumberFormat="1" applyBorder="1"/>
    <xf numFmtId="0" fontId="26" fillId="11" borderId="40" xfId="0" applyFont="1" applyFill="1" applyBorder="1"/>
    <xf numFmtId="0" fontId="0" fillId="11" borderId="44" xfId="0" applyFill="1" applyBorder="1"/>
    <xf numFmtId="166" fontId="0" fillId="0" borderId="46" xfId="2" applyFont="1" applyFill="1" applyBorder="1" applyAlignment="1" applyProtection="1"/>
    <xf numFmtId="166" fontId="4" fillId="0" borderId="0" xfId="2" applyFont="1" applyFill="1" applyBorder="1" applyAlignment="1" applyProtection="1"/>
    <xf numFmtId="166" fontId="0" fillId="0" borderId="39" xfId="2" applyFont="1" applyFill="1" applyBorder="1" applyAlignment="1" applyProtection="1"/>
    <xf numFmtId="1" fontId="4" fillId="0" borderId="44" xfId="2" applyNumberFormat="1" applyFont="1" applyFill="1" applyBorder="1" applyAlignment="1" applyProtection="1">
      <alignment horizontal="center"/>
    </xf>
    <xf numFmtId="0" fontId="52" fillId="12" borderId="32" xfId="5" applyFont="1" applyFill="1" applyBorder="1"/>
    <xf numFmtId="0" fontId="53" fillId="12" borderId="36" xfId="5" applyFont="1" applyFill="1" applyBorder="1"/>
    <xf numFmtId="0" fontId="53" fillId="12" borderId="46" xfId="5" applyFont="1" applyFill="1" applyBorder="1"/>
    <xf numFmtId="0" fontId="27" fillId="12" borderId="0" xfId="5" applyFont="1" applyFill="1"/>
    <xf numFmtId="0" fontId="4" fillId="0" borderId="0" xfId="5"/>
    <xf numFmtId="0" fontId="29" fillId="0" borderId="0" xfId="5" applyFont="1"/>
    <xf numFmtId="0" fontId="29" fillId="13" borderId="4" xfId="5" applyFont="1" applyFill="1" applyBorder="1"/>
    <xf numFmtId="0" fontId="30" fillId="0" borderId="0" xfId="5" applyFont="1"/>
    <xf numFmtId="0" fontId="45" fillId="0" borderId="0" xfId="5" applyFont="1"/>
    <xf numFmtId="0" fontId="31" fillId="14" borderId="45" xfId="5" applyFont="1" applyFill="1" applyBorder="1" applyAlignment="1">
      <alignment horizontal="center"/>
    </xf>
    <xf numFmtId="0" fontId="45" fillId="0" borderId="40" xfId="5" applyFont="1" applyBorder="1"/>
    <xf numFmtId="0" fontId="54" fillId="12" borderId="40" xfId="5" applyFont="1" applyFill="1" applyBorder="1" applyAlignment="1">
      <alignment horizontal="center" vertical="center"/>
    </xf>
    <xf numFmtId="0" fontId="54" fillId="12" borderId="44" xfId="5" applyFont="1" applyFill="1" applyBorder="1" applyAlignment="1">
      <alignment horizontal="center" vertical="center"/>
    </xf>
    <xf numFmtId="0" fontId="54" fillId="12" borderId="41" xfId="5" applyFont="1" applyFill="1" applyBorder="1" applyAlignment="1">
      <alignment horizontal="center" vertical="center"/>
    </xf>
    <xf numFmtId="0" fontId="54" fillId="12" borderId="39" xfId="5" applyFont="1" applyFill="1" applyBorder="1" applyAlignment="1">
      <alignment horizontal="center" vertical="center"/>
    </xf>
    <xf numFmtId="0" fontId="54" fillId="12" borderId="47" xfId="5" applyFont="1" applyFill="1" applyBorder="1" applyAlignment="1">
      <alignment horizontal="center" vertical="center"/>
    </xf>
    <xf numFmtId="17" fontId="45" fillId="15" borderId="15" xfId="5" applyNumberFormat="1" applyFont="1" applyFill="1" applyBorder="1" applyAlignment="1">
      <alignment horizontal="center"/>
    </xf>
    <xf numFmtId="169" fontId="45" fillId="0" borderId="40" xfId="5" applyNumberFormat="1" applyFont="1" applyBorder="1"/>
    <xf numFmtId="169" fontId="45" fillId="0" borderId="44" xfId="5" applyNumberFormat="1" applyFont="1" applyBorder="1"/>
    <xf numFmtId="169" fontId="55" fillId="0" borderId="45" xfId="5" applyNumberFormat="1" applyFont="1" applyBorder="1"/>
    <xf numFmtId="169" fontId="4" fillId="0" borderId="15" xfId="5" applyNumberFormat="1" applyBorder="1"/>
    <xf numFmtId="169" fontId="4" fillId="0" borderId="0" xfId="5" applyNumberFormat="1"/>
    <xf numFmtId="169" fontId="3" fillId="0" borderId="39" xfId="5" applyNumberFormat="1" applyFont="1" applyBorder="1"/>
    <xf numFmtId="169" fontId="3" fillId="0" borderId="47" xfId="5" applyNumberFormat="1" applyFont="1" applyBorder="1"/>
    <xf numFmtId="169" fontId="45" fillId="0" borderId="15" xfId="5" applyNumberFormat="1" applyFont="1" applyBorder="1"/>
    <xf numFmtId="169" fontId="45" fillId="0" borderId="0" xfId="5" applyNumberFormat="1" applyFont="1"/>
    <xf numFmtId="169" fontId="55" fillId="0" borderId="47" xfId="5" applyNumberFormat="1" applyFont="1" applyBorder="1"/>
    <xf numFmtId="169" fontId="45" fillId="0" borderId="42" xfId="5" applyNumberFormat="1" applyFont="1" applyBorder="1"/>
    <xf numFmtId="169" fontId="45" fillId="0" borderId="2" xfId="5" applyNumberFormat="1" applyFont="1" applyBorder="1"/>
    <xf numFmtId="169" fontId="55" fillId="0" borderId="22" xfId="5" applyNumberFormat="1" applyFont="1" applyBorder="1"/>
    <xf numFmtId="0" fontId="45" fillId="5" borderId="42" xfId="5" applyFont="1" applyFill="1" applyBorder="1"/>
    <xf numFmtId="169" fontId="45" fillId="5" borderId="42" xfId="5" applyNumberFormat="1" applyFont="1" applyFill="1" applyBorder="1"/>
    <xf numFmtId="169" fontId="45" fillId="5" borderId="2" xfId="5" applyNumberFormat="1" applyFont="1" applyFill="1" applyBorder="1"/>
    <xf numFmtId="169" fontId="55" fillId="6" borderId="43" xfId="5" applyNumberFormat="1" applyFont="1" applyFill="1" applyBorder="1"/>
    <xf numFmtId="169" fontId="55" fillId="6" borderId="22" xfId="5" applyNumberFormat="1" applyFont="1" applyFill="1" applyBorder="1"/>
    <xf numFmtId="0" fontId="3" fillId="0" borderId="0" xfId="5" applyFont="1"/>
    <xf numFmtId="0" fontId="3" fillId="0" borderId="40" xfId="5" applyFont="1" applyBorder="1"/>
    <xf numFmtId="169" fontId="3" fillId="0" borderId="41" xfId="5" applyNumberFormat="1" applyFont="1" applyBorder="1"/>
    <xf numFmtId="0" fontId="3" fillId="0" borderId="32" xfId="5" applyFont="1" applyBorder="1"/>
    <xf numFmtId="169" fontId="3" fillId="0" borderId="46" xfId="5" applyNumberFormat="1" applyFont="1" applyBorder="1"/>
    <xf numFmtId="0" fontId="3" fillId="0" borderId="42" xfId="5" applyFont="1" applyBorder="1"/>
    <xf numFmtId="169" fontId="3" fillId="0" borderId="43" xfId="5" applyNumberFormat="1" applyFont="1" applyBorder="1"/>
    <xf numFmtId="0" fontId="32" fillId="16" borderId="32" xfId="5" applyFont="1" applyFill="1" applyBorder="1" applyAlignment="1">
      <alignment horizontal="center" vertical="center"/>
    </xf>
    <xf numFmtId="0" fontId="32" fillId="16" borderId="36" xfId="5" applyFont="1" applyFill="1" applyBorder="1" applyAlignment="1">
      <alignment horizontal="center" vertical="center"/>
    </xf>
    <xf numFmtId="0" fontId="56" fillId="16" borderId="46" xfId="5" applyFont="1" applyFill="1" applyBorder="1" applyAlignment="1">
      <alignment horizontal="center" vertical="center"/>
    </xf>
    <xf numFmtId="0" fontId="56" fillId="4" borderId="32" xfId="5" applyFont="1" applyFill="1" applyBorder="1" applyAlignment="1">
      <alignment horizontal="center" vertical="center" wrapText="1"/>
    </xf>
    <xf numFmtId="0" fontId="56" fillId="4" borderId="36" xfId="5" applyFont="1" applyFill="1" applyBorder="1" applyAlignment="1">
      <alignment horizontal="center" vertical="center" wrapText="1"/>
    </xf>
    <xf numFmtId="0" fontId="56" fillId="4" borderId="46" xfId="5" applyFont="1" applyFill="1" applyBorder="1" applyAlignment="1">
      <alignment horizontal="center" vertical="center" wrapText="1"/>
    </xf>
    <xf numFmtId="169" fontId="55" fillId="8" borderId="0" xfId="5" applyNumberFormat="1" applyFont="1" applyFill="1"/>
    <xf numFmtId="0" fontId="57" fillId="0" borderId="0" xfId="5" applyFont="1"/>
    <xf numFmtId="0" fontId="58" fillId="15" borderId="40" xfId="5" applyFont="1" applyFill="1" applyBorder="1" applyAlignment="1">
      <alignment horizontal="center"/>
    </xf>
    <xf numFmtId="0" fontId="59" fillId="0" borderId="40" xfId="5" applyFont="1" applyBorder="1"/>
    <xf numFmtId="0" fontId="4" fillId="0" borderId="0" xfId="5" applyAlignment="1">
      <alignment horizontal="center"/>
    </xf>
    <xf numFmtId="172" fontId="4" fillId="0" borderId="39" xfId="5" applyNumberFormat="1" applyBorder="1"/>
    <xf numFmtId="0" fontId="59" fillId="0" borderId="15" xfId="5" applyFont="1" applyBorder="1"/>
    <xf numFmtId="0" fontId="4" fillId="0" borderId="15" xfId="5" applyBorder="1"/>
    <xf numFmtId="0" fontId="43" fillId="5" borderId="0" xfId="5" applyFont="1" applyFill="1"/>
    <xf numFmtId="169" fontId="43" fillId="5" borderId="0" xfId="5" applyNumberFormat="1" applyFont="1" applyFill="1"/>
    <xf numFmtId="0" fontId="4" fillId="0" borderId="42" xfId="5" applyBorder="1"/>
    <xf numFmtId="0" fontId="4" fillId="0" borderId="2" xfId="5" applyBorder="1" applyAlignment="1">
      <alignment horizontal="center"/>
    </xf>
    <xf numFmtId="172" fontId="4" fillId="0" borderId="43" xfId="5" applyNumberFormat="1" applyBorder="1"/>
    <xf numFmtId="0" fontId="3" fillId="5" borderId="32" xfId="5" applyFont="1" applyFill="1" applyBorder="1" applyAlignment="1">
      <alignment horizontal="center"/>
    </xf>
    <xf numFmtId="0" fontId="19" fillId="0" borderId="0" xfId="5" applyFont="1"/>
    <xf numFmtId="0" fontId="57" fillId="3" borderId="0" xfId="5" applyFont="1" applyFill="1"/>
    <xf numFmtId="0" fontId="19" fillId="3" borderId="0" xfId="5" applyFont="1" applyFill="1"/>
    <xf numFmtId="0" fontId="60" fillId="7" borderId="44" xfId="5" applyFont="1" applyFill="1" applyBorder="1" applyAlignment="1">
      <alignment horizontal="center"/>
    </xf>
    <xf numFmtId="169" fontId="59" fillId="0" borderId="40" xfId="5" applyNumberFormat="1" applyFont="1" applyBorder="1"/>
    <xf numFmtId="169" fontId="59" fillId="0" borderId="44" xfId="5" applyNumberFormat="1" applyFont="1" applyBorder="1"/>
    <xf numFmtId="10" fontId="61" fillId="6" borderId="2" xfId="8" applyNumberFormat="1" applyFont="1" applyFill="1" applyBorder="1" applyAlignment="1">
      <alignment horizontal="center"/>
    </xf>
    <xf numFmtId="0" fontId="33" fillId="0" borderId="0" xfId="5" applyFont="1"/>
    <xf numFmtId="0" fontId="34" fillId="17" borderId="32" xfId="5" applyFont="1" applyFill="1" applyBorder="1"/>
    <xf numFmtId="0" fontId="34" fillId="17" borderId="36" xfId="5" applyFont="1" applyFill="1" applyBorder="1"/>
    <xf numFmtId="0" fontId="34" fillId="17" borderId="46" xfId="5" applyFont="1" applyFill="1" applyBorder="1" applyAlignment="1">
      <alignment horizontal="center"/>
    </xf>
    <xf numFmtId="0" fontId="34" fillId="4" borderId="44" xfId="5" applyFont="1" applyFill="1" applyBorder="1" applyAlignment="1">
      <alignment horizontal="center" vertical="center"/>
    </xf>
    <xf numFmtId="0" fontId="34" fillId="4" borderId="41" xfId="5" applyFont="1" applyFill="1" applyBorder="1" applyAlignment="1">
      <alignment horizontal="center" vertical="center"/>
    </xf>
    <xf numFmtId="169" fontId="4" fillId="0" borderId="39" xfId="5" applyNumberFormat="1" applyBorder="1"/>
    <xf numFmtId="10" fontId="0" fillId="0" borderId="39" xfId="8" applyNumberFormat="1" applyFont="1" applyBorder="1" applyAlignment="1">
      <alignment horizontal="center"/>
    </xf>
    <xf numFmtId="0" fontId="61" fillId="5" borderId="42" xfId="5" applyFont="1" applyFill="1" applyBorder="1" applyAlignment="1">
      <alignment horizontal="center"/>
    </xf>
    <xf numFmtId="0" fontId="3" fillId="5" borderId="2" xfId="5" applyFont="1" applyFill="1" applyBorder="1" applyAlignment="1">
      <alignment horizontal="center"/>
    </xf>
    <xf numFmtId="169" fontId="3" fillId="5" borderId="2" xfId="5" applyNumberFormat="1" applyFont="1" applyFill="1" applyBorder="1" applyAlignment="1">
      <alignment horizontal="center"/>
    </xf>
    <xf numFmtId="0" fontId="45" fillId="0" borderId="40" xfId="6" applyFont="1" applyBorder="1" applyAlignment="1">
      <alignment horizontal="center"/>
    </xf>
    <xf numFmtId="0" fontId="45" fillId="0" borderId="41" xfId="6" applyFont="1" applyBorder="1" applyAlignment="1">
      <alignment horizontal="center"/>
    </xf>
    <xf numFmtId="0" fontId="62" fillId="3" borderId="32" xfId="6" applyFont="1" applyFill="1" applyBorder="1" applyAlignment="1">
      <alignment horizontal="center"/>
    </xf>
    <xf numFmtId="0" fontId="62" fillId="3" borderId="46" xfId="6" applyFont="1" applyFill="1" applyBorder="1" applyAlignment="1">
      <alignment horizontal="center"/>
    </xf>
    <xf numFmtId="169" fontId="45" fillId="0" borderId="15" xfId="6" applyNumberFormat="1" applyFont="1" applyBorder="1"/>
    <xf numFmtId="169" fontId="45" fillId="0" borderId="39" xfId="6" applyNumberFormat="1" applyFont="1" applyBorder="1"/>
    <xf numFmtId="169" fontId="42" fillId="0" borderId="39" xfId="6" applyNumberFormat="1" applyFont="1" applyBorder="1"/>
    <xf numFmtId="0" fontId="45" fillId="0" borderId="15" xfId="6" applyFont="1" applyBorder="1"/>
    <xf numFmtId="0" fontId="45" fillId="0" borderId="39" xfId="6" applyFont="1" applyBorder="1"/>
    <xf numFmtId="169" fontId="45" fillId="5" borderId="42" xfId="6" applyNumberFormat="1" applyFont="1" applyFill="1" applyBorder="1"/>
    <xf numFmtId="169" fontId="45" fillId="5" borderId="43" xfId="6" applyNumberFormat="1" applyFont="1" applyFill="1" applyBorder="1"/>
    <xf numFmtId="0" fontId="45" fillId="0" borderId="44" xfId="6" applyFont="1" applyBorder="1" applyAlignment="1">
      <alignment horizontal="center"/>
    </xf>
    <xf numFmtId="0" fontId="62" fillId="3" borderId="36" xfId="6" applyFont="1" applyFill="1" applyBorder="1" applyAlignment="1">
      <alignment horizontal="center"/>
    </xf>
    <xf numFmtId="169" fontId="45" fillId="0" borderId="42" xfId="6" applyNumberFormat="1" applyFont="1" applyBorder="1"/>
    <xf numFmtId="169" fontId="45" fillId="0" borderId="2" xfId="6" applyNumberFormat="1" applyFont="1" applyBorder="1"/>
    <xf numFmtId="169" fontId="45" fillId="0" borderId="43" xfId="6" applyNumberFormat="1" applyFont="1" applyBorder="1"/>
    <xf numFmtId="169" fontId="45" fillId="0" borderId="0" xfId="6" applyNumberFormat="1" applyFont="1"/>
    <xf numFmtId="0" fontId="45" fillId="0" borderId="0" xfId="6" applyFont="1"/>
    <xf numFmtId="0" fontId="42" fillId="0" borderId="0" xfId="6" applyFont="1"/>
    <xf numFmtId="169" fontId="45" fillId="5" borderId="2" xfId="6" applyNumberFormat="1" applyFont="1" applyFill="1" applyBorder="1"/>
    <xf numFmtId="0" fontId="63" fillId="0" borderId="0" xfId="5" applyFont="1"/>
    <xf numFmtId="0" fontId="63" fillId="0" borderId="0" xfId="5" applyFont="1" applyAlignment="1">
      <alignment horizontal="center"/>
    </xf>
    <xf numFmtId="0" fontId="63" fillId="18" borderId="0" xfId="5" applyFont="1" applyFill="1" applyAlignment="1">
      <alignment horizontal="center"/>
    </xf>
    <xf numFmtId="17" fontId="63" fillId="4" borderId="0" xfId="5" applyNumberFormat="1" applyFont="1" applyFill="1" applyAlignment="1">
      <alignment horizontal="center"/>
    </xf>
    <xf numFmtId="173" fontId="63" fillId="0" borderId="0" xfId="4" applyFont="1"/>
    <xf numFmtId="173" fontId="63" fillId="0" borderId="0" xfId="5" applyNumberFormat="1" applyFont="1"/>
    <xf numFmtId="43" fontId="63" fillId="0" borderId="0" xfId="5" applyNumberFormat="1" applyFont="1"/>
    <xf numFmtId="173" fontId="63" fillId="0" borderId="0" xfId="4" applyFont="1" applyAlignment="1">
      <alignment wrapText="1"/>
    </xf>
    <xf numFmtId="173" fontId="63" fillId="5" borderId="0" xfId="4" applyFont="1" applyFill="1"/>
    <xf numFmtId="173" fontId="63" fillId="5" borderId="0" xfId="5" applyNumberFormat="1" applyFont="1" applyFill="1"/>
    <xf numFmtId="43" fontId="63" fillId="5" borderId="0" xfId="5" applyNumberFormat="1" applyFont="1" applyFill="1"/>
    <xf numFmtId="0" fontId="23" fillId="19" borderId="0" xfId="5" applyFont="1" applyFill="1" applyAlignment="1">
      <alignment horizontal="center" vertical="center"/>
    </xf>
    <xf numFmtId="17" fontId="63" fillId="0" borderId="0" xfId="5" applyNumberFormat="1" applyFont="1"/>
    <xf numFmtId="169" fontId="63" fillId="0" borderId="40" xfId="5" applyNumberFormat="1" applyFont="1" applyBorder="1"/>
    <xf numFmtId="169" fontId="63" fillId="0" borderId="41" xfId="5" applyNumberFormat="1" applyFont="1" applyBorder="1"/>
    <xf numFmtId="9" fontId="24" fillId="0" borderId="0" xfId="9"/>
    <xf numFmtId="169" fontId="63" fillId="0" borderId="15" xfId="5" applyNumberFormat="1" applyFont="1" applyBorder="1"/>
    <xf numFmtId="169" fontId="63" fillId="0" borderId="39" xfId="5" applyNumberFormat="1" applyFont="1" applyBorder="1"/>
    <xf numFmtId="169" fontId="63" fillId="0" borderId="42" xfId="5" applyNumberFormat="1" applyFont="1" applyBorder="1"/>
    <xf numFmtId="169" fontId="63" fillId="0" borderId="43" xfId="5" applyNumberFormat="1" applyFont="1" applyBorder="1"/>
    <xf numFmtId="169" fontId="63" fillId="5" borderId="0" xfId="5" applyNumberFormat="1" applyFont="1" applyFill="1"/>
    <xf numFmtId="4" fontId="63" fillId="0" borderId="0" xfId="5" applyNumberFormat="1" applyFont="1"/>
    <xf numFmtId="4" fontId="4" fillId="0" borderId="0" xfId="5" applyNumberFormat="1"/>
    <xf numFmtId="0" fontId="4" fillId="0" borderId="45" xfId="5" applyBorder="1"/>
    <xf numFmtId="0" fontId="4" fillId="0" borderId="47" xfId="5" applyBorder="1"/>
    <xf numFmtId="0" fontId="4" fillId="0" borderId="22" xfId="5" applyBorder="1"/>
    <xf numFmtId="169" fontId="0" fillId="0" borderId="39" xfId="2" applyNumberFormat="1" applyFont="1" applyFill="1" applyBorder="1" applyAlignment="1" applyProtection="1"/>
    <xf numFmtId="169" fontId="0" fillId="0" borderId="2" xfId="0" applyNumberFormat="1" applyBorder="1"/>
    <xf numFmtId="169" fontId="0" fillId="0" borderId="41" xfId="2" applyNumberFormat="1" applyFont="1" applyFill="1" applyBorder="1" applyAlignment="1" applyProtection="1"/>
    <xf numFmtId="0" fontId="3" fillId="20" borderId="40" xfId="0" applyFont="1" applyFill="1" applyBorder="1" applyAlignment="1">
      <alignment horizontal="center" vertical="center"/>
    </xf>
    <xf numFmtId="0" fontId="3" fillId="20" borderId="44" xfId="0" applyFont="1" applyFill="1" applyBorder="1" applyAlignment="1">
      <alignment horizontal="center" vertical="center"/>
    </xf>
    <xf numFmtId="0" fontId="3" fillId="20" borderId="41" xfId="0" applyFont="1" applyFill="1" applyBorder="1" applyAlignment="1">
      <alignment horizontal="center" vertical="center"/>
    </xf>
    <xf numFmtId="0" fontId="37" fillId="0" borderId="0" xfId="0" applyFont="1"/>
    <xf numFmtId="0" fontId="3" fillId="20" borderId="32" xfId="0" applyFont="1" applyFill="1" applyBorder="1" applyAlignment="1">
      <alignment horizontal="center" vertical="center"/>
    </xf>
    <xf numFmtId="0" fontId="3" fillId="20" borderId="36" xfId="0" applyFont="1" applyFill="1" applyBorder="1" applyAlignment="1">
      <alignment horizontal="center" vertical="center"/>
    </xf>
    <xf numFmtId="0" fontId="3" fillId="20" borderId="46" xfId="0" applyFont="1" applyFill="1" applyBorder="1" applyAlignment="1">
      <alignment horizontal="center" vertical="center"/>
    </xf>
    <xf numFmtId="0" fontId="3" fillId="5" borderId="42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0" borderId="36" xfId="0" applyBorder="1"/>
    <xf numFmtId="0" fontId="0" fillId="0" borderId="46" xfId="0" applyBorder="1"/>
    <xf numFmtId="0" fontId="36" fillId="0" borderId="40" xfId="0" applyFont="1" applyBorder="1"/>
    <xf numFmtId="0" fontId="38" fillId="3" borderId="44" xfId="0" applyFont="1" applyFill="1" applyBorder="1" applyAlignment="1">
      <alignment horizontal="center" vertical="center"/>
    </xf>
    <xf numFmtId="0" fontId="38" fillId="3" borderId="41" xfId="0" applyFont="1" applyFill="1" applyBorder="1" applyAlignment="1">
      <alignment horizontal="center" vertical="center"/>
    </xf>
    <xf numFmtId="0" fontId="39" fillId="0" borderId="32" xfId="0" applyFont="1" applyBorder="1"/>
    <xf numFmtId="0" fontId="25" fillId="6" borderId="32" xfId="0" applyFont="1" applyFill="1" applyBorder="1"/>
    <xf numFmtId="0" fontId="0" fillId="6" borderId="36" xfId="0" applyFill="1" applyBorder="1"/>
    <xf numFmtId="169" fontId="0" fillId="0" borderId="43" xfId="0" applyNumberFormat="1" applyBorder="1"/>
    <xf numFmtId="169" fontId="3" fillId="5" borderId="0" xfId="0" applyNumberFormat="1" applyFont="1" applyFill="1" applyAlignment="1">
      <alignment horizontal="center"/>
    </xf>
    <xf numFmtId="169" fontId="3" fillId="5" borderId="39" xfId="0" applyNumberFormat="1" applyFont="1" applyFill="1" applyBorder="1" applyAlignment="1">
      <alignment horizontal="center"/>
    </xf>
    <xf numFmtId="169" fontId="0" fillId="0" borderId="36" xfId="0" applyNumberFormat="1" applyBorder="1"/>
    <xf numFmtId="169" fontId="0" fillId="0" borderId="46" xfId="0" applyNumberFormat="1" applyBorder="1"/>
    <xf numFmtId="169" fontId="3" fillId="5" borderId="2" xfId="0" applyNumberFormat="1" applyFont="1" applyFill="1" applyBorder="1" applyAlignment="1">
      <alignment horizontal="center"/>
    </xf>
    <xf numFmtId="169" fontId="3" fillId="5" borderId="43" xfId="0" applyNumberFormat="1" applyFont="1" applyFill="1" applyBorder="1" applyAlignment="1">
      <alignment horizontal="center"/>
    </xf>
    <xf numFmtId="169" fontId="0" fillId="6" borderId="46" xfId="0" applyNumberFormat="1" applyFill="1" applyBorder="1"/>
    <xf numFmtId="169" fontId="0" fillId="0" borderId="44" xfId="0" applyNumberFormat="1" applyBorder="1"/>
    <xf numFmtId="0" fontId="39" fillId="8" borderId="32" xfId="0" applyFont="1" applyFill="1" applyBorder="1"/>
    <xf numFmtId="0" fontId="39" fillId="8" borderId="36" xfId="0" applyFont="1" applyFill="1" applyBorder="1"/>
    <xf numFmtId="0" fontId="39" fillId="8" borderId="46" xfId="0" applyFont="1" applyFill="1" applyBorder="1" applyAlignment="1">
      <alignment horizontal="center"/>
    </xf>
    <xf numFmtId="169" fontId="10" fillId="5" borderId="0" xfId="3" applyNumberFormat="1" applyFont="1" applyFill="1" applyBorder="1" applyAlignment="1">
      <alignment horizontal="center" vertical="center"/>
    </xf>
    <xf numFmtId="165" fontId="10" fillId="5" borderId="0" xfId="3" applyFont="1" applyFill="1" applyBorder="1" applyAlignment="1">
      <alignment horizontal="center" vertical="center"/>
    </xf>
    <xf numFmtId="169" fontId="10" fillId="0" borderId="0" xfId="3" applyNumberFormat="1" applyFont="1" applyFill="1" applyBorder="1" applyAlignment="1">
      <alignment horizontal="center" vertical="center"/>
    </xf>
    <xf numFmtId="165" fontId="10" fillId="0" borderId="0" xfId="3" applyFont="1" applyFill="1" applyBorder="1" applyAlignment="1">
      <alignment horizontal="center" vertical="center"/>
    </xf>
    <xf numFmtId="0" fontId="23" fillId="15" borderId="32" xfId="0" applyFont="1" applyFill="1" applyBorder="1" applyAlignment="1">
      <alignment horizontal="center" vertical="center"/>
    </xf>
    <xf numFmtId="4" fontId="23" fillId="15" borderId="36" xfId="0" applyNumberFormat="1" applyFont="1" applyFill="1" applyBorder="1" applyAlignment="1">
      <alignment horizontal="center" vertical="center"/>
    </xf>
    <xf numFmtId="0" fontId="23" fillId="15" borderId="36" xfId="0" applyFont="1" applyFill="1" applyBorder="1" applyAlignment="1">
      <alignment horizontal="center" vertical="center"/>
    </xf>
    <xf numFmtId="0" fontId="23" fillId="15" borderId="46" xfId="0" applyFont="1" applyFill="1" applyBorder="1" applyAlignment="1">
      <alignment horizontal="center" vertical="center"/>
    </xf>
    <xf numFmtId="0" fontId="4" fillId="0" borderId="15" xfId="0" applyFont="1" applyBorder="1"/>
    <xf numFmtId="17" fontId="4" fillId="0" borderId="15" xfId="0" applyNumberFormat="1" applyFont="1" applyBorder="1"/>
    <xf numFmtId="166" fontId="4" fillId="0" borderId="0" xfId="2" applyFont="1" applyFill="1" applyBorder="1" applyAlignment="1">
      <alignment horizontal="center"/>
    </xf>
    <xf numFmtId="0" fontId="4" fillId="0" borderId="39" xfId="0" applyFont="1" applyBorder="1" applyAlignment="1">
      <alignment horizontal="center"/>
    </xf>
    <xf numFmtId="169" fontId="0" fillId="5" borderId="15" xfId="0" applyNumberFormat="1" applyFill="1" applyBorder="1" applyAlignment="1">
      <alignment horizontal="center" vertical="center"/>
    </xf>
    <xf numFmtId="165" fontId="10" fillId="5" borderId="39" xfId="3" applyFont="1" applyFill="1" applyBorder="1" applyAlignment="1">
      <alignment horizontal="center" vertical="center"/>
    </xf>
    <xf numFmtId="169" fontId="0" fillId="0" borderId="15" xfId="0" applyNumberFormat="1" applyBorder="1" applyAlignment="1">
      <alignment horizontal="center" vertical="center"/>
    </xf>
    <xf numFmtId="165" fontId="10" fillId="0" borderId="39" xfId="3" applyFont="1" applyFill="1" applyBorder="1" applyAlignment="1">
      <alignment horizontal="center" vertical="center"/>
    </xf>
    <xf numFmtId="169" fontId="3" fillId="0" borderId="42" xfId="0" applyNumberFormat="1" applyFont="1" applyBorder="1" applyAlignment="1">
      <alignment horizontal="right"/>
    </xf>
    <xf numFmtId="166" fontId="3" fillId="0" borderId="2" xfId="0" applyNumberFormat="1" applyFont="1" applyBorder="1"/>
    <xf numFmtId="166" fontId="3" fillId="0" borderId="43" xfId="0" applyNumberFormat="1" applyFont="1" applyBorder="1"/>
    <xf numFmtId="169" fontId="0" fillId="0" borderId="40" xfId="0" applyNumberFormat="1" applyBorder="1" applyAlignment="1">
      <alignment horizontal="center" vertical="center"/>
    </xf>
    <xf numFmtId="169" fontId="10" fillId="0" borderId="44" xfId="3" applyNumberFormat="1" applyFont="1" applyFill="1" applyBorder="1" applyAlignment="1">
      <alignment horizontal="center" vertical="center"/>
    </xf>
    <xf numFmtId="165" fontId="10" fillId="0" borderId="44" xfId="3" applyFont="1" applyFill="1" applyBorder="1" applyAlignment="1">
      <alignment horizontal="center" vertical="center"/>
    </xf>
    <xf numFmtId="165" fontId="10" fillId="0" borderId="41" xfId="3" applyFont="1" applyFill="1" applyBorder="1" applyAlignment="1">
      <alignment horizontal="center" vertical="center"/>
    </xf>
    <xf numFmtId="165" fontId="10" fillId="0" borderId="43" xfId="3" applyFont="1" applyFill="1" applyBorder="1" applyAlignment="1">
      <alignment horizontal="center" vertical="center"/>
    </xf>
    <xf numFmtId="165" fontId="3" fillId="0" borderId="32" xfId="0" applyNumberFormat="1" applyFont="1" applyBorder="1"/>
    <xf numFmtId="165" fontId="3" fillId="0" borderId="36" xfId="0" applyNumberFormat="1" applyFont="1" applyBorder="1"/>
    <xf numFmtId="165" fontId="3" fillId="0" borderId="46" xfId="0" applyNumberFormat="1" applyFont="1" applyBorder="1"/>
    <xf numFmtId="0" fontId="25" fillId="0" borderId="0" xfId="0" applyFont="1" applyAlignment="1">
      <alignment horizontal="center"/>
    </xf>
    <xf numFmtId="0" fontId="19" fillId="0" borderId="0" xfId="0" applyFont="1"/>
    <xf numFmtId="169" fontId="3" fillId="0" borderId="41" xfId="2" applyNumberFormat="1" applyFont="1" applyFill="1" applyBorder="1" applyAlignment="1" applyProtection="1"/>
    <xf numFmtId="14" fontId="0" fillId="0" borderId="39" xfId="0" applyNumberFormat="1" applyBorder="1"/>
    <xf numFmtId="166" fontId="3" fillId="0" borderId="39" xfId="2" applyFont="1" applyFill="1" applyBorder="1"/>
    <xf numFmtId="0" fontId="4" fillId="0" borderId="15" xfId="0" applyFont="1" applyBorder="1" applyAlignment="1">
      <alignment horizontal="right"/>
    </xf>
    <xf numFmtId="166" fontId="3" fillId="0" borderId="39" xfId="0" applyNumberFormat="1" applyFont="1" applyBorder="1"/>
    <xf numFmtId="0" fontId="40" fillId="0" borderId="15" xfId="0" applyFont="1" applyBorder="1" applyAlignment="1">
      <alignment horizontal="left"/>
    </xf>
    <xf numFmtId="0" fontId="25" fillId="0" borderId="39" xfId="0" applyFont="1" applyBorder="1" applyAlignment="1">
      <alignment horizontal="center"/>
    </xf>
    <xf numFmtId="166" fontId="3" fillId="0" borderId="41" xfId="2" applyFont="1" applyFill="1" applyBorder="1" applyAlignment="1" applyProtection="1">
      <alignment horizontal="center" vertical="center"/>
    </xf>
    <xf numFmtId="166" fontId="3" fillId="0" borderId="0" xfId="0" applyNumberFormat="1" applyFont="1"/>
    <xf numFmtId="171" fontId="0" fillId="0" borderId="39" xfId="0" applyNumberFormat="1" applyBorder="1"/>
    <xf numFmtId="166" fontId="3" fillId="0" borderId="39" xfId="2" applyFont="1" applyFill="1" applyBorder="1" applyAlignment="1" applyProtection="1"/>
    <xf numFmtId="166" fontId="44" fillId="0" borderId="0" xfId="2" applyFont="1" applyFill="1" applyBorder="1"/>
    <xf numFmtId="0" fontId="3" fillId="0" borderId="39" xfId="0" applyFont="1" applyBorder="1"/>
    <xf numFmtId="9" fontId="0" fillId="0" borderId="39" xfId="7" applyFont="1" applyFill="1" applyBorder="1"/>
    <xf numFmtId="166" fontId="0" fillId="0" borderId="39" xfId="0" applyNumberFormat="1" applyBorder="1"/>
    <xf numFmtId="43" fontId="0" fillId="0" borderId="39" xfId="0" applyNumberFormat="1" applyBorder="1"/>
    <xf numFmtId="43" fontId="0" fillId="0" borderId="43" xfId="0" applyNumberFormat="1" applyBorder="1"/>
    <xf numFmtId="0" fontId="4" fillId="0" borderId="42" xfId="0" applyFont="1" applyBorder="1"/>
    <xf numFmtId="4" fontId="0" fillId="0" borderId="2" xfId="0" applyNumberFormat="1" applyBorder="1"/>
    <xf numFmtId="14" fontId="0" fillId="0" borderId="43" xfId="0" applyNumberFormat="1" applyBorder="1"/>
    <xf numFmtId="0" fontId="3" fillId="11" borderId="44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  <xf numFmtId="169" fontId="4" fillId="0" borderId="47" xfId="2" applyNumberFormat="1" applyFont="1" applyFill="1" applyBorder="1" applyAlignment="1" applyProtection="1"/>
    <xf numFmtId="169" fontId="0" fillId="0" borderId="22" xfId="0" applyNumberFormat="1" applyBorder="1"/>
    <xf numFmtId="169" fontId="4" fillId="0" borderId="45" xfId="2" applyNumberFormat="1" applyFont="1" applyFill="1" applyBorder="1" applyAlignment="1" applyProtection="1"/>
    <xf numFmtId="0" fontId="41" fillId="2" borderId="57" xfId="1" applyBorder="1" applyAlignment="1">
      <alignment horizontal="center"/>
    </xf>
    <xf numFmtId="0" fontId="3" fillId="11" borderId="45" xfId="0" applyFont="1" applyFill="1" applyBorder="1" applyAlignment="1">
      <alignment horizontal="center"/>
    </xf>
    <xf numFmtId="0" fontId="26" fillId="11" borderId="40" xfId="0" applyFont="1" applyFill="1" applyBorder="1" applyAlignment="1">
      <alignment horizontal="left"/>
    </xf>
    <xf numFmtId="0" fontId="4" fillId="0" borderId="43" xfId="0" applyFont="1" applyBorder="1"/>
    <xf numFmtId="169" fontId="0" fillId="0" borderId="47" xfId="0" applyNumberFormat="1" applyBorder="1"/>
    <xf numFmtId="166" fontId="3" fillId="5" borderId="46" xfId="2" applyFont="1" applyFill="1" applyBorder="1"/>
    <xf numFmtId="166" fontId="4" fillId="0" borderId="45" xfId="2" applyFont="1" applyFill="1" applyBorder="1" applyAlignment="1" applyProtection="1"/>
    <xf numFmtId="166" fontId="4" fillId="0" borderId="47" xfId="2" applyFont="1" applyFill="1" applyBorder="1" applyAlignment="1" applyProtection="1"/>
    <xf numFmtId="166" fontId="4" fillId="0" borderId="22" xfId="2" applyFont="1" applyFill="1" applyBorder="1" applyAlignment="1" applyProtection="1"/>
    <xf numFmtId="166" fontId="0" fillId="0" borderId="41" xfId="2" applyFont="1" applyFill="1" applyBorder="1"/>
    <xf numFmtId="4" fontId="0" fillId="0" borderId="39" xfId="0" applyNumberFormat="1" applyBorder="1"/>
    <xf numFmtId="166" fontId="2" fillId="0" borderId="39" xfId="2" applyFill="1" applyBorder="1"/>
    <xf numFmtId="166" fontId="2" fillId="0" borderId="46" xfId="2" applyFill="1" applyBorder="1"/>
    <xf numFmtId="0" fontId="0" fillId="5" borderId="32" xfId="0" applyFill="1" applyBorder="1"/>
    <xf numFmtId="166" fontId="2" fillId="5" borderId="46" xfId="2" applyFill="1" applyBorder="1"/>
    <xf numFmtId="166" fontId="2" fillId="0" borderId="12" xfId="2" applyFill="1" applyBorder="1"/>
    <xf numFmtId="0" fontId="0" fillId="0" borderId="32" xfId="0" applyBorder="1"/>
    <xf numFmtId="14" fontId="0" fillId="0" borderId="44" xfId="0" applyNumberFormat="1" applyBorder="1"/>
    <xf numFmtId="166" fontId="2" fillId="0" borderId="41" xfId="2" applyFill="1" applyBorder="1"/>
    <xf numFmtId="0" fontId="23" fillId="5" borderId="32" xfId="0" applyFont="1" applyFill="1" applyBorder="1"/>
    <xf numFmtId="166" fontId="23" fillId="5" borderId="46" xfId="2" applyFont="1" applyFill="1" applyBorder="1"/>
    <xf numFmtId="0" fontId="3" fillId="5" borderId="32" xfId="0" applyFont="1" applyFill="1" applyBorder="1"/>
    <xf numFmtId="166" fontId="3" fillId="8" borderId="4" xfId="2" applyFont="1" applyFill="1" applyBorder="1" applyAlignment="1">
      <alignment horizontal="center"/>
    </xf>
    <xf numFmtId="0" fontId="3" fillId="8" borderId="4" xfId="0" applyFont="1" applyFill="1" applyBorder="1" applyAlignment="1">
      <alignment horizontal="center"/>
    </xf>
    <xf numFmtId="166" fontId="4" fillId="0" borderId="41" xfId="2" applyFont="1" applyFill="1" applyBorder="1"/>
    <xf numFmtId="0" fontId="4" fillId="5" borderId="32" xfId="0" applyFont="1" applyFill="1" applyBorder="1"/>
    <xf numFmtId="166" fontId="4" fillId="5" borderId="46" xfId="2" applyFont="1" applyFill="1" applyBorder="1"/>
    <xf numFmtId="0" fontId="0" fillId="0" borderId="32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/>
    <xf numFmtId="0" fontId="0" fillId="0" borderId="0" xfId="0" applyAlignment="1">
      <alignment horizontal="center" vertical="center"/>
    </xf>
    <xf numFmtId="0" fontId="4" fillId="0" borderId="41" xfId="0" applyFont="1" applyBorder="1"/>
    <xf numFmtId="165" fontId="3" fillId="5" borderId="22" xfId="0" applyNumberFormat="1" applyFont="1" applyFill="1" applyBorder="1"/>
    <xf numFmtId="165" fontId="6" fillId="0" borderId="39" xfId="3" applyFont="1" applyFill="1" applyBorder="1"/>
    <xf numFmtId="165" fontId="6" fillId="0" borderId="2" xfId="3" applyFont="1" applyFill="1" applyBorder="1"/>
    <xf numFmtId="165" fontId="6" fillId="0" borderId="43" xfId="3" applyFont="1" applyFill="1" applyBorder="1"/>
    <xf numFmtId="165" fontId="6" fillId="0" borderId="15" xfId="3" applyFont="1" applyFill="1" applyBorder="1"/>
    <xf numFmtId="165" fontId="6" fillId="0" borderId="42" xfId="3" applyFont="1" applyFill="1" applyBorder="1"/>
    <xf numFmtId="168" fontId="0" fillId="0" borderId="4" xfId="0" applyNumberFormat="1" applyBorder="1"/>
    <xf numFmtId="169" fontId="19" fillId="0" borderId="0" xfId="0" applyNumberFormat="1" applyFont="1"/>
    <xf numFmtId="165" fontId="19" fillId="0" borderId="0" xfId="0" applyNumberFormat="1" applyFont="1"/>
    <xf numFmtId="166" fontId="19" fillId="0" borderId="0" xfId="0" applyNumberFormat="1" applyFont="1"/>
    <xf numFmtId="165" fontId="20" fillId="0" borderId="0" xfId="0" applyNumberFormat="1" applyFont="1"/>
    <xf numFmtId="0" fontId="20" fillId="0" borderId="0" xfId="0" applyFont="1"/>
    <xf numFmtId="166" fontId="4" fillId="0" borderId="0" xfId="2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/>
    </xf>
    <xf numFmtId="0" fontId="0" fillId="0" borderId="22" xfId="0" applyBorder="1"/>
    <xf numFmtId="0" fontId="0" fillId="0" borderId="15" xfId="0" applyBorder="1" applyAlignment="1">
      <alignment horizontal="center"/>
    </xf>
    <xf numFmtId="0" fontId="2" fillId="5" borderId="32" xfId="0" applyFont="1" applyFill="1" applyBorder="1" applyAlignment="1">
      <alignment horizontal="right"/>
    </xf>
    <xf numFmtId="166" fontId="2" fillId="5" borderId="32" xfId="2" applyFont="1" applyFill="1" applyBorder="1"/>
    <xf numFmtId="166" fontId="2" fillId="5" borderId="46" xfId="2" applyFont="1" applyFill="1" applyBorder="1"/>
    <xf numFmtId="166" fontId="0" fillId="0" borderId="47" xfId="2" applyFont="1" applyFill="1" applyBorder="1" applyAlignment="1" applyProtection="1"/>
    <xf numFmtId="0" fontId="44" fillId="0" borderId="47" xfId="0" applyFont="1" applyBorder="1"/>
    <xf numFmtId="0" fontId="2" fillId="0" borderId="40" xfId="0" applyFont="1" applyBorder="1"/>
    <xf numFmtId="0" fontId="2" fillId="0" borderId="46" xfId="0" applyFont="1" applyBorder="1" applyAlignment="1">
      <alignment horizontal="center" vertical="center"/>
    </xf>
    <xf numFmtId="14" fontId="0" fillId="0" borderId="41" xfId="0" applyNumberFormat="1" applyBorder="1"/>
    <xf numFmtId="0" fontId="44" fillId="0" borderId="0" xfId="0" applyFont="1"/>
    <xf numFmtId="0" fontId="15" fillId="0" borderId="0" xfId="0" applyFont="1" applyAlignment="1">
      <alignment horizontal="center"/>
    </xf>
    <xf numFmtId="0" fontId="23" fillId="22" borderId="2" xfId="0" applyFont="1" applyFill="1" applyBorder="1"/>
    <xf numFmtId="166" fontId="6" fillId="0" borderId="15" xfId="2" applyFont="1" applyFill="1" applyBorder="1"/>
    <xf numFmtId="166" fontId="2" fillId="0" borderId="16" xfId="2" applyFill="1" applyBorder="1"/>
    <xf numFmtId="166" fontId="10" fillId="0" borderId="16" xfId="2" applyFont="1" applyFill="1" applyBorder="1"/>
    <xf numFmtId="165" fontId="0" fillId="0" borderId="16" xfId="0" applyNumberFormat="1" applyBorder="1"/>
    <xf numFmtId="166" fontId="2" fillId="0" borderId="4" xfId="2" applyFill="1" applyBorder="1"/>
    <xf numFmtId="0" fontId="4" fillId="0" borderId="16" xfId="0" applyFont="1" applyBorder="1"/>
    <xf numFmtId="0" fontId="3" fillId="11" borderId="40" xfId="0" applyFont="1" applyFill="1" applyBorder="1" applyAlignment="1">
      <alignment horizontal="center"/>
    </xf>
    <xf numFmtId="165" fontId="0" fillId="0" borderId="58" xfId="0" applyNumberFormat="1" applyBorder="1"/>
    <xf numFmtId="164" fontId="0" fillId="0" borderId="15" xfId="0" applyNumberFormat="1" applyBorder="1"/>
    <xf numFmtId="166" fontId="4" fillId="0" borderId="15" xfId="2" applyFont="1" applyFill="1" applyBorder="1"/>
    <xf numFmtId="166" fontId="2" fillId="0" borderId="32" xfId="2" applyFill="1" applyBorder="1" applyAlignment="1">
      <alignment horizontal="center"/>
    </xf>
    <xf numFmtId="0" fontId="2" fillId="0" borderId="46" xfId="0" applyFont="1" applyBorder="1" applyAlignment="1">
      <alignment horizontal="center"/>
    </xf>
    <xf numFmtId="166" fontId="3" fillId="22" borderId="32" xfId="2" applyFont="1" applyFill="1" applyBorder="1"/>
    <xf numFmtId="166" fontId="3" fillId="22" borderId="46" xfId="2" applyFont="1" applyFill="1" applyBorder="1"/>
    <xf numFmtId="166" fontId="2" fillId="0" borderId="44" xfId="2" applyFill="1" applyBorder="1"/>
    <xf numFmtId="0" fontId="23" fillId="22" borderId="42" xfId="0" applyFont="1" applyFill="1" applyBorder="1"/>
    <xf numFmtId="0" fontId="2" fillId="0" borderId="15" xfId="0" applyFont="1" applyBorder="1"/>
    <xf numFmtId="164" fontId="0" fillId="0" borderId="39" xfId="0" applyNumberFormat="1" applyBorder="1"/>
    <xf numFmtId="166" fontId="2" fillId="0" borderId="0" xfId="2" applyFont="1" applyFill="1" applyBorder="1"/>
    <xf numFmtId="166" fontId="0" fillId="0" borderId="2" xfId="0" applyNumberFormat="1" applyBorder="1"/>
    <xf numFmtId="166" fontId="0" fillId="0" borderId="43" xfId="0" applyNumberFormat="1" applyBorder="1"/>
    <xf numFmtId="165" fontId="23" fillId="22" borderId="32" xfId="3" applyFont="1" applyFill="1" applyBorder="1" applyAlignment="1">
      <alignment horizontal="center"/>
    </xf>
    <xf numFmtId="0" fontId="23" fillId="22" borderId="36" xfId="0" applyFont="1" applyFill="1" applyBorder="1" applyAlignment="1">
      <alignment horizontal="center"/>
    </xf>
    <xf numFmtId="0" fontId="23" fillId="22" borderId="46" xfId="0" applyFont="1" applyFill="1" applyBorder="1" applyAlignment="1">
      <alignment horizontal="center"/>
    </xf>
    <xf numFmtId="0" fontId="4" fillId="0" borderId="39" xfId="0" applyFont="1" applyBorder="1"/>
    <xf numFmtId="0" fontId="3" fillId="0" borderId="41" xfId="0" applyFont="1" applyBorder="1"/>
    <xf numFmtId="165" fontId="10" fillId="0" borderId="39" xfId="3" applyFont="1" applyFill="1" applyBorder="1"/>
    <xf numFmtId="165" fontId="15" fillId="0" borderId="39" xfId="3" applyFont="1" applyFill="1" applyBorder="1"/>
    <xf numFmtId="166" fontId="10" fillId="0" borderId="39" xfId="2" applyFont="1" applyFill="1" applyBorder="1"/>
    <xf numFmtId="165" fontId="3" fillId="0" borderId="41" xfId="3" applyFont="1" applyFill="1" applyBorder="1"/>
    <xf numFmtId="165" fontId="10" fillId="0" borderId="43" xfId="3" applyFont="1" applyFill="1" applyBorder="1"/>
    <xf numFmtId="0" fontId="3" fillId="22" borderId="32" xfId="0" applyFont="1" applyFill="1" applyBorder="1" applyAlignment="1">
      <alignment horizontal="center"/>
    </xf>
    <xf numFmtId="165" fontId="3" fillId="22" borderId="36" xfId="3" applyFont="1" applyFill="1" applyBorder="1" applyAlignment="1">
      <alignment horizontal="center"/>
    </xf>
    <xf numFmtId="0" fontId="3" fillId="22" borderId="36" xfId="0" applyFont="1" applyFill="1" applyBorder="1" applyAlignment="1">
      <alignment horizontal="center"/>
    </xf>
    <xf numFmtId="166" fontId="3" fillId="22" borderId="46" xfId="2" applyFont="1" applyFill="1" applyBorder="1" applyAlignment="1">
      <alignment horizontal="center"/>
    </xf>
    <xf numFmtId="0" fontId="22" fillId="0" borderId="44" xfId="0" applyFont="1" applyBorder="1" applyAlignment="1">
      <alignment horizontal="center"/>
    </xf>
    <xf numFmtId="0" fontId="22" fillId="0" borderId="41" xfId="0" applyFont="1" applyBorder="1" applyAlignment="1">
      <alignment horizontal="center"/>
    </xf>
    <xf numFmtId="0" fontId="36" fillId="22" borderId="40" xfId="0" applyFont="1" applyFill="1" applyBorder="1" applyAlignment="1">
      <alignment horizontal="center"/>
    </xf>
    <xf numFmtId="0" fontId="4" fillId="4" borderId="39" xfId="0" applyFont="1" applyFill="1" applyBorder="1"/>
    <xf numFmtId="165" fontId="0" fillId="0" borderId="2" xfId="3" applyFont="1" applyFill="1" applyBorder="1"/>
    <xf numFmtId="0" fontId="2" fillId="4" borderId="15" xfId="0" applyFont="1" applyFill="1" applyBorder="1"/>
    <xf numFmtId="0" fontId="3" fillId="0" borderId="0" xfId="0" applyFont="1" applyAlignment="1">
      <alignment horizontal="center" vertical="center"/>
    </xf>
    <xf numFmtId="0" fontId="36" fillId="22" borderId="1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23" fillId="22" borderId="15" xfId="0" applyFont="1" applyFill="1" applyBorder="1"/>
    <xf numFmtId="0" fontId="15" fillId="0" borderId="39" xfId="0" applyFont="1" applyBorder="1"/>
    <xf numFmtId="165" fontId="4" fillId="0" borderId="39" xfId="0" applyNumberFormat="1" applyFont="1" applyBorder="1"/>
    <xf numFmtId="0" fontId="3" fillId="0" borderId="59" xfId="0" applyFont="1" applyBorder="1"/>
    <xf numFmtId="0" fontId="3" fillId="0" borderId="60" xfId="0" applyFont="1" applyBorder="1"/>
    <xf numFmtId="0" fontId="8" fillId="0" borderId="39" xfId="0" applyFont="1" applyBorder="1"/>
    <xf numFmtId="166" fontId="23" fillId="22" borderId="0" xfId="2" applyFont="1" applyFill="1" applyBorder="1" applyAlignment="1">
      <alignment horizontal="center"/>
    </xf>
    <xf numFmtId="166" fontId="66" fillId="22" borderId="32" xfId="2" applyFont="1" applyFill="1" applyBorder="1" applyAlignment="1">
      <alignment horizontal="center"/>
    </xf>
    <xf numFmtId="166" fontId="66" fillId="22" borderId="4" xfId="2" applyFont="1" applyFill="1" applyBorder="1" applyAlignment="1">
      <alignment horizontal="center"/>
    </xf>
    <xf numFmtId="166" fontId="2" fillId="0" borderId="42" xfId="2" applyFill="1" applyBorder="1"/>
    <xf numFmtId="166" fontId="2" fillId="0" borderId="43" xfId="2" applyFill="1" applyBorder="1"/>
    <xf numFmtId="0" fontId="0" fillId="0" borderId="40" xfId="0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23" fillId="22" borderId="40" xfId="0" applyFont="1" applyFill="1" applyBorder="1" applyAlignment="1">
      <alignment horizontal="center"/>
    </xf>
    <xf numFmtId="0" fontId="23" fillId="22" borderId="44" xfId="0" applyFont="1" applyFill="1" applyBorder="1" applyAlignment="1">
      <alignment horizontal="center"/>
    </xf>
    <xf numFmtId="0" fontId="23" fillId="22" borderId="41" xfId="0" applyFont="1" applyFill="1" applyBorder="1" applyAlignment="1">
      <alignment horizontal="center"/>
    </xf>
    <xf numFmtId="0" fontId="23" fillId="22" borderId="42" xfId="0" applyFont="1" applyFill="1" applyBorder="1" applyAlignment="1">
      <alignment horizontal="center"/>
    </xf>
    <xf numFmtId="0" fontId="23" fillId="22" borderId="2" xfId="0" applyFont="1" applyFill="1" applyBorder="1" applyAlignment="1">
      <alignment horizontal="center"/>
    </xf>
    <xf numFmtId="0" fontId="23" fillId="22" borderId="43" xfId="0" applyFont="1" applyFill="1" applyBorder="1" applyAlignment="1">
      <alignment horizontal="center"/>
    </xf>
    <xf numFmtId="0" fontId="2" fillId="0" borderId="42" xfId="0" applyFont="1" applyBorder="1"/>
    <xf numFmtId="0" fontId="2" fillId="0" borderId="2" xfId="0" applyFont="1" applyBorder="1"/>
    <xf numFmtId="0" fontId="2" fillId="0" borderId="44" xfId="0" applyFont="1" applyBorder="1"/>
    <xf numFmtId="0" fontId="2" fillId="0" borderId="0" xfId="0" applyFont="1"/>
    <xf numFmtId="0" fontId="23" fillId="8" borderId="32" xfId="0" applyFont="1" applyFill="1" applyBorder="1" applyAlignment="1">
      <alignment horizontal="center" vertical="center"/>
    </xf>
    <xf numFmtId="165" fontId="23" fillId="8" borderId="36" xfId="3" applyFont="1" applyFill="1" applyBorder="1" applyAlignment="1">
      <alignment horizontal="center" vertical="center"/>
    </xf>
    <xf numFmtId="0" fontId="23" fillId="8" borderId="46" xfId="0" applyFont="1" applyFill="1" applyBorder="1" applyAlignment="1">
      <alignment horizontal="center" vertical="center"/>
    </xf>
    <xf numFmtId="0" fontId="0" fillId="0" borderId="0" xfId="3" applyNumberFormat="1" applyFont="1" applyFill="1" applyBorder="1"/>
    <xf numFmtId="0" fontId="0" fillId="0" borderId="2" xfId="3" applyNumberFormat="1" applyFont="1" applyFill="1" applyBorder="1"/>
    <xf numFmtId="14" fontId="0" fillId="0" borderId="0" xfId="3" applyNumberFormat="1" applyFont="1" applyFill="1" applyBorder="1"/>
    <xf numFmtId="0" fontId="54" fillId="12" borderId="15" xfId="5" applyFont="1" applyFill="1" applyBorder="1" applyAlignment="1">
      <alignment horizontal="center" vertical="center"/>
    </xf>
    <xf numFmtId="0" fontId="54" fillId="12" borderId="0" xfId="5" applyFont="1" applyFill="1" applyAlignment="1">
      <alignment horizontal="center" vertical="center"/>
    </xf>
    <xf numFmtId="169" fontId="55" fillId="5" borderId="2" xfId="5" applyNumberFormat="1" applyFont="1" applyFill="1" applyBorder="1"/>
    <xf numFmtId="17" fontId="1" fillId="8" borderId="15" xfId="5" applyNumberFormat="1" applyFont="1" applyFill="1" applyBorder="1" applyAlignment="1">
      <alignment horizontal="center"/>
    </xf>
    <xf numFmtId="0" fontId="1" fillId="0" borderId="40" xfId="5" applyFont="1" applyBorder="1" applyAlignment="1">
      <alignment horizontal="center"/>
    </xf>
    <xf numFmtId="0" fontId="1" fillId="0" borderId="44" xfId="5" applyFont="1" applyBorder="1"/>
    <xf numFmtId="0" fontId="1" fillId="0" borderId="44" xfId="5" applyFont="1" applyBorder="1" applyAlignment="1">
      <alignment horizontal="center" vertical="center"/>
    </xf>
    <xf numFmtId="10" fontId="1" fillId="0" borderId="41" xfId="8" applyNumberFormat="1" applyFont="1" applyBorder="1" applyAlignment="1">
      <alignment horizontal="center"/>
    </xf>
    <xf numFmtId="169" fontId="3" fillId="5" borderId="32" xfId="5" applyNumberFormat="1" applyFont="1" applyFill="1" applyBorder="1" applyAlignment="1">
      <alignment horizontal="center"/>
    </xf>
    <xf numFmtId="9" fontId="3" fillId="5" borderId="43" xfId="8" applyFont="1" applyFill="1" applyBorder="1" applyAlignment="1">
      <alignment horizontal="center"/>
    </xf>
    <xf numFmtId="169" fontId="42" fillId="0" borderId="0" xfId="6" applyNumberFormat="1" applyFont="1"/>
    <xf numFmtId="0" fontId="2" fillId="0" borderId="0" xfId="5" applyFont="1"/>
    <xf numFmtId="2" fontId="0" fillId="0" borderId="44" xfId="0" applyNumberFormat="1" applyBorder="1"/>
    <xf numFmtId="169" fontId="2" fillId="0" borderId="0" xfId="5" applyNumberFormat="1" applyFont="1"/>
    <xf numFmtId="169" fontId="4" fillId="0" borderId="42" xfId="5" applyNumberFormat="1" applyBorder="1"/>
    <xf numFmtId="169" fontId="4" fillId="0" borderId="2" xfId="5" applyNumberFormat="1" applyBorder="1"/>
    <xf numFmtId="169" fontId="4" fillId="0" borderId="43" xfId="5" applyNumberFormat="1" applyBorder="1"/>
    <xf numFmtId="0" fontId="3" fillId="3" borderId="32" xfId="5" applyFont="1" applyFill="1" applyBorder="1" applyAlignment="1">
      <alignment horizontal="center"/>
    </xf>
    <xf numFmtId="0" fontId="3" fillId="3" borderId="36" xfId="5" applyFont="1" applyFill="1" applyBorder="1" applyAlignment="1">
      <alignment horizontal="center"/>
    </xf>
    <xf numFmtId="0" fontId="3" fillId="3" borderId="46" xfId="5" applyFont="1" applyFill="1" applyBorder="1" applyAlignment="1">
      <alignment horizontal="center"/>
    </xf>
    <xf numFmtId="9" fontId="4" fillId="0" borderId="0" xfId="7" applyFont="1" applyBorder="1" applyAlignment="1">
      <alignment horizontal="center"/>
    </xf>
    <xf numFmtId="9" fontId="4" fillId="0" borderId="2" xfId="7" applyFont="1" applyBorder="1" applyAlignment="1">
      <alignment horizontal="center"/>
    </xf>
    <xf numFmtId="169" fontId="4" fillId="0" borderId="36" xfId="5" applyNumberFormat="1" applyBorder="1"/>
    <xf numFmtId="0" fontId="4" fillId="0" borderId="46" xfId="5" applyBorder="1"/>
    <xf numFmtId="169" fontId="2" fillId="0" borderId="32" xfId="5" applyNumberFormat="1" applyFont="1" applyBorder="1"/>
    <xf numFmtId="166" fontId="2" fillId="0" borderId="4" xfId="2" applyFill="1" applyBorder="1" applyAlignment="1">
      <alignment horizontal="center" vertical="center"/>
    </xf>
    <xf numFmtId="166" fontId="10" fillId="0" borderId="4" xfId="2" applyFont="1" applyFill="1" applyBorder="1" applyAlignment="1">
      <alignment horizontal="center" vertical="center"/>
    </xf>
    <xf numFmtId="4" fontId="0" fillId="0" borderId="4" xfId="0" applyNumberFormat="1" applyBorder="1" applyAlignment="1">
      <alignment horizontal="center" vertical="center"/>
    </xf>
    <xf numFmtId="0" fontId="2" fillId="0" borderId="40" xfId="5" applyFont="1" applyBorder="1"/>
    <xf numFmtId="0" fontId="4" fillId="0" borderId="41" xfId="5" applyBorder="1"/>
    <xf numFmtId="0" fontId="4" fillId="0" borderId="43" xfId="5" applyBorder="1"/>
    <xf numFmtId="17" fontId="67" fillId="0" borderId="29" xfId="0" applyNumberFormat="1" applyFont="1" applyBorder="1" applyAlignment="1">
      <alignment horizontal="center"/>
    </xf>
    <xf numFmtId="174" fontId="19" fillId="0" borderId="23" xfId="10" applyNumberFormat="1" applyFont="1" applyBorder="1" applyAlignment="1">
      <alignment horizontal="right"/>
    </xf>
    <xf numFmtId="165" fontId="0" fillId="0" borderId="15" xfId="0" applyNumberFormat="1" applyBorder="1"/>
    <xf numFmtId="0" fontId="4" fillId="0" borderId="44" xfId="5" applyBorder="1"/>
    <xf numFmtId="0" fontId="4" fillId="0" borderId="39" xfId="5" applyBorder="1"/>
    <xf numFmtId="0" fontId="2" fillId="0" borderId="42" xfId="5" applyFont="1" applyBorder="1"/>
    <xf numFmtId="0" fontId="4" fillId="0" borderId="2" xfId="5" applyBorder="1"/>
    <xf numFmtId="0" fontId="2" fillId="0" borderId="41" xfId="5" applyFont="1" applyBorder="1"/>
    <xf numFmtId="0" fontId="3" fillId="3" borderId="32" xfId="0" applyFont="1" applyFill="1" applyBorder="1"/>
    <xf numFmtId="0" fontId="3" fillId="3" borderId="36" xfId="5" applyFont="1" applyFill="1" applyBorder="1"/>
    <xf numFmtId="0" fontId="3" fillId="3" borderId="46" xfId="5" applyFont="1" applyFill="1" applyBorder="1"/>
    <xf numFmtId="0" fontId="2" fillId="0" borderId="22" xfId="5" applyFont="1" applyBorder="1"/>
    <xf numFmtId="0" fontId="26" fillId="5" borderId="42" xfId="0" applyFont="1" applyFill="1" applyBorder="1" applyAlignment="1">
      <alignment horizontal="center"/>
    </xf>
    <xf numFmtId="166" fontId="26" fillId="5" borderId="43" xfId="0" applyNumberFormat="1" applyFont="1" applyFill="1" applyBorder="1" applyAlignment="1">
      <alignment horizontal="center"/>
    </xf>
    <xf numFmtId="169" fontId="3" fillId="0" borderId="15" xfId="0" applyNumberFormat="1" applyFont="1" applyBorder="1"/>
    <xf numFmtId="14" fontId="3" fillId="0" borderId="45" xfId="0" applyNumberFormat="1" applyFont="1" applyBorder="1"/>
    <xf numFmtId="14" fontId="3" fillId="0" borderId="47" xfId="0" applyNumberFormat="1" applyFont="1" applyBorder="1"/>
    <xf numFmtId="14" fontId="0" fillId="0" borderId="22" xfId="0" applyNumberFormat="1" applyBorder="1"/>
    <xf numFmtId="0" fontId="69" fillId="0" borderId="0" xfId="0" applyFont="1"/>
    <xf numFmtId="0" fontId="22" fillId="3" borderId="40" xfId="0" applyFont="1" applyFill="1" applyBorder="1" applyAlignment="1">
      <alignment horizontal="center"/>
    </xf>
    <xf numFmtId="0" fontId="22" fillId="3" borderId="44" xfId="0" applyFont="1" applyFill="1" applyBorder="1" applyAlignment="1">
      <alignment horizontal="center"/>
    </xf>
    <xf numFmtId="0" fontId="22" fillId="3" borderId="41" xfId="0" applyFont="1" applyFill="1" applyBorder="1" applyAlignment="1">
      <alignment horizontal="center"/>
    </xf>
    <xf numFmtId="166" fontId="3" fillId="0" borderId="36" xfId="2" applyFont="1" applyFill="1" applyBorder="1" applyAlignment="1">
      <alignment horizontal="center"/>
    </xf>
    <xf numFmtId="0" fontId="3" fillId="22" borderId="45" xfId="0" applyFont="1" applyFill="1" applyBorder="1" applyAlignment="1">
      <alignment horizontal="center"/>
    </xf>
    <xf numFmtId="0" fontId="25" fillId="3" borderId="32" xfId="0" applyFont="1" applyFill="1" applyBorder="1" applyAlignment="1">
      <alignment horizontal="center"/>
    </xf>
    <xf numFmtId="0" fontId="25" fillId="3" borderId="36" xfId="0" applyFont="1" applyFill="1" applyBorder="1" applyAlignment="1">
      <alignment horizontal="center"/>
    </xf>
    <xf numFmtId="0" fontId="25" fillId="3" borderId="46" xfId="0" applyFont="1" applyFill="1" applyBorder="1" applyAlignment="1">
      <alignment horizontal="center"/>
    </xf>
    <xf numFmtId="0" fontId="22" fillId="3" borderId="32" xfId="0" applyFont="1" applyFill="1" applyBorder="1" applyAlignment="1">
      <alignment horizontal="center"/>
    </xf>
    <xf numFmtId="0" fontId="22" fillId="3" borderId="36" xfId="0" applyFont="1" applyFill="1" applyBorder="1" applyAlignment="1">
      <alignment horizontal="center"/>
    </xf>
    <xf numFmtId="0" fontId="22" fillId="3" borderId="46" xfId="0" applyFont="1" applyFill="1" applyBorder="1" applyAlignment="1">
      <alignment horizontal="center"/>
    </xf>
    <xf numFmtId="0" fontId="26" fillId="22" borderId="4" xfId="0" applyFont="1" applyFill="1" applyBorder="1" applyAlignment="1">
      <alignment horizontal="center"/>
    </xf>
    <xf numFmtId="166" fontId="3" fillId="0" borderId="32" xfId="2" applyFont="1" applyFill="1" applyBorder="1" applyAlignment="1">
      <alignment horizontal="center"/>
    </xf>
    <xf numFmtId="166" fontId="3" fillId="0" borderId="46" xfId="2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22" fillId="3" borderId="15" xfId="0" applyFont="1" applyFill="1" applyBorder="1" applyAlignment="1">
      <alignment horizontal="center"/>
    </xf>
    <xf numFmtId="0" fontId="22" fillId="3" borderId="0" xfId="0" applyFont="1" applyFill="1" applyAlignment="1">
      <alignment horizontal="center"/>
    </xf>
    <xf numFmtId="0" fontId="22" fillId="3" borderId="39" xfId="0" applyFont="1" applyFill="1" applyBorder="1" applyAlignment="1">
      <alignment horizontal="center"/>
    </xf>
    <xf numFmtId="0" fontId="3" fillId="3" borderId="42" xfId="0" applyFont="1" applyFill="1" applyBorder="1" applyAlignment="1">
      <alignment horizontal="center"/>
    </xf>
    <xf numFmtId="0" fontId="3" fillId="3" borderId="43" xfId="0" applyFont="1" applyFill="1" applyBorder="1" applyAlignment="1">
      <alignment horizontal="center"/>
    </xf>
    <xf numFmtId="0" fontId="64" fillId="9" borderId="2" xfId="6" applyFont="1" applyFill="1" applyBorder="1" applyAlignment="1">
      <alignment horizontal="center"/>
    </xf>
    <xf numFmtId="0" fontId="64" fillId="15" borderId="2" xfId="6" applyFont="1" applyFill="1" applyBorder="1" applyAlignment="1">
      <alignment horizontal="center"/>
    </xf>
    <xf numFmtId="169" fontId="59" fillId="0" borderId="44" xfId="5" applyNumberFormat="1" applyFont="1" applyBorder="1" applyAlignment="1">
      <alignment horizontal="center"/>
    </xf>
    <xf numFmtId="169" fontId="59" fillId="0" borderId="41" xfId="5" applyNumberFormat="1" applyFont="1" applyBorder="1" applyAlignment="1">
      <alignment horizontal="center"/>
    </xf>
    <xf numFmtId="169" fontId="61" fillId="6" borderId="2" xfId="5" applyNumberFormat="1" applyFont="1" applyFill="1" applyBorder="1" applyAlignment="1">
      <alignment horizontal="center"/>
    </xf>
    <xf numFmtId="169" fontId="61" fillId="6" borderId="43" xfId="5" applyNumberFormat="1" applyFont="1" applyFill="1" applyBorder="1" applyAlignment="1">
      <alignment horizontal="center"/>
    </xf>
    <xf numFmtId="0" fontId="28" fillId="20" borderId="0" xfId="5" applyFont="1" applyFill="1" applyAlignment="1">
      <alignment horizontal="center" vertical="center"/>
    </xf>
    <xf numFmtId="0" fontId="35" fillId="14" borderId="15" xfId="5" applyFont="1" applyFill="1" applyBorder="1" applyAlignment="1">
      <alignment horizontal="center"/>
    </xf>
    <xf numFmtId="0" fontId="35" fillId="14" borderId="0" xfId="5" applyFont="1" applyFill="1" applyAlignment="1">
      <alignment horizontal="center"/>
    </xf>
    <xf numFmtId="0" fontId="64" fillId="7" borderId="2" xfId="6" applyFont="1" applyFill="1" applyBorder="1" applyAlignment="1">
      <alignment horizontal="center"/>
    </xf>
    <xf numFmtId="0" fontId="65" fillId="4" borderId="40" xfId="5" applyFont="1" applyFill="1" applyBorder="1" applyAlignment="1">
      <alignment horizontal="center"/>
    </xf>
    <xf numFmtId="0" fontId="65" fillId="4" borderId="44" xfId="5" applyFont="1" applyFill="1" applyBorder="1" applyAlignment="1">
      <alignment horizontal="center"/>
    </xf>
    <xf numFmtId="0" fontId="56" fillId="4" borderId="36" xfId="5" applyFont="1" applyFill="1" applyBorder="1" applyAlignment="1">
      <alignment horizontal="center" vertical="center" wrapText="1"/>
    </xf>
    <xf numFmtId="169" fontId="1" fillId="0" borderId="44" xfId="5" applyNumberFormat="1" applyFont="1" applyBorder="1" applyAlignment="1">
      <alignment horizontal="center"/>
    </xf>
    <xf numFmtId="169" fontId="4" fillId="0" borderId="0" xfId="5" applyNumberFormat="1" applyAlignment="1">
      <alignment horizontal="center"/>
    </xf>
    <xf numFmtId="0" fontId="60" fillId="7" borderId="44" xfId="5" applyFont="1" applyFill="1" applyBorder="1" applyAlignment="1">
      <alignment horizontal="center"/>
    </xf>
    <xf numFmtId="0" fontId="60" fillId="7" borderId="41" xfId="5" applyFont="1" applyFill="1" applyBorder="1" applyAlignment="1">
      <alignment horizontal="center"/>
    </xf>
    <xf numFmtId="0" fontId="28" fillId="20" borderId="0" xfId="5" applyFont="1" applyFill="1" applyAlignment="1">
      <alignment horizontal="center"/>
    </xf>
    <xf numFmtId="0" fontId="31" fillId="15" borderId="32" xfId="5" applyFont="1" applyFill="1" applyBorder="1" applyAlignment="1">
      <alignment horizontal="center"/>
    </xf>
    <xf numFmtId="0" fontId="31" fillId="15" borderId="36" xfId="5" applyFont="1" applyFill="1" applyBorder="1" applyAlignment="1">
      <alignment horizontal="center"/>
    </xf>
    <xf numFmtId="0" fontId="31" fillId="15" borderId="46" xfId="5" applyFont="1" applyFill="1" applyBorder="1" applyAlignment="1">
      <alignment horizontal="center"/>
    </xf>
    <xf numFmtId="0" fontId="31" fillId="17" borderId="40" xfId="5" applyFont="1" applyFill="1" applyBorder="1" applyAlignment="1">
      <alignment horizontal="center"/>
    </xf>
    <xf numFmtId="0" fontId="31" fillId="17" borderId="44" xfId="5" applyFont="1" applyFill="1" applyBorder="1" applyAlignment="1">
      <alignment horizontal="center"/>
    </xf>
    <xf numFmtId="0" fontId="31" fillId="17" borderId="41" xfId="5" applyFont="1" applyFill="1" applyBorder="1" applyAlignment="1">
      <alignment horizontal="center"/>
    </xf>
    <xf numFmtId="0" fontId="36" fillId="3" borderId="32" xfId="0" applyFont="1" applyFill="1" applyBorder="1" applyAlignment="1">
      <alignment horizontal="center"/>
    </xf>
    <xf numFmtId="0" fontId="36" fillId="3" borderId="36" xfId="0" applyFont="1" applyFill="1" applyBorder="1" applyAlignment="1">
      <alignment horizontal="center"/>
    </xf>
    <xf numFmtId="0" fontId="36" fillId="3" borderId="46" xfId="0" applyFont="1" applyFill="1" applyBorder="1" applyAlignment="1">
      <alignment horizontal="center"/>
    </xf>
    <xf numFmtId="0" fontId="36" fillId="3" borderId="42" xfId="0" applyFont="1" applyFill="1" applyBorder="1" applyAlignment="1">
      <alignment horizontal="center"/>
    </xf>
    <xf numFmtId="0" fontId="36" fillId="3" borderId="2" xfId="0" applyFont="1" applyFill="1" applyBorder="1" applyAlignment="1">
      <alignment horizontal="center"/>
    </xf>
    <xf numFmtId="0" fontId="36" fillId="0" borderId="32" xfId="0" applyFont="1" applyBorder="1" applyAlignment="1">
      <alignment horizontal="center"/>
    </xf>
    <xf numFmtId="0" fontId="36" fillId="0" borderId="36" xfId="0" applyFont="1" applyBorder="1" applyAlignment="1">
      <alignment horizontal="center"/>
    </xf>
    <xf numFmtId="0" fontId="36" fillId="0" borderId="46" xfId="0" applyFont="1" applyBorder="1" applyAlignment="1">
      <alignment horizontal="center"/>
    </xf>
    <xf numFmtId="0" fontId="3" fillId="0" borderId="45" xfId="0" applyFont="1" applyBorder="1" applyAlignment="1">
      <alignment horizontal="center" vertical="center" textRotation="255" wrapText="1"/>
    </xf>
    <xf numFmtId="0" fontId="3" fillId="0" borderId="47" xfId="0" applyFont="1" applyBorder="1" applyAlignment="1">
      <alignment horizontal="center" vertical="center" textRotation="255" wrapText="1"/>
    </xf>
    <xf numFmtId="0" fontId="3" fillId="0" borderId="22" xfId="0" applyFont="1" applyBorder="1" applyAlignment="1">
      <alignment horizontal="center" vertical="center" textRotation="255" wrapText="1"/>
    </xf>
    <xf numFmtId="0" fontId="3" fillId="0" borderId="45" xfId="0" applyFont="1" applyBorder="1" applyAlignment="1">
      <alignment horizontal="center" vertical="center" textRotation="255"/>
    </xf>
    <xf numFmtId="0" fontId="3" fillId="0" borderId="47" xfId="0" applyFont="1" applyBorder="1" applyAlignment="1">
      <alignment horizontal="center" vertical="center" textRotation="255"/>
    </xf>
    <xf numFmtId="0" fontId="3" fillId="0" borderId="22" xfId="0" applyFont="1" applyBorder="1" applyAlignment="1">
      <alignment horizontal="center" vertical="center" textRotation="255"/>
    </xf>
    <xf numFmtId="0" fontId="3" fillId="0" borderId="45" xfId="0" applyFont="1" applyBorder="1" applyAlignment="1">
      <alignment horizontal="center" textRotation="255"/>
    </xf>
    <xf numFmtId="0" fontId="3" fillId="0" borderId="47" xfId="0" applyFont="1" applyBorder="1" applyAlignment="1">
      <alignment horizontal="center" textRotation="255"/>
    </xf>
    <xf numFmtId="0" fontId="3" fillId="0" borderId="22" xfId="0" applyFont="1" applyBorder="1" applyAlignment="1">
      <alignment horizontal="center" textRotation="255"/>
    </xf>
    <xf numFmtId="0" fontId="68" fillId="23" borderId="0" xfId="0" applyFont="1" applyFill="1" applyAlignment="1">
      <alignment horizontal="center" vertical="center"/>
    </xf>
    <xf numFmtId="0" fontId="17" fillId="0" borderId="1" xfId="0" applyFont="1" applyBorder="1" applyAlignment="1">
      <alignment horizontal="center" wrapText="1"/>
    </xf>
    <xf numFmtId="0" fontId="17" fillId="0" borderId="17" xfId="0" applyFont="1" applyBorder="1" applyAlignment="1">
      <alignment horizontal="center" wrapText="1"/>
    </xf>
    <xf numFmtId="0" fontId="17" fillId="0" borderId="18" xfId="0" applyFont="1" applyBorder="1" applyAlignment="1">
      <alignment horizontal="center" wrapText="1"/>
    </xf>
    <xf numFmtId="0" fontId="16" fillId="0" borderId="50" xfId="0" applyFont="1" applyBorder="1" applyAlignment="1">
      <alignment horizontal="left" wrapText="1"/>
    </xf>
    <xf numFmtId="0" fontId="16" fillId="0" borderId="51" xfId="0" applyFont="1" applyBorder="1" applyAlignment="1">
      <alignment horizontal="left" wrapText="1"/>
    </xf>
    <xf numFmtId="0" fontId="16" fillId="0" borderId="26" xfId="0" applyFont="1" applyBorder="1" applyAlignment="1">
      <alignment horizontal="left" wrapText="1"/>
    </xf>
    <xf numFmtId="0" fontId="17" fillId="0" borderId="29" xfId="0" applyFont="1" applyBorder="1" applyAlignment="1">
      <alignment horizontal="left" wrapText="1"/>
    </xf>
    <xf numFmtId="0" fontId="17" fillId="0" borderId="46" xfId="0" applyFont="1" applyBorder="1" applyAlignment="1">
      <alignment horizontal="left" wrapText="1"/>
    </xf>
    <xf numFmtId="0" fontId="17" fillId="0" borderId="4" xfId="0" applyFont="1" applyBorder="1" applyAlignment="1">
      <alignment horizontal="left" wrapText="1"/>
    </xf>
    <xf numFmtId="0" fontId="12" fillId="0" borderId="1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1" fillId="0" borderId="29" xfId="0" applyFont="1" applyBorder="1" applyAlignment="1">
      <alignment horizontal="left" wrapText="1"/>
    </xf>
    <xf numFmtId="0" fontId="11" fillId="0" borderId="46" xfId="0" applyFont="1" applyBorder="1" applyAlignment="1">
      <alignment horizontal="left" wrapText="1"/>
    </xf>
    <xf numFmtId="0" fontId="17" fillId="0" borderId="13" xfId="0" applyFont="1" applyBorder="1" applyAlignment="1">
      <alignment horizontal="left" wrapText="1"/>
    </xf>
    <xf numFmtId="0" fontId="17" fillId="0" borderId="52" xfId="0" applyFont="1" applyBorder="1" applyAlignment="1">
      <alignment horizontal="left" wrapText="1"/>
    </xf>
    <xf numFmtId="0" fontId="17" fillId="0" borderId="30" xfId="0" applyFont="1" applyBorder="1" applyAlignment="1">
      <alignment horizontal="left" wrapText="1"/>
    </xf>
    <xf numFmtId="0" fontId="17" fillId="0" borderId="53" xfId="0" applyFont="1" applyBorder="1" applyAlignment="1">
      <alignment horizontal="left" wrapText="1"/>
    </xf>
    <xf numFmtId="0" fontId="17" fillId="0" borderId="41" xfId="0" applyFont="1" applyBorder="1" applyAlignment="1">
      <alignment horizontal="left" wrapText="1"/>
    </xf>
    <xf numFmtId="0" fontId="17" fillId="0" borderId="45" xfId="0" applyFont="1" applyBorder="1" applyAlignment="1">
      <alignment horizontal="left" wrapText="1"/>
    </xf>
    <xf numFmtId="0" fontId="16" fillId="0" borderId="27" xfId="0" applyFont="1" applyBorder="1" applyAlignment="1">
      <alignment horizontal="left" wrapText="1"/>
    </xf>
    <xf numFmtId="0" fontId="16" fillId="0" borderId="38" xfId="0" applyFont="1" applyBorder="1" applyAlignment="1">
      <alignment horizontal="left" wrapText="1"/>
    </xf>
    <xf numFmtId="0" fontId="16" fillId="0" borderId="28" xfId="0" applyFont="1" applyBorder="1" applyAlignment="1">
      <alignment horizontal="left" wrapText="1"/>
    </xf>
    <xf numFmtId="0" fontId="12" fillId="4" borderId="1" xfId="0" applyFont="1" applyFill="1" applyBorder="1" applyAlignment="1">
      <alignment horizontal="center"/>
    </xf>
    <xf numFmtId="0" fontId="12" fillId="4" borderId="17" xfId="0" applyFont="1" applyFill="1" applyBorder="1" applyAlignment="1">
      <alignment horizontal="center"/>
    </xf>
    <xf numFmtId="0" fontId="12" fillId="4" borderId="18" xfId="0" applyFont="1" applyFill="1" applyBorder="1" applyAlignment="1">
      <alignment horizontal="center"/>
    </xf>
    <xf numFmtId="0" fontId="16" fillId="0" borderId="50" xfId="0" applyFont="1" applyBorder="1" applyAlignment="1">
      <alignment horizontal="center" wrapText="1"/>
    </xf>
    <xf numFmtId="0" fontId="16" fillId="0" borderId="51" xfId="0" applyFont="1" applyBorder="1" applyAlignment="1">
      <alignment horizontal="center" wrapText="1"/>
    </xf>
    <xf numFmtId="0" fontId="16" fillId="0" borderId="26" xfId="0" applyFont="1" applyBorder="1" applyAlignment="1">
      <alignment horizont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166" fontId="45" fillId="21" borderId="40" xfId="2" applyFont="1" applyFill="1" applyBorder="1" applyAlignment="1">
      <alignment horizontal="center"/>
    </xf>
    <xf numFmtId="166" fontId="45" fillId="21" borderId="41" xfId="2" applyFont="1" applyFill="1" applyBorder="1" applyAlignment="1">
      <alignment horizontal="center"/>
    </xf>
    <xf numFmtId="0" fontId="45" fillId="21" borderId="40" xfId="0" applyFont="1" applyFill="1" applyBorder="1" applyAlignment="1">
      <alignment horizontal="center"/>
    </xf>
    <xf numFmtId="0" fontId="45" fillId="21" borderId="41" xfId="0" applyFont="1" applyFill="1" applyBorder="1" applyAlignment="1">
      <alignment horizontal="center"/>
    </xf>
    <xf numFmtId="0" fontId="34" fillId="0" borderId="40" xfId="5" applyFont="1" applyBorder="1" applyAlignment="1">
      <alignment horizontal="center"/>
    </xf>
    <xf numFmtId="0" fontId="34" fillId="0" borderId="44" xfId="5" applyFont="1" applyBorder="1" applyAlignment="1">
      <alignment horizontal="center"/>
    </xf>
    <xf numFmtId="0" fontId="34" fillId="0" borderId="41" xfId="5" applyFont="1" applyBorder="1" applyAlignment="1">
      <alignment horizontal="center"/>
    </xf>
  </cellXfs>
  <cellStyles count="11">
    <cellStyle name="Entrada" xfId="1" builtinId="20"/>
    <cellStyle name="Millares" xfId="2" builtinId="3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3" xfId="6" xr:uid="{00000000-0005-0000-0000-000006000000}"/>
    <cellStyle name="Normal 4" xfId="10" xr:uid="{EEA8DE2B-916C-4F68-B49B-B278A8E2DB62}"/>
    <cellStyle name="Porcentaje" xfId="7" builtinId="5"/>
    <cellStyle name="Porcentaje 2" xfId="8" xr:uid="{00000000-0005-0000-0000-000008000000}"/>
    <cellStyle name="Porcentaje 3" xfId="9" xr:uid="{00000000-0005-0000-0000-000009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sz="3200">
                <a:solidFill>
                  <a:schemeClr val="tx1"/>
                </a:solidFill>
              </a:rPr>
              <a:t>Tipos de Gastos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857461489429698E-2"/>
          <c:y val="0.13275023333281769"/>
          <c:w val="0.61574063909372212"/>
          <c:h val="0.72884839296856063"/>
        </c:manualLayout>
      </c:layout>
      <c:doughnutChart>
        <c:varyColors val="1"/>
        <c:ser>
          <c:idx val="1"/>
          <c:order val="0"/>
          <c:tx>
            <c:v>Gastos</c:v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A21-4C55-AB5D-3413701D59E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1A21-4C55-AB5D-3413701D59E6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1A21-4C55-AB5D-3413701D59E6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1A21-4C55-AB5D-3413701D59E6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1A21-4C55-AB5D-3413701D59E6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1A21-4C55-AB5D-3413701D59E6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1A21-4C55-AB5D-3413701D59E6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1A21-4C55-AB5D-3413701D59E6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1A21-4C55-AB5D-3413701D59E6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1A21-4C55-AB5D-3413701D59E6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1A21-4C55-AB5D-3413701D59E6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1A21-4C55-AB5D-3413701D59E6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C-1A21-4C55-AB5D-3413701D59E6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0D-1A21-4C55-AB5D-3413701D59E6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0E-1A21-4C55-AB5D-3413701D59E6}"/>
              </c:ext>
            </c:extLst>
          </c:dPt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0F-1A21-4C55-AB5D-3413701D59E6}"/>
              </c:ext>
            </c:extLst>
          </c:dPt>
          <c:dPt>
            <c:idx val="16"/>
            <c:bubble3D val="0"/>
            <c:extLst>
              <c:ext xmlns:c16="http://schemas.microsoft.com/office/drawing/2014/chart" uri="{C3380CC4-5D6E-409C-BE32-E72D297353CC}">
                <c16:uniqueId val="{00000010-1A21-4C55-AB5D-3413701D59E6}"/>
              </c:ext>
            </c:extLst>
          </c:dPt>
          <c:dPt>
            <c:idx val="17"/>
            <c:bubble3D val="0"/>
            <c:extLst>
              <c:ext xmlns:c16="http://schemas.microsoft.com/office/drawing/2014/chart" uri="{C3380CC4-5D6E-409C-BE32-E72D297353CC}">
                <c16:uniqueId val="{00000011-1A21-4C55-AB5D-3413701D59E6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12-1A21-4C55-AB5D-3413701D59E6}"/>
              </c:ext>
            </c:extLst>
          </c:dPt>
          <c:dPt>
            <c:idx val="19"/>
            <c:bubble3D val="0"/>
            <c:extLst>
              <c:ext xmlns:c16="http://schemas.microsoft.com/office/drawing/2014/chart" uri="{C3380CC4-5D6E-409C-BE32-E72D297353CC}">
                <c16:uniqueId val="{00000013-1A21-4C55-AB5D-3413701D59E6}"/>
              </c:ext>
            </c:extLst>
          </c:dPt>
          <c:val>
            <c:numRef>
              <c:f>'Ingresos-Egresos'!$G$65:$G$84</c:f>
              <c:numCache>
                <c:formatCode>_-[$$-2C0A]\ * #,##0.00_-;\-[$$-2C0A]\ * #,##0.00_-;_-[$$-2C0A]\ * "-"??_-;_-@_-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4-1A21-4C55-AB5D-3413701D5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 w="25400">
          <a:noFill/>
        </a:ln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1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Evolución mensual Ventas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45292</c:v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37CD-4C68-ABB9-4BC84A1EE2F8}"/>
            </c:ext>
          </c:extLst>
        </c:ser>
        <c:ser>
          <c:idx val="1"/>
          <c:order val="1"/>
          <c:tx>
            <c:v>45323</c:v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CD-4C68-ABB9-4BC84A1EE2F8}"/>
            </c:ext>
          </c:extLst>
        </c:ser>
        <c:ser>
          <c:idx val="2"/>
          <c:order val="2"/>
          <c:tx>
            <c:v>45352</c:v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37CD-4C68-ABB9-4BC84A1EE2F8}"/>
            </c:ext>
          </c:extLst>
        </c:ser>
        <c:ser>
          <c:idx val="3"/>
          <c:order val="3"/>
          <c:tx>
            <c:v>45383</c:v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37CD-4C68-ABB9-4BC84A1EE2F8}"/>
            </c:ext>
          </c:extLst>
        </c:ser>
        <c:ser>
          <c:idx val="4"/>
          <c:order val="4"/>
          <c:tx>
            <c:v>45413</c:v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37CD-4C68-ABB9-4BC84A1EE2F8}"/>
            </c:ext>
          </c:extLst>
        </c:ser>
        <c:ser>
          <c:idx val="5"/>
          <c:order val="5"/>
          <c:tx>
            <c:v>45444</c:v>
          </c:tx>
          <c:spPr>
            <a:solidFill>
              <a:srgbClr val="F7964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CD-4C68-ABB9-4BC84A1EE2F8}"/>
            </c:ext>
          </c:extLst>
        </c:ser>
        <c:ser>
          <c:idx val="6"/>
          <c:order val="6"/>
          <c:tx>
            <c:v>45474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37CD-4C68-ABB9-4BC84A1EE2F8}"/>
            </c:ext>
          </c:extLst>
        </c:ser>
        <c:ser>
          <c:idx val="7"/>
          <c:order val="7"/>
          <c:tx>
            <c:v>45505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37CD-4C68-ABB9-4BC84A1EE2F8}"/>
            </c:ext>
          </c:extLst>
        </c:ser>
        <c:ser>
          <c:idx val="8"/>
          <c:order val="8"/>
          <c:tx>
            <c:v>45536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37CD-4C68-ABB9-4BC84A1EE2F8}"/>
            </c:ext>
          </c:extLst>
        </c:ser>
        <c:ser>
          <c:idx val="9"/>
          <c:order val="9"/>
          <c:tx>
            <c:v>45566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CD-4C68-ABB9-4BC84A1EE2F8}"/>
            </c:ext>
          </c:extLst>
        </c:ser>
        <c:ser>
          <c:idx val="10"/>
          <c:order val="10"/>
          <c:tx>
            <c:v>45597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37CD-4C68-ABB9-4BC84A1EE2F8}"/>
            </c:ext>
          </c:extLst>
        </c:ser>
        <c:ser>
          <c:idx val="11"/>
          <c:order val="11"/>
          <c:tx>
            <c:v>45627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Ventas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37CD-4C68-ABB9-4BC84A1EE2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0242095"/>
        <c:axId val="1"/>
        <c:axId val="0"/>
      </c:bar3DChart>
      <c:catAx>
        <c:axId val="58024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024209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Evolución mensual Compras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v>45292</c:v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DA-4970-9AA6-CE8B2A10DADD}"/>
            </c:ext>
          </c:extLst>
        </c:ser>
        <c:ser>
          <c:idx val="1"/>
          <c:order val="1"/>
          <c:tx>
            <c:v>45323</c:v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6DA-4970-9AA6-CE8B2A10DADD}"/>
            </c:ext>
          </c:extLst>
        </c:ser>
        <c:ser>
          <c:idx val="2"/>
          <c:order val="2"/>
          <c:tx>
            <c:v>45352</c:v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86DA-4970-9AA6-CE8B2A10DADD}"/>
            </c:ext>
          </c:extLst>
        </c:ser>
        <c:ser>
          <c:idx val="3"/>
          <c:order val="3"/>
          <c:tx>
            <c:v>45383</c:v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86DA-4970-9AA6-CE8B2A10DADD}"/>
            </c:ext>
          </c:extLst>
        </c:ser>
        <c:ser>
          <c:idx val="4"/>
          <c:order val="4"/>
          <c:tx>
            <c:v>45413</c:v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86DA-4970-9AA6-CE8B2A10DADD}"/>
            </c:ext>
          </c:extLst>
        </c:ser>
        <c:ser>
          <c:idx val="5"/>
          <c:order val="5"/>
          <c:tx>
            <c:v>45444</c:v>
          </c:tx>
          <c:spPr>
            <a:solidFill>
              <a:srgbClr val="F79646"/>
            </a:solidFill>
            <a:ln w="25400">
              <a:noFill/>
            </a:ln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6DA-4970-9AA6-CE8B2A10DADD}"/>
            </c:ext>
          </c:extLst>
        </c:ser>
        <c:ser>
          <c:idx val="6"/>
          <c:order val="6"/>
          <c:tx>
            <c:v>45474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86DA-4970-9AA6-CE8B2A10DADD}"/>
            </c:ext>
          </c:extLst>
        </c:ser>
        <c:ser>
          <c:idx val="7"/>
          <c:order val="7"/>
          <c:tx>
            <c:v>45505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7-86DA-4970-9AA6-CE8B2A10DADD}"/>
            </c:ext>
          </c:extLst>
        </c:ser>
        <c:ser>
          <c:idx val="8"/>
          <c:order val="8"/>
          <c:tx>
            <c:v>45536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86DA-4970-9AA6-CE8B2A10DADD}"/>
            </c:ext>
          </c:extLst>
        </c:ser>
        <c:ser>
          <c:idx val="9"/>
          <c:order val="9"/>
          <c:tx>
            <c:v>45566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6DA-4970-9AA6-CE8B2A10DADD}"/>
            </c:ext>
          </c:extLst>
        </c:ser>
        <c:ser>
          <c:idx val="10"/>
          <c:order val="10"/>
          <c:tx>
            <c:v>45597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86DA-4970-9AA6-CE8B2A10DADD}"/>
            </c:ext>
          </c:extLst>
        </c:ser>
        <c:ser>
          <c:idx val="11"/>
          <c:order val="11"/>
          <c:tx>
            <c:v>45627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Lit>
              <c:ptCount val="1"/>
              <c:pt idx="0">
                <c:v>Compras</c:v>
              </c:pt>
            </c:str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86DA-4970-9AA6-CE8B2A10D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0242575"/>
        <c:axId val="1"/>
        <c:axId val="0"/>
      </c:bar3DChart>
      <c:catAx>
        <c:axId val="58024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580242575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AR" sz="3200">
                <a:solidFill>
                  <a:schemeClr val="tx1"/>
                </a:solidFill>
              </a:rPr>
              <a:t>Tipos de Gastos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857461489429698E-2"/>
          <c:y val="0.13275023333281769"/>
          <c:w val="0.61574063909372212"/>
          <c:h val="0.72884839296856063"/>
        </c:manualLayout>
      </c:layout>
      <c:doughnutChart>
        <c:varyColors val="1"/>
        <c:ser>
          <c:idx val="0"/>
          <c:order val="0"/>
          <c:tx>
            <c:strRef>
              <c:f>'[1]Ingresos-Egresos'!$E$65:$E$89</c:f>
              <c:strCache>
                <c:ptCount val="1"/>
                <c:pt idx="0">
                  <c:v>Ferretería y Productos Varios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45B-4744-A5ED-73682D95C82C}"/>
              </c:ext>
            </c:extLst>
          </c:dPt>
          <c:dPt>
            <c:idx val="1"/>
            <c:bubble3D val="0"/>
            <c:spPr>
              <a:solidFill>
                <a:srgbClr val="3333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A45B-4744-A5ED-73682D95C82C}"/>
              </c:ext>
            </c:extLst>
          </c:dPt>
          <c:dPt>
            <c:idx val="2"/>
            <c:bubble3D val="0"/>
            <c:spPr>
              <a:solidFill>
                <a:schemeClr val="tx1">
                  <a:lumMod val="85000"/>
                  <a:lumOff val="1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45B-4744-A5ED-73682D95C82C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45B-4744-A5ED-73682D95C82C}"/>
              </c:ext>
            </c:extLst>
          </c:dPt>
          <c:dPt>
            <c:idx val="4"/>
            <c:bubble3D val="0"/>
            <c:spPr>
              <a:solidFill>
                <a:srgbClr val="66FF99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9-A45B-4744-A5ED-73682D95C82C}"/>
              </c:ext>
            </c:extLst>
          </c:dPt>
          <c:dPt>
            <c:idx val="5"/>
            <c:bubble3D val="0"/>
            <c: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45B-4744-A5ED-73682D95C82C}"/>
              </c:ext>
            </c:extLst>
          </c:dPt>
          <c:dPt>
            <c:idx val="6"/>
            <c:bubble3D val="0"/>
            <c:spPr>
              <a:solidFill>
                <a:srgbClr val="FFFFCC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D-A45B-4744-A5ED-73682D95C82C}"/>
              </c:ext>
            </c:extLst>
          </c:dPt>
          <c:dPt>
            <c:idx val="7"/>
            <c:bubble3D val="0"/>
            <c:spPr>
              <a:gradFill>
                <a:gsLst>
                  <a:gs pos="100000">
                    <a:schemeClr val="accent2">
                      <a:lumMod val="60000"/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A45B-4744-A5ED-73682D95C82C}"/>
              </c:ext>
            </c:extLst>
          </c:dPt>
          <c:dPt>
            <c:idx val="8"/>
            <c:bubble3D val="0"/>
            <c:spPr>
              <a:solidFill>
                <a:srgbClr val="FF9933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1-A45B-4744-A5ED-73682D95C82C}"/>
              </c:ext>
            </c:extLst>
          </c:dPt>
          <c:dPt>
            <c:idx val="9"/>
            <c:bubble3D val="0"/>
            <c:spPr>
              <a:solidFill>
                <a:srgbClr val="00FF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3-A45B-4744-A5ED-73682D95C82C}"/>
              </c:ext>
            </c:extLst>
          </c:dPt>
          <c:dPt>
            <c:idx val="10"/>
            <c:bubble3D val="0"/>
            <c:spPr>
              <a:solidFill>
                <a:srgbClr val="33CC33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5-A45B-4744-A5ED-73682D95C82C}"/>
              </c:ext>
            </c:extLst>
          </c:dPt>
          <c:dPt>
            <c:idx val="11"/>
            <c:bubble3D val="0"/>
            <c:spPr>
              <a:solidFill>
                <a:srgbClr val="FF66CC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7-A45B-4744-A5ED-73682D95C82C}"/>
              </c:ext>
            </c:extLst>
          </c:dPt>
          <c:dPt>
            <c:idx val="12"/>
            <c:bubble3D val="0"/>
            <c:spPr>
              <a:gradFill>
                <a:gsLst>
                  <a:gs pos="100000">
                    <a:schemeClr val="accent1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45B-4744-A5ED-73682D95C82C}"/>
              </c:ext>
            </c:extLst>
          </c:dPt>
          <c:dPt>
            <c:idx val="13"/>
            <c:bubble3D val="0"/>
            <c:spPr>
              <a:solidFill>
                <a:srgbClr val="CC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B-A45B-4744-A5ED-73682D95C82C}"/>
              </c:ext>
            </c:extLst>
          </c:dPt>
          <c:dPt>
            <c:idx val="14"/>
            <c:bubble3D val="0"/>
            <c:spPr>
              <a:solidFill>
                <a:srgbClr val="FFCCF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A45B-4744-A5ED-73682D95C82C}"/>
              </c:ext>
            </c:extLst>
          </c:dPt>
          <c:dPt>
            <c:idx val="15"/>
            <c:bubble3D val="0"/>
            <c:spPr>
              <a:gradFill>
                <a:gsLst>
                  <a:gs pos="100000">
                    <a:schemeClr val="accent4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A45B-4744-A5ED-73682D95C82C}"/>
              </c:ext>
            </c:extLst>
          </c:dPt>
          <c:dPt>
            <c:idx val="16"/>
            <c:bubble3D val="0"/>
            <c:spPr>
              <a:gradFill>
                <a:gsLst>
                  <a:gs pos="100000">
                    <a:schemeClr val="accent5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A45B-4744-A5ED-73682D95C82C}"/>
              </c:ext>
            </c:extLst>
          </c:dPt>
          <c:dPt>
            <c:idx val="17"/>
            <c:bubble3D val="0"/>
            <c:spPr>
              <a:gradFill>
                <a:gsLst>
                  <a:gs pos="100000">
                    <a:schemeClr val="accent6">
                      <a:lumMod val="80000"/>
                      <a:lumOff val="2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  <a:lumOff val="20000"/>
                    </a:schemeClr>
                  </a:gs>
                </a:gsLst>
                <a:lin ang="54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A45B-4744-A5ED-73682D95C82C}"/>
              </c:ext>
            </c:extLst>
          </c:dPt>
          <c:dPt>
            <c:idx val="18"/>
            <c:bubble3D val="0"/>
            <c:spPr>
              <a:gradFill>
                <a:gsLst>
                  <a:gs pos="100000">
                    <a:schemeClr val="accent1">
                      <a:lumMod val="80000"/>
                      <a:lumMod val="60000"/>
                      <a:lumOff val="40000"/>
                    </a:schemeClr>
                  </a:gs>
                  <a:gs pos="0">
                    <a:schemeClr val="accent1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45B-4744-A5ED-73682D95C82C}"/>
              </c:ext>
            </c:extLst>
          </c:dPt>
          <c:dPt>
            <c:idx val="19"/>
            <c:bubble3D val="0"/>
            <c:spPr>
              <a:gradFill>
                <a:gsLst>
                  <a:gs pos="100000">
                    <a:schemeClr val="accent2">
                      <a:lumMod val="80000"/>
                      <a:lumMod val="60000"/>
                      <a:lumOff val="40000"/>
                    </a:schemeClr>
                  </a:gs>
                  <a:gs pos="0">
                    <a:schemeClr val="accent2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45B-4744-A5ED-73682D95C82C}"/>
              </c:ext>
            </c:extLst>
          </c:dPt>
          <c:dPt>
            <c:idx val="20"/>
            <c:bubble3D val="0"/>
            <c:spPr>
              <a:gradFill>
                <a:gsLst>
                  <a:gs pos="100000">
                    <a:schemeClr val="accent3">
                      <a:lumMod val="80000"/>
                      <a:lumMod val="60000"/>
                      <a:lumOff val="40000"/>
                    </a:schemeClr>
                  </a:gs>
                  <a:gs pos="0">
                    <a:schemeClr val="accent3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A45B-4744-A5ED-73682D95C82C}"/>
              </c:ext>
            </c:extLst>
          </c:dPt>
          <c:dPt>
            <c:idx val="21"/>
            <c:bubble3D val="0"/>
            <c:spPr>
              <a:gradFill>
                <a:gsLst>
                  <a:gs pos="100000">
                    <a:schemeClr val="accent4">
                      <a:lumMod val="80000"/>
                      <a:lumMod val="60000"/>
                      <a:lumOff val="40000"/>
                    </a:schemeClr>
                  </a:gs>
                  <a:gs pos="0">
                    <a:schemeClr val="accent4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A45B-4744-A5ED-73682D95C82C}"/>
              </c:ext>
            </c:extLst>
          </c:dPt>
          <c:dPt>
            <c:idx val="22"/>
            <c:bubble3D val="0"/>
            <c:spPr>
              <a:gradFill>
                <a:gsLst>
                  <a:gs pos="100000">
                    <a:schemeClr val="accent5">
                      <a:lumMod val="80000"/>
                      <a:lumMod val="60000"/>
                      <a:lumOff val="40000"/>
                    </a:schemeClr>
                  </a:gs>
                  <a:gs pos="0">
                    <a:schemeClr val="accent5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A45B-4744-A5ED-73682D95C82C}"/>
              </c:ext>
            </c:extLst>
          </c:dPt>
          <c:dPt>
            <c:idx val="23"/>
            <c:bubble3D val="0"/>
            <c:spPr>
              <a:gradFill>
                <a:gsLst>
                  <a:gs pos="100000">
                    <a:schemeClr val="accent6">
                      <a:lumMod val="80000"/>
                      <a:lumMod val="60000"/>
                      <a:lumOff val="40000"/>
                    </a:schemeClr>
                  </a:gs>
                  <a:gs pos="0">
                    <a:schemeClr val="accent6">
                      <a:lumMod val="8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A45B-4744-A5ED-73682D95C82C}"/>
              </c:ext>
            </c:extLst>
          </c:dPt>
          <c:dPt>
            <c:idx val="24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  <a:lumOff val="4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A45B-4744-A5ED-73682D95C82C}"/>
              </c:ext>
            </c:extLst>
          </c:dPt>
          <c:cat>
            <c:strRef>
              <c:f>'[1]Ingresos-Egresos'!$E$65:$E$89</c:f>
              <c:strCache>
                <c:ptCount val="25"/>
                <c:pt idx="0">
                  <c:v>Ferretería y Productos Varios</c:v>
                </c:pt>
              </c:strCache>
            </c:strRef>
          </c:cat>
          <c:val>
            <c:numRef>
              <c:f>'[1]Ingresos-Egresos'!$G$65:$G$89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A45B-4744-A5ED-73682D95C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 w="25400">
          <a:noFill/>
        </a:ln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zero"/>
    <c:showDLblsOverMax val="1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Evolución mensual Ventas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'[1]Ingresos-Egresos'!$A$34</c:f>
              <c:strCache>
                <c:ptCount val="1"/>
                <c:pt idx="0">
                  <c:v>45292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'[1]Ingresos-Egresos'!$B$34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EC-47A7-BCFD-D934941D43DD}"/>
            </c:ext>
          </c:extLst>
        </c:ser>
        <c:ser>
          <c:idx val="1"/>
          <c:order val="1"/>
          <c:tx>
            <c:strRef>
              <c:f>'[1]Ingresos-Egresos'!$A$35</c:f>
              <c:strCache>
                <c:ptCount val="1"/>
                <c:pt idx="0">
                  <c:v>45323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'[1]Ingresos-Egresos'!$B$35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EC-47A7-BCFD-D934941D43DD}"/>
            </c:ext>
          </c:extLst>
        </c:ser>
        <c:ser>
          <c:idx val="2"/>
          <c:order val="2"/>
          <c:tx>
            <c:strRef>
              <c:f>'[1]Ingresos-Egresos'!$A$36</c:f>
              <c:strCache>
                <c:ptCount val="1"/>
                <c:pt idx="0">
                  <c:v>45352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'[1]Ingresos-Egresos'!$B$36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C-47A7-BCFD-D934941D43DD}"/>
            </c:ext>
          </c:extLst>
        </c:ser>
        <c:ser>
          <c:idx val="3"/>
          <c:order val="3"/>
          <c:tx>
            <c:strRef>
              <c:f>'[1]Ingresos-Egresos'!$A$37</c:f>
              <c:strCache>
                <c:ptCount val="1"/>
                <c:pt idx="0">
                  <c:v>45383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'[1]Ingresos-Egresos'!$B$37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EC-47A7-BCFD-D934941D43DD}"/>
            </c:ext>
          </c:extLst>
        </c:ser>
        <c:ser>
          <c:idx val="4"/>
          <c:order val="4"/>
          <c:tx>
            <c:strRef>
              <c:f>'[1]Ingresos-Egresos'!$A$38</c:f>
              <c:strCache>
                <c:ptCount val="1"/>
                <c:pt idx="0">
                  <c:v>45413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'[1]Ingresos-Egresos'!$B$38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EEC-47A7-BCFD-D934941D43DD}"/>
            </c:ext>
          </c:extLst>
        </c:ser>
        <c:ser>
          <c:idx val="5"/>
          <c:order val="5"/>
          <c:tx>
            <c:strRef>
              <c:f>'[1]Ingresos-Egresos'!$A$39</c:f>
              <c:strCache>
                <c:ptCount val="1"/>
                <c:pt idx="0">
                  <c:v>45444</c:v>
                </c:pt>
              </c:strCache>
            </c:strRef>
          </c:tx>
          <c:spPr>
            <a:solidFill>
              <a:srgbClr val="F79646"/>
            </a:solidFill>
            <a:ln w="25400">
              <a:noFill/>
            </a:ln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'[1]Ingresos-Egresos'!$B$39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EEC-47A7-BCFD-D934941D43DD}"/>
            </c:ext>
          </c:extLst>
        </c:ser>
        <c:ser>
          <c:idx val="6"/>
          <c:order val="6"/>
          <c:tx>
            <c:strRef>
              <c:f>'[1]Ingresos-Egresos'!$A$40</c:f>
              <c:strCache>
                <c:ptCount val="1"/>
                <c:pt idx="0">
                  <c:v>45474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'[1]Ingresos-Egresos'!$B$40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EEC-47A7-BCFD-D934941D43DD}"/>
            </c:ext>
          </c:extLst>
        </c:ser>
        <c:ser>
          <c:idx val="7"/>
          <c:order val="7"/>
          <c:tx>
            <c:strRef>
              <c:f>'[1]Ingresos-Egresos'!$A$41</c:f>
              <c:strCache>
                <c:ptCount val="1"/>
                <c:pt idx="0">
                  <c:v>45505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'[1]Ingresos-Egresos'!$B$41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EEC-47A7-BCFD-D934941D43DD}"/>
            </c:ext>
          </c:extLst>
        </c:ser>
        <c:ser>
          <c:idx val="8"/>
          <c:order val="8"/>
          <c:tx>
            <c:strRef>
              <c:f>'[1]Ingresos-Egresos'!$A$42</c:f>
              <c:strCache>
                <c:ptCount val="1"/>
                <c:pt idx="0">
                  <c:v>45536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'[1]Ingresos-Egresos'!$B$42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EEC-47A7-BCFD-D934941D43DD}"/>
            </c:ext>
          </c:extLst>
        </c:ser>
        <c:ser>
          <c:idx val="9"/>
          <c:order val="9"/>
          <c:tx>
            <c:strRef>
              <c:f>'[1]Ingresos-Egresos'!$A$43</c:f>
              <c:strCache>
                <c:ptCount val="1"/>
                <c:pt idx="0">
                  <c:v>45566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'[1]Ingresos-Egresos'!$B$43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EEC-47A7-BCFD-D934941D43DD}"/>
            </c:ext>
          </c:extLst>
        </c:ser>
        <c:ser>
          <c:idx val="10"/>
          <c:order val="10"/>
          <c:tx>
            <c:strRef>
              <c:f>'[1]Ingresos-Egresos'!$A$44</c:f>
              <c:strCache>
                <c:ptCount val="1"/>
                <c:pt idx="0">
                  <c:v>45597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'[1]Ingresos-Egresos'!$B$44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EEC-47A7-BCFD-D934941D43DD}"/>
            </c:ext>
          </c:extLst>
        </c:ser>
        <c:ser>
          <c:idx val="11"/>
          <c:order val="11"/>
          <c:tx>
            <c:strRef>
              <c:f>'[1]Ingresos-Egresos'!$A$45</c:f>
              <c:strCache>
                <c:ptCount val="1"/>
                <c:pt idx="0">
                  <c:v>45627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'[1]Ingresos-Egresos'!$B$33</c:f>
              <c:strCache>
                <c:ptCount val="1"/>
                <c:pt idx="0">
                  <c:v>Ventas</c:v>
                </c:pt>
              </c:strCache>
            </c:strRef>
          </c:cat>
          <c:val>
            <c:numRef>
              <c:f>'[1]Ingresos-Egresos'!$B$45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EEC-47A7-BCFD-D934941D4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8661631"/>
        <c:axId val="1"/>
        <c:axId val="0"/>
      </c:bar3DChart>
      <c:catAx>
        <c:axId val="218661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866163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Evolución mensual Compras</a:t>
            </a:r>
          </a:p>
        </c:rich>
      </c:tx>
      <c:overlay val="0"/>
      <c:spPr>
        <a:noFill/>
        <a:ln w="25400">
          <a:noFill/>
        </a:ln>
      </c:sp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'[1]Ingresos-Egresos'!$A$97</c:f>
              <c:strCache>
                <c:ptCount val="1"/>
                <c:pt idx="0">
                  <c:v>45292</c:v>
                </c:pt>
              </c:strCache>
            </c:strRef>
          </c:tx>
          <c:spPr>
            <a:solidFill>
              <a:srgbClr val="4F81BD"/>
            </a:solidFill>
            <a:ln w="25400">
              <a:noFill/>
            </a:ln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'[1]Ingresos-Egresos'!$B$97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0E-4CA4-9DD2-2C243C2A86E8}"/>
            </c:ext>
          </c:extLst>
        </c:ser>
        <c:ser>
          <c:idx val="1"/>
          <c:order val="1"/>
          <c:tx>
            <c:strRef>
              <c:f>'[1]Ingresos-Egresos'!$A$98</c:f>
              <c:strCache>
                <c:ptCount val="1"/>
                <c:pt idx="0">
                  <c:v>45323</c:v>
                </c:pt>
              </c:strCache>
            </c:strRef>
          </c:tx>
          <c:spPr>
            <a:solidFill>
              <a:srgbClr val="C0504D"/>
            </a:solidFill>
            <a:ln w="25400">
              <a:noFill/>
            </a:ln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'[1]Ingresos-Egresos'!$B$98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0E-4CA4-9DD2-2C243C2A86E8}"/>
            </c:ext>
          </c:extLst>
        </c:ser>
        <c:ser>
          <c:idx val="2"/>
          <c:order val="2"/>
          <c:tx>
            <c:strRef>
              <c:f>'[1]Ingresos-Egresos'!$A$99</c:f>
              <c:strCache>
                <c:ptCount val="1"/>
                <c:pt idx="0">
                  <c:v>45352</c:v>
                </c:pt>
              </c:strCache>
            </c:strRef>
          </c:tx>
          <c:spPr>
            <a:solidFill>
              <a:srgbClr val="9BBB59"/>
            </a:solidFill>
            <a:ln w="25400">
              <a:noFill/>
            </a:ln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'[1]Ingresos-Egresos'!$B$99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E-4CA4-9DD2-2C243C2A86E8}"/>
            </c:ext>
          </c:extLst>
        </c:ser>
        <c:ser>
          <c:idx val="3"/>
          <c:order val="3"/>
          <c:tx>
            <c:strRef>
              <c:f>'[1]Ingresos-Egresos'!$A$100</c:f>
              <c:strCache>
                <c:ptCount val="1"/>
                <c:pt idx="0">
                  <c:v>45383</c:v>
                </c:pt>
              </c:strCache>
            </c:strRef>
          </c:tx>
          <c:spPr>
            <a:solidFill>
              <a:srgbClr val="8064A2"/>
            </a:solidFill>
            <a:ln w="25400">
              <a:noFill/>
            </a:ln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0E-4CA4-9DD2-2C243C2A86E8}"/>
            </c:ext>
          </c:extLst>
        </c:ser>
        <c:ser>
          <c:idx val="4"/>
          <c:order val="4"/>
          <c:tx>
            <c:strRef>
              <c:f>'[1]Ingresos-Egresos'!$A$101</c:f>
              <c:strCache>
                <c:ptCount val="1"/>
                <c:pt idx="0">
                  <c:v>45413</c:v>
                </c:pt>
              </c:strCache>
            </c:strRef>
          </c:tx>
          <c:spPr>
            <a:solidFill>
              <a:srgbClr val="4BACC6"/>
            </a:solidFill>
            <a:ln w="25400">
              <a:noFill/>
            </a:ln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0E-4CA4-9DD2-2C243C2A86E8}"/>
            </c:ext>
          </c:extLst>
        </c:ser>
        <c:ser>
          <c:idx val="5"/>
          <c:order val="5"/>
          <c:tx>
            <c:strRef>
              <c:f>'[1]Ingresos-Egresos'!$A$102</c:f>
              <c:strCache>
                <c:ptCount val="1"/>
                <c:pt idx="0">
                  <c:v>45444</c:v>
                </c:pt>
              </c:strCache>
            </c:strRef>
          </c:tx>
          <c:spPr>
            <a:solidFill>
              <a:srgbClr val="F79646"/>
            </a:solidFill>
            <a:ln w="25400">
              <a:noFill/>
            </a:ln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0E-4CA4-9DD2-2C243C2A86E8}"/>
            </c:ext>
          </c:extLst>
        </c:ser>
        <c:ser>
          <c:idx val="6"/>
          <c:order val="6"/>
          <c:tx>
            <c:strRef>
              <c:f>'[1]Ingresos-Egresos'!$A$103</c:f>
              <c:strCache>
                <c:ptCount val="1"/>
                <c:pt idx="0">
                  <c:v>45474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0E-4CA4-9DD2-2C243C2A86E8}"/>
            </c:ext>
          </c:extLst>
        </c:ser>
        <c:ser>
          <c:idx val="7"/>
          <c:order val="7"/>
          <c:tx>
            <c:strRef>
              <c:f>'[1]Ingresos-Egresos'!$A$104</c:f>
              <c:strCache>
                <c:ptCount val="1"/>
                <c:pt idx="0">
                  <c:v>45505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0E-4CA4-9DD2-2C243C2A86E8}"/>
            </c:ext>
          </c:extLst>
        </c:ser>
        <c:ser>
          <c:idx val="8"/>
          <c:order val="8"/>
          <c:tx>
            <c:strRef>
              <c:f>'[1]Ingresos-Egresos'!$A$105</c:f>
              <c:strCache>
                <c:ptCount val="1"/>
                <c:pt idx="0">
                  <c:v>45536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20E-4CA4-9DD2-2C243C2A86E8}"/>
            </c:ext>
          </c:extLst>
        </c:ser>
        <c:ser>
          <c:idx val="9"/>
          <c:order val="9"/>
          <c:tx>
            <c:strRef>
              <c:f>'[1]Ingresos-Egresos'!$A$106</c:f>
              <c:strCache>
                <c:ptCount val="1"/>
                <c:pt idx="0">
                  <c:v>45566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20E-4CA4-9DD2-2C243C2A86E8}"/>
            </c:ext>
          </c:extLst>
        </c:ser>
        <c:ser>
          <c:idx val="10"/>
          <c:order val="10"/>
          <c:tx>
            <c:strRef>
              <c:f>'[1]Ingresos-Egresos'!$A$107</c:f>
              <c:strCache>
                <c:ptCount val="1"/>
                <c:pt idx="0">
                  <c:v>45597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20E-4CA4-9DD2-2C243C2A86E8}"/>
            </c:ext>
          </c:extLst>
        </c:ser>
        <c:ser>
          <c:idx val="11"/>
          <c:order val="11"/>
          <c:tx>
            <c:strRef>
              <c:f>'[1]Ingresos-Egresos'!$A$108</c:f>
              <c:strCache>
                <c:ptCount val="1"/>
                <c:pt idx="0">
                  <c:v>45627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'[1]Ingresos-Egresos'!$B$96</c:f>
              <c:strCache>
                <c:ptCount val="1"/>
                <c:pt idx="0">
                  <c:v>Compras</c:v>
                </c:pt>
              </c:strCache>
            </c:strRef>
          </c:cat>
          <c:val>
            <c:numRef>
              <c:f>'[1]Ingresos-Egresos'!$B$108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20E-4CA4-9DD2-2C243C2A8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107936111"/>
        <c:axId val="1"/>
        <c:axId val="0"/>
      </c:bar3DChart>
      <c:catAx>
        <c:axId val="210793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0793611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Comparativa Montos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ARBA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'[1]Ingresos-Egresos'!$A$11:$A$22</c:f>
              <c:numCache>
                <c:formatCode>General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'[1]Ingresos-Egresos'!$F$11:$F$22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50-4864-83AB-FF16888F8AF3}"/>
            </c:ext>
          </c:extLst>
        </c:ser>
        <c:ser>
          <c:idx val="1"/>
          <c:order val="1"/>
          <c:tx>
            <c:v>Krause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'[1]Ingresos-Egresos'!$A$11:$A$22</c:f>
              <c:numCache>
                <c:formatCode>General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'[1]Ingresos-Egresos'!$J$11:$J$22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50-4864-83AB-FF16888F8AF3}"/>
            </c:ext>
          </c:extLst>
        </c:ser>
        <c:ser>
          <c:idx val="2"/>
          <c:order val="2"/>
          <c:tx>
            <c:v>Mis Comprobantes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'[1]Ingresos-Egresos'!$A$11:$A$22</c:f>
              <c:numCache>
                <c:formatCode>General</c:formatCode>
                <c:ptCount val="12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  <c:pt idx="3">
                  <c:v>45383</c:v>
                </c:pt>
                <c:pt idx="4">
                  <c:v>45413</c:v>
                </c:pt>
                <c:pt idx="5">
                  <c:v>45444</c:v>
                </c:pt>
                <c:pt idx="6">
                  <c:v>45474</c:v>
                </c:pt>
                <c:pt idx="7">
                  <c:v>45505</c:v>
                </c:pt>
                <c:pt idx="8">
                  <c:v>45536</c:v>
                </c:pt>
                <c:pt idx="9">
                  <c:v>45566</c:v>
                </c:pt>
                <c:pt idx="10">
                  <c:v>45597</c:v>
                </c:pt>
                <c:pt idx="11">
                  <c:v>45627</c:v>
                </c:pt>
              </c:numCache>
            </c:numRef>
          </c:cat>
          <c:val>
            <c:numRef>
              <c:f>'[1]Ingresos-Egresos'!$K$11:$K$22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50-4864-83AB-FF16888F8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891391"/>
        <c:axId val="1"/>
      </c:lineChart>
      <c:catAx>
        <c:axId val="2107891391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07891391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0</xdr:row>
      <xdr:rowOff>47625</xdr:rowOff>
    </xdr:from>
    <xdr:to>
      <xdr:col>6</xdr:col>
      <xdr:colOff>981075</xdr:colOff>
      <xdr:row>4</xdr:row>
      <xdr:rowOff>133350</xdr:rowOff>
    </xdr:to>
    <xdr:sp macro="[0]!BorrarContenidoEspecific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907B533-8C81-56D7-EBD1-94495E81AD39}"/>
            </a:ext>
          </a:extLst>
        </xdr:cNvPr>
        <xdr:cNvSpPr/>
      </xdr:nvSpPr>
      <xdr:spPr>
        <a:xfrm>
          <a:off x="9591675" y="47625"/>
          <a:ext cx="2914650" cy="828675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800" b="1" i="1">
              <a:latin typeface="Comic Sans MS" panose="030F0702030302020204" pitchFamily="66" charset="0"/>
            </a:rPr>
            <a:t>Limpiar Formulario (Comenzar desde Cero)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63</xdr:row>
      <xdr:rowOff>0</xdr:rowOff>
    </xdr:from>
    <xdr:to>
      <xdr:col>15</xdr:col>
      <xdr:colOff>657225</xdr:colOff>
      <xdr:row>87</xdr:row>
      <xdr:rowOff>142875</xdr:rowOff>
    </xdr:to>
    <xdr:graphicFrame macro="">
      <xdr:nvGraphicFramePr>
        <xdr:cNvPr id="10386" name="Chart 11">
          <a:extLst>
            <a:ext uri="{FF2B5EF4-FFF2-40B4-BE49-F238E27FC236}">
              <a16:creationId xmlns:a16="http://schemas.microsoft.com/office/drawing/2014/main" id="{4E357555-B4FB-A43A-C422-4D1AB1FA9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314325</xdr:colOff>
      <xdr:row>38</xdr:row>
      <xdr:rowOff>114300</xdr:rowOff>
    </xdr:from>
    <xdr:to>
      <xdr:col>14</xdr:col>
      <xdr:colOff>428625</xdr:colOff>
      <xdr:row>56</xdr:row>
      <xdr:rowOff>57150</xdr:rowOff>
    </xdr:to>
    <xdr:graphicFrame macro="">
      <xdr:nvGraphicFramePr>
        <xdr:cNvPr id="10387" name="Gráfico 2">
          <a:extLst>
            <a:ext uri="{FF2B5EF4-FFF2-40B4-BE49-F238E27FC236}">
              <a16:creationId xmlns:a16="http://schemas.microsoft.com/office/drawing/2014/main" id="{BF6D3D82-9E4F-3DE3-4629-F5CB3A0B4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590550</xdr:colOff>
      <xdr:row>101</xdr:row>
      <xdr:rowOff>85725</xdr:rowOff>
    </xdr:from>
    <xdr:to>
      <xdr:col>14</xdr:col>
      <xdr:colOff>647700</xdr:colOff>
      <xdr:row>119</xdr:row>
      <xdr:rowOff>28575</xdr:rowOff>
    </xdr:to>
    <xdr:graphicFrame macro="">
      <xdr:nvGraphicFramePr>
        <xdr:cNvPr id="10388" name="Gráfico 3">
          <a:extLst>
            <a:ext uri="{FF2B5EF4-FFF2-40B4-BE49-F238E27FC236}">
              <a16:creationId xmlns:a16="http://schemas.microsoft.com/office/drawing/2014/main" id="{3003B3D9-4761-EA2D-5B8B-47E7B536A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63</xdr:row>
      <xdr:rowOff>0</xdr:rowOff>
    </xdr:from>
    <xdr:to>
      <xdr:col>15</xdr:col>
      <xdr:colOff>657225</xdr:colOff>
      <xdr:row>87</xdr:row>
      <xdr:rowOff>142875</xdr:rowOff>
    </xdr:to>
    <xdr:graphicFrame macro="">
      <xdr:nvGraphicFramePr>
        <xdr:cNvPr id="2" name="Chart 11">
          <a:extLst>
            <a:ext uri="{FF2B5EF4-FFF2-40B4-BE49-F238E27FC236}">
              <a16:creationId xmlns:a16="http://schemas.microsoft.com/office/drawing/2014/main" id="{65A94735-6465-4529-BDD4-74C347B98C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7</xdr:col>
      <xdr:colOff>314325</xdr:colOff>
      <xdr:row>38</xdr:row>
      <xdr:rowOff>114300</xdr:rowOff>
    </xdr:from>
    <xdr:to>
      <xdr:col>14</xdr:col>
      <xdr:colOff>428625</xdr:colOff>
      <xdr:row>56</xdr:row>
      <xdr:rowOff>57150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B185EFF-A99F-4763-BBAA-788189047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590550</xdr:colOff>
      <xdr:row>101</xdr:row>
      <xdr:rowOff>85725</xdr:rowOff>
    </xdr:from>
    <xdr:to>
      <xdr:col>14</xdr:col>
      <xdr:colOff>647700</xdr:colOff>
      <xdr:row>119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3D63BCD-3E6D-4597-B5B1-CE1DAAFEE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476250</xdr:colOff>
      <xdr:row>8</xdr:row>
      <xdr:rowOff>66675</xdr:rowOff>
    </xdr:from>
    <xdr:to>
      <xdr:col>17</xdr:col>
      <xdr:colOff>476250</xdr:colOff>
      <xdr:row>22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B1FA95E-6B2F-4D2F-B9D9-45D1117B1A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studio\Ger&#243;nimo%20Tom&#233;%20Herrera\Sistemas%20y%20Planillas\Desarrollo%20de%20Sistemas\Utilizaci&#243;n%20de%20sistemas\SISTEMA%20CONTABLE%20V%20Especial%20Ganancias.xlsm" TargetMode="External"/><Relationship Id="rId1" Type="http://schemas.openxmlformats.org/officeDocument/2006/relationships/externalLinkPath" Target="/Estudio/Ger&#243;nimo%20Tom&#233;%20Herrera/Sistemas%20y%20Planillas/Desarrollo%20de%20Sistemas/Utilizaci&#243;n%20de%20sistemas/SISTEMA%20CONTABLE%20V%20Especial%20Gananci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terfaz"/>
      <sheetName val="Ingresos-Egresos"/>
      <sheetName val="DashBoard"/>
      <sheetName val="Emitidos"/>
      <sheetName val="Recibidos"/>
      <sheetName val="Base de Datos"/>
      <sheetName val="CUITs"/>
      <sheetName val="Mayores"/>
      <sheetName val="Índices"/>
      <sheetName val="Dashb EECC"/>
      <sheetName val="Datos"/>
      <sheetName val="Cálculos de ratios"/>
      <sheetName val="Dashboard Datos"/>
    </sheetNames>
    <sheetDataSet>
      <sheetData sheetId="0"/>
      <sheetData sheetId="1">
        <row r="11">
          <cell r="A11">
            <v>45292</v>
          </cell>
          <cell r="F11">
            <v>0</v>
          </cell>
          <cell r="J11">
            <v>0</v>
          </cell>
          <cell r="K11">
            <v>0</v>
          </cell>
        </row>
        <row r="12">
          <cell r="A12">
            <v>45323</v>
          </cell>
          <cell r="F12">
            <v>0</v>
          </cell>
          <cell r="J12">
            <v>0</v>
          </cell>
          <cell r="K12">
            <v>0</v>
          </cell>
        </row>
        <row r="13">
          <cell r="A13">
            <v>45352</v>
          </cell>
          <cell r="F13">
            <v>0</v>
          </cell>
          <cell r="J13">
            <v>0</v>
          </cell>
          <cell r="K13">
            <v>0</v>
          </cell>
        </row>
        <row r="14">
          <cell r="A14">
            <v>45383</v>
          </cell>
          <cell r="F14">
            <v>0</v>
          </cell>
          <cell r="J14">
            <v>0</v>
          </cell>
          <cell r="K14">
            <v>0</v>
          </cell>
        </row>
        <row r="15">
          <cell r="A15">
            <v>45413</v>
          </cell>
          <cell r="F15">
            <v>0</v>
          </cell>
          <cell r="J15">
            <v>0</v>
          </cell>
          <cell r="K15">
            <v>0</v>
          </cell>
        </row>
        <row r="16">
          <cell r="A16">
            <v>45444</v>
          </cell>
          <cell r="F16">
            <v>0</v>
          </cell>
          <cell r="J16">
            <v>0</v>
          </cell>
          <cell r="K16">
            <v>0</v>
          </cell>
        </row>
        <row r="17">
          <cell r="A17">
            <v>45474</v>
          </cell>
          <cell r="F17">
            <v>0</v>
          </cell>
          <cell r="J17">
            <v>0</v>
          </cell>
          <cell r="K17">
            <v>0</v>
          </cell>
        </row>
        <row r="18">
          <cell r="A18">
            <v>45505</v>
          </cell>
          <cell r="F18">
            <v>0</v>
          </cell>
          <cell r="J18">
            <v>0</v>
          </cell>
          <cell r="K18">
            <v>0</v>
          </cell>
        </row>
        <row r="19">
          <cell r="A19">
            <v>45536</v>
          </cell>
          <cell r="F19">
            <v>0</v>
          </cell>
          <cell r="J19">
            <v>0</v>
          </cell>
          <cell r="K19">
            <v>0</v>
          </cell>
        </row>
        <row r="20">
          <cell r="A20">
            <v>45566</v>
          </cell>
          <cell r="F20">
            <v>0</v>
          </cell>
          <cell r="J20">
            <v>0</v>
          </cell>
          <cell r="K20">
            <v>0</v>
          </cell>
        </row>
        <row r="21">
          <cell r="A21">
            <v>45597</v>
          </cell>
          <cell r="F21">
            <v>0</v>
          </cell>
          <cell r="J21">
            <v>0</v>
          </cell>
          <cell r="K21">
            <v>0</v>
          </cell>
        </row>
        <row r="22">
          <cell r="A22">
            <v>45627</v>
          </cell>
          <cell r="F22">
            <v>0</v>
          </cell>
          <cell r="J22">
            <v>0</v>
          </cell>
          <cell r="K22">
            <v>0</v>
          </cell>
        </row>
        <row r="33">
          <cell r="B33" t="str">
            <v>Ventas</v>
          </cell>
        </row>
        <row r="34">
          <cell r="A34">
            <v>45292</v>
          </cell>
          <cell r="B34">
            <v>0</v>
          </cell>
        </row>
        <row r="35">
          <cell r="A35">
            <v>45323</v>
          </cell>
          <cell r="B35">
            <v>0</v>
          </cell>
        </row>
        <row r="36">
          <cell r="A36">
            <v>45352</v>
          </cell>
          <cell r="B36">
            <v>0</v>
          </cell>
        </row>
        <row r="37">
          <cell r="A37">
            <v>45383</v>
          </cell>
          <cell r="B37">
            <v>0</v>
          </cell>
        </row>
        <row r="38">
          <cell r="A38">
            <v>45413</v>
          </cell>
          <cell r="B38">
            <v>0</v>
          </cell>
        </row>
        <row r="39">
          <cell r="A39">
            <v>45444</v>
          </cell>
          <cell r="B39">
            <v>0</v>
          </cell>
        </row>
        <row r="40">
          <cell r="A40">
            <v>45474</v>
          </cell>
          <cell r="B40">
            <v>0</v>
          </cell>
        </row>
        <row r="41">
          <cell r="A41">
            <v>45505</v>
          </cell>
          <cell r="B41">
            <v>0</v>
          </cell>
        </row>
        <row r="42">
          <cell r="A42">
            <v>45536</v>
          </cell>
          <cell r="B42">
            <v>0</v>
          </cell>
        </row>
        <row r="43">
          <cell r="A43">
            <v>45566</v>
          </cell>
          <cell r="B43">
            <v>0</v>
          </cell>
        </row>
        <row r="44">
          <cell r="A44">
            <v>45597</v>
          </cell>
          <cell r="B44">
            <v>0</v>
          </cell>
        </row>
        <row r="45">
          <cell r="A45">
            <v>45627</v>
          </cell>
          <cell r="B45">
            <v>0</v>
          </cell>
        </row>
        <row r="65">
          <cell r="E65" t="str">
            <v>Ferretería y Productos Varios</v>
          </cell>
          <cell r="G65">
            <v>0</v>
          </cell>
        </row>
        <row r="66">
          <cell r="E66" t="str">
            <v/>
          </cell>
          <cell r="G66" t="str">
            <v/>
          </cell>
        </row>
        <row r="67">
          <cell r="E67" t="str">
            <v/>
          </cell>
          <cell r="G67" t="str">
            <v/>
          </cell>
        </row>
        <row r="68">
          <cell r="E68" t="str">
            <v/>
          </cell>
          <cell r="G68" t="str">
            <v/>
          </cell>
        </row>
        <row r="69">
          <cell r="E69" t="str">
            <v/>
          </cell>
          <cell r="G69" t="str">
            <v/>
          </cell>
        </row>
        <row r="70">
          <cell r="E70" t="str">
            <v/>
          </cell>
          <cell r="G70" t="str">
            <v/>
          </cell>
        </row>
        <row r="71">
          <cell r="E71" t="str">
            <v/>
          </cell>
          <cell r="G71" t="str">
            <v/>
          </cell>
        </row>
        <row r="72">
          <cell r="E72" t="str">
            <v/>
          </cell>
          <cell r="G72" t="str">
            <v/>
          </cell>
        </row>
        <row r="73">
          <cell r="E73" t="str">
            <v/>
          </cell>
          <cell r="G73" t="str">
            <v/>
          </cell>
        </row>
        <row r="74">
          <cell r="E74" t="str">
            <v/>
          </cell>
          <cell r="G74" t="str">
            <v/>
          </cell>
        </row>
        <row r="75">
          <cell r="E75" t="str">
            <v/>
          </cell>
          <cell r="G75" t="str">
            <v/>
          </cell>
        </row>
        <row r="76">
          <cell r="E76" t="str">
            <v/>
          </cell>
          <cell r="G76" t="str">
            <v/>
          </cell>
        </row>
        <row r="77">
          <cell r="E77" t="str">
            <v/>
          </cell>
          <cell r="G77" t="str">
            <v/>
          </cell>
        </row>
        <row r="78">
          <cell r="E78" t="str">
            <v/>
          </cell>
          <cell r="G78" t="str">
            <v/>
          </cell>
        </row>
        <row r="79">
          <cell r="E79" t="str">
            <v/>
          </cell>
          <cell r="G79" t="str">
            <v/>
          </cell>
        </row>
        <row r="80">
          <cell r="E80" t="str">
            <v/>
          </cell>
          <cell r="G80" t="str">
            <v/>
          </cell>
        </row>
        <row r="81">
          <cell r="E81" t="str">
            <v/>
          </cell>
          <cell r="G81" t="str">
            <v/>
          </cell>
        </row>
        <row r="82">
          <cell r="E82" t="str">
            <v/>
          </cell>
          <cell r="G82" t="str">
            <v/>
          </cell>
        </row>
        <row r="83">
          <cell r="E83" t="str">
            <v/>
          </cell>
          <cell r="G83" t="str">
            <v/>
          </cell>
        </row>
        <row r="84">
          <cell r="E84" t="str">
            <v/>
          </cell>
          <cell r="G84" t="str">
            <v/>
          </cell>
        </row>
        <row r="85">
          <cell r="E85" t="str">
            <v/>
          </cell>
          <cell r="G85" t="str">
            <v/>
          </cell>
        </row>
        <row r="86">
          <cell r="E86" t="str">
            <v/>
          </cell>
          <cell r="G86" t="str">
            <v/>
          </cell>
        </row>
        <row r="87">
          <cell r="E87" t="str">
            <v/>
          </cell>
          <cell r="G87" t="str">
            <v/>
          </cell>
        </row>
        <row r="88">
          <cell r="E88" t="str">
            <v/>
          </cell>
          <cell r="G88" t="str">
            <v/>
          </cell>
        </row>
        <row r="89">
          <cell r="E89" t="str">
            <v/>
          </cell>
          <cell r="G89" t="str">
            <v/>
          </cell>
        </row>
        <row r="96">
          <cell r="B96" t="str">
            <v>Compras</v>
          </cell>
        </row>
        <row r="97">
          <cell r="A97">
            <v>45292</v>
          </cell>
          <cell r="B97">
            <v>0</v>
          </cell>
        </row>
        <row r="98">
          <cell r="A98">
            <v>45323</v>
          </cell>
          <cell r="B98">
            <v>0</v>
          </cell>
        </row>
        <row r="99">
          <cell r="A99">
            <v>45352</v>
          </cell>
          <cell r="B99">
            <v>0</v>
          </cell>
        </row>
        <row r="100">
          <cell r="A100">
            <v>45383</v>
          </cell>
          <cell r="B100">
            <v>0</v>
          </cell>
        </row>
        <row r="101">
          <cell r="A101">
            <v>45413</v>
          </cell>
          <cell r="B101">
            <v>0</v>
          </cell>
        </row>
        <row r="102">
          <cell r="A102">
            <v>45444</v>
          </cell>
          <cell r="B102">
            <v>0</v>
          </cell>
        </row>
        <row r="103">
          <cell r="A103">
            <v>45474</v>
          </cell>
          <cell r="B103">
            <v>0</v>
          </cell>
        </row>
        <row r="104">
          <cell r="A104">
            <v>45505</v>
          </cell>
          <cell r="B104">
            <v>0</v>
          </cell>
        </row>
        <row r="105">
          <cell r="A105">
            <v>45536</v>
          </cell>
          <cell r="B105">
            <v>0</v>
          </cell>
        </row>
        <row r="106">
          <cell r="A106">
            <v>45566</v>
          </cell>
          <cell r="B106">
            <v>0</v>
          </cell>
        </row>
        <row r="107">
          <cell r="A107">
            <v>45597</v>
          </cell>
          <cell r="B107">
            <v>0</v>
          </cell>
        </row>
        <row r="108">
          <cell r="A108">
            <v>45627</v>
          </cell>
          <cell r="B10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320"/>
  <sheetViews>
    <sheetView tabSelected="1" zoomScaleNormal="100" workbookViewId="0">
      <selection activeCell="C114" sqref="C114"/>
    </sheetView>
  </sheetViews>
  <sheetFormatPr baseColWidth="10" defaultRowHeight="12.75" x14ac:dyDescent="0.2"/>
  <cols>
    <col min="1" max="1" width="52" customWidth="1"/>
    <col min="2" max="2" width="19.42578125" customWidth="1"/>
    <col min="3" max="3" width="21.28515625" customWidth="1"/>
    <col min="4" max="4" width="25.5703125" bestFit="1" customWidth="1"/>
    <col min="5" max="5" width="21.7109375" customWidth="1"/>
    <col min="6" max="6" width="32.85546875" customWidth="1"/>
    <col min="7" max="7" width="19.42578125" customWidth="1"/>
    <col min="8" max="8" width="14.42578125" bestFit="1" customWidth="1"/>
  </cols>
  <sheetData>
    <row r="1" spans="1:5" ht="20.25" x14ac:dyDescent="0.3">
      <c r="A1" s="136" t="s">
        <v>116</v>
      </c>
      <c r="B1" s="137"/>
      <c r="C1" s="137"/>
      <c r="D1" s="137"/>
      <c r="E1" s="138"/>
    </row>
    <row r="2" spans="1:5" x14ac:dyDescent="0.2">
      <c r="A2" s="139" t="s">
        <v>117</v>
      </c>
      <c r="B2" s="106"/>
      <c r="C2" s="106"/>
      <c r="D2" s="106"/>
      <c r="E2" s="107"/>
    </row>
    <row r="3" spans="1:5" x14ac:dyDescent="0.2">
      <c r="A3" s="140" t="s">
        <v>118</v>
      </c>
      <c r="E3" s="141"/>
    </row>
    <row r="4" spans="1:5" x14ac:dyDescent="0.2">
      <c r="A4" s="142" t="s">
        <v>0</v>
      </c>
      <c r="B4" s="143" t="s">
        <v>20</v>
      </c>
      <c r="C4" s="144"/>
      <c r="D4" s="144"/>
      <c r="E4" s="145"/>
    </row>
    <row r="5" spans="1:5" x14ac:dyDescent="0.2">
      <c r="A5" s="139" t="s">
        <v>119</v>
      </c>
      <c r="B5" s="146"/>
      <c r="C5" s="106"/>
      <c r="D5" s="106"/>
      <c r="E5" s="107"/>
    </row>
    <row r="6" spans="1:5" x14ac:dyDescent="0.2">
      <c r="A6" s="140" t="s">
        <v>120</v>
      </c>
      <c r="B6" s="147"/>
      <c r="E6" s="141"/>
    </row>
    <row r="7" spans="1:5" x14ac:dyDescent="0.2">
      <c r="A7" s="142" t="s">
        <v>121</v>
      </c>
      <c r="B7" s="143"/>
      <c r="C7" s="524"/>
      <c r="D7" s="144"/>
      <c r="E7" s="145"/>
    </row>
    <row r="8" spans="1:5" x14ac:dyDescent="0.2">
      <c r="A8" s="148" t="s">
        <v>1</v>
      </c>
      <c r="B8" s="149" t="s">
        <v>117</v>
      </c>
      <c r="C8" s="149" t="s">
        <v>122</v>
      </c>
      <c r="D8" s="149" t="s">
        <v>123</v>
      </c>
      <c r="E8" s="150" t="s">
        <v>124</v>
      </c>
    </row>
    <row r="9" spans="1:5" ht="15" x14ac:dyDescent="0.25">
      <c r="A9" s="151"/>
      <c r="C9" s="16"/>
      <c r="D9" s="152"/>
      <c r="E9" s="153"/>
    </row>
    <row r="10" spans="1:5" ht="15" x14ac:dyDescent="0.25">
      <c r="A10" s="151"/>
      <c r="B10" s="147"/>
      <c r="C10" s="16"/>
      <c r="D10" s="152"/>
      <c r="E10" s="153"/>
    </row>
    <row r="11" spans="1:5" ht="15" x14ac:dyDescent="0.25">
      <c r="A11" s="151"/>
      <c r="B11" s="147"/>
      <c r="C11" s="16"/>
      <c r="D11" s="152"/>
      <c r="E11" s="153"/>
    </row>
    <row r="12" spans="1:5" ht="15" x14ac:dyDescent="0.25">
      <c r="A12" s="151"/>
      <c r="B12" s="144"/>
      <c r="C12" s="154"/>
      <c r="D12" s="155"/>
      <c r="E12" s="156"/>
    </row>
    <row r="13" spans="1:5" x14ac:dyDescent="0.2">
      <c r="B13" s="147"/>
      <c r="D13" s="63"/>
    </row>
    <row r="14" spans="1:5" ht="13.5" thickBot="1" x14ac:dyDescent="0.25">
      <c r="D14" s="63"/>
    </row>
    <row r="15" spans="1:5" ht="21" thickBot="1" x14ac:dyDescent="0.35">
      <c r="A15" s="157" t="s">
        <v>127</v>
      </c>
      <c r="B15" s="158">
        <v>2024</v>
      </c>
    </row>
    <row r="16" spans="1:5" x14ac:dyDescent="0.2">
      <c r="A16" s="1"/>
    </row>
    <row r="17" spans="1:8" ht="20.25" x14ac:dyDescent="0.3">
      <c r="A17" s="159" t="s">
        <v>128</v>
      </c>
      <c r="B17" s="160"/>
      <c r="C17" s="160"/>
      <c r="D17" s="160"/>
      <c r="E17" s="160"/>
    </row>
    <row r="18" spans="1:8" ht="15" x14ac:dyDescent="0.25">
      <c r="A18" s="148" t="s">
        <v>129</v>
      </c>
      <c r="B18" s="161" t="s">
        <v>130</v>
      </c>
      <c r="C18" s="162" t="str">
        <f>IF(B18="SI",("Ingresos por jubilación:"),("No posee Ingresos por Jubilación"))</f>
        <v>No posee Ingresos por Jubilación</v>
      </c>
      <c r="D18" s="163">
        <v>0</v>
      </c>
    </row>
    <row r="19" spans="1:8" x14ac:dyDescent="0.2">
      <c r="A19" s="164"/>
      <c r="B19" s="165">
        <f>SUM(B17:B18)</f>
        <v>0</v>
      </c>
    </row>
    <row r="20" spans="1:8" x14ac:dyDescent="0.2">
      <c r="A20" s="1"/>
      <c r="E20" s="63"/>
    </row>
    <row r="21" spans="1:8" ht="20.25" x14ac:dyDescent="0.3">
      <c r="A21" s="583" t="s">
        <v>301</v>
      </c>
      <c r="B21" s="584"/>
      <c r="C21" s="584"/>
      <c r="D21" s="584"/>
      <c r="E21" s="585"/>
    </row>
    <row r="22" spans="1:8" x14ac:dyDescent="0.2">
      <c r="A22" s="354"/>
      <c r="B22" s="6"/>
      <c r="E22" s="376"/>
      <c r="G22" s="5"/>
    </row>
    <row r="23" spans="1:8" x14ac:dyDescent="0.2">
      <c r="A23" s="354"/>
      <c r="B23" s="6"/>
      <c r="E23" s="376"/>
      <c r="G23" s="5"/>
    </row>
    <row r="24" spans="1:8" x14ac:dyDescent="0.2">
      <c r="A24" s="354"/>
      <c r="B24" s="6"/>
      <c r="E24" s="376"/>
      <c r="G24" s="5"/>
    </row>
    <row r="25" spans="1:8" x14ac:dyDescent="0.2">
      <c r="A25" s="392"/>
      <c r="B25" s="393"/>
      <c r="C25" s="144"/>
      <c r="D25" s="144"/>
      <c r="E25" s="394"/>
      <c r="G25" s="5"/>
    </row>
    <row r="26" spans="1:8" ht="20.25" x14ac:dyDescent="0.3">
      <c r="A26" s="583" t="s">
        <v>302</v>
      </c>
      <c r="B26" s="584"/>
      <c r="C26" s="584"/>
      <c r="D26" s="584"/>
      <c r="E26" s="585"/>
      <c r="G26" s="5"/>
    </row>
    <row r="27" spans="1:8" x14ac:dyDescent="0.2">
      <c r="A27" s="354"/>
      <c r="B27" s="6"/>
      <c r="E27" s="376"/>
      <c r="G27" s="5"/>
    </row>
    <row r="28" spans="1:8" ht="18" customHeight="1" x14ac:dyDescent="0.2">
      <c r="A28" s="350" t="s">
        <v>303</v>
      </c>
      <c r="B28" s="351" t="s">
        <v>304</v>
      </c>
      <c r="C28" s="352" t="s">
        <v>305</v>
      </c>
      <c r="D28" s="353" t="s">
        <v>306</v>
      </c>
      <c r="E28" s="141"/>
      <c r="G28" s="439"/>
      <c r="H28" s="374"/>
    </row>
    <row r="29" spans="1:8" ht="15" hidden="1" customHeight="1" x14ac:dyDescent="0.2">
      <c r="A29" s="354"/>
      <c r="B29" s="6"/>
      <c r="D29" s="141"/>
      <c r="E29" s="141"/>
      <c r="G29" s="440"/>
      <c r="H29" s="374"/>
    </row>
    <row r="30" spans="1:8" ht="15" hidden="1" customHeight="1" x14ac:dyDescent="0.2">
      <c r="A30" s="140"/>
      <c r="C30" s="4" t="s">
        <v>78</v>
      </c>
      <c r="D30" s="141"/>
      <c r="E30" s="141"/>
      <c r="G30" s="441"/>
      <c r="H30" s="374"/>
    </row>
    <row r="31" spans="1:8" ht="15.75" hidden="1" customHeight="1" x14ac:dyDescent="0.25">
      <c r="A31" s="355" t="s">
        <v>27</v>
      </c>
      <c r="B31" s="356" t="s">
        <v>88</v>
      </c>
      <c r="C31" s="356" t="s">
        <v>91</v>
      </c>
      <c r="D31" s="357" t="s">
        <v>90</v>
      </c>
      <c r="E31" s="357" t="s">
        <v>89</v>
      </c>
      <c r="G31" s="442"/>
      <c r="H31" s="443"/>
    </row>
    <row r="32" spans="1:8" ht="12.75" hidden="1" customHeight="1" x14ac:dyDescent="0.2">
      <c r="A32" s="358"/>
      <c r="B32" s="346" t="e">
        <f>#REF!+#REF!+#REF!</f>
        <v>#REF!</v>
      </c>
      <c r="C32" s="347"/>
      <c r="D32" s="359"/>
      <c r="E32" s="359"/>
      <c r="G32" s="444"/>
    </row>
    <row r="33" spans="1:8" ht="12.75" hidden="1" customHeight="1" x14ac:dyDescent="0.2">
      <c r="A33" s="358"/>
      <c r="B33" s="346" t="e">
        <f>#REF!+#REF!+#REF!</f>
        <v>#REF!</v>
      </c>
      <c r="C33" s="347"/>
      <c r="D33" s="359"/>
      <c r="E33" s="359"/>
      <c r="G33" s="5"/>
    </row>
    <row r="34" spans="1:8" ht="12.75" hidden="1" customHeight="1" x14ac:dyDescent="0.2">
      <c r="A34" s="358"/>
      <c r="B34" s="346" t="e">
        <f>#REF!+#REF!+#REF!</f>
        <v>#REF!</v>
      </c>
      <c r="C34" s="347"/>
      <c r="D34" s="359"/>
      <c r="E34" s="359"/>
      <c r="G34" s="12"/>
    </row>
    <row r="35" spans="1:8" ht="12.75" hidden="1" customHeight="1" x14ac:dyDescent="0.2">
      <c r="A35" s="358"/>
      <c r="B35" s="346" t="e">
        <f>#REF!+#REF!+#REF!</f>
        <v>#REF!</v>
      </c>
      <c r="C35" s="347"/>
      <c r="D35" s="359"/>
      <c r="E35" s="359"/>
      <c r="G35" s="12"/>
      <c r="H35" s="17"/>
    </row>
    <row r="36" spans="1:8" ht="12.75" hidden="1" customHeight="1" x14ac:dyDescent="0.2">
      <c r="A36" s="358"/>
      <c r="B36" s="346" t="e">
        <f>#REF!+#REF!+#REF!</f>
        <v>#REF!</v>
      </c>
      <c r="C36" s="347"/>
      <c r="D36" s="359"/>
      <c r="E36" s="359"/>
    </row>
    <row r="37" spans="1:8" ht="12.75" hidden="1" customHeight="1" x14ac:dyDescent="0.2">
      <c r="A37" s="358"/>
      <c r="B37" s="346" t="e">
        <f>#REF!+#REF!+#REF!</f>
        <v>#REF!</v>
      </c>
      <c r="C37" s="347"/>
      <c r="D37" s="359"/>
      <c r="E37" s="359"/>
    </row>
    <row r="38" spans="1:8" ht="12.75" hidden="1" customHeight="1" x14ac:dyDescent="0.2">
      <c r="A38" s="358"/>
      <c r="B38" s="346" t="e">
        <f>#REF!+#REF!+#REF!</f>
        <v>#REF!</v>
      </c>
      <c r="C38" s="347"/>
      <c r="D38" s="359"/>
      <c r="E38" s="359"/>
      <c r="G38" s="6"/>
    </row>
    <row r="39" spans="1:8" ht="12.75" hidden="1" customHeight="1" x14ac:dyDescent="0.2">
      <c r="A39" s="358"/>
      <c r="B39" s="346" t="e">
        <f>#REF!+#REF!+#REF!</f>
        <v>#REF!</v>
      </c>
      <c r="C39" s="347"/>
      <c r="D39" s="359"/>
      <c r="E39" s="359"/>
    </row>
    <row r="40" spans="1:8" ht="12.75" hidden="1" customHeight="1" x14ac:dyDescent="0.2">
      <c r="A40" s="358"/>
      <c r="B40" s="346" t="e">
        <f>#REF!+#REF!+#REF!</f>
        <v>#REF!</v>
      </c>
      <c r="C40" s="347"/>
      <c r="D40" s="359"/>
      <c r="E40" s="359"/>
    </row>
    <row r="41" spans="1:8" x14ac:dyDescent="0.2">
      <c r="A41" s="365"/>
      <c r="B41" s="366"/>
      <c r="C41" s="367"/>
      <c r="D41" s="368">
        <f>C41-B41</f>
        <v>0</v>
      </c>
      <c r="E41" s="361"/>
    </row>
    <row r="42" spans="1:8" x14ac:dyDescent="0.2">
      <c r="A42" s="360"/>
      <c r="B42" s="348"/>
      <c r="C42" s="349"/>
      <c r="D42" s="361">
        <f>C42-B42</f>
        <v>0</v>
      </c>
      <c r="E42" s="361"/>
      <c r="F42" s="18"/>
    </row>
    <row r="43" spans="1:8" x14ac:dyDescent="0.2">
      <c r="A43" s="360"/>
      <c r="B43" s="348"/>
      <c r="C43" s="349"/>
      <c r="D43" s="361">
        <f>C43-B43</f>
        <v>0</v>
      </c>
      <c r="E43" s="361"/>
      <c r="G43" s="17"/>
    </row>
    <row r="44" spans="1:8" x14ac:dyDescent="0.2">
      <c r="A44" s="362"/>
      <c r="B44" s="363"/>
      <c r="C44" s="363"/>
      <c r="D44" s="369">
        <f>C44-B44</f>
        <v>0</v>
      </c>
      <c r="E44" s="377"/>
    </row>
    <row r="45" spans="1:8" x14ac:dyDescent="0.2">
      <c r="A45" s="378" t="s">
        <v>81</v>
      </c>
      <c r="B45" s="370">
        <f>SUM(B41:B44)</f>
        <v>0</v>
      </c>
      <c r="C45" s="371">
        <f>SUM(C41:C44)</f>
        <v>0</v>
      </c>
      <c r="D45" s="372">
        <f>SUM(D41:D44)</f>
        <v>0</v>
      </c>
      <c r="E45" s="379"/>
      <c r="F45" s="4"/>
    </row>
    <row r="46" spans="1:8" x14ac:dyDescent="0.2">
      <c r="A46" s="103"/>
      <c r="B46" s="20"/>
      <c r="C46" s="19"/>
      <c r="D46" s="144"/>
      <c r="E46" s="364"/>
      <c r="G46" s="12"/>
    </row>
    <row r="47" spans="1:8" ht="20.25" x14ac:dyDescent="0.3">
      <c r="A47" s="598" t="s">
        <v>307</v>
      </c>
      <c r="B47" s="599"/>
      <c r="C47" s="599"/>
      <c r="D47" s="599"/>
      <c r="E47" s="600"/>
    </row>
    <row r="48" spans="1:8" s="374" customFormat="1" ht="15.75" x14ac:dyDescent="0.25">
      <c r="A48" s="380" t="s">
        <v>309</v>
      </c>
      <c r="B48" s="373"/>
      <c r="C48" s="373"/>
      <c r="D48" s="373"/>
      <c r="E48" s="381"/>
    </row>
    <row r="49" spans="1:7" x14ac:dyDescent="0.2">
      <c r="A49" s="166"/>
      <c r="B49" s="167" t="str">
        <f>'Ingresos-Egresos'!B10</f>
        <v>Cría de Ganado</v>
      </c>
      <c r="C49" s="167" t="str">
        <f>'Ingresos-Egresos'!C10</f>
        <v>Serv. Inm</v>
      </c>
      <c r="D49" s="167" t="str">
        <f>'Ingresos-Egresos'!D10</f>
        <v>Exento tasa cero</v>
      </c>
      <c r="E49" s="382" t="str">
        <f>'Ingresos-Egresos'!F10</f>
        <v>Total</v>
      </c>
    </row>
    <row r="50" spans="1:7" x14ac:dyDescent="0.2">
      <c r="A50" s="168">
        <v>45292</v>
      </c>
      <c r="B50" s="169">
        <f>'Ingresos-Egresos'!B11</f>
        <v>0</v>
      </c>
      <c r="C50" s="169">
        <f>'Ingresos-Egresos'!C11</f>
        <v>0</v>
      </c>
      <c r="D50" s="169">
        <f>'Ingresos-Egresos'!D11</f>
        <v>0</v>
      </c>
      <c r="E50" s="170">
        <f>+B50+C50+D50</f>
        <v>0</v>
      </c>
    </row>
    <row r="51" spans="1:7" x14ac:dyDescent="0.2">
      <c r="A51" s="171">
        <v>45323</v>
      </c>
      <c r="B51" s="169">
        <f>'Ingresos-Egresos'!B12</f>
        <v>0</v>
      </c>
      <c r="C51" s="169">
        <f>'Ingresos-Egresos'!C12</f>
        <v>0</v>
      </c>
      <c r="D51" s="169">
        <f>'Ingresos-Egresos'!D12</f>
        <v>0</v>
      </c>
      <c r="E51" s="170">
        <f t="shared" ref="E51:E62" si="0">+B51+C51+D51</f>
        <v>0</v>
      </c>
    </row>
    <row r="52" spans="1:7" x14ac:dyDescent="0.2">
      <c r="A52" s="171">
        <v>45352</v>
      </c>
      <c r="B52" s="169">
        <f>'Ingresos-Egresos'!B13</f>
        <v>0</v>
      </c>
      <c r="C52" s="169">
        <f>'Ingresos-Egresos'!C13</f>
        <v>0</v>
      </c>
      <c r="D52" s="169">
        <f>'Ingresos-Egresos'!D13</f>
        <v>0</v>
      </c>
      <c r="E52" s="170">
        <f t="shared" si="0"/>
        <v>0</v>
      </c>
    </row>
    <row r="53" spans="1:7" x14ac:dyDescent="0.2">
      <c r="A53" s="171">
        <v>45383</v>
      </c>
      <c r="B53" s="169">
        <f>'Ingresos-Egresos'!B14</f>
        <v>0</v>
      </c>
      <c r="C53" s="169">
        <f>'Ingresos-Egresos'!C14</f>
        <v>0</v>
      </c>
      <c r="D53" s="169">
        <f>'Ingresos-Egresos'!D14</f>
        <v>0</v>
      </c>
      <c r="E53" s="170">
        <f t="shared" si="0"/>
        <v>0</v>
      </c>
    </row>
    <row r="54" spans="1:7" x14ac:dyDescent="0.2">
      <c r="A54" s="171">
        <v>45413</v>
      </c>
      <c r="B54" s="169">
        <f>'Ingresos-Egresos'!B15</f>
        <v>0</v>
      </c>
      <c r="C54" s="169">
        <f>'Ingresos-Egresos'!C15</f>
        <v>0</v>
      </c>
      <c r="D54" s="169">
        <f>'Ingresos-Egresos'!D15</f>
        <v>0</v>
      </c>
      <c r="E54" s="170">
        <f t="shared" si="0"/>
        <v>0</v>
      </c>
    </row>
    <row r="55" spans="1:7" x14ac:dyDescent="0.2">
      <c r="A55" s="171">
        <v>45444</v>
      </c>
      <c r="B55" s="169">
        <f>'Ingresos-Egresos'!B16</f>
        <v>0</v>
      </c>
      <c r="C55" s="169">
        <f>'Ingresos-Egresos'!C16</f>
        <v>0</v>
      </c>
      <c r="D55" s="169">
        <f>'Ingresos-Egresos'!D16</f>
        <v>0</v>
      </c>
      <c r="E55" s="170">
        <f t="shared" si="0"/>
        <v>0</v>
      </c>
    </row>
    <row r="56" spans="1:7" x14ac:dyDescent="0.2">
      <c r="A56" s="171">
        <v>45474</v>
      </c>
      <c r="B56" s="169">
        <f>'Ingresos-Egresos'!B17</f>
        <v>0</v>
      </c>
      <c r="C56" s="169">
        <f>'Ingresos-Egresos'!C17</f>
        <v>0</v>
      </c>
      <c r="D56" s="169">
        <f>'Ingresos-Egresos'!D17</f>
        <v>0</v>
      </c>
      <c r="E56" s="170">
        <f t="shared" si="0"/>
        <v>0</v>
      </c>
    </row>
    <row r="57" spans="1:7" x14ac:dyDescent="0.2">
      <c r="A57" s="171">
        <v>45505</v>
      </c>
      <c r="B57" s="169">
        <f>'Ingresos-Egresos'!B18</f>
        <v>0</v>
      </c>
      <c r="C57" s="169">
        <f>'Ingresos-Egresos'!C18</f>
        <v>0</v>
      </c>
      <c r="D57" s="169">
        <f>'Ingresos-Egresos'!D18</f>
        <v>0</v>
      </c>
      <c r="E57" s="170">
        <f t="shared" si="0"/>
        <v>0</v>
      </c>
    </row>
    <row r="58" spans="1:7" x14ac:dyDescent="0.2">
      <c r="A58" s="171">
        <v>45536</v>
      </c>
      <c r="B58" s="169">
        <f>'Ingresos-Egresos'!B19</f>
        <v>0</v>
      </c>
      <c r="C58" s="169">
        <f>'Ingresos-Egresos'!C19</f>
        <v>0</v>
      </c>
      <c r="D58" s="169">
        <f>'Ingresos-Egresos'!D19</f>
        <v>0</v>
      </c>
      <c r="E58" s="170">
        <f t="shared" si="0"/>
        <v>0</v>
      </c>
    </row>
    <row r="59" spans="1:7" x14ac:dyDescent="0.2">
      <c r="A59" s="171">
        <v>45566</v>
      </c>
      <c r="B59" s="169">
        <f>'Ingresos-Egresos'!B20</f>
        <v>0</v>
      </c>
      <c r="C59" s="169">
        <f>'Ingresos-Egresos'!C20</f>
        <v>0</v>
      </c>
      <c r="D59" s="169">
        <f>'Ingresos-Egresos'!D20</f>
        <v>0</v>
      </c>
      <c r="E59" s="170">
        <f t="shared" si="0"/>
        <v>0</v>
      </c>
    </row>
    <row r="60" spans="1:7" x14ac:dyDescent="0.2">
      <c r="A60" s="171">
        <v>45597</v>
      </c>
      <c r="B60" s="169">
        <f>'Ingresos-Egresos'!B21</f>
        <v>0</v>
      </c>
      <c r="C60" s="169">
        <f>'Ingresos-Egresos'!C21</f>
        <v>0</v>
      </c>
      <c r="D60" s="169">
        <f>'Ingresos-Egresos'!D21</f>
        <v>0</v>
      </c>
      <c r="E60" s="170">
        <f t="shared" si="0"/>
        <v>0</v>
      </c>
    </row>
    <row r="61" spans="1:7" x14ac:dyDescent="0.2">
      <c r="A61" s="172">
        <v>45627</v>
      </c>
      <c r="B61" s="169">
        <f>'Ingresos-Egresos'!B22</f>
        <v>0</v>
      </c>
      <c r="C61" s="169">
        <f>'Ingresos-Egresos'!C22</f>
        <v>0</v>
      </c>
      <c r="D61" s="169">
        <f>'Ingresos-Egresos'!D22</f>
        <v>0</v>
      </c>
      <c r="E61" s="170">
        <f t="shared" si="0"/>
        <v>0</v>
      </c>
      <c r="F61" s="4"/>
      <c r="G61" s="37"/>
    </row>
    <row r="62" spans="1:7" x14ac:dyDescent="0.2">
      <c r="A62" s="173" t="s">
        <v>131</v>
      </c>
      <c r="B62" s="174">
        <f>SUM(B50:B61)</f>
        <v>0</v>
      </c>
      <c r="C62" s="174">
        <f>SUM(C50:C61)</f>
        <v>0</v>
      </c>
      <c r="D62" s="174">
        <f>SUM(D50:D61)</f>
        <v>0</v>
      </c>
      <c r="E62" s="175">
        <f t="shared" si="0"/>
        <v>0</v>
      </c>
      <c r="G62" s="37"/>
    </row>
    <row r="63" spans="1:7" x14ac:dyDescent="0.2">
      <c r="A63" s="601" t="s">
        <v>132</v>
      </c>
      <c r="B63" s="602"/>
      <c r="C63" s="12"/>
      <c r="D63" s="383"/>
      <c r="E63" s="141"/>
      <c r="G63" s="37"/>
    </row>
    <row r="64" spans="1:7" x14ac:dyDescent="0.2">
      <c r="A64" s="104" t="s">
        <v>78</v>
      </c>
      <c r="B64" s="375">
        <f>'Ingresos-Egresos'!B26</f>
        <v>0</v>
      </c>
      <c r="C64" s="177"/>
      <c r="D64" s="178"/>
      <c r="E64" s="384"/>
    </row>
    <row r="65" spans="1:7" x14ac:dyDescent="0.2">
      <c r="A65" s="176" t="s">
        <v>133</v>
      </c>
      <c r="B65" s="181">
        <f>'Ingresos-Egresos'!B27</f>
        <v>0</v>
      </c>
      <c r="C65" s="176"/>
      <c r="D65" s="180"/>
      <c r="E65" s="385"/>
      <c r="F65" s="4"/>
      <c r="G65" s="37"/>
    </row>
    <row r="66" spans="1:7" x14ac:dyDescent="0.2">
      <c r="A66" s="176" t="s">
        <v>134</v>
      </c>
      <c r="B66" s="181"/>
      <c r="D66" s="180"/>
      <c r="E66" s="385"/>
      <c r="G66" s="37"/>
    </row>
    <row r="67" spans="1:7" x14ac:dyDescent="0.2">
      <c r="A67" s="103" t="s">
        <v>135</v>
      </c>
      <c r="B67" s="334">
        <f>'Ingresos-Egresos'!B28</f>
        <v>0</v>
      </c>
      <c r="C67" s="179"/>
      <c r="E67" s="141"/>
    </row>
    <row r="68" spans="1:7" x14ac:dyDescent="0.2">
      <c r="A68" s="176"/>
      <c r="B68" s="90"/>
      <c r="C68" s="179"/>
      <c r="E68" s="141"/>
    </row>
    <row r="69" spans="1:7" ht="15.75" x14ac:dyDescent="0.25">
      <c r="A69" s="380" t="s">
        <v>310</v>
      </c>
      <c r="E69" s="141"/>
    </row>
    <row r="70" spans="1:7" ht="15.75" x14ac:dyDescent="0.25">
      <c r="A70" s="588" t="s">
        <v>333</v>
      </c>
      <c r="B70" s="589"/>
      <c r="C70" s="589"/>
      <c r="D70" s="590"/>
      <c r="E70" s="141"/>
    </row>
    <row r="71" spans="1:7" ht="15" x14ac:dyDescent="0.25">
      <c r="A71" s="182" t="s">
        <v>312</v>
      </c>
      <c r="B71" s="183"/>
      <c r="C71" s="401" t="s">
        <v>187</v>
      </c>
      <c r="D71" s="184"/>
      <c r="E71" s="401" t="s">
        <v>337</v>
      </c>
    </row>
    <row r="72" spans="1:7" x14ac:dyDescent="0.2">
      <c r="A72" s="515" t="s">
        <v>136</v>
      </c>
      <c r="B72" s="169"/>
      <c r="C72" s="406">
        <f>'Ingresos-Egresos'!E23</f>
        <v>0</v>
      </c>
      <c r="D72" s="186"/>
      <c r="E72" s="110"/>
    </row>
    <row r="73" spans="1:7" x14ac:dyDescent="0.2">
      <c r="A73" s="447" t="s">
        <v>138</v>
      </c>
      <c r="B73" s="185"/>
      <c r="C73" s="407">
        <f>'Ingresos-Egresos'!E143+'Ingresos-Egresos'!F143+'Ingresos-Egresos'!G143+'Ingresos-Egresos'!H143+'Ingresos-Egresos'!I143+'Ingresos-Egresos'!J143+'Ingresos-Egresos'!K143</f>
        <v>0</v>
      </c>
      <c r="D73" s="186"/>
      <c r="E73" s="429"/>
      <c r="G73" s="38"/>
    </row>
    <row r="74" spans="1:7" x14ac:dyDescent="0.2">
      <c r="A74" s="447" t="s">
        <v>139</v>
      </c>
      <c r="B74" s="185"/>
      <c r="C74" s="407">
        <f>'Ingresos-Egresos'!I154+'Ingresos-Egresos'!H154+'Ingresos-Egresos'!G154+'Ingresos-Egresos'!F154+'Ingresos-Egresos'!E154+'Ingresos-Egresos'!D154+'Ingresos-Egresos'!C154+'Ingresos-Egresos'!B154+'Ingresos-Egresos'!A154</f>
        <v>0</v>
      </c>
      <c r="D74" s="186"/>
      <c r="E74" s="429"/>
    </row>
    <row r="75" spans="1:7" x14ac:dyDescent="0.2">
      <c r="A75" s="447" t="s">
        <v>140</v>
      </c>
      <c r="B75" s="185"/>
      <c r="C75" s="407">
        <f>'Ingresos-Egresos'!K137+'Ingresos-Egresos'!J137+'Ingresos-Egresos'!I137+'Ingresos-Egresos'!H137+'Ingresos-Egresos'!G137+'Ingresos-Egresos'!F137+'Ingresos-Egresos'!E137</f>
        <v>0</v>
      </c>
      <c r="D75" s="186"/>
      <c r="E75" s="429"/>
    </row>
    <row r="76" spans="1:7" x14ac:dyDescent="0.2">
      <c r="A76" s="445" t="s">
        <v>313</v>
      </c>
      <c r="B76" s="185"/>
      <c r="C76" s="407">
        <f>Sueldos!B16</f>
        <v>0</v>
      </c>
      <c r="D76" s="186"/>
      <c r="E76" s="429"/>
    </row>
    <row r="77" spans="1:7" x14ac:dyDescent="0.2">
      <c r="A77" s="447" t="s">
        <v>141</v>
      </c>
      <c r="B77" s="185"/>
      <c r="C77" s="407">
        <f>Sueldos!J16-Sueldos!B16</f>
        <v>0</v>
      </c>
      <c r="D77" s="186"/>
      <c r="E77" s="429"/>
    </row>
    <row r="78" spans="1:7" x14ac:dyDescent="0.2">
      <c r="A78" s="447" t="s">
        <v>238</v>
      </c>
      <c r="B78" s="185"/>
      <c r="C78" s="407">
        <f>Sueldos!B33+Sueldos!C33</f>
        <v>0</v>
      </c>
      <c r="D78" s="186"/>
      <c r="E78" s="429"/>
    </row>
    <row r="79" spans="1:7" x14ac:dyDescent="0.2">
      <c r="A79" s="447" t="s">
        <v>137</v>
      </c>
      <c r="B79" s="185"/>
      <c r="C79" s="407">
        <f>'Ingresos-Egresos'!B142+'Ingresos-Egresos'!C142</f>
        <v>0</v>
      </c>
      <c r="D79" s="186"/>
      <c r="E79" s="429"/>
    </row>
    <row r="80" spans="1:7" x14ac:dyDescent="0.2">
      <c r="A80" s="516" t="s">
        <v>315</v>
      </c>
      <c r="B80" s="144"/>
      <c r="C80" s="408"/>
      <c r="D80" s="186"/>
      <c r="E80" s="429"/>
    </row>
    <row r="81" spans="1:10" ht="15" x14ac:dyDescent="0.25">
      <c r="A81" s="402" t="s">
        <v>142</v>
      </c>
      <c r="B81" s="395" t="s">
        <v>143</v>
      </c>
      <c r="C81" s="401" t="s">
        <v>151</v>
      </c>
      <c r="D81" s="396" t="s">
        <v>152</v>
      </c>
      <c r="E81" s="396" t="s">
        <v>337</v>
      </c>
      <c r="J81" s="179"/>
    </row>
    <row r="82" spans="1:10" ht="15" x14ac:dyDescent="0.25">
      <c r="A82" s="400" t="str">
        <f>IF('Ingresos-Egresos'!A65="",(""),('Ingresos-Egresos'!A65))</f>
        <v>4010116 - ITC</v>
      </c>
      <c r="B82" s="187" t="str">
        <f>IF(LEFT(A82, 7)="",(""),(LEFT(A82, 7)))</f>
        <v>4010116</v>
      </c>
      <c r="C82" s="399"/>
      <c r="D82" s="316"/>
      <c r="E82" s="110"/>
    </row>
    <row r="83" spans="1:10" ht="15" x14ac:dyDescent="0.25">
      <c r="A83" s="400" t="str">
        <f>IF('Ingresos-Egresos'!A66="",(""),('Ingresos-Egresos'!A66))</f>
        <v>4010118 - Imptos y grav Diarios</v>
      </c>
      <c r="B83" s="187" t="str">
        <f t="shared" ref="B83:B106" si="1">IF(LEFT(A83, 7)="",(""),(LEFT(A83, 7)))</f>
        <v>4010118</v>
      </c>
      <c r="C83" s="404"/>
      <c r="D83" s="314"/>
      <c r="E83" s="429"/>
    </row>
    <row r="84" spans="1:10" ht="15" x14ac:dyDescent="0.25">
      <c r="A84" s="400" t="str">
        <f>IF('Ingresos-Egresos'!A67="",(""),('Ingresos-Egresos'!A67))</f>
        <v>4010120 - Reparaciones y Repuestos</v>
      </c>
      <c r="B84" s="187" t="str">
        <f t="shared" si="1"/>
        <v>4010120</v>
      </c>
      <c r="C84" s="397"/>
      <c r="D84" s="314"/>
      <c r="E84" s="429"/>
    </row>
    <row r="85" spans="1:10" ht="15" x14ac:dyDescent="0.25">
      <c r="A85" s="400" t="str">
        <f>IF('Ingresos-Egresos'!A68="",(""),('Ingresos-Egresos'!A68))</f>
        <v>4010121 - Gastos de Mantenimiento</v>
      </c>
      <c r="B85" s="187" t="str">
        <f t="shared" si="1"/>
        <v>4010121</v>
      </c>
      <c r="C85" s="397"/>
      <c r="D85" s="314"/>
      <c r="E85" s="429"/>
    </row>
    <row r="86" spans="1:10" ht="15" x14ac:dyDescent="0.25">
      <c r="A86" s="400" t="str">
        <f>IF('Ingresos-Egresos'!A69="",(""),('Ingresos-Egresos'!A69))</f>
        <v>4010123 - Combustibles y Lubricantes</v>
      </c>
      <c r="B86" s="187" t="str">
        <f t="shared" si="1"/>
        <v>4010123</v>
      </c>
      <c r="C86" s="397"/>
      <c r="D86" s="314"/>
      <c r="E86" s="429"/>
    </row>
    <row r="87" spans="1:10" ht="15" x14ac:dyDescent="0.25">
      <c r="A87" s="400" t="str">
        <f>IF('Ingresos-Egresos'!A70="",(""),('Ingresos-Egresos'!A70))</f>
        <v>4010124 - Luz, teléfono e internet</v>
      </c>
      <c r="B87" s="187" t="str">
        <f t="shared" si="1"/>
        <v>4010124</v>
      </c>
      <c r="C87" s="397"/>
      <c r="D87" s="314"/>
      <c r="E87" s="429"/>
    </row>
    <row r="88" spans="1:10" ht="15" x14ac:dyDescent="0.25">
      <c r="A88" s="400" t="str">
        <f>IF('Ingresos-Egresos'!A71="",(""),('Ingresos-Egresos'!A71))</f>
        <v>4010129 - Gastos Por Servicios Recibidos</v>
      </c>
      <c r="B88" s="187" t="str">
        <f t="shared" si="1"/>
        <v>4010129</v>
      </c>
      <c r="C88" s="397"/>
      <c r="D88" s="314"/>
      <c r="E88" s="429"/>
    </row>
    <row r="89" spans="1:10" ht="15" x14ac:dyDescent="0.25">
      <c r="A89" s="400" t="str">
        <f>IF('Ingresos-Egresos'!A72="",(""),('Ingresos-Egresos'!A72))</f>
        <v>4010130 - Gastos Varios</v>
      </c>
      <c r="B89" s="187" t="str">
        <f t="shared" si="1"/>
        <v>4010130</v>
      </c>
      <c r="C89" s="397"/>
      <c r="D89" s="314"/>
      <c r="E89" s="429"/>
    </row>
    <row r="90" spans="1:10" ht="15" x14ac:dyDescent="0.25">
      <c r="A90" s="400" t="str">
        <f>IF('Ingresos-Egresos'!A73="",(""),('Ingresos-Egresos'!A73))</f>
        <v>4010135 - Insumos</v>
      </c>
      <c r="B90" s="187" t="str">
        <f t="shared" si="1"/>
        <v>4010135</v>
      </c>
      <c r="C90" s="404"/>
      <c r="D90" s="314"/>
      <c r="E90" s="429"/>
    </row>
    <row r="91" spans="1:10" ht="15" x14ac:dyDescent="0.25">
      <c r="A91" s="400" t="str">
        <f>IF('Ingresos-Egresos'!A74="",(""),('Ingresos-Egresos'!A74))</f>
        <v>4010136 - Prepaga</v>
      </c>
      <c r="B91" s="187" t="str">
        <f t="shared" si="1"/>
        <v>4010136</v>
      </c>
      <c r="C91" s="397"/>
      <c r="D91" s="314"/>
      <c r="E91" s="429"/>
    </row>
    <row r="92" spans="1:10" ht="15" x14ac:dyDescent="0.25">
      <c r="A92" s="400" t="str">
        <f>IF('Ingresos-Egresos'!A75="",(""),('Ingresos-Egresos'!A75))</f>
        <v>4010137 - Cuota Colegio</v>
      </c>
      <c r="B92" s="187" t="str">
        <f t="shared" si="1"/>
        <v>4010137</v>
      </c>
      <c r="C92" s="397"/>
      <c r="D92" s="314"/>
      <c r="E92" s="429"/>
    </row>
    <row r="93" spans="1:10" ht="15" x14ac:dyDescent="0.25">
      <c r="A93" s="400" t="str">
        <f>IF('Ingresos-Egresos'!A76="",(""),('Ingresos-Egresos'!A76))</f>
        <v>4020106 - Flete</v>
      </c>
      <c r="B93" s="187" t="str">
        <f t="shared" si="1"/>
        <v>4020106</v>
      </c>
      <c r="C93" s="397"/>
      <c r="D93" s="314"/>
      <c r="E93" s="429"/>
    </row>
    <row r="94" spans="1:10" ht="15" x14ac:dyDescent="0.25">
      <c r="A94" s="400" t="s">
        <v>382</v>
      </c>
      <c r="B94" s="187" t="str">
        <f t="shared" si="1"/>
        <v>4010108</v>
      </c>
      <c r="C94" s="404"/>
      <c r="D94" s="314"/>
      <c r="E94" s="429"/>
    </row>
    <row r="95" spans="1:10" ht="15" x14ac:dyDescent="0.25">
      <c r="A95" s="400" t="s">
        <v>383</v>
      </c>
      <c r="B95" s="187" t="str">
        <f t="shared" si="1"/>
        <v>4010134</v>
      </c>
      <c r="C95" s="404"/>
      <c r="D95" s="314"/>
      <c r="E95" s="429"/>
    </row>
    <row r="96" spans="1:10" ht="15" x14ac:dyDescent="0.25">
      <c r="A96" s="400" t="s">
        <v>384</v>
      </c>
      <c r="B96" s="187" t="str">
        <f t="shared" si="1"/>
        <v>7000001</v>
      </c>
      <c r="C96" s="397"/>
      <c r="D96" s="314"/>
      <c r="E96" s="429"/>
    </row>
    <row r="97" spans="1:8" ht="15" x14ac:dyDescent="0.25">
      <c r="A97" s="400" t="s">
        <v>385</v>
      </c>
      <c r="B97" s="187" t="str">
        <f t="shared" si="1"/>
        <v>Rodados</v>
      </c>
      <c r="C97" s="397"/>
      <c r="D97" s="314"/>
      <c r="E97" s="429"/>
    </row>
    <row r="98" spans="1:8" ht="15" x14ac:dyDescent="0.25">
      <c r="A98" s="400" t="s">
        <v>386</v>
      </c>
      <c r="B98" s="187" t="str">
        <f t="shared" si="1"/>
        <v>Muebles</v>
      </c>
      <c r="C98" s="397"/>
      <c r="D98" s="314"/>
      <c r="E98" s="429"/>
    </row>
    <row r="99" spans="1:8" ht="15" x14ac:dyDescent="0.25">
      <c r="A99" s="400" t="str">
        <f>IF('Ingresos-Egresos'!A82="",(""),('Ingresos-Egresos'!A82))</f>
        <v/>
      </c>
      <c r="B99" s="187" t="str">
        <f t="shared" si="1"/>
        <v/>
      </c>
      <c r="C99" s="404"/>
      <c r="D99" s="314"/>
      <c r="E99" s="429"/>
    </row>
    <row r="100" spans="1:8" ht="15" x14ac:dyDescent="0.25">
      <c r="A100" s="400" t="str">
        <f>IF('Ingresos-Egresos'!A83="",(""),('Ingresos-Egresos'!A83))</f>
        <v/>
      </c>
      <c r="B100" s="187" t="str">
        <f t="shared" si="1"/>
        <v/>
      </c>
      <c r="C100" s="404"/>
      <c r="D100" s="314"/>
      <c r="E100" s="429"/>
    </row>
    <row r="101" spans="1:8" ht="15" x14ac:dyDescent="0.25">
      <c r="A101" s="400" t="str">
        <f>IF('Ingresos-Egresos'!A84="",(""),('Ingresos-Egresos'!A84))</f>
        <v/>
      </c>
      <c r="B101" s="187" t="str">
        <f t="shared" si="1"/>
        <v/>
      </c>
      <c r="C101" s="404"/>
      <c r="D101" s="314"/>
      <c r="E101" s="429"/>
    </row>
    <row r="102" spans="1:8" ht="15" x14ac:dyDescent="0.25">
      <c r="A102" s="400" t="str">
        <f>IF('Ingresos-Egresos'!A85="",(""),('Ingresos-Egresos'!A85))</f>
        <v/>
      </c>
      <c r="B102" s="187" t="str">
        <f t="shared" si="1"/>
        <v/>
      </c>
      <c r="C102" s="404"/>
      <c r="D102" s="314"/>
      <c r="E102" s="429"/>
      <c r="F102" s="327"/>
      <c r="G102" s="22"/>
      <c r="H102" s="438"/>
    </row>
    <row r="103" spans="1:8" ht="15" x14ac:dyDescent="0.25">
      <c r="A103" s="400" t="str">
        <f>IF('Ingresos-Egresos'!A86="",(""),('Ingresos-Egresos'!A86))</f>
        <v/>
      </c>
      <c r="B103" s="187" t="str">
        <f t="shared" si="1"/>
        <v/>
      </c>
      <c r="C103" s="404"/>
      <c r="D103" s="314"/>
      <c r="E103" s="429"/>
      <c r="F103" s="327"/>
      <c r="G103" s="22"/>
      <c r="H103" s="438"/>
    </row>
    <row r="104" spans="1:8" ht="15" x14ac:dyDescent="0.25">
      <c r="A104" s="400" t="str">
        <f>IF('Ingresos-Egresos'!A87="",(""),('Ingresos-Egresos'!A87))</f>
        <v/>
      </c>
      <c r="B104" s="187" t="str">
        <f t="shared" si="1"/>
        <v/>
      </c>
      <c r="C104" s="404"/>
      <c r="D104" s="314"/>
      <c r="E104" s="429"/>
    </row>
    <row r="105" spans="1:8" ht="15" x14ac:dyDescent="0.25">
      <c r="A105" s="400" t="str">
        <f>IF('Ingresos-Egresos'!A88="",(""),('Ingresos-Egresos'!A88))</f>
        <v/>
      </c>
      <c r="B105" s="187" t="str">
        <f t="shared" si="1"/>
        <v/>
      </c>
      <c r="C105" s="404"/>
      <c r="D105" s="314"/>
      <c r="E105" s="452"/>
    </row>
    <row r="106" spans="1:8" ht="15" x14ac:dyDescent="0.25">
      <c r="A106" s="400" t="str">
        <f>IF('Ingresos-Egresos'!A89="",(""),('Ingresos-Egresos'!A89))</f>
        <v/>
      </c>
      <c r="B106" s="187" t="str">
        <f t="shared" si="1"/>
        <v/>
      </c>
      <c r="C106" s="404"/>
      <c r="D106" s="387"/>
      <c r="E106" s="429"/>
    </row>
    <row r="107" spans="1:8" ht="15" x14ac:dyDescent="0.25">
      <c r="A107" s="400" t="str">
        <f>'Ingresos-Egresos'!A90</f>
        <v>Total</v>
      </c>
      <c r="B107" s="187"/>
      <c r="C107" s="398"/>
      <c r="D107" s="403"/>
      <c r="E107" s="446"/>
    </row>
    <row r="108" spans="1:8" x14ac:dyDescent="0.2">
      <c r="B108" s="448" t="s">
        <v>336</v>
      </c>
      <c r="C108" s="449">
        <f>SUM(C72:C107)</f>
        <v>0</v>
      </c>
      <c r="D108" s="450">
        <f>SUM(D82:D107)</f>
        <v>0</v>
      </c>
      <c r="E108" s="141"/>
    </row>
    <row r="109" spans="1:8" x14ac:dyDescent="0.2">
      <c r="E109" s="141"/>
    </row>
    <row r="110" spans="1:8" ht="15.75" x14ac:dyDescent="0.25">
      <c r="A110" s="588" t="s">
        <v>334</v>
      </c>
      <c r="B110" s="589"/>
      <c r="C110" s="589"/>
      <c r="D110" s="590"/>
      <c r="E110" s="141"/>
    </row>
    <row r="111" spans="1:8" ht="15" x14ac:dyDescent="0.25">
      <c r="A111" s="182" t="s">
        <v>312</v>
      </c>
      <c r="B111" s="183"/>
      <c r="C111" s="401" t="s">
        <v>187</v>
      </c>
      <c r="D111" s="401" t="s">
        <v>337</v>
      </c>
      <c r="E111" s="141"/>
    </row>
    <row r="112" spans="1:8" x14ac:dyDescent="0.2">
      <c r="A112" s="445" t="s">
        <v>72</v>
      </c>
      <c r="B112" s="185"/>
      <c r="C112" s="407">
        <f>CCMA!J2</f>
        <v>0</v>
      </c>
      <c r="D112" s="451"/>
      <c r="E112" s="141"/>
    </row>
    <row r="113" spans="1:5" x14ac:dyDescent="0.2">
      <c r="A113" s="445" t="s">
        <v>314</v>
      </c>
      <c r="B113" s="185"/>
      <c r="C113" s="407"/>
      <c r="D113" s="451"/>
      <c r="E113" s="141"/>
    </row>
    <row r="114" spans="1:5" x14ac:dyDescent="0.2">
      <c r="A114" s="447" t="s">
        <v>335</v>
      </c>
      <c r="C114" s="429">
        <f>IF(CCMA!K2&lt;=0,('Base de Datos'!C45),(""))</f>
        <v>12914344.23</v>
      </c>
      <c r="D114" s="429"/>
      <c r="E114" s="141"/>
    </row>
    <row r="115" spans="1:5" x14ac:dyDescent="0.2">
      <c r="A115" s="447"/>
      <c r="C115" s="429"/>
      <c r="D115" s="429"/>
      <c r="E115" s="141"/>
    </row>
    <row r="116" spans="1:5" x14ac:dyDescent="0.2">
      <c r="A116" s="176"/>
      <c r="C116" s="429"/>
      <c r="D116" s="429"/>
      <c r="E116" s="141"/>
    </row>
    <row r="117" spans="1:5" ht="15" x14ac:dyDescent="0.25">
      <c r="A117" s="182" t="s">
        <v>416</v>
      </c>
      <c r="B117" s="106"/>
      <c r="C117" s="110"/>
      <c r="D117" s="110"/>
      <c r="E117" s="141"/>
    </row>
    <row r="118" spans="1:5" x14ac:dyDescent="0.2">
      <c r="A118" s="176" t="str">
        <f>IF(A9="",(""),(A9))</f>
        <v/>
      </c>
      <c r="C118" s="429" t="str">
        <f>IF(A118="",(""),(VLOOKUP(A118,'Base de Datos'!A42:C44,3,(0))))</f>
        <v/>
      </c>
      <c r="D118" s="429"/>
      <c r="E118" s="141"/>
    </row>
    <row r="119" spans="1:5" x14ac:dyDescent="0.2">
      <c r="A119" s="176" t="str">
        <f t="shared" ref="A119:A122" si="2">IF(A10="",(""),(A10))</f>
        <v/>
      </c>
      <c r="C119" s="429" t="str">
        <f>IF(A119="",(""),(VLOOKUP(A119,'Base de Datos'!A43:C45,3,(0))))</f>
        <v/>
      </c>
      <c r="D119" s="429"/>
      <c r="E119" s="141"/>
    </row>
    <row r="120" spans="1:5" x14ac:dyDescent="0.2">
      <c r="A120" s="176" t="str">
        <f t="shared" si="2"/>
        <v/>
      </c>
      <c r="C120" s="429" t="str">
        <f>IF(A120="",(""),(VLOOKUP(A120,'Base de Datos'!A44:C46,3,(0))))</f>
        <v/>
      </c>
      <c r="D120" s="429"/>
      <c r="E120" s="141"/>
    </row>
    <row r="121" spans="1:5" x14ac:dyDescent="0.2">
      <c r="A121" s="176" t="str">
        <f t="shared" si="2"/>
        <v/>
      </c>
      <c r="C121" s="429" t="str">
        <f>IF(A121="",(""),(VLOOKUP(A121,'Base de Datos'!A45:C47,3,(0))))</f>
        <v/>
      </c>
      <c r="D121" s="429"/>
      <c r="E121" s="141"/>
    </row>
    <row r="122" spans="1:5" x14ac:dyDescent="0.2">
      <c r="A122" s="103" t="str">
        <f t="shared" si="2"/>
        <v/>
      </c>
      <c r="B122" s="144"/>
      <c r="C122" s="446" t="str">
        <f>IF(A122="",(""),(VLOOKUP(A122,'Base de Datos'!A46:C48,3,(0))))</f>
        <v/>
      </c>
      <c r="D122" s="446"/>
      <c r="E122" s="141"/>
    </row>
    <row r="123" spans="1:5" ht="15" x14ac:dyDescent="0.25">
      <c r="B123" s="576" t="s">
        <v>43</v>
      </c>
      <c r="C123" s="577">
        <f>SUM(C112:C122)</f>
        <v>12914344.23</v>
      </c>
      <c r="E123" s="141"/>
    </row>
    <row r="124" spans="1:5" x14ac:dyDescent="0.2">
      <c r="A124" s="176"/>
      <c r="C124" s="7"/>
      <c r="E124" s="141"/>
    </row>
    <row r="125" spans="1:5" ht="15.75" x14ac:dyDescent="0.25">
      <c r="A125" s="380" t="s">
        <v>311</v>
      </c>
      <c r="D125" s="4" t="s">
        <v>76</v>
      </c>
      <c r="E125" s="141"/>
    </row>
    <row r="126" spans="1:5" ht="13.5" thickBot="1" x14ac:dyDescent="0.25">
      <c r="A126" s="148" t="s">
        <v>316</v>
      </c>
      <c r="B126" s="412">
        <f>E62</f>
        <v>0</v>
      </c>
      <c r="C126" s="386"/>
      <c r="D126" s="7">
        <f>SUM(B126:B127)</f>
        <v>0</v>
      </c>
      <c r="E126" s="141"/>
    </row>
    <row r="127" spans="1:5" ht="13.5" thickBot="1" x14ac:dyDescent="0.25">
      <c r="A127" s="104" t="s">
        <v>2</v>
      </c>
      <c r="B127" s="409">
        <f>-C108</f>
        <v>0</v>
      </c>
      <c r="D127" s="85" t="e">
        <f>D126/B126</f>
        <v>#DIV/0!</v>
      </c>
      <c r="E127" s="388" t="e">
        <f>B130/B126</f>
        <v>#N/A</v>
      </c>
    </row>
    <row r="128" spans="1:5" x14ac:dyDescent="0.2">
      <c r="A128" s="354" t="s">
        <v>70</v>
      </c>
      <c r="B128" s="410">
        <f>AXI!G38</f>
        <v>0</v>
      </c>
      <c r="C128" s="7"/>
      <c r="D128" s="7"/>
      <c r="E128" s="389"/>
    </row>
    <row r="129" spans="1:5" x14ac:dyDescent="0.2">
      <c r="A129" s="475" t="s">
        <v>387</v>
      </c>
      <c r="B129" s="411" t="e">
        <f>AXI!D29</f>
        <v>#N/A</v>
      </c>
      <c r="C129" s="7"/>
      <c r="D129" s="7"/>
      <c r="E129" s="389"/>
    </row>
    <row r="130" spans="1:5" x14ac:dyDescent="0.2">
      <c r="A130" s="413" t="s">
        <v>3</v>
      </c>
      <c r="B130" s="414" t="e">
        <f>SUM(B126:B129)</f>
        <v>#N/A</v>
      </c>
      <c r="C130" s="37"/>
      <c r="D130" s="66"/>
      <c r="E130" s="390"/>
    </row>
    <row r="131" spans="1:5" x14ac:dyDescent="0.2">
      <c r="A131" s="103"/>
      <c r="B131" s="20"/>
      <c r="C131" s="19"/>
      <c r="D131" s="144"/>
      <c r="E131" s="391"/>
    </row>
    <row r="132" spans="1:5" ht="21" thickBot="1" x14ac:dyDescent="0.35">
      <c r="A132" s="583" t="s">
        <v>308</v>
      </c>
      <c r="B132" s="584"/>
      <c r="C132" s="584"/>
      <c r="D132" s="584"/>
      <c r="E132" s="585"/>
    </row>
    <row r="133" spans="1:5" ht="13.5" thickBot="1" x14ac:dyDescent="0.25">
      <c r="A133" s="507" t="s">
        <v>65</v>
      </c>
      <c r="B133" s="44">
        <f>+B65+C65</f>
        <v>0</v>
      </c>
      <c r="C133" s="11"/>
      <c r="D133" s="510" t="s">
        <v>115</v>
      </c>
      <c r="E133" s="390"/>
    </row>
    <row r="134" spans="1:5" ht="13.5" thickBot="1" x14ac:dyDescent="0.25">
      <c r="A134" s="176" t="s">
        <v>66</v>
      </c>
      <c r="B134" s="415">
        <f>D108</f>
        <v>0</v>
      </c>
      <c r="C134" s="11"/>
      <c r="D134" s="85" t="e">
        <f>B136/B133</f>
        <v>#DIV/0!</v>
      </c>
      <c r="E134" s="141"/>
    </row>
    <row r="135" spans="1:5" ht="13.5" thickBot="1" x14ac:dyDescent="0.25">
      <c r="A135" s="176"/>
      <c r="B135" s="45"/>
      <c r="C135" s="11"/>
      <c r="D135" s="66"/>
      <c r="E135" s="390"/>
    </row>
    <row r="136" spans="1:5" ht="13.5" thickTop="1" x14ac:dyDescent="0.2">
      <c r="A136" s="413" t="s">
        <v>3</v>
      </c>
      <c r="B136" s="414">
        <f>SUM(B132:B135)</f>
        <v>0</v>
      </c>
      <c r="C136" s="7"/>
      <c r="D136" s="7"/>
      <c r="E136" s="141"/>
    </row>
    <row r="137" spans="1:5" ht="66" customHeight="1" x14ac:dyDescent="0.2">
      <c r="A137" s="176"/>
      <c r="B137" s="7"/>
      <c r="C137" s="7"/>
      <c r="D137" s="7"/>
      <c r="E137" s="141"/>
    </row>
    <row r="138" spans="1:5" x14ac:dyDescent="0.2">
      <c r="A138" s="140" t="s">
        <v>4</v>
      </c>
      <c r="C138" s="7"/>
      <c r="D138" s="7"/>
      <c r="E138" s="141"/>
    </row>
    <row r="139" spans="1:5" x14ac:dyDescent="0.2">
      <c r="A139" s="104" t="s">
        <v>5</v>
      </c>
      <c r="B139" s="418" t="e">
        <f>+B130+B136</f>
        <v>#N/A</v>
      </c>
      <c r="C139" s="7"/>
      <c r="D139" s="7"/>
      <c r="E139" s="141"/>
    </row>
    <row r="140" spans="1:5" x14ac:dyDescent="0.2">
      <c r="A140" s="176" t="s">
        <v>6</v>
      </c>
      <c r="B140" s="411">
        <f>B127+B134</f>
        <v>0</v>
      </c>
      <c r="C140" s="7"/>
      <c r="D140" s="7"/>
      <c r="E140" s="141"/>
    </row>
    <row r="141" spans="1:5" x14ac:dyDescent="0.2">
      <c r="A141" s="413" t="s">
        <v>7</v>
      </c>
      <c r="B141" s="414" t="e">
        <f>+B139-B140</f>
        <v>#N/A</v>
      </c>
      <c r="C141" s="7"/>
      <c r="D141" s="7"/>
      <c r="E141" s="389"/>
    </row>
    <row r="142" spans="1:5" x14ac:dyDescent="0.2">
      <c r="A142" s="176"/>
      <c r="B142" s="7"/>
      <c r="C142" s="7"/>
      <c r="D142" s="5"/>
      <c r="E142" s="141"/>
    </row>
    <row r="143" spans="1:5" x14ac:dyDescent="0.2">
      <c r="A143" s="419" t="s">
        <v>8</v>
      </c>
      <c r="B143" s="420" t="e">
        <f>+B141</f>
        <v>#N/A</v>
      </c>
      <c r="C143" s="7"/>
      <c r="D143" s="5"/>
      <c r="E143" s="141"/>
    </row>
    <row r="144" spans="1:5" x14ac:dyDescent="0.2">
      <c r="A144" s="176"/>
      <c r="C144" s="7"/>
      <c r="D144" s="66"/>
      <c r="E144" s="141"/>
    </row>
    <row r="145" spans="1:5" x14ac:dyDescent="0.2">
      <c r="A145" s="453" t="s">
        <v>334</v>
      </c>
      <c r="B145" s="424">
        <f>C123</f>
        <v>12914344.23</v>
      </c>
      <c r="C145" s="511" t="s">
        <v>370</v>
      </c>
      <c r="D145" s="512" t="s">
        <v>371</v>
      </c>
      <c r="E145" s="389"/>
    </row>
    <row r="146" spans="1:5" x14ac:dyDescent="0.2">
      <c r="A146" s="421" t="s">
        <v>22</v>
      </c>
      <c r="B146" s="405" t="e">
        <f>B143-B145</f>
        <v>#N/A</v>
      </c>
      <c r="C146" s="513">
        <f>'Base de Datos'!G26</f>
        <v>3533519.57</v>
      </c>
      <c r="D146" s="514" t="e">
        <f>+B146-C146</f>
        <v>#N/A</v>
      </c>
      <c r="E146" s="141"/>
    </row>
    <row r="147" spans="1:5" x14ac:dyDescent="0.2">
      <c r="A147" s="140"/>
      <c r="B147" s="20"/>
      <c r="C147" s="7"/>
      <c r="D147" s="7"/>
      <c r="E147" s="141"/>
    </row>
    <row r="148" spans="1:5" x14ac:dyDescent="0.2">
      <c r="A148" s="422" t="s">
        <v>59</v>
      </c>
      <c r="B148" s="423" t="s">
        <v>58</v>
      </c>
      <c r="C148" s="423" t="s">
        <v>69</v>
      </c>
      <c r="D148" s="7"/>
      <c r="E148" s="141"/>
    </row>
    <row r="149" spans="1:5" x14ac:dyDescent="0.2">
      <c r="A149" s="558" t="e">
        <f>IF(B146&lt;'Base de Datos'!B28,('Base de Datos'!C28),(IF(B146&lt;'Base de Datos'!B29,('Base de Datos'!C29),(IF(B146&lt;'Base de Datos'!B30,('Base de Datos'!C30),(IF(B146&lt;'Base de Datos'!B31,('Base de Datos'!C31),(IF(B146&lt;'Base de Datos'!B32,('Base de Datos'!C32),(IF(B146&lt;'Base de Datos'!B33,('Base de Datos'!C33),(IF(B146&lt;'Base de Datos'!B34,('Base de Datos'!C34),(IF(B146&lt;'Base de Datos'!B35,('Base de Datos'!C35),(IF(B146&lt;'Base de Datos'!B36,('Base de Datos'!C36),(IF(B146&lt;'Base de Datos'!B37,('Base de Datos'!C37),("No entra en ningun parámetro"))))))))))))))))))))</f>
        <v>#N/A</v>
      </c>
      <c r="B149" s="559" t="e">
        <f>VLOOKUP(A149,'Base de Datos'!C28:D37,2)</f>
        <v>#N/A</v>
      </c>
      <c r="C149" s="560" t="e">
        <f>A149*B149</f>
        <v>#N/A</v>
      </c>
      <c r="D149" s="7"/>
      <c r="E149" s="141"/>
    </row>
    <row r="150" spans="1:5" x14ac:dyDescent="0.2">
      <c r="A150" s="176"/>
      <c r="B150" s="7"/>
      <c r="C150" s="7"/>
      <c r="E150" s="141"/>
    </row>
    <row r="151" spans="1:5" x14ac:dyDescent="0.2">
      <c r="A151" s="425" t="s">
        <v>23</v>
      </c>
      <c r="B151" s="426" t="e">
        <f>+A149+((B146-C149)*B149)</f>
        <v>#N/A</v>
      </c>
      <c r="C151" s="7"/>
      <c r="E151" s="141"/>
    </row>
    <row r="152" spans="1:5" x14ac:dyDescent="0.2">
      <c r="A152" s="176"/>
      <c r="B152" s="7"/>
      <c r="C152" s="7"/>
      <c r="D152" s="7"/>
      <c r="E152" s="141"/>
    </row>
    <row r="153" spans="1:5" ht="13.5" thickBot="1" x14ac:dyDescent="0.25">
      <c r="A153" s="508" t="s">
        <v>9</v>
      </c>
      <c r="B153" s="21"/>
      <c r="C153" s="7"/>
      <c r="D153" s="7"/>
      <c r="E153" s="141"/>
    </row>
    <row r="154" spans="1:5" x14ac:dyDescent="0.2">
      <c r="A154" s="176"/>
      <c r="B154" s="7"/>
      <c r="C154" s="7"/>
      <c r="D154" s="7"/>
      <c r="E154" s="141"/>
    </row>
    <row r="155" spans="1:5" x14ac:dyDescent="0.2">
      <c r="A155" s="176" t="s">
        <v>10</v>
      </c>
      <c r="B155" s="7" t="e">
        <f>+B151</f>
        <v>#N/A</v>
      </c>
      <c r="C155" s="7"/>
      <c r="D155" s="7"/>
      <c r="E155" s="141"/>
    </row>
    <row r="156" spans="1:5" x14ac:dyDescent="0.2">
      <c r="A156" s="140" t="s">
        <v>29</v>
      </c>
      <c r="B156" s="66"/>
      <c r="C156" s="7"/>
      <c r="D156" s="7"/>
      <c r="E156" s="141"/>
    </row>
    <row r="157" spans="1:5" x14ac:dyDescent="0.2">
      <c r="A157" s="140" t="s">
        <v>30</v>
      </c>
      <c r="B157" s="66"/>
      <c r="C157" s="7"/>
      <c r="D157" s="7"/>
      <c r="E157" s="141"/>
    </row>
    <row r="158" spans="1:5" x14ac:dyDescent="0.2">
      <c r="A158" s="140" t="s">
        <v>114</v>
      </c>
      <c r="B158" s="11">
        <v>0</v>
      </c>
      <c r="C158" s="7"/>
      <c r="D158" s="7"/>
      <c r="E158" s="141"/>
    </row>
    <row r="159" spans="1:5" x14ac:dyDescent="0.2">
      <c r="A159" s="140" t="s">
        <v>408</v>
      </c>
      <c r="B159" s="19"/>
      <c r="C159" s="5"/>
      <c r="D159" s="132"/>
      <c r="E159" s="141"/>
    </row>
    <row r="160" spans="1:5" x14ac:dyDescent="0.2">
      <c r="A160" s="176"/>
      <c r="B160" s="7"/>
      <c r="C160" s="5"/>
      <c r="D160" s="132"/>
      <c r="E160" s="141"/>
    </row>
    <row r="161" spans="1:8" x14ac:dyDescent="0.2">
      <c r="A161" s="421" t="s">
        <v>409</v>
      </c>
      <c r="B161" s="405" t="e">
        <f>B155-B156-B157-B158-B159</f>
        <v>#N/A</v>
      </c>
      <c r="C161" s="5"/>
      <c r="D161" s="132"/>
      <c r="E161" s="141"/>
    </row>
    <row r="162" spans="1:8" x14ac:dyDescent="0.2">
      <c r="A162" s="176"/>
      <c r="B162" s="7"/>
      <c r="C162" s="7"/>
      <c r="D162" s="7"/>
      <c r="E162" s="141"/>
    </row>
    <row r="163" spans="1:8" x14ac:dyDescent="0.2">
      <c r="A163" s="142" t="s">
        <v>112</v>
      </c>
      <c r="B163" s="7"/>
      <c r="C163" s="7"/>
      <c r="D163" s="7"/>
      <c r="E163" s="141"/>
      <c r="F163" s="8"/>
      <c r="G163" s="8"/>
    </row>
    <row r="164" spans="1:8" x14ac:dyDescent="0.2">
      <c r="A164" s="354"/>
      <c r="B164" s="7" t="e">
        <f>B151</f>
        <v>#N/A</v>
      </c>
      <c r="D164" s="132"/>
      <c r="E164" s="509"/>
      <c r="F164" s="8"/>
      <c r="G164" s="8"/>
    </row>
    <row r="165" spans="1:8" x14ac:dyDescent="0.2">
      <c r="A165" s="421" t="s">
        <v>21</v>
      </c>
      <c r="B165" s="405" t="e">
        <f>B164/5</f>
        <v>#N/A</v>
      </c>
      <c r="D165" s="132"/>
      <c r="E165" s="509"/>
      <c r="F165" s="8"/>
      <c r="G165" s="8"/>
    </row>
    <row r="166" spans="1:8" x14ac:dyDescent="0.2">
      <c r="A166" s="176"/>
      <c r="D166" s="132"/>
      <c r="E166" s="509"/>
    </row>
    <row r="167" spans="1:8" x14ac:dyDescent="0.2">
      <c r="A167" s="103"/>
      <c r="B167" s="20"/>
      <c r="C167" s="20"/>
      <c r="D167" s="20"/>
      <c r="E167" s="145"/>
    </row>
    <row r="168" spans="1:8" ht="20.25" x14ac:dyDescent="0.3">
      <c r="A168" s="583" t="s">
        <v>342</v>
      </c>
      <c r="B168" s="584"/>
      <c r="C168" s="584"/>
      <c r="D168" s="584"/>
      <c r="E168" s="585"/>
      <c r="G168" s="1"/>
    </row>
    <row r="169" spans="1:8" x14ac:dyDescent="0.2">
      <c r="A169" s="416"/>
      <c r="B169" s="586" t="s">
        <v>11</v>
      </c>
      <c r="C169" s="586"/>
      <c r="D169" s="595" t="s">
        <v>12</v>
      </c>
      <c r="E169" s="596"/>
      <c r="G169" s="1"/>
    </row>
    <row r="170" spans="1:8" ht="15" x14ac:dyDescent="0.25">
      <c r="A170" s="402" t="s">
        <v>71</v>
      </c>
      <c r="B170" s="395" t="s">
        <v>13</v>
      </c>
      <c r="C170" s="465" t="s">
        <v>14</v>
      </c>
      <c r="D170" s="465" t="s">
        <v>13</v>
      </c>
      <c r="E170" s="465" t="s">
        <v>14</v>
      </c>
      <c r="F170" s="176"/>
    </row>
    <row r="171" spans="1:8" ht="15" customHeight="1" x14ac:dyDescent="0.2">
      <c r="A171" s="458" t="s">
        <v>343</v>
      </c>
      <c r="B171" s="3"/>
      <c r="D171" s="36"/>
      <c r="F171" s="176"/>
    </row>
    <row r="172" spans="1:8" ht="15" customHeight="1" x14ac:dyDescent="0.2">
      <c r="A172" s="526"/>
      <c r="B172" s="3"/>
      <c r="D172" s="459"/>
      <c r="E172" s="66"/>
      <c r="F172" s="354"/>
    </row>
    <row r="173" spans="1:8" ht="15" customHeight="1" x14ac:dyDescent="0.2">
      <c r="A173" s="526"/>
      <c r="B173" s="3"/>
      <c r="D173" s="459"/>
      <c r="E173" s="67"/>
      <c r="F173" s="354"/>
    </row>
    <row r="174" spans="1:8" ht="15" customHeight="1" x14ac:dyDescent="0.2">
      <c r="A174" s="526"/>
      <c r="B174" s="3"/>
      <c r="D174" s="459"/>
      <c r="E174" s="67"/>
      <c r="F174" s="176"/>
    </row>
    <row r="175" spans="1:8" ht="15" customHeight="1" x14ac:dyDescent="0.2">
      <c r="A175" s="526"/>
      <c r="B175" s="3"/>
      <c r="D175" s="459"/>
      <c r="E175" s="66"/>
      <c r="F175" s="176"/>
      <c r="H175" s="12"/>
    </row>
    <row r="176" spans="1:8" ht="15" customHeight="1" x14ac:dyDescent="0.2">
      <c r="A176" s="526"/>
      <c r="B176" s="3"/>
      <c r="D176" s="459"/>
      <c r="E176" s="66"/>
      <c r="F176" s="468"/>
    </row>
    <row r="177" spans="1:6" ht="15" customHeight="1" x14ac:dyDescent="0.2">
      <c r="A177" s="526"/>
      <c r="B177" s="3"/>
      <c r="D177" s="459"/>
      <c r="E177" s="66"/>
      <c r="F177" s="468"/>
    </row>
    <row r="178" spans="1:6" ht="15" customHeight="1" x14ac:dyDescent="0.2">
      <c r="A178" s="4"/>
      <c r="B178" s="3"/>
      <c r="D178" s="176"/>
      <c r="E178" s="66"/>
      <c r="F178" s="468"/>
    </row>
    <row r="179" spans="1:6" ht="15" customHeight="1" x14ac:dyDescent="0.2">
      <c r="A179" s="458" t="s">
        <v>344</v>
      </c>
      <c r="B179" s="3">
        <v>0</v>
      </c>
      <c r="D179" s="459"/>
      <c r="E179" s="66"/>
      <c r="F179" s="468"/>
    </row>
    <row r="180" spans="1:6" ht="15" customHeight="1" x14ac:dyDescent="0.2">
      <c r="A180" s="526"/>
      <c r="B180" s="3"/>
      <c r="D180" s="459"/>
      <c r="E180" s="66"/>
      <c r="F180" s="468"/>
    </row>
    <row r="181" spans="1:6" ht="15" customHeight="1" x14ac:dyDescent="0.2">
      <c r="A181" s="4"/>
      <c r="B181" s="3"/>
      <c r="D181" s="176"/>
      <c r="E181" s="66"/>
      <c r="F181" s="468"/>
    </row>
    <row r="182" spans="1:6" ht="15" customHeight="1" x14ac:dyDescent="0.2">
      <c r="A182" s="458" t="s">
        <v>346</v>
      </c>
      <c r="B182" s="3"/>
      <c r="D182" s="176"/>
      <c r="E182" s="66"/>
      <c r="F182" s="468"/>
    </row>
    <row r="183" spans="1:6" ht="15" customHeight="1" x14ac:dyDescent="0.2">
      <c r="A183" s="4" t="e">
        <f>A214</f>
        <v>#N/A</v>
      </c>
      <c r="B183" s="3"/>
      <c r="D183" s="566" t="e">
        <f>D214</f>
        <v>#N/A</v>
      </c>
      <c r="E183" s="66"/>
      <c r="F183" s="468"/>
    </row>
    <row r="184" spans="1:6" ht="15" customHeight="1" x14ac:dyDescent="0.2">
      <c r="A184" s="4" t="e">
        <f t="shared" ref="A184:A190" si="3">A215</f>
        <v>#N/A</v>
      </c>
      <c r="B184" s="3"/>
      <c r="D184" s="566" t="e">
        <f t="shared" ref="D184:D190" si="4">D215</f>
        <v>#N/A</v>
      </c>
      <c r="E184" s="66"/>
      <c r="F184" s="468"/>
    </row>
    <row r="185" spans="1:6" ht="15" customHeight="1" x14ac:dyDescent="0.2">
      <c r="A185" s="4" t="e">
        <f t="shared" si="3"/>
        <v>#N/A</v>
      </c>
      <c r="B185" s="3"/>
      <c r="D185" s="566" t="e">
        <f t="shared" si="4"/>
        <v>#N/A</v>
      </c>
      <c r="E185" s="66"/>
      <c r="F185" s="354"/>
    </row>
    <row r="186" spans="1:6" ht="15" customHeight="1" x14ac:dyDescent="0.2">
      <c r="A186" s="4" t="e">
        <f t="shared" si="3"/>
        <v>#N/A</v>
      </c>
      <c r="B186" s="3"/>
      <c r="D186" s="566" t="e">
        <f t="shared" si="4"/>
        <v>#N/A</v>
      </c>
      <c r="E186" s="66"/>
      <c r="F186" s="468"/>
    </row>
    <row r="187" spans="1:6" ht="15" customHeight="1" x14ac:dyDescent="0.2">
      <c r="A187" s="4" t="e">
        <f t="shared" si="3"/>
        <v>#N/A</v>
      </c>
      <c r="B187" s="3"/>
      <c r="D187" s="566" t="e">
        <f t="shared" si="4"/>
        <v>#N/A</v>
      </c>
      <c r="E187" s="66"/>
      <c r="F187" s="468"/>
    </row>
    <row r="188" spans="1:6" ht="15" customHeight="1" x14ac:dyDescent="0.2">
      <c r="A188" s="4" t="e">
        <f t="shared" si="3"/>
        <v>#N/A</v>
      </c>
      <c r="B188" s="3"/>
      <c r="D188" s="566" t="e">
        <f t="shared" si="4"/>
        <v>#N/A</v>
      </c>
      <c r="E188" s="66"/>
      <c r="F188" s="468"/>
    </row>
    <row r="189" spans="1:6" ht="15" customHeight="1" x14ac:dyDescent="0.2">
      <c r="A189" s="4" t="e">
        <f t="shared" si="3"/>
        <v>#N/A</v>
      </c>
      <c r="B189" s="3"/>
      <c r="D189" s="566" t="e">
        <f t="shared" si="4"/>
        <v>#N/A</v>
      </c>
      <c r="E189" s="66"/>
      <c r="F189" s="354"/>
    </row>
    <row r="190" spans="1:6" ht="15" customHeight="1" x14ac:dyDescent="0.2">
      <c r="A190" s="4" t="e">
        <f t="shared" si="3"/>
        <v>#N/A</v>
      </c>
      <c r="B190" s="3"/>
      <c r="D190" s="566" t="e">
        <f t="shared" si="4"/>
        <v>#N/A</v>
      </c>
      <c r="E190" s="66"/>
      <c r="F190" s="176"/>
    </row>
    <row r="191" spans="1:6" ht="15" customHeight="1" x14ac:dyDescent="0.2">
      <c r="A191" s="458" t="s">
        <v>345</v>
      </c>
      <c r="B191" s="3"/>
      <c r="C191" s="43"/>
      <c r="D191" s="459"/>
      <c r="E191" s="67"/>
      <c r="F191" s="467"/>
    </row>
    <row r="192" spans="1:6" ht="15" customHeight="1" thickBot="1" x14ac:dyDescent="0.25">
      <c r="A192" s="464" t="s">
        <v>67</v>
      </c>
      <c r="B192" s="460"/>
      <c r="C192" s="461"/>
      <c r="D192" s="466"/>
      <c r="E192" s="462"/>
      <c r="F192" s="176"/>
    </row>
    <row r="193" spans="1:8" ht="15" customHeight="1" thickTop="1" x14ac:dyDescent="0.2">
      <c r="A193" s="4" t="s">
        <v>73</v>
      </c>
      <c r="B193" s="2">
        <f>SUM(B171:B192)</f>
        <v>0</v>
      </c>
      <c r="C193" s="2">
        <f>SUM(C171:C192)</f>
        <v>0</v>
      </c>
      <c r="D193" s="2" t="e">
        <f>SUM(D172:D192)</f>
        <v>#N/A</v>
      </c>
      <c r="E193" s="43">
        <f>SUM(E171:E192)</f>
        <v>0</v>
      </c>
      <c r="G193" s="1"/>
    </row>
    <row r="194" spans="1:8" ht="15" customHeight="1" x14ac:dyDescent="0.2">
      <c r="A194" s="4" t="s">
        <v>74</v>
      </c>
      <c r="B194" s="7"/>
      <c r="C194" s="463">
        <f>B193-C193</f>
        <v>0</v>
      </c>
      <c r="D194" s="2"/>
      <c r="E194" s="22" t="e">
        <f>D193-E193</f>
        <v>#N/A</v>
      </c>
      <c r="F194" s="37"/>
    </row>
    <row r="195" spans="1:8" ht="15" customHeight="1" x14ac:dyDescent="0.2">
      <c r="B195" s="7"/>
      <c r="C195" s="7"/>
      <c r="D195" s="2"/>
      <c r="E195" s="12"/>
      <c r="F195" s="12"/>
    </row>
    <row r="196" spans="1:8" ht="19.5" customHeight="1" x14ac:dyDescent="0.3">
      <c r="A196" s="583" t="s">
        <v>341</v>
      </c>
      <c r="B196" s="584"/>
      <c r="C196" s="584"/>
      <c r="D196" s="584"/>
      <c r="E196" s="585"/>
      <c r="F196" s="37"/>
    </row>
    <row r="197" spans="1:8" ht="15" customHeight="1" x14ac:dyDescent="0.2">
      <c r="A197" s="176"/>
      <c r="D197" s="7"/>
      <c r="E197" s="141"/>
    </row>
    <row r="198" spans="1:8" ht="15" customHeight="1" x14ac:dyDescent="0.2">
      <c r="A198" s="416" t="s">
        <v>17</v>
      </c>
      <c r="B198" s="412" t="e">
        <f>+C210-B199-B202-B203</f>
        <v>#N/A</v>
      </c>
      <c r="C198" s="473"/>
      <c r="D198" s="469" t="e">
        <f>+B198/12</f>
        <v>#N/A</v>
      </c>
      <c r="E198" s="470" t="s">
        <v>207</v>
      </c>
    </row>
    <row r="199" spans="1:8" ht="15" customHeight="1" x14ac:dyDescent="0.2">
      <c r="A199" s="474" t="s">
        <v>18</v>
      </c>
      <c r="B199" s="7" t="e">
        <f>+E194</f>
        <v>#N/A</v>
      </c>
      <c r="C199" s="7"/>
      <c r="D199" s="7"/>
      <c r="E199" s="141"/>
    </row>
    <row r="200" spans="1:8" ht="15" customHeight="1" x14ac:dyDescent="0.2">
      <c r="A200" s="475" t="s">
        <v>347</v>
      </c>
      <c r="B200" s="7"/>
      <c r="C200" s="7"/>
      <c r="D200" s="66"/>
      <c r="E200" s="476"/>
    </row>
    <row r="201" spans="1:8" ht="15" customHeight="1" x14ac:dyDescent="0.2">
      <c r="A201" s="475" t="s">
        <v>348</v>
      </c>
      <c r="B201" s="7" t="e">
        <f>-SUM(C214:C251)</f>
        <v>#N/A</v>
      </c>
      <c r="C201" s="7"/>
      <c r="D201" s="66"/>
      <c r="E201" s="141"/>
    </row>
    <row r="202" spans="1:8" ht="15" customHeight="1" x14ac:dyDescent="0.2">
      <c r="A202" s="475" t="s">
        <v>349</v>
      </c>
      <c r="B202" s="7"/>
      <c r="C202" s="7"/>
      <c r="D202" s="66"/>
      <c r="E202" s="141"/>
    </row>
    <row r="203" spans="1:8" ht="15" customHeight="1" x14ac:dyDescent="0.2">
      <c r="A203" s="475" t="s">
        <v>350</v>
      </c>
      <c r="B203" s="37">
        <v>0</v>
      </c>
      <c r="C203" s="38"/>
      <c r="D203" s="66"/>
      <c r="E203" s="141"/>
    </row>
    <row r="204" spans="1:8" ht="15" customHeight="1" x14ac:dyDescent="0.2">
      <c r="A204" s="475" t="s">
        <v>351</v>
      </c>
      <c r="B204" s="38"/>
      <c r="C204" s="12"/>
      <c r="D204" s="66"/>
      <c r="E204" s="141"/>
    </row>
    <row r="205" spans="1:8" ht="15" customHeight="1" x14ac:dyDescent="0.2">
      <c r="A205" s="475" t="s">
        <v>352</v>
      </c>
      <c r="B205" s="7"/>
      <c r="C205" s="7"/>
      <c r="D205" s="66"/>
      <c r="E205" s="141"/>
      <c r="G205" s="12"/>
    </row>
    <row r="206" spans="1:8" ht="15" customHeight="1" x14ac:dyDescent="0.2">
      <c r="A206" s="176"/>
      <c r="B206" s="7"/>
      <c r="C206" s="477"/>
      <c r="D206" s="7"/>
      <c r="E206" s="476"/>
      <c r="H206" s="10"/>
    </row>
    <row r="207" spans="1:8" ht="15" customHeight="1" x14ac:dyDescent="0.2">
      <c r="A207" s="176"/>
      <c r="B207" s="7"/>
      <c r="C207" s="7"/>
      <c r="D207" s="7"/>
      <c r="E207" s="387"/>
      <c r="H207" s="5"/>
    </row>
    <row r="208" spans="1:8" ht="15" customHeight="1" x14ac:dyDescent="0.2">
      <c r="A208" s="176" t="s">
        <v>353</v>
      </c>
      <c r="B208" s="7" t="e">
        <f>SUM(B199:B207)</f>
        <v>#N/A</v>
      </c>
      <c r="C208" s="66"/>
      <c r="D208" s="7"/>
      <c r="E208" s="141"/>
      <c r="H208" s="5"/>
    </row>
    <row r="209" spans="1:8" ht="15" customHeight="1" x14ac:dyDescent="0.2">
      <c r="A209" s="474" t="s">
        <v>19</v>
      </c>
      <c r="D209" s="7"/>
      <c r="E209" s="389"/>
      <c r="H209" s="5"/>
    </row>
    <row r="210" spans="1:8" ht="15" customHeight="1" x14ac:dyDescent="0.2">
      <c r="A210" s="103"/>
      <c r="B210" s="471" t="e">
        <f>SUM(B198:B207)</f>
        <v>#N/A</v>
      </c>
      <c r="C210" s="472">
        <f>SUM(C200:C208)</f>
        <v>0</v>
      </c>
      <c r="D210" s="478"/>
      <c r="E210" s="479"/>
    </row>
    <row r="211" spans="1:8" x14ac:dyDescent="0.2">
      <c r="A211" s="354"/>
      <c r="B211" s="9"/>
      <c r="E211" s="141"/>
    </row>
    <row r="212" spans="1:8" ht="20.25" x14ac:dyDescent="0.3">
      <c r="A212" s="591" t="s">
        <v>338</v>
      </c>
      <c r="B212" s="592"/>
      <c r="C212" s="592"/>
      <c r="D212" s="592"/>
      <c r="E212" s="593"/>
    </row>
    <row r="213" spans="1:8" x14ac:dyDescent="0.2">
      <c r="A213" s="480" t="s">
        <v>355</v>
      </c>
      <c r="B213" s="480" t="s">
        <v>24</v>
      </c>
      <c r="C213" s="481" t="s">
        <v>26</v>
      </c>
      <c r="D213" s="482" t="s">
        <v>25</v>
      </c>
      <c r="E213" s="482" t="s">
        <v>354</v>
      </c>
    </row>
    <row r="214" spans="1:8" x14ac:dyDescent="0.2">
      <c r="A214" s="140" t="e">
        <f>Bienes!Z5</f>
        <v>#N/A</v>
      </c>
      <c r="B214" s="436" t="e">
        <f>Bienes!AA5</f>
        <v>#N/A</v>
      </c>
      <c r="C214" s="133" t="e">
        <f>Bienes!AB5</f>
        <v>#N/A</v>
      </c>
      <c r="D214" s="433" t="e">
        <f>Bienes!AC5</f>
        <v>#N/A</v>
      </c>
      <c r="E214" s="376" t="e">
        <f>Bienes!AD5</f>
        <v>#N/A</v>
      </c>
    </row>
    <row r="215" spans="1:8" x14ac:dyDescent="0.2">
      <c r="A215" s="140" t="e">
        <f>Bienes!Z6</f>
        <v>#N/A</v>
      </c>
      <c r="B215" s="436" t="e">
        <f>Bienes!AA6</f>
        <v>#N/A</v>
      </c>
      <c r="C215" s="133" t="e">
        <f>Bienes!AB6</f>
        <v>#N/A</v>
      </c>
      <c r="D215" s="433" t="e">
        <f>Bienes!AC6</f>
        <v>#N/A</v>
      </c>
      <c r="E215" s="376" t="e">
        <f>Bienes!AD6</f>
        <v>#N/A</v>
      </c>
    </row>
    <row r="216" spans="1:8" x14ac:dyDescent="0.2">
      <c r="A216" s="140" t="e">
        <f>Bienes!Z7</f>
        <v>#N/A</v>
      </c>
      <c r="B216" s="436" t="e">
        <f>Bienes!AA7</f>
        <v>#N/A</v>
      </c>
      <c r="C216" s="133" t="e">
        <f>Bienes!AB7</f>
        <v>#N/A</v>
      </c>
      <c r="D216" s="433" t="e">
        <f>Bienes!AC7</f>
        <v>#N/A</v>
      </c>
      <c r="E216" s="376" t="e">
        <f>Bienes!AD7</f>
        <v>#N/A</v>
      </c>
    </row>
    <row r="217" spans="1:8" x14ac:dyDescent="0.2">
      <c r="A217" s="140" t="e">
        <f>Bienes!Z8</f>
        <v>#N/A</v>
      </c>
      <c r="B217" s="436" t="e">
        <f>Bienes!AA8</f>
        <v>#N/A</v>
      </c>
      <c r="C217" s="133" t="e">
        <f>Bienes!AB8</f>
        <v>#N/A</v>
      </c>
      <c r="D217" s="433" t="e">
        <f>Bienes!AC8</f>
        <v>#N/A</v>
      </c>
      <c r="E217" s="376" t="e">
        <f>Bienes!AD8</f>
        <v>#N/A</v>
      </c>
    </row>
    <row r="218" spans="1:8" x14ac:dyDescent="0.2">
      <c r="A218" s="140" t="e">
        <f>Bienes!Z9</f>
        <v>#N/A</v>
      </c>
      <c r="B218" s="436" t="e">
        <f>Bienes!AA9</f>
        <v>#N/A</v>
      </c>
      <c r="C218" s="133" t="e">
        <f>Bienes!AB9</f>
        <v>#N/A</v>
      </c>
      <c r="D218" s="433" t="e">
        <f>Bienes!AC9</f>
        <v>#N/A</v>
      </c>
      <c r="E218" s="376" t="e">
        <f>Bienes!AD9</f>
        <v>#N/A</v>
      </c>
    </row>
    <row r="219" spans="1:8" x14ac:dyDescent="0.2">
      <c r="A219" s="140" t="e">
        <f>Bienes!Z10</f>
        <v>#N/A</v>
      </c>
      <c r="B219" s="436" t="e">
        <f>Bienes!AA10</f>
        <v>#N/A</v>
      </c>
      <c r="C219" s="133" t="e">
        <f>Bienes!AB10</f>
        <v>#N/A</v>
      </c>
      <c r="D219" s="433" t="e">
        <f>Bienes!AC10</f>
        <v>#N/A</v>
      </c>
      <c r="E219" s="376" t="e">
        <f>Bienes!AD10</f>
        <v>#N/A</v>
      </c>
    </row>
    <row r="220" spans="1:8" x14ac:dyDescent="0.2">
      <c r="A220" s="140" t="e">
        <f>Bienes!Z11</f>
        <v>#N/A</v>
      </c>
      <c r="B220" s="436" t="e">
        <f>Bienes!AA11</f>
        <v>#N/A</v>
      </c>
      <c r="C220" s="133" t="e">
        <f>Bienes!AB11</f>
        <v>#N/A</v>
      </c>
      <c r="D220" s="433" t="e">
        <f>Bienes!AC11</f>
        <v>#N/A</v>
      </c>
      <c r="E220" s="376" t="e">
        <f>Bienes!AD11</f>
        <v>#N/A</v>
      </c>
    </row>
    <row r="221" spans="1:8" x14ac:dyDescent="0.2">
      <c r="A221" s="140" t="e">
        <f>Bienes!Z12</f>
        <v>#N/A</v>
      </c>
      <c r="B221" s="436" t="e">
        <f>Bienes!AA12</f>
        <v>#N/A</v>
      </c>
      <c r="C221" s="133" t="e">
        <f>Bienes!AB12</f>
        <v>#N/A</v>
      </c>
      <c r="D221" s="433" t="e">
        <f>Bienes!AC12</f>
        <v>#N/A</v>
      </c>
      <c r="E221" s="376" t="e">
        <f>Bienes!AD12</f>
        <v>#N/A</v>
      </c>
    </row>
    <row r="222" spans="1:8" x14ac:dyDescent="0.2">
      <c r="A222" s="140" t="e">
        <f>Bienes!Z13</f>
        <v>#N/A</v>
      </c>
      <c r="B222" s="436" t="e">
        <f>Bienes!AA13</f>
        <v>#N/A</v>
      </c>
      <c r="C222" s="133" t="e">
        <f>Bienes!AB13</f>
        <v>#N/A</v>
      </c>
      <c r="D222" s="433" t="e">
        <f>Bienes!AC13</f>
        <v>#N/A</v>
      </c>
      <c r="E222" s="376" t="e">
        <f>Bienes!AD13</f>
        <v>#N/A</v>
      </c>
    </row>
    <row r="223" spans="1:8" ht="12" customHeight="1" x14ac:dyDescent="0.2">
      <c r="A223" s="140" t="e">
        <f>Bienes!Z14</f>
        <v>#N/A</v>
      </c>
      <c r="B223" s="436" t="e">
        <f>Bienes!AA14</f>
        <v>#N/A</v>
      </c>
      <c r="C223" s="133" t="e">
        <f>Bienes!AB14</f>
        <v>#N/A</v>
      </c>
      <c r="D223" s="133" t="e">
        <f>Bienes!AC14</f>
        <v>#N/A</v>
      </c>
      <c r="E223" s="376" t="e">
        <f>Bienes!AD14</f>
        <v>#N/A</v>
      </c>
      <c r="F223" s="4"/>
      <c r="G223" s="4"/>
    </row>
    <row r="224" spans="1:8" x14ac:dyDescent="0.2">
      <c r="A224" s="140" t="e">
        <f>Bienes!Z15</f>
        <v>#N/A</v>
      </c>
      <c r="B224" s="436" t="e">
        <f>Bienes!AA15</f>
        <v>#N/A</v>
      </c>
      <c r="C224" s="133" t="e">
        <f>Bienes!AB15</f>
        <v>#N/A</v>
      </c>
      <c r="D224" s="133" t="e">
        <f>Bienes!AC15</f>
        <v>#N/A</v>
      </c>
      <c r="E224" s="376" t="e">
        <f>Bienes!AD15</f>
        <v>#N/A</v>
      </c>
    </row>
    <row r="225" spans="1:7" x14ac:dyDescent="0.2">
      <c r="A225" s="140" t="e">
        <f>Bienes!Z16</f>
        <v>#N/A</v>
      </c>
      <c r="B225" s="436" t="e">
        <f>Bienes!AA16</f>
        <v>#N/A</v>
      </c>
      <c r="C225" s="133" t="e">
        <f>Bienes!AB16</f>
        <v>#N/A</v>
      </c>
      <c r="D225" s="133" t="e">
        <f>Bienes!AC16</f>
        <v>#N/A</v>
      </c>
      <c r="E225" s="376" t="e">
        <f>Bienes!AD16</f>
        <v>#N/A</v>
      </c>
    </row>
    <row r="226" spans="1:7" x14ac:dyDescent="0.2">
      <c r="A226" s="140" t="e">
        <f>Bienes!Z17</f>
        <v>#N/A</v>
      </c>
      <c r="B226" s="436" t="e">
        <f>Bienes!AA17</f>
        <v>#N/A</v>
      </c>
      <c r="C226" s="133" t="e">
        <f>Bienes!AB17</f>
        <v>#N/A</v>
      </c>
      <c r="D226" s="133" t="e">
        <f>Bienes!AC17</f>
        <v>#N/A</v>
      </c>
      <c r="E226" s="376" t="e">
        <f>Bienes!AD17</f>
        <v>#N/A</v>
      </c>
    </row>
    <row r="227" spans="1:7" x14ac:dyDescent="0.2">
      <c r="A227" s="140" t="e">
        <f>Bienes!Z18</f>
        <v>#N/A</v>
      </c>
      <c r="B227" s="436" t="e">
        <f>Bienes!AA18</f>
        <v>#N/A</v>
      </c>
      <c r="C227" s="133" t="e">
        <f>Bienes!AB18</f>
        <v>#N/A</v>
      </c>
      <c r="D227" s="133" t="e">
        <f>Bienes!AC18</f>
        <v>#N/A</v>
      </c>
      <c r="E227" s="376" t="e">
        <f>Bienes!AD18</f>
        <v>#N/A</v>
      </c>
    </row>
    <row r="228" spans="1:7" x14ac:dyDescent="0.2">
      <c r="A228" s="140" t="e">
        <f>Bienes!Z19</f>
        <v>#N/A</v>
      </c>
      <c r="B228" s="436" t="e">
        <f>Bienes!AA19</f>
        <v>#N/A</v>
      </c>
      <c r="C228" s="133" t="e">
        <f>Bienes!AB19</f>
        <v>#N/A</v>
      </c>
      <c r="D228" s="133" t="e">
        <f>Bienes!AC19</f>
        <v>#N/A</v>
      </c>
      <c r="E228" s="376" t="e">
        <f>Bienes!AD19</f>
        <v>#N/A</v>
      </c>
    </row>
    <row r="229" spans="1:7" x14ac:dyDescent="0.2">
      <c r="A229" s="140" t="e">
        <f>Bienes!Z20</f>
        <v>#N/A</v>
      </c>
      <c r="B229" s="436" t="e">
        <f>Bienes!AA20</f>
        <v>#N/A</v>
      </c>
      <c r="C229" s="133" t="e">
        <f>Bienes!AB20</f>
        <v>#N/A</v>
      </c>
      <c r="D229" s="133" t="e">
        <f>Bienes!AC20</f>
        <v>#N/A</v>
      </c>
      <c r="E229" s="376" t="e">
        <f>Bienes!AD20</f>
        <v>#N/A</v>
      </c>
    </row>
    <row r="230" spans="1:7" x14ac:dyDescent="0.2">
      <c r="A230" s="140" t="e">
        <f>Bienes!Z21</f>
        <v>#N/A</v>
      </c>
      <c r="B230" s="436" t="e">
        <f>Bienes!AA21</f>
        <v>#N/A</v>
      </c>
      <c r="C230" s="133" t="e">
        <f>Bienes!AB21</f>
        <v>#N/A</v>
      </c>
      <c r="D230" s="133" t="e">
        <f>Bienes!AC21</f>
        <v>#N/A</v>
      </c>
      <c r="E230" s="376" t="e">
        <f>Bienes!AD21</f>
        <v>#N/A</v>
      </c>
    </row>
    <row r="231" spans="1:7" x14ac:dyDescent="0.2">
      <c r="A231" s="140" t="e">
        <f>Bienes!Z22</f>
        <v>#N/A</v>
      </c>
      <c r="B231" s="436" t="e">
        <f>Bienes!AA22</f>
        <v>#N/A</v>
      </c>
      <c r="C231" s="133" t="e">
        <f>Bienes!AB22</f>
        <v>#N/A</v>
      </c>
      <c r="D231" s="133" t="e">
        <f>Bienes!AC22</f>
        <v>#N/A</v>
      </c>
      <c r="E231" s="376" t="e">
        <f>Bienes!AD22</f>
        <v>#N/A</v>
      </c>
    </row>
    <row r="232" spans="1:7" x14ac:dyDescent="0.2">
      <c r="A232" s="140" t="e">
        <f>Bienes!Z23</f>
        <v>#N/A</v>
      </c>
      <c r="B232" s="436" t="e">
        <f>Bienes!AA23</f>
        <v>#N/A</v>
      </c>
      <c r="C232" s="133" t="e">
        <f>Bienes!AB23</f>
        <v>#N/A</v>
      </c>
      <c r="D232" s="133" t="e">
        <f>Bienes!AC23</f>
        <v>#N/A</v>
      </c>
      <c r="E232" s="376" t="e">
        <f>Bienes!AD23</f>
        <v>#N/A</v>
      </c>
    </row>
    <row r="233" spans="1:7" x14ac:dyDescent="0.2">
      <c r="A233" s="140" t="e">
        <f>Bienes!Z24</f>
        <v>#N/A</v>
      </c>
      <c r="B233" s="436" t="e">
        <f>Bienes!AA24</f>
        <v>#N/A</v>
      </c>
      <c r="C233" s="133" t="e">
        <f>Bienes!AB24</f>
        <v>#N/A</v>
      </c>
      <c r="D233" s="133" t="e">
        <f>Bienes!AC24</f>
        <v>#N/A</v>
      </c>
      <c r="E233" s="376" t="e">
        <f>Bienes!AD24</f>
        <v>#N/A</v>
      </c>
    </row>
    <row r="234" spans="1:7" x14ac:dyDescent="0.2">
      <c r="A234" s="140" t="e">
        <f>Bienes!Z25</f>
        <v>#N/A</v>
      </c>
      <c r="B234" s="436" t="e">
        <f>Bienes!AA25</f>
        <v>#N/A</v>
      </c>
      <c r="C234" s="133" t="e">
        <f>Bienes!AB25</f>
        <v>#N/A</v>
      </c>
      <c r="D234" s="133" t="e">
        <f>Bienes!AC25</f>
        <v>#N/A</v>
      </c>
      <c r="E234" s="376" t="e">
        <f>Bienes!AD25</f>
        <v>#N/A</v>
      </c>
    </row>
    <row r="235" spans="1:7" x14ac:dyDescent="0.2">
      <c r="A235" s="140" t="e">
        <f>Bienes!Z26</f>
        <v>#N/A</v>
      </c>
      <c r="B235" s="436" t="e">
        <f>Bienes!AA26</f>
        <v>#N/A</v>
      </c>
      <c r="C235" s="133" t="e">
        <f>Bienes!AB26</f>
        <v>#N/A</v>
      </c>
      <c r="D235" s="133" t="e">
        <f>Bienes!AC26</f>
        <v>#N/A</v>
      </c>
      <c r="E235" s="376" t="e">
        <f>Bienes!AD26</f>
        <v>#N/A</v>
      </c>
    </row>
    <row r="236" spans="1:7" x14ac:dyDescent="0.2">
      <c r="A236" s="140" t="e">
        <f>Bienes!Z27</f>
        <v>#N/A</v>
      </c>
      <c r="B236" s="436" t="e">
        <f>Bienes!AA27</f>
        <v>#N/A</v>
      </c>
      <c r="C236" s="133" t="e">
        <f>Bienes!AB27</f>
        <v>#N/A</v>
      </c>
      <c r="D236" s="133" t="e">
        <f>Bienes!AC27</f>
        <v>#N/A</v>
      </c>
      <c r="E236" s="376" t="e">
        <f>Bienes!AD27</f>
        <v>#N/A</v>
      </c>
      <c r="F236" s="4"/>
    </row>
    <row r="237" spans="1:7" x14ac:dyDescent="0.2">
      <c r="A237" s="140" t="e">
        <f>Bienes!Z28</f>
        <v>#N/A</v>
      </c>
      <c r="B237" s="436" t="e">
        <f>Bienes!AA28</f>
        <v>#N/A</v>
      </c>
      <c r="C237" s="133" t="e">
        <f>Bienes!AB28</f>
        <v>#N/A</v>
      </c>
      <c r="D237" s="133" t="e">
        <f>Bienes!AC28</f>
        <v>#N/A</v>
      </c>
      <c r="E237" s="376" t="e">
        <f>Bienes!AD28</f>
        <v>#N/A</v>
      </c>
      <c r="G237" s="6"/>
    </row>
    <row r="238" spans="1:7" x14ac:dyDescent="0.2">
      <c r="A238" s="140" t="e">
        <f>Bienes!Z29</f>
        <v>#N/A</v>
      </c>
      <c r="B238" s="436" t="e">
        <f>Bienes!AA29</f>
        <v>#N/A</v>
      </c>
      <c r="C238" s="133" t="e">
        <f>Bienes!AB29</f>
        <v>#N/A</v>
      </c>
      <c r="D238" s="133" t="e">
        <f>Bienes!AC29</f>
        <v>#N/A</v>
      </c>
      <c r="E238" s="376" t="e">
        <f>Bienes!AD29</f>
        <v>#N/A</v>
      </c>
    </row>
    <row r="239" spans="1:7" x14ac:dyDescent="0.2">
      <c r="A239" s="140" t="e">
        <f>Bienes!Z30</f>
        <v>#N/A</v>
      </c>
      <c r="B239" s="436" t="e">
        <f>Bienes!AA30</f>
        <v>#N/A</v>
      </c>
      <c r="C239" s="133" t="e">
        <f>Bienes!AB30</f>
        <v>#N/A</v>
      </c>
      <c r="D239" s="133" t="e">
        <f>Bienes!AC30</f>
        <v>#N/A</v>
      </c>
      <c r="E239" s="376" t="e">
        <f>Bienes!AD30</f>
        <v>#N/A</v>
      </c>
      <c r="G239" s="6"/>
    </row>
    <row r="240" spans="1:7" x14ac:dyDescent="0.2">
      <c r="A240" s="140" t="e">
        <f>Bienes!Z31</f>
        <v>#N/A</v>
      </c>
      <c r="B240" s="436" t="e">
        <f>Bienes!AA31</f>
        <v>#N/A</v>
      </c>
      <c r="C240" s="133" t="e">
        <f>Bienes!AB31</f>
        <v>#N/A</v>
      </c>
      <c r="D240" s="133" t="e">
        <f>Bienes!AC31</f>
        <v>#N/A</v>
      </c>
      <c r="E240" s="376" t="e">
        <f>Bienes!AD31</f>
        <v>#N/A</v>
      </c>
      <c r="G240" s="6"/>
    </row>
    <row r="241" spans="1:7" x14ac:dyDescent="0.2">
      <c r="A241" s="140" t="e">
        <f>Bienes!Z32</f>
        <v>#N/A</v>
      </c>
      <c r="B241" s="436" t="e">
        <f>Bienes!AA32</f>
        <v>#N/A</v>
      </c>
      <c r="C241" s="133" t="e">
        <f>Bienes!AB32</f>
        <v>#N/A</v>
      </c>
      <c r="D241" s="133" t="e">
        <f>Bienes!AC32</f>
        <v>#N/A</v>
      </c>
      <c r="E241" s="376" t="e">
        <f>Bienes!AD32</f>
        <v>#N/A</v>
      </c>
      <c r="G241" s="6"/>
    </row>
    <row r="242" spans="1:7" x14ac:dyDescent="0.2">
      <c r="A242" s="140" t="e">
        <f>Bienes!Z33</f>
        <v>#N/A</v>
      </c>
      <c r="B242" s="436" t="e">
        <f>Bienes!AA33</f>
        <v>#N/A</v>
      </c>
      <c r="C242" s="133" t="e">
        <f>Bienes!AB33</f>
        <v>#N/A</v>
      </c>
      <c r="D242" s="133" t="e">
        <f>Bienes!AC33</f>
        <v>#N/A</v>
      </c>
      <c r="E242" s="376" t="e">
        <f>Bienes!AD33</f>
        <v>#N/A</v>
      </c>
      <c r="G242" s="6"/>
    </row>
    <row r="243" spans="1:7" x14ac:dyDescent="0.2">
      <c r="A243" s="140" t="e">
        <f>Bienes!Z34</f>
        <v>#N/A</v>
      </c>
      <c r="B243" s="436" t="e">
        <f>Bienes!AA34</f>
        <v>#N/A</v>
      </c>
      <c r="C243" s="133" t="e">
        <f>Bienes!AB34</f>
        <v>#N/A</v>
      </c>
      <c r="D243" s="133" t="e">
        <f>Bienes!AC34</f>
        <v>#N/A</v>
      </c>
      <c r="E243" s="376" t="e">
        <f>Bienes!AD34</f>
        <v>#N/A</v>
      </c>
      <c r="G243" s="6"/>
    </row>
    <row r="244" spans="1:7" x14ac:dyDescent="0.2">
      <c r="A244" s="140" t="str">
        <f>Bienes!Z35</f>
        <v/>
      </c>
      <c r="B244" s="436" t="str">
        <f>Bienes!AA35</f>
        <v/>
      </c>
      <c r="C244" s="133" t="str">
        <f>Bienes!AB35</f>
        <v/>
      </c>
      <c r="D244" s="133" t="str">
        <f>Bienes!AC35</f>
        <v/>
      </c>
      <c r="E244" s="376" t="str">
        <f>Bienes!AD35</f>
        <v/>
      </c>
    </row>
    <row r="245" spans="1:7" x14ac:dyDescent="0.2">
      <c r="A245" s="140" t="str">
        <f>Bienes!Z36</f>
        <v/>
      </c>
      <c r="B245" s="436" t="str">
        <f>Bienes!AA36</f>
        <v/>
      </c>
      <c r="C245" s="133" t="str">
        <f>Bienes!AB36</f>
        <v/>
      </c>
      <c r="D245" s="133" t="str">
        <f>Bienes!AC36</f>
        <v/>
      </c>
      <c r="E245" s="376" t="str">
        <f>Bienes!AD36</f>
        <v/>
      </c>
    </row>
    <row r="246" spans="1:7" x14ac:dyDescent="0.2">
      <c r="A246" s="140" t="str">
        <f>Bienes!Z37</f>
        <v/>
      </c>
      <c r="B246" s="436" t="str">
        <f>Bienes!AA37</f>
        <v/>
      </c>
      <c r="C246" s="133" t="str">
        <f>Bienes!AB37</f>
        <v/>
      </c>
      <c r="D246" s="133" t="str">
        <f>Bienes!AC37</f>
        <v/>
      </c>
      <c r="E246" s="376" t="str">
        <f>Bienes!AD37</f>
        <v/>
      </c>
    </row>
    <row r="247" spans="1:7" x14ac:dyDescent="0.2">
      <c r="A247" s="140" t="str">
        <f>Bienes!Z38</f>
        <v/>
      </c>
      <c r="B247" s="436" t="str">
        <f>Bienes!AA38</f>
        <v/>
      </c>
      <c r="C247" s="133" t="str">
        <f>Bienes!AB38</f>
        <v/>
      </c>
      <c r="D247" s="133" t="str">
        <f>Bienes!AC38</f>
        <v/>
      </c>
      <c r="E247" s="376" t="str">
        <f>Bienes!AD38</f>
        <v/>
      </c>
    </row>
    <row r="248" spans="1:7" x14ac:dyDescent="0.2">
      <c r="A248" s="140" t="str">
        <f>Bienes!Z39</f>
        <v/>
      </c>
      <c r="B248" s="436" t="str">
        <f>Bienes!AA39</f>
        <v/>
      </c>
      <c r="C248" s="133" t="str">
        <f>Bienes!AB39</f>
        <v/>
      </c>
      <c r="D248" s="133" t="str">
        <f>Bienes!AC39</f>
        <v/>
      </c>
      <c r="E248" s="376" t="str">
        <f>Bienes!AD39</f>
        <v/>
      </c>
    </row>
    <row r="249" spans="1:7" x14ac:dyDescent="0.2">
      <c r="A249" s="140" t="str">
        <f>Bienes!Z40</f>
        <v/>
      </c>
      <c r="B249" s="436" t="str">
        <f>Bienes!AA40</f>
        <v/>
      </c>
      <c r="C249" s="133" t="str">
        <f>Bienes!AB40</f>
        <v/>
      </c>
      <c r="D249" s="433" t="str">
        <f>Bienes!AC40</f>
        <v/>
      </c>
      <c r="E249" s="376" t="str">
        <f>Bienes!AD40</f>
        <v/>
      </c>
    </row>
    <row r="250" spans="1:7" x14ac:dyDescent="0.2">
      <c r="A250" s="140" t="str">
        <f>Bienes!Z41</f>
        <v/>
      </c>
      <c r="B250" s="436" t="str">
        <f>Bienes!AA41</f>
        <v/>
      </c>
      <c r="C250" s="133" t="str">
        <f>Bienes!AB41</f>
        <v/>
      </c>
      <c r="D250" s="433" t="str">
        <f>Bienes!AC41</f>
        <v/>
      </c>
      <c r="E250" s="376" t="str">
        <f>Bienes!AD41</f>
        <v/>
      </c>
    </row>
    <row r="251" spans="1:7" x14ac:dyDescent="0.2">
      <c r="A251" s="142" t="str">
        <f>Bienes!Z42</f>
        <v/>
      </c>
      <c r="B251" s="437" t="str">
        <f>Bienes!AA42</f>
        <v/>
      </c>
      <c r="C251" s="434" t="str">
        <f>Bienes!AB42</f>
        <v/>
      </c>
      <c r="D251" s="435" t="str">
        <f>Bienes!AC42</f>
        <v/>
      </c>
      <c r="E251" s="376" t="str">
        <f>Bienes!AD42</f>
        <v/>
      </c>
    </row>
    <row r="252" spans="1:7" x14ac:dyDescent="0.2">
      <c r="A252" s="324" t="s">
        <v>332</v>
      </c>
      <c r="B252" s="432" t="e">
        <f>SUM(B214:B251)</f>
        <v>#N/A</v>
      </c>
      <c r="C252" s="432" t="e">
        <f t="shared" ref="C252:D252" si="5">SUM(C214:C251)</f>
        <v>#N/A</v>
      </c>
      <c r="D252" s="432" t="e">
        <f t="shared" si="5"/>
        <v>#N/A</v>
      </c>
      <c r="E252" s="145"/>
    </row>
    <row r="253" spans="1:7" ht="15" x14ac:dyDescent="0.25">
      <c r="A253" s="594" t="s">
        <v>376</v>
      </c>
      <c r="B253" s="594"/>
      <c r="C253" s="594"/>
      <c r="D253" s="594"/>
      <c r="E253" s="141"/>
    </row>
    <row r="254" spans="1:7" x14ac:dyDescent="0.2">
      <c r="A254" s="527" t="s">
        <v>377</v>
      </c>
      <c r="B254" s="528" t="s">
        <v>243</v>
      </c>
      <c r="C254" s="528" t="s">
        <v>378</v>
      </c>
      <c r="D254" s="529" t="s">
        <v>418</v>
      </c>
      <c r="E254" s="141"/>
    </row>
    <row r="255" spans="1:7" x14ac:dyDescent="0.2">
      <c r="A255" s="475"/>
      <c r="B255" s="532"/>
      <c r="C255" s="532"/>
      <c r="D255" s="181"/>
      <c r="E255" s="141"/>
    </row>
    <row r="256" spans="1:7" x14ac:dyDescent="0.2">
      <c r="A256" s="176"/>
      <c r="B256" s="530"/>
      <c r="C256" s="530"/>
      <c r="D256" s="181"/>
      <c r="E256" s="141"/>
    </row>
    <row r="257" spans="1:7" x14ac:dyDescent="0.2">
      <c r="A257" s="103"/>
      <c r="B257" s="531"/>
      <c r="C257" s="531"/>
      <c r="D257" s="334"/>
      <c r="E257" s="141"/>
    </row>
    <row r="258" spans="1:7" x14ac:dyDescent="0.2">
      <c r="A258" s="587" t="s">
        <v>113</v>
      </c>
      <c r="B258" s="587"/>
      <c r="C258" s="587"/>
      <c r="D258" s="587"/>
      <c r="E258" s="141"/>
    </row>
    <row r="259" spans="1:7" x14ac:dyDescent="0.2">
      <c r="A259" s="139" t="s">
        <v>13</v>
      </c>
      <c r="B259" s="488"/>
      <c r="C259" s="139" t="s">
        <v>14</v>
      </c>
      <c r="D259" s="484"/>
      <c r="E259" s="141"/>
      <c r="F259" s="4"/>
      <c r="G259" s="4"/>
    </row>
    <row r="260" spans="1:7" x14ac:dyDescent="0.2">
      <c r="A260" s="475" t="s">
        <v>356</v>
      </c>
      <c r="B260" s="485"/>
      <c r="C260" s="354"/>
      <c r="D260" s="485"/>
      <c r="E260" s="483"/>
      <c r="F260" s="37"/>
      <c r="G260" s="37"/>
    </row>
    <row r="261" spans="1:7" x14ac:dyDescent="0.2">
      <c r="A261" s="475" t="s">
        <v>357</v>
      </c>
      <c r="B261" s="485">
        <f>SUM(D281:D289)</f>
        <v>0</v>
      </c>
      <c r="C261" s="176"/>
      <c r="D261" s="486"/>
      <c r="E261" s="506"/>
    </row>
    <row r="262" spans="1:7" x14ac:dyDescent="0.2">
      <c r="A262" s="475" t="s">
        <v>358</v>
      </c>
      <c r="B262" s="485" t="e">
        <f>D252</f>
        <v>#N/A</v>
      </c>
      <c r="C262" s="176"/>
      <c r="D262" s="485"/>
      <c r="E262" s="141"/>
    </row>
    <row r="263" spans="1:7" x14ac:dyDescent="0.2">
      <c r="A263" s="176"/>
      <c r="B263" s="485"/>
      <c r="C263" s="176"/>
      <c r="D263" s="487"/>
      <c r="E263" s="483"/>
    </row>
    <row r="264" spans="1:7" x14ac:dyDescent="0.2">
      <c r="A264" s="103"/>
      <c r="B264" s="489"/>
      <c r="C264" s="103"/>
      <c r="D264" s="145"/>
      <c r="E264" s="141"/>
    </row>
    <row r="265" spans="1:7" x14ac:dyDescent="0.2">
      <c r="A265" s="490" t="s">
        <v>68</v>
      </c>
      <c r="B265" s="491" t="e">
        <f>SUM(B260:B264)</f>
        <v>#N/A</v>
      </c>
      <c r="C265" s="492" t="s">
        <v>60</v>
      </c>
      <c r="D265" s="493">
        <f>SUM(D260:D264)</f>
        <v>0</v>
      </c>
      <c r="E265" s="141"/>
    </row>
    <row r="266" spans="1:7" x14ac:dyDescent="0.2">
      <c r="A266" s="176"/>
      <c r="B266" s="9"/>
      <c r="E266" s="141"/>
      <c r="F266" s="14"/>
      <c r="G266" s="14"/>
    </row>
    <row r="267" spans="1:7" ht="20.25" x14ac:dyDescent="0.3">
      <c r="A267" s="591" t="s">
        <v>359</v>
      </c>
      <c r="B267" s="592"/>
      <c r="C267" s="592"/>
      <c r="D267" s="592"/>
      <c r="E267" s="593"/>
      <c r="F267" s="597"/>
      <c r="G267" s="597"/>
    </row>
    <row r="268" spans="1:7" ht="20.25" x14ac:dyDescent="0.3">
      <c r="A268" s="496" t="s">
        <v>360</v>
      </c>
      <c r="B268" s="494"/>
      <c r="C268" s="494"/>
      <c r="D268" s="494"/>
      <c r="E268" s="495"/>
      <c r="F268" s="457"/>
      <c r="G268" s="457"/>
    </row>
    <row r="269" spans="1:7" x14ac:dyDescent="0.2">
      <c r="A269" s="317" t="s">
        <v>170</v>
      </c>
      <c r="B269" s="318" t="s">
        <v>171</v>
      </c>
      <c r="C269" s="318" t="s">
        <v>361</v>
      </c>
      <c r="D269" s="318" t="s">
        <v>367</v>
      </c>
      <c r="E269" s="319" t="s">
        <v>86</v>
      </c>
    </row>
    <row r="270" spans="1:7" x14ac:dyDescent="0.2">
      <c r="A270" s="104" t="str">
        <f>IF(Bienes!A70="",(""),(Bienes!A70))</f>
        <v/>
      </c>
      <c r="B270" s="106">
        <f>IF(Bienes!G70="",(""),(Bienes!G70))</f>
        <v>0</v>
      </c>
      <c r="C270" s="106" t="str">
        <f>IF(Bienes!C70="",(""),(Bienes!C70*Bienes!D70))</f>
        <v/>
      </c>
      <c r="D270" s="342" t="str">
        <f>IF(C270="",(""),(C270*B270))</f>
        <v/>
      </c>
      <c r="E270" s="107" t="str">
        <f>IF(Bienes!E70="",(""),(Bienes!E70))</f>
        <v/>
      </c>
    </row>
    <row r="271" spans="1:7" x14ac:dyDescent="0.2">
      <c r="A271" s="176" t="str">
        <f>IF(Bienes!A71="",(""),(Bienes!A71))</f>
        <v/>
      </c>
      <c r="B271">
        <f>IF(Bienes!G71="",(""),(Bienes!G71))</f>
        <v>0</v>
      </c>
      <c r="C271" s="106" t="str">
        <f>IF(Bienes!C71="",(""),(Bienes!C71*Bienes!D71))</f>
        <v/>
      </c>
      <c r="D271" s="342" t="str">
        <f t="shared" ref="D271:D278" si="6">IF(C271="",(""),(C271*B271))</f>
        <v/>
      </c>
      <c r="E271" s="181"/>
    </row>
    <row r="272" spans="1:7" x14ac:dyDescent="0.2">
      <c r="A272" s="176" t="str">
        <f>IF(Bienes!A72="",(""),(Bienes!A72))</f>
        <v/>
      </c>
      <c r="B272">
        <f>IF(Bienes!G72="",(""),(Bienes!G72))</f>
        <v>0</v>
      </c>
      <c r="C272" s="106" t="str">
        <f>IF(Bienes!C72="",(""),(Bienes!C72*Bienes!D72))</f>
        <v/>
      </c>
      <c r="D272" s="342" t="str">
        <f t="shared" si="6"/>
        <v/>
      </c>
      <c r="E272" s="181"/>
    </row>
    <row r="273" spans="1:8" x14ac:dyDescent="0.2">
      <c r="A273" s="176" t="str">
        <f>IF(Bienes!A73="",(""),(Bienes!A73))</f>
        <v/>
      </c>
      <c r="B273">
        <f>IF(Bienes!G73="",(""),(Bienes!G73))</f>
        <v>0</v>
      </c>
      <c r="C273" s="106" t="str">
        <f>IF(Bienes!C73="",(""),(Bienes!C73*Bienes!D73))</f>
        <v/>
      </c>
      <c r="D273" s="342" t="str">
        <f t="shared" si="6"/>
        <v/>
      </c>
      <c r="E273" s="181"/>
    </row>
    <row r="274" spans="1:8" x14ac:dyDescent="0.2">
      <c r="A274" s="176" t="str">
        <f>IF(Bienes!A74="",(""),(Bienes!A74))</f>
        <v/>
      </c>
      <c r="B274">
        <f>IF(Bienes!G74="",(""),(Bienes!G74))</f>
        <v>0</v>
      </c>
      <c r="C274" s="106" t="str">
        <f>IF(Bienes!C74="",(""),(Bienes!C74*Bienes!D74))</f>
        <v/>
      </c>
      <c r="D274" s="342" t="str">
        <f t="shared" si="6"/>
        <v/>
      </c>
      <c r="E274" s="181"/>
    </row>
    <row r="275" spans="1:8" x14ac:dyDescent="0.2">
      <c r="A275" s="103" t="str">
        <f>IF(Bienes!A75="",(""),(Bienes!A75))</f>
        <v/>
      </c>
      <c r="B275" s="144">
        <f>IF(Bienes!G75="",(""),(Bienes!G75))</f>
        <v>0</v>
      </c>
      <c r="C275" s="106" t="str">
        <f>IF(Bienes!C75="",(""),(Bienes!C75*Bienes!D75))</f>
        <v/>
      </c>
      <c r="D275" s="342" t="str">
        <f t="shared" si="6"/>
        <v/>
      </c>
      <c r="E275" s="334"/>
    </row>
    <row r="276" spans="1:8" x14ac:dyDescent="0.2">
      <c r="A276" s="103" t="str">
        <f>IF(Bienes!A76="",(""),(Bienes!A76))</f>
        <v/>
      </c>
      <c r="B276" s="144">
        <f>IF(Bienes!G76="",(""),(Bienes!G76))</f>
        <v>0</v>
      </c>
      <c r="C276" s="106" t="str">
        <f>IF(Bienes!C76="",(""),(Bienes!C76*Bienes!D76))</f>
        <v/>
      </c>
      <c r="D276" s="342" t="str">
        <f t="shared" si="6"/>
        <v/>
      </c>
      <c r="E276" s="334"/>
    </row>
    <row r="277" spans="1:8" x14ac:dyDescent="0.2">
      <c r="A277" s="103" t="str">
        <f>IF(Bienes!A77="",(""),(Bienes!A77))</f>
        <v/>
      </c>
      <c r="B277" s="144">
        <f>IF(Bienes!G77="",(""),(Bienes!G77))</f>
        <v>0</v>
      </c>
      <c r="C277" s="106" t="str">
        <f>IF(Bienes!C77="",(""),(Bienes!C77*Bienes!D77))</f>
        <v/>
      </c>
      <c r="D277" s="342" t="str">
        <f t="shared" si="6"/>
        <v/>
      </c>
      <c r="E277" s="334"/>
    </row>
    <row r="278" spans="1:8" x14ac:dyDescent="0.2">
      <c r="A278" s="103" t="str">
        <f>IF(Bienes!A78="",(""),(Bienes!A78))</f>
        <v/>
      </c>
      <c r="B278" s="144">
        <f>IF(Bienes!G78="",(""),(Bienes!G78))</f>
        <v>0</v>
      </c>
      <c r="C278" s="106" t="str">
        <f>IF(Bienes!C78="",(""),(Bienes!C78*Bienes!D78))</f>
        <v/>
      </c>
      <c r="D278" s="342" t="str">
        <f t="shared" si="6"/>
        <v/>
      </c>
      <c r="E278" s="334"/>
    </row>
    <row r="279" spans="1:8" ht="20.25" x14ac:dyDescent="0.3">
      <c r="A279" s="501" t="s">
        <v>362</v>
      </c>
      <c r="B279" s="502"/>
      <c r="C279" s="502"/>
      <c r="D279" s="502"/>
      <c r="E279" s="503"/>
      <c r="F279" s="49"/>
    </row>
    <row r="280" spans="1:8" x14ac:dyDescent="0.2">
      <c r="A280" s="317" t="s">
        <v>170</v>
      </c>
      <c r="B280" s="318" t="s">
        <v>171</v>
      </c>
      <c r="C280" s="318" t="s">
        <v>361</v>
      </c>
      <c r="D280" s="318" t="s">
        <v>367</v>
      </c>
      <c r="E280" s="319" t="s">
        <v>86</v>
      </c>
      <c r="F280" s="49"/>
    </row>
    <row r="281" spans="1:8" x14ac:dyDescent="0.2">
      <c r="A281" s="104" t="str">
        <f>IF(Bienes!I70="",(""),(Bienes!I70))</f>
        <v/>
      </c>
      <c r="B281" s="106" t="str">
        <f>IF(Bienes!O70="",(""),(Bienes!O70))</f>
        <v/>
      </c>
      <c r="C281" s="342" t="str">
        <f>IF(Bienes!K70="",(""),(Bienes!K70*Bienes!L70))</f>
        <v/>
      </c>
      <c r="D281" s="342" t="str">
        <f>IF(C281="",(""),(C281*B281))</f>
        <v/>
      </c>
      <c r="E281" s="120"/>
      <c r="F281" s="49"/>
    </row>
    <row r="282" spans="1:8" x14ac:dyDescent="0.2">
      <c r="A282" s="176" t="str">
        <f>IF(Bienes!I71="",(""),(Bienes!I71))</f>
        <v/>
      </c>
      <c r="B282" t="str">
        <f>IF(Bienes!O71="",(""),(Bienes!O71))</f>
        <v/>
      </c>
      <c r="C282" s="342" t="str">
        <f>IF(Bienes!K71="",(""),(Bienes!K71*Bienes!L71))</f>
        <v/>
      </c>
      <c r="D282" s="342" t="str">
        <f t="shared" ref="D282:D289" si="7">IF(C282="",(""),(C282*B282))</f>
        <v/>
      </c>
      <c r="E282" s="181"/>
      <c r="F282" s="49"/>
    </row>
    <row r="283" spans="1:8" x14ac:dyDescent="0.2">
      <c r="A283" s="176" t="str">
        <f>IF(Bienes!I72="",(""),(Bienes!I72))</f>
        <v/>
      </c>
      <c r="B283" t="str">
        <f>IF(Bienes!O72="",(""),(Bienes!O72))</f>
        <v/>
      </c>
      <c r="C283" s="342" t="str">
        <f>IF(Bienes!K72="",(""),(Bienes!K72*Bienes!L72))</f>
        <v/>
      </c>
      <c r="D283" s="342" t="str">
        <f t="shared" si="7"/>
        <v/>
      </c>
      <c r="E283" s="181"/>
      <c r="F283" s="49"/>
    </row>
    <row r="284" spans="1:8" x14ac:dyDescent="0.2">
      <c r="A284" s="176" t="str">
        <f>IF(Bienes!I73="",(""),(Bienes!I73))</f>
        <v/>
      </c>
      <c r="B284" t="str">
        <f>IF(Bienes!O73="",(""),(Bienes!O73))</f>
        <v/>
      </c>
      <c r="C284" s="342" t="str">
        <f>IF(Bienes!K73="",(""),(Bienes!K73*Bienes!L73))</f>
        <v/>
      </c>
      <c r="D284" s="342" t="str">
        <f t="shared" si="7"/>
        <v/>
      </c>
      <c r="E284" s="181"/>
      <c r="F284" s="49"/>
    </row>
    <row r="285" spans="1:8" x14ac:dyDescent="0.2">
      <c r="A285" s="176" t="str">
        <f>IF(Bienes!I74="",(""),(Bienes!I74))</f>
        <v/>
      </c>
      <c r="B285" t="str">
        <f>IF(Bienes!O74="",(""),(Bienes!O74))</f>
        <v/>
      </c>
      <c r="C285" s="342" t="str">
        <f>IF(Bienes!K74="",(""),(Bienes!K74*Bienes!L74))</f>
        <v/>
      </c>
      <c r="D285" s="342" t="str">
        <f t="shared" si="7"/>
        <v/>
      </c>
      <c r="E285" s="181"/>
      <c r="F285" s="13"/>
      <c r="G285" s="4"/>
      <c r="H285" s="4"/>
    </row>
    <row r="286" spans="1:8" x14ac:dyDescent="0.2">
      <c r="A286" s="103" t="str">
        <f>IF(Bienes!I75="",(""),(Bienes!I75))</f>
        <v/>
      </c>
      <c r="B286" s="144" t="str">
        <f>IF(Bienes!O75="",(""),(Bienes!O75))</f>
        <v/>
      </c>
      <c r="C286" s="342" t="str">
        <f>IF(Bienes!K75="",(""),(Bienes!K75*Bienes!L75))</f>
        <v/>
      </c>
      <c r="D286" s="342" t="str">
        <f t="shared" si="7"/>
        <v/>
      </c>
      <c r="E286" s="334"/>
      <c r="F286" s="13"/>
      <c r="G286" s="4"/>
      <c r="H286" s="4"/>
    </row>
    <row r="287" spans="1:8" x14ac:dyDescent="0.2">
      <c r="A287" s="103" t="str">
        <f>IF(Bienes!I76="",(""),(Bienes!I76))</f>
        <v/>
      </c>
      <c r="B287" s="144" t="str">
        <f>IF(Bienes!O76="",(""),(Bienes!O76))</f>
        <v/>
      </c>
      <c r="C287" s="342" t="str">
        <f>IF(Bienes!K76="",(""),(Bienes!K76*Bienes!L76))</f>
        <v/>
      </c>
      <c r="D287" s="342" t="str">
        <f t="shared" si="7"/>
        <v/>
      </c>
      <c r="E287" s="334"/>
      <c r="F287" s="49"/>
    </row>
    <row r="288" spans="1:8" x14ac:dyDescent="0.2">
      <c r="A288" s="103" t="str">
        <f>IF(Bienes!I77="",(""),(Bienes!I77))</f>
        <v/>
      </c>
      <c r="B288" s="144" t="str">
        <f>IF(Bienes!O77="",(""),(Bienes!O77))</f>
        <v/>
      </c>
      <c r="C288" s="342" t="str">
        <f>IF(Bienes!K77="",(""),(Bienes!K77*Bienes!L77))</f>
        <v/>
      </c>
      <c r="D288" s="342" t="str">
        <f t="shared" si="7"/>
        <v/>
      </c>
      <c r="E288" s="334"/>
      <c r="F288" s="13"/>
      <c r="G288" s="4"/>
      <c r="H288" s="4"/>
    </row>
    <row r="289" spans="1:8" x14ac:dyDescent="0.2">
      <c r="A289" s="103" t="str">
        <f>IF(Bienes!I78="",(""),(Bienes!I78))</f>
        <v/>
      </c>
      <c r="B289" s="144" t="str">
        <f>IF(Bienes!O78="",(""),(Bienes!O78))</f>
        <v/>
      </c>
      <c r="C289" s="342" t="str">
        <f>IF(Bienes!K78="",(""),(Bienes!K78*Bienes!L78))</f>
        <v/>
      </c>
      <c r="D289" s="342" t="str">
        <f t="shared" si="7"/>
        <v/>
      </c>
      <c r="E289" s="334"/>
      <c r="F289" s="13"/>
      <c r="G289" s="4"/>
      <c r="H289" s="4"/>
    </row>
    <row r="290" spans="1:8" x14ac:dyDescent="0.2">
      <c r="A290" s="504" t="s">
        <v>81</v>
      </c>
      <c r="B290" s="4"/>
      <c r="C290" s="505"/>
      <c r="D290" s="4"/>
      <c r="E290" s="483"/>
      <c r="G290" s="4"/>
      <c r="H290" s="4"/>
    </row>
    <row r="291" spans="1:8" x14ac:dyDescent="0.2">
      <c r="A291" s="475" t="s">
        <v>363</v>
      </c>
      <c r="B291" s="47">
        <f>SUM(D270:D278)</f>
        <v>0</v>
      </c>
      <c r="C291" s="141"/>
      <c r="E291" s="141"/>
      <c r="F291" s="134"/>
      <c r="G291" s="4"/>
      <c r="H291" s="4"/>
    </row>
    <row r="292" spans="1:8" x14ac:dyDescent="0.2">
      <c r="A292" s="499" t="s">
        <v>199</v>
      </c>
      <c r="B292" s="64">
        <f>B293-B291</f>
        <v>0</v>
      </c>
      <c r="C292" s="497"/>
      <c r="E292" s="141"/>
    </row>
    <row r="293" spans="1:8" x14ac:dyDescent="0.2">
      <c r="A293" s="475" t="s">
        <v>261</v>
      </c>
      <c r="B293" s="47">
        <f>SUM(D281:D289)</f>
        <v>0</v>
      </c>
      <c r="C293" s="141"/>
      <c r="E293" s="141"/>
      <c r="F293" s="4"/>
    </row>
    <row r="294" spans="1:8" x14ac:dyDescent="0.2">
      <c r="A294" s="392"/>
      <c r="B294" s="498">
        <f>B291+B292-B293</f>
        <v>0</v>
      </c>
      <c r="C294" s="145"/>
      <c r="E294" s="141"/>
      <c r="F294" s="46"/>
    </row>
    <row r="295" spans="1:8" x14ac:dyDescent="0.2">
      <c r="A295" s="140"/>
      <c r="B295" s="15"/>
      <c r="C295" s="4"/>
      <c r="D295" s="17"/>
      <c r="E295" s="476"/>
    </row>
    <row r="296" spans="1:8" ht="20.25" x14ac:dyDescent="0.3">
      <c r="A296" s="591" t="s">
        <v>364</v>
      </c>
      <c r="B296" s="592"/>
      <c r="C296" s="592"/>
      <c r="D296" s="592"/>
      <c r="E296" s="593"/>
    </row>
    <row r="297" spans="1:8" ht="20.25" x14ac:dyDescent="0.3">
      <c r="A297" s="496" t="s">
        <v>360</v>
      </c>
      <c r="B297" s="494"/>
      <c r="C297" s="494"/>
      <c r="D297" s="494"/>
      <c r="E297" s="495"/>
    </row>
    <row r="298" spans="1:8" x14ac:dyDescent="0.2">
      <c r="A298" s="317" t="s">
        <v>170</v>
      </c>
      <c r="B298" s="318" t="s">
        <v>368</v>
      </c>
      <c r="C298" s="318" t="s">
        <v>361</v>
      </c>
      <c r="D298" s="318" t="s">
        <v>266</v>
      </c>
      <c r="E298" s="319" t="s">
        <v>268</v>
      </c>
      <c r="F298" s="500"/>
      <c r="G298" s="500"/>
    </row>
    <row r="299" spans="1:8" x14ac:dyDescent="0.2">
      <c r="A299" s="104" t="str">
        <f>IF(Bienes!B61="",(""),(Bienes!B61))</f>
        <v/>
      </c>
      <c r="B299" s="106" t="str">
        <f>IF(Bienes!E61="",(""),(Bienes!E61))</f>
        <v/>
      </c>
      <c r="C299" s="106" t="str">
        <f>IF(Bienes!F61="",(""),(Bienes!F61))</f>
        <v/>
      </c>
      <c r="D299" s="106" t="str">
        <f>IF(Bienes!E61="",(""),(Bienes!E61))</f>
        <v/>
      </c>
      <c r="E299" s="120" t="str">
        <f>IF(Bienes!H61="",(""),(Bienes!H61))</f>
        <v/>
      </c>
      <c r="F299" s="90"/>
      <c r="G299" s="90"/>
    </row>
    <row r="300" spans="1:8" x14ac:dyDescent="0.2">
      <c r="A300" s="176" t="str">
        <f>IF(Bienes!B62="",(""),(Bienes!B62))</f>
        <v/>
      </c>
      <c r="B300" t="str">
        <f>IF(Bienes!E62="",(""),(Bienes!E62))</f>
        <v/>
      </c>
      <c r="C300" t="str">
        <f>IF(Bienes!F62="",(""),(Bienes!F62))</f>
        <v/>
      </c>
      <c r="D300" t="str">
        <f>IF(Bienes!E62="",(""),(Bienes!E62))</f>
        <v/>
      </c>
      <c r="E300" s="181" t="str">
        <f>IF(Bienes!H62="",(""),(Bienes!H62))</f>
        <v/>
      </c>
      <c r="F300" s="90"/>
      <c r="G300" s="90"/>
    </row>
    <row r="301" spans="1:8" x14ac:dyDescent="0.2">
      <c r="A301" s="176" t="str">
        <f>IF(Bienes!B63="",(""),(Bienes!B63))</f>
        <v/>
      </c>
      <c r="B301" t="str">
        <f>IF(Bienes!E63="",(""),(Bienes!E63))</f>
        <v/>
      </c>
      <c r="C301" t="str">
        <f>IF(Bienes!F63="",(""),(Bienes!F63))</f>
        <v/>
      </c>
      <c r="D301" t="str">
        <f>IF(Bienes!E63="",(""),(Bienes!E63))</f>
        <v/>
      </c>
      <c r="E301" s="181" t="str">
        <f>IF(Bienes!H63="",(""),(Bienes!H63))</f>
        <v/>
      </c>
      <c r="F301" s="90"/>
      <c r="G301" s="90"/>
    </row>
    <row r="302" spans="1:8" x14ac:dyDescent="0.2">
      <c r="A302" s="176" t="str">
        <f>IF(Bienes!B64="",(""),(Bienes!B64))</f>
        <v/>
      </c>
      <c r="B302" t="str">
        <f>IF(Bienes!E64="",(""),(Bienes!E64))</f>
        <v/>
      </c>
      <c r="C302" t="str">
        <f>IF(Bienes!F64="",(""),(Bienes!F64))</f>
        <v/>
      </c>
      <c r="D302" t="str">
        <f>IF(Bienes!E64="",(""),(Bienes!E64))</f>
        <v/>
      </c>
      <c r="E302" s="181" t="str">
        <f>IF(Bienes!H64="",(""),(Bienes!H64))</f>
        <v/>
      </c>
      <c r="F302" s="90"/>
      <c r="G302" s="90"/>
    </row>
    <row r="303" spans="1:8" x14ac:dyDescent="0.2">
      <c r="A303" s="176" t="str">
        <f>IF(Bienes!B65="",(""),(Bienes!B65))</f>
        <v/>
      </c>
      <c r="B303" t="str">
        <f>IF(Bienes!E65="",(""),(Bienes!E65))</f>
        <v/>
      </c>
      <c r="C303" t="str">
        <f>IF(Bienes!F65="",(""),(Bienes!F65))</f>
        <v/>
      </c>
      <c r="D303" t="str">
        <f>IF(Bienes!E65="",(""),(Bienes!E65))</f>
        <v/>
      </c>
      <c r="E303" s="181" t="str">
        <f>IF(Bienes!H65="",(""),(Bienes!H65))</f>
        <v/>
      </c>
      <c r="F303" s="90"/>
      <c r="G303" s="90"/>
    </row>
    <row r="304" spans="1:8" x14ac:dyDescent="0.2">
      <c r="A304" s="103" t="str">
        <f>IF(Bienes!B66="",(""),(Bienes!B66))</f>
        <v/>
      </c>
      <c r="B304" s="144" t="str">
        <f>IF(Bienes!E66="",(""),(Bienes!E66))</f>
        <v/>
      </c>
      <c r="C304" s="144" t="str">
        <f>IF(Bienes!F66="",(""),(Bienes!F66))</f>
        <v/>
      </c>
      <c r="D304" s="144" t="str">
        <f>IF(Bienes!E66="",(""),(Bienes!E66))</f>
        <v/>
      </c>
      <c r="E304" s="334" t="str">
        <f>IF(Bienes!H66="",(""),(Bienes!H66))</f>
        <v/>
      </c>
      <c r="F304" s="90"/>
      <c r="G304" s="90"/>
    </row>
    <row r="305" spans="1:5" ht="20.25" x14ac:dyDescent="0.3">
      <c r="A305" s="501" t="s">
        <v>362</v>
      </c>
      <c r="B305" s="502"/>
      <c r="C305" s="502"/>
      <c r="D305" s="502"/>
      <c r="E305" s="503"/>
    </row>
    <row r="306" spans="1:5" x14ac:dyDescent="0.2">
      <c r="A306" s="317" t="s">
        <v>170</v>
      </c>
      <c r="B306" s="318" t="s">
        <v>368</v>
      </c>
      <c r="C306" s="318" t="s">
        <v>361</v>
      </c>
      <c r="D306" s="318" t="s">
        <v>266</v>
      </c>
      <c r="E306" s="319" t="s">
        <v>268</v>
      </c>
    </row>
    <row r="307" spans="1:5" x14ac:dyDescent="0.2">
      <c r="A307" s="104" t="str">
        <f>IF(Bienes!I61="",(""),(Bienes!I61))</f>
        <v/>
      </c>
      <c r="B307" s="106" t="str">
        <f>IF(Bienes!L61="",(""),(Bienes!L61))</f>
        <v/>
      </c>
      <c r="C307" s="106" t="str">
        <f>IF(Bienes!N61="",(""),(Bienes!N61))</f>
        <v/>
      </c>
      <c r="D307" s="106" t="str">
        <f>IF(Bienes!M61="",(""),(Bienes!M61))</f>
        <v/>
      </c>
      <c r="E307" s="120" t="str">
        <f>IF(Bienes!P61="",(""),(Bienes!P61))</f>
        <v/>
      </c>
    </row>
    <row r="308" spans="1:5" x14ac:dyDescent="0.2">
      <c r="A308" s="176" t="str">
        <f>IF(Bienes!I62="",(""),(Bienes!I62))</f>
        <v/>
      </c>
      <c r="B308" t="str">
        <f>IF(Bienes!L62="",(""),(Bienes!L62))</f>
        <v/>
      </c>
      <c r="C308" t="str">
        <f>IF(Bienes!N62="",(""),(Bienes!N62))</f>
        <v/>
      </c>
      <c r="D308" t="str">
        <f>IF(Bienes!M62="",(""),(Bienes!M62))</f>
        <v/>
      </c>
      <c r="E308" s="181" t="str">
        <f>IF(Bienes!P62="",(""),(Bienes!P62))</f>
        <v/>
      </c>
    </row>
    <row r="309" spans="1:5" x14ac:dyDescent="0.2">
      <c r="A309" s="176" t="str">
        <f>IF(Bienes!I63="",(""),(Bienes!I63))</f>
        <v/>
      </c>
      <c r="B309" t="str">
        <f>IF(Bienes!L63="",(""),(Bienes!L63))</f>
        <v/>
      </c>
      <c r="C309" t="str">
        <f>IF(Bienes!N63="",(""),(Bienes!N63))</f>
        <v/>
      </c>
      <c r="D309" t="str">
        <f>IF(Bienes!M63="",(""),(Bienes!M63))</f>
        <v/>
      </c>
      <c r="E309" s="181" t="str">
        <f>IF(Bienes!P63="",(""),(Bienes!P63))</f>
        <v/>
      </c>
    </row>
    <row r="310" spans="1:5" x14ac:dyDescent="0.2">
      <c r="A310" s="176" t="str">
        <f>IF(Bienes!I64="",(""),(Bienes!I64))</f>
        <v/>
      </c>
      <c r="B310" t="str">
        <f>IF(Bienes!L64="",(""),(Bienes!L64))</f>
        <v/>
      </c>
      <c r="C310" t="str">
        <f>IF(Bienes!N64="",(""),(Bienes!N64))</f>
        <v/>
      </c>
      <c r="D310" t="str">
        <f>IF(Bienes!M64="",(""),(Bienes!M64))</f>
        <v/>
      </c>
      <c r="E310" s="181" t="str">
        <f>IF(Bienes!P64="",(""),(Bienes!P64))</f>
        <v/>
      </c>
    </row>
    <row r="311" spans="1:5" x14ac:dyDescent="0.2">
      <c r="A311" s="103" t="str">
        <f>IF(Bienes!I65="",(""),(Bienes!I65))</f>
        <v/>
      </c>
      <c r="B311" s="144" t="str">
        <f>IF(Bienes!L65="",(""),(Bienes!L65))</f>
        <v/>
      </c>
      <c r="C311" s="144" t="str">
        <f>IF(Bienes!N65="",(""),(Bienes!N65))</f>
        <v/>
      </c>
      <c r="D311" s="144" t="str">
        <f>IF(Bienes!M65="",(""),(Bienes!M65))</f>
        <v/>
      </c>
      <c r="E311" s="334" t="str">
        <f>IF(Bienes!P65="",(""),(Bienes!P65))</f>
        <v/>
      </c>
    </row>
    <row r="312" spans="1:5" x14ac:dyDescent="0.2">
      <c r="A312" s="103" t="str">
        <f>IF(Bienes!I66="",(""),(Bienes!I66))</f>
        <v/>
      </c>
      <c r="B312" s="144" t="str">
        <f>IF(Bienes!L66="",(""),(Bienes!L66))</f>
        <v/>
      </c>
      <c r="C312" s="144" t="str">
        <f>IF(Bienes!N66="",(""),(Bienes!N66))</f>
        <v/>
      </c>
      <c r="D312" s="144" t="str">
        <f>IF(Bienes!M66="",(""),(Bienes!M66))</f>
        <v/>
      </c>
      <c r="E312" s="334" t="str">
        <f>IF(Bienes!P66="",(""),(Bienes!P66))</f>
        <v/>
      </c>
    </row>
    <row r="313" spans="1:5" ht="20.25" x14ac:dyDescent="0.3">
      <c r="A313" s="501" t="s">
        <v>365</v>
      </c>
      <c r="B313" s="502"/>
      <c r="C313" s="503"/>
    </row>
    <row r="314" spans="1:5" x14ac:dyDescent="0.2">
      <c r="A314" s="317" t="s">
        <v>170</v>
      </c>
      <c r="B314" s="318" t="s">
        <v>366</v>
      </c>
      <c r="C314" s="319" t="s">
        <v>367</v>
      </c>
    </row>
    <row r="315" spans="1:5" x14ac:dyDescent="0.2">
      <c r="A315" s="104"/>
      <c r="B315" s="106"/>
      <c r="C315" s="107"/>
    </row>
    <row r="316" spans="1:5" x14ac:dyDescent="0.2">
      <c r="A316" s="104"/>
      <c r="C316" s="141"/>
    </row>
    <row r="317" spans="1:5" x14ac:dyDescent="0.2">
      <c r="A317" s="104"/>
      <c r="C317" s="141"/>
    </row>
    <row r="318" spans="1:5" x14ac:dyDescent="0.2">
      <c r="A318" s="104"/>
      <c r="C318" s="141"/>
    </row>
    <row r="319" spans="1:5" x14ac:dyDescent="0.2">
      <c r="A319" s="104"/>
      <c r="C319" s="141"/>
    </row>
    <row r="320" spans="1:5" x14ac:dyDescent="0.2">
      <c r="A320" s="416"/>
      <c r="B320" s="144"/>
      <c r="C320" s="145"/>
    </row>
  </sheetData>
  <mergeCells count="17">
    <mergeCell ref="A296:E296"/>
    <mergeCell ref="F267:G267"/>
    <mergeCell ref="A47:E47"/>
    <mergeCell ref="A63:B63"/>
    <mergeCell ref="A70:D70"/>
    <mergeCell ref="A267:E267"/>
    <mergeCell ref="A21:E21"/>
    <mergeCell ref="A26:E26"/>
    <mergeCell ref="A132:E132"/>
    <mergeCell ref="B169:C169"/>
    <mergeCell ref="A258:D258"/>
    <mergeCell ref="A110:D110"/>
    <mergeCell ref="A212:E212"/>
    <mergeCell ref="A168:E168"/>
    <mergeCell ref="A196:E196"/>
    <mergeCell ref="A253:D253"/>
    <mergeCell ref="D169:E169"/>
  </mergeCells>
  <phoneticPr fontId="5" type="noConversion"/>
  <printOptions horizontalCentered="1"/>
  <pageMargins left="0.39370078740157483" right="0.39370078740157483" top="0.78740157480314965" bottom="0.98425196850393704" header="0" footer="0"/>
  <pageSetup paperSize="9" scale="62" fitToWidth="2" fitToHeight="2" orientation="portrait" horizontalDpi="120" verticalDpi="144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53E6F51-8039-4775-A815-24B567C9B030}">
          <x14:formula1>
            <xm:f>'Base de Datos'!$P$4:$P$13</xm:f>
          </x14:formula1>
          <xm:sqref>A316:A320</xm:sqref>
        </x14:dataValidation>
        <x14:dataValidation type="list" allowBlank="1" showInputMessage="1" showErrorMessage="1" xr:uid="{7EF8810B-EEDF-463C-8511-BB19C4D53CC9}">
          <x14:formula1>
            <xm:f>'Base de Datos'!$A$4:$A$6</xm:f>
          </x14:formula1>
          <xm:sqref>A9:A12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R154"/>
  <sheetViews>
    <sheetView workbookViewId="0">
      <selection activeCell="B27" sqref="B27"/>
    </sheetView>
  </sheetViews>
  <sheetFormatPr baseColWidth="10" defaultRowHeight="12.75" x14ac:dyDescent="0.2"/>
  <cols>
    <col min="1" max="1" width="14.85546875" style="192" customWidth="1"/>
    <col min="2" max="2" width="20.28515625" style="192" customWidth="1"/>
    <col min="3" max="3" width="19.28515625" style="192" customWidth="1"/>
    <col min="4" max="4" width="19.85546875" style="192" bestFit="1" customWidth="1"/>
    <col min="5" max="5" width="16.85546875" style="192" customWidth="1"/>
    <col min="6" max="6" width="19.5703125" style="192" customWidth="1"/>
    <col min="7" max="7" width="20" style="192" customWidth="1"/>
    <col min="8" max="8" width="13.7109375" style="192" customWidth="1"/>
    <col min="9" max="9" width="12.5703125" style="192" customWidth="1"/>
    <col min="10" max="10" width="19.85546875" style="192" customWidth="1"/>
    <col min="11" max="11" width="18.85546875" style="192" customWidth="1"/>
    <col min="12" max="16384" width="11.42578125" style="192"/>
  </cols>
  <sheetData>
    <row r="3" spans="1:17" ht="26.25" x14ac:dyDescent="0.4">
      <c r="A3" s="620" t="s">
        <v>153</v>
      </c>
      <c r="B3" s="620"/>
      <c r="C3" s="620"/>
      <c r="D3" s="620"/>
      <c r="E3" s="620"/>
      <c r="F3" s="620"/>
      <c r="G3" s="620"/>
      <c r="H3" s="620"/>
      <c r="I3" s="620"/>
      <c r="J3" s="620"/>
      <c r="K3" s="620"/>
      <c r="L3" s="620"/>
      <c r="M3" s="620"/>
      <c r="N3" s="620"/>
      <c r="O3" s="620"/>
      <c r="P3" s="620"/>
      <c r="Q3" s="620"/>
    </row>
    <row r="5" spans="1:17" ht="14.25" x14ac:dyDescent="0.2">
      <c r="A5" s="193" t="s">
        <v>154</v>
      </c>
      <c r="B5" s="193"/>
      <c r="C5" s="193"/>
      <c r="D5" s="194"/>
    </row>
    <row r="7" spans="1:17" ht="18" x14ac:dyDescent="0.25">
      <c r="A7" s="195" t="s">
        <v>155</v>
      </c>
    </row>
    <row r="9" spans="1:17" ht="16.5" x14ac:dyDescent="0.3">
      <c r="A9" s="196"/>
      <c r="B9" s="621" t="s">
        <v>156</v>
      </c>
      <c r="C9" s="622"/>
      <c r="D9" s="622"/>
      <c r="E9" s="622"/>
      <c r="F9" s="623"/>
      <c r="G9" s="624" t="s">
        <v>87</v>
      </c>
      <c r="H9" s="625"/>
      <c r="I9" s="625"/>
      <c r="J9" s="626"/>
      <c r="K9" s="197" t="s">
        <v>157</v>
      </c>
    </row>
    <row r="10" spans="1:17" ht="15" x14ac:dyDescent="0.25">
      <c r="A10" s="198"/>
      <c r="B10" s="199" t="s">
        <v>380</v>
      </c>
      <c r="C10" s="200" t="s">
        <v>381</v>
      </c>
      <c r="D10" s="200" t="s">
        <v>379</v>
      </c>
      <c r="E10" s="200" t="s">
        <v>80</v>
      </c>
      <c r="F10" s="201" t="s">
        <v>43</v>
      </c>
      <c r="G10" s="533" t="s">
        <v>317</v>
      </c>
      <c r="H10" s="534" t="s">
        <v>318</v>
      </c>
      <c r="I10" s="534" t="s">
        <v>319</v>
      </c>
      <c r="J10" s="202" t="s">
        <v>43</v>
      </c>
      <c r="K10" s="203" t="s">
        <v>158</v>
      </c>
    </row>
    <row r="11" spans="1:17" ht="15" x14ac:dyDescent="0.25">
      <c r="A11" s="204">
        <v>45292</v>
      </c>
      <c r="B11" s="205"/>
      <c r="C11" s="206"/>
      <c r="D11" s="206"/>
      <c r="E11" s="206"/>
      <c r="F11" s="207">
        <f>B11+C11+D11</f>
        <v>0</v>
      </c>
      <c r="G11" s="208"/>
      <c r="H11" s="209"/>
      <c r="I11" s="209"/>
      <c r="J11" s="210">
        <f>SUM(G11+H11+I11)</f>
        <v>0</v>
      </c>
      <c r="K11" s="211"/>
    </row>
    <row r="12" spans="1:17" ht="15" x14ac:dyDescent="0.25">
      <c r="A12" s="204">
        <v>45323</v>
      </c>
      <c r="B12" s="212"/>
      <c r="C12" s="213"/>
      <c r="D12" s="213"/>
      <c r="E12" s="213"/>
      <c r="F12" s="214">
        <f t="shared" ref="F12:F22" si="0">B12+C12+D12</f>
        <v>0</v>
      </c>
      <c r="G12" s="208"/>
      <c r="H12" s="209"/>
      <c r="I12" s="209"/>
      <c r="J12" s="210">
        <f t="shared" ref="J12:J22" si="1">SUM(G12+H12+I12)</f>
        <v>0</v>
      </c>
      <c r="K12" s="211"/>
    </row>
    <row r="13" spans="1:17" ht="15" x14ac:dyDescent="0.25">
      <c r="A13" s="204">
        <v>45352</v>
      </c>
      <c r="B13" s="212"/>
      <c r="C13" s="213"/>
      <c r="D13" s="213"/>
      <c r="E13" s="213"/>
      <c r="F13" s="214">
        <f t="shared" si="0"/>
        <v>0</v>
      </c>
      <c r="G13" s="208"/>
      <c r="H13" s="209"/>
      <c r="I13" s="209"/>
      <c r="J13" s="210">
        <f t="shared" si="1"/>
        <v>0</v>
      </c>
      <c r="K13" s="211"/>
    </row>
    <row r="14" spans="1:17" ht="15" x14ac:dyDescent="0.25">
      <c r="A14" s="204">
        <v>45383</v>
      </c>
      <c r="B14" s="212"/>
      <c r="C14" s="213"/>
      <c r="D14" s="213"/>
      <c r="E14" s="213"/>
      <c r="F14" s="214">
        <f t="shared" si="0"/>
        <v>0</v>
      </c>
      <c r="G14" s="208"/>
      <c r="H14" s="209"/>
      <c r="I14" s="209"/>
      <c r="J14" s="210">
        <f t="shared" si="1"/>
        <v>0</v>
      </c>
      <c r="K14" s="211"/>
    </row>
    <row r="15" spans="1:17" ht="15" x14ac:dyDescent="0.25">
      <c r="A15" s="204">
        <v>45413</v>
      </c>
      <c r="B15" s="212"/>
      <c r="C15" s="213"/>
      <c r="D15" s="213"/>
      <c r="E15" s="213"/>
      <c r="F15" s="214">
        <f t="shared" si="0"/>
        <v>0</v>
      </c>
      <c r="G15" s="208"/>
      <c r="H15" s="209"/>
      <c r="I15" s="209"/>
      <c r="J15" s="210">
        <f t="shared" si="1"/>
        <v>0</v>
      </c>
      <c r="K15" s="211"/>
    </row>
    <row r="16" spans="1:17" ht="15" x14ac:dyDescent="0.25">
      <c r="A16" s="204">
        <v>45444</v>
      </c>
      <c r="B16" s="212"/>
      <c r="C16" s="213"/>
      <c r="D16" s="213"/>
      <c r="E16" s="213"/>
      <c r="F16" s="214">
        <f t="shared" si="0"/>
        <v>0</v>
      </c>
      <c r="G16" s="208"/>
      <c r="H16" s="209"/>
      <c r="I16" s="209"/>
      <c r="J16" s="210">
        <f t="shared" si="1"/>
        <v>0</v>
      </c>
      <c r="K16" s="211"/>
    </row>
    <row r="17" spans="1:11" ht="15" x14ac:dyDescent="0.25">
      <c r="A17" s="204">
        <v>45474</v>
      </c>
      <c r="B17" s="212"/>
      <c r="C17" s="213"/>
      <c r="D17" s="213"/>
      <c r="E17" s="213"/>
      <c r="F17" s="214">
        <f t="shared" si="0"/>
        <v>0</v>
      </c>
      <c r="G17" s="208"/>
      <c r="H17" s="209"/>
      <c r="I17" s="209"/>
      <c r="J17" s="210">
        <f t="shared" si="1"/>
        <v>0</v>
      </c>
      <c r="K17" s="211"/>
    </row>
    <row r="18" spans="1:11" ht="15" x14ac:dyDescent="0.25">
      <c r="A18" s="204">
        <v>45505</v>
      </c>
      <c r="B18" s="212"/>
      <c r="C18" s="213"/>
      <c r="D18" s="213"/>
      <c r="E18" s="213"/>
      <c r="F18" s="214">
        <f t="shared" si="0"/>
        <v>0</v>
      </c>
      <c r="G18" s="208"/>
      <c r="H18" s="209"/>
      <c r="I18" s="209"/>
      <c r="J18" s="210">
        <f t="shared" si="1"/>
        <v>0</v>
      </c>
      <c r="K18" s="211"/>
    </row>
    <row r="19" spans="1:11" ht="15" x14ac:dyDescent="0.25">
      <c r="A19" s="204">
        <v>45536</v>
      </c>
      <c r="B19" s="212"/>
      <c r="C19" s="213"/>
      <c r="D19" s="213"/>
      <c r="E19" s="213"/>
      <c r="F19" s="214">
        <f t="shared" si="0"/>
        <v>0</v>
      </c>
      <c r="G19" s="208"/>
      <c r="H19" s="209"/>
      <c r="I19" s="209"/>
      <c r="J19" s="210">
        <f t="shared" si="1"/>
        <v>0</v>
      </c>
      <c r="K19" s="211"/>
    </row>
    <row r="20" spans="1:11" ht="15" x14ac:dyDescent="0.25">
      <c r="A20" s="204">
        <v>45566</v>
      </c>
      <c r="B20" s="212"/>
      <c r="C20" s="213"/>
      <c r="D20" s="213"/>
      <c r="E20" s="213"/>
      <c r="F20" s="214">
        <f t="shared" si="0"/>
        <v>0</v>
      </c>
      <c r="G20" s="208"/>
      <c r="H20" s="209"/>
      <c r="I20" s="209"/>
      <c r="J20" s="210">
        <f t="shared" si="1"/>
        <v>0</v>
      </c>
      <c r="K20" s="211"/>
    </row>
    <row r="21" spans="1:11" ht="15" x14ac:dyDescent="0.25">
      <c r="A21" s="204">
        <v>45597</v>
      </c>
      <c r="B21" s="212"/>
      <c r="C21" s="213"/>
      <c r="D21" s="213"/>
      <c r="E21" s="213"/>
      <c r="F21" s="214">
        <f t="shared" si="0"/>
        <v>0</v>
      </c>
      <c r="G21" s="208"/>
      <c r="H21" s="209"/>
      <c r="I21" s="209"/>
      <c r="J21" s="210">
        <f t="shared" si="1"/>
        <v>0</v>
      </c>
      <c r="K21" s="211"/>
    </row>
    <row r="22" spans="1:11" ht="15" x14ac:dyDescent="0.25">
      <c r="A22" s="204">
        <v>45627</v>
      </c>
      <c r="B22" s="215"/>
      <c r="C22" s="216"/>
      <c r="D22" s="216"/>
      <c r="E22" s="216"/>
      <c r="F22" s="217">
        <f t="shared" si="0"/>
        <v>0</v>
      </c>
      <c r="G22" s="208"/>
      <c r="H22" s="209"/>
      <c r="I22" s="209"/>
      <c r="J22" s="210">
        <f t="shared" si="1"/>
        <v>0</v>
      </c>
      <c r="K22" s="211"/>
    </row>
    <row r="23" spans="1:11" ht="15" x14ac:dyDescent="0.25">
      <c r="A23" s="218" t="s">
        <v>81</v>
      </c>
      <c r="B23" s="535">
        <f t="shared" ref="B23:C23" si="2">SUM(B11:B22)</f>
        <v>0</v>
      </c>
      <c r="C23" s="535">
        <f t="shared" si="2"/>
        <v>0</v>
      </c>
      <c r="D23" s="535">
        <f>SUM(D11:D22)</f>
        <v>0</v>
      </c>
      <c r="E23" s="535">
        <f>SUM(E11:E22)</f>
        <v>0</v>
      </c>
      <c r="F23" s="221">
        <f t="shared" ref="F23:K23" si="3">SUM(F11:F22)</f>
        <v>0</v>
      </c>
      <c r="G23" s="219">
        <f t="shared" si="3"/>
        <v>0</v>
      </c>
      <c r="H23" s="220">
        <f t="shared" si="3"/>
        <v>0</v>
      </c>
      <c r="I23" s="220">
        <f t="shared" si="3"/>
        <v>0</v>
      </c>
      <c r="J23" s="221">
        <f t="shared" si="3"/>
        <v>0</v>
      </c>
      <c r="K23" s="222">
        <f t="shared" si="3"/>
        <v>0</v>
      </c>
    </row>
    <row r="25" spans="1:11" x14ac:dyDescent="0.2">
      <c r="A25" s="223" t="s">
        <v>159</v>
      </c>
      <c r="B25" s="223"/>
    </row>
    <row r="26" spans="1:11" x14ac:dyDescent="0.2">
      <c r="A26" s="224" t="s">
        <v>156</v>
      </c>
      <c r="B26" s="225">
        <f>F23</f>
        <v>0</v>
      </c>
    </row>
    <row r="27" spans="1:11" x14ac:dyDescent="0.2">
      <c r="A27" s="226" t="s">
        <v>87</v>
      </c>
      <c r="B27" s="227"/>
      <c r="C27" s="209"/>
    </row>
    <row r="28" spans="1:11" x14ac:dyDescent="0.2">
      <c r="A28" s="228" t="s">
        <v>157</v>
      </c>
      <c r="B28" s="229">
        <f>K23</f>
        <v>0</v>
      </c>
    </row>
    <row r="30" spans="1:11" ht="18" x14ac:dyDescent="0.25">
      <c r="A30" s="195" t="s">
        <v>160</v>
      </c>
    </row>
    <row r="33" spans="1:10" ht="30" customHeight="1" x14ac:dyDescent="0.2">
      <c r="A33" s="230" t="s">
        <v>161</v>
      </c>
      <c r="B33" s="231" t="s">
        <v>162</v>
      </c>
      <c r="C33" s="232" t="s">
        <v>163</v>
      </c>
      <c r="E33" s="233" t="s">
        <v>164</v>
      </c>
      <c r="F33" s="234" t="s">
        <v>165</v>
      </c>
      <c r="G33" s="234" t="s">
        <v>166</v>
      </c>
      <c r="H33" s="615" t="s">
        <v>167</v>
      </c>
      <c r="I33" s="615"/>
      <c r="J33" s="235" t="s">
        <v>168</v>
      </c>
    </row>
    <row r="34" spans="1:10" ht="15" x14ac:dyDescent="0.25">
      <c r="A34" s="536">
        <v>45292</v>
      </c>
      <c r="B34" s="236"/>
      <c r="C34" s="236"/>
      <c r="E34" s="537"/>
      <c r="F34" s="538"/>
      <c r="G34" s="539"/>
      <c r="H34" s="616"/>
      <c r="I34" s="616"/>
      <c r="J34" s="540"/>
    </row>
    <row r="35" spans="1:10" ht="15" x14ac:dyDescent="0.25">
      <c r="A35" s="536">
        <v>45323</v>
      </c>
      <c r="B35" s="236"/>
      <c r="C35" s="236"/>
      <c r="E35" s="537"/>
      <c r="F35" s="538"/>
      <c r="G35" s="539"/>
      <c r="H35" s="616"/>
      <c r="I35" s="616"/>
      <c r="J35" s="540"/>
    </row>
    <row r="36" spans="1:10" ht="15" x14ac:dyDescent="0.25">
      <c r="A36" s="536">
        <v>45352</v>
      </c>
      <c r="B36" s="236"/>
      <c r="C36" s="236"/>
      <c r="E36" s="537"/>
      <c r="F36" s="538"/>
      <c r="G36" s="539"/>
      <c r="H36" s="616"/>
      <c r="I36" s="616"/>
      <c r="J36" s="540"/>
    </row>
    <row r="37" spans="1:10" ht="15" x14ac:dyDescent="0.25">
      <c r="A37" s="536">
        <v>45383</v>
      </c>
      <c r="B37" s="236"/>
      <c r="C37" s="236"/>
    </row>
    <row r="38" spans="1:10" ht="21" x14ac:dyDescent="0.35">
      <c r="A38" s="536">
        <v>45413</v>
      </c>
      <c r="B38" s="236"/>
      <c r="C38" s="236"/>
      <c r="E38" s="237" t="s">
        <v>169</v>
      </c>
    </row>
    <row r="39" spans="1:10" ht="15.75" x14ac:dyDescent="0.25">
      <c r="A39" s="536">
        <v>45444</v>
      </c>
      <c r="B39" s="236"/>
      <c r="C39" s="236"/>
      <c r="E39" s="238" t="s">
        <v>170</v>
      </c>
      <c r="F39" s="238" t="s">
        <v>171</v>
      </c>
      <c r="G39" s="238" t="s">
        <v>172</v>
      </c>
    </row>
    <row r="40" spans="1:10" ht="15.75" x14ac:dyDescent="0.25">
      <c r="A40" s="536">
        <v>45474</v>
      </c>
      <c r="B40" s="236"/>
      <c r="C40" s="236"/>
      <c r="E40" s="239"/>
      <c r="F40" s="240"/>
      <c r="G40" s="241"/>
      <c r="H40" s="209"/>
      <c r="I40" s="209"/>
    </row>
    <row r="41" spans="1:10" ht="15.75" x14ac:dyDescent="0.25">
      <c r="A41" s="536">
        <v>45505</v>
      </c>
      <c r="B41" s="236"/>
      <c r="C41" s="236"/>
      <c r="E41" s="242"/>
      <c r="F41" s="240"/>
      <c r="G41" s="241"/>
      <c r="H41" s="209"/>
      <c r="I41" s="209"/>
    </row>
    <row r="42" spans="1:10" ht="15.75" x14ac:dyDescent="0.25">
      <c r="A42" s="536">
        <v>45536</v>
      </c>
      <c r="B42" s="236"/>
      <c r="C42" s="236"/>
      <c r="E42" s="242"/>
      <c r="F42" s="240"/>
      <c r="G42" s="241"/>
      <c r="H42" s="209"/>
      <c r="I42" s="209"/>
    </row>
    <row r="43" spans="1:10" ht="15.75" x14ac:dyDescent="0.25">
      <c r="A43" s="536">
        <v>45566</v>
      </c>
      <c r="B43" s="236"/>
      <c r="C43" s="236"/>
      <c r="E43" s="242"/>
      <c r="F43" s="240"/>
      <c r="G43" s="241"/>
      <c r="H43" s="209"/>
      <c r="I43" s="209"/>
    </row>
    <row r="44" spans="1:10" ht="15" x14ac:dyDescent="0.25">
      <c r="A44" s="536">
        <v>45597</v>
      </c>
      <c r="B44" s="236"/>
      <c r="C44" s="236"/>
      <c r="E44" s="243"/>
      <c r="F44" s="240"/>
      <c r="G44" s="241"/>
      <c r="H44" s="209"/>
      <c r="I44" s="209"/>
    </row>
    <row r="45" spans="1:10" ht="15" x14ac:dyDescent="0.25">
      <c r="A45" s="536">
        <v>45627</v>
      </c>
      <c r="B45" s="236"/>
      <c r="C45" s="236"/>
      <c r="E45" s="243"/>
      <c r="F45" s="240"/>
      <c r="G45" s="241"/>
      <c r="H45" s="209"/>
      <c r="I45" s="209"/>
    </row>
    <row r="46" spans="1:10" ht="15" x14ac:dyDescent="0.25">
      <c r="A46" s="244" t="s">
        <v>28</v>
      </c>
      <c r="B46" s="245">
        <f>SUM(B34:B45)</f>
        <v>0</v>
      </c>
      <c r="C46" s="245">
        <f>SUM(C34:C45)</f>
        <v>0</v>
      </c>
      <c r="E46" s="246"/>
      <c r="F46" s="247"/>
      <c r="G46" s="248"/>
      <c r="H46" s="209"/>
      <c r="I46" s="209"/>
    </row>
    <row r="47" spans="1:10" x14ac:dyDescent="0.2">
      <c r="F47" s="249">
        <f>SUM(F40:F46)</f>
        <v>0</v>
      </c>
      <c r="G47" s="541">
        <f>SUM(G40:G46)</f>
        <v>0</v>
      </c>
      <c r="H47" s="617"/>
      <c r="I47" s="617"/>
    </row>
    <row r="50" spans="1:18" ht="21" x14ac:dyDescent="0.35">
      <c r="A50" s="250"/>
      <c r="B50" s="251" t="s">
        <v>173</v>
      </c>
      <c r="C50" s="252"/>
      <c r="D50" s="252"/>
      <c r="E50" s="250"/>
      <c r="F50" s="250"/>
    </row>
    <row r="51" spans="1:18" ht="15.75" x14ac:dyDescent="0.25">
      <c r="A51" s="250"/>
      <c r="B51" s="253" t="s">
        <v>174</v>
      </c>
      <c r="C51" s="253" t="s">
        <v>175</v>
      </c>
      <c r="D51" s="253" t="s">
        <v>176</v>
      </c>
      <c r="E51" s="618" t="s">
        <v>177</v>
      </c>
      <c r="F51" s="619"/>
    </row>
    <row r="52" spans="1:18" ht="15.75" x14ac:dyDescent="0.25">
      <c r="A52" s="250" t="s">
        <v>178</v>
      </c>
      <c r="B52" s="254"/>
      <c r="C52" s="255"/>
      <c r="D52" s="255"/>
      <c r="E52" s="605"/>
      <c r="F52" s="606"/>
    </row>
    <row r="53" spans="1:18" ht="15.75" x14ac:dyDescent="0.25">
      <c r="A53" s="250" t="s">
        <v>179</v>
      </c>
      <c r="B53" s="254"/>
      <c r="C53" s="255"/>
      <c r="D53" s="255"/>
      <c r="E53" s="605"/>
      <c r="F53" s="606"/>
    </row>
    <row r="54" spans="1:18" ht="15.75" x14ac:dyDescent="0.25">
      <c r="A54" s="250" t="s">
        <v>180</v>
      </c>
      <c r="B54" s="254"/>
      <c r="C54" s="255"/>
      <c r="D54" s="255"/>
      <c r="E54" s="605"/>
      <c r="F54" s="606"/>
    </row>
    <row r="55" spans="1:18" ht="15.75" x14ac:dyDescent="0.25">
      <c r="A55" s="250" t="s">
        <v>179</v>
      </c>
      <c r="B55" s="254"/>
      <c r="C55" s="255"/>
      <c r="D55" s="255"/>
      <c r="E55" s="605"/>
      <c r="F55" s="606"/>
    </row>
    <row r="56" spans="1:18" ht="15.75" x14ac:dyDescent="0.25">
      <c r="A56" s="250" t="s">
        <v>181</v>
      </c>
      <c r="B56" s="256"/>
      <c r="C56" s="256"/>
      <c r="D56" s="256"/>
      <c r="E56" s="607"/>
      <c r="F56" s="608"/>
    </row>
    <row r="60" spans="1:18" ht="26.25" x14ac:dyDescent="0.2">
      <c r="A60" s="609" t="s">
        <v>182</v>
      </c>
      <c r="B60" s="609"/>
      <c r="C60" s="609"/>
      <c r="D60" s="609"/>
      <c r="E60" s="609"/>
      <c r="F60" s="609"/>
      <c r="G60" s="609"/>
      <c r="H60" s="609"/>
      <c r="I60" s="609"/>
      <c r="J60" s="609"/>
      <c r="K60" s="609"/>
      <c r="L60" s="609"/>
      <c r="M60" s="609"/>
      <c r="N60" s="609"/>
      <c r="O60" s="609"/>
      <c r="P60" s="609"/>
      <c r="Q60" s="609"/>
      <c r="R60" s="609"/>
    </row>
    <row r="63" spans="1:18" ht="15" x14ac:dyDescent="0.2">
      <c r="A63" s="257" t="s">
        <v>183</v>
      </c>
    </row>
    <row r="64" spans="1:18" ht="18.75" x14ac:dyDescent="0.3">
      <c r="A64" s="258" t="s">
        <v>184</v>
      </c>
      <c r="B64" s="259"/>
      <c r="C64" s="260" t="s">
        <v>185</v>
      </c>
      <c r="E64" s="613" t="s">
        <v>186</v>
      </c>
      <c r="F64" s="614"/>
      <c r="G64" s="261" t="s">
        <v>187</v>
      </c>
      <c r="H64" s="262" t="s">
        <v>188</v>
      </c>
    </row>
    <row r="65" spans="1:8" ht="15.75" x14ac:dyDescent="0.25">
      <c r="A65" s="243" t="s">
        <v>189</v>
      </c>
      <c r="C65" s="263"/>
      <c r="E65" s="242"/>
      <c r="G65" s="209"/>
      <c r="H65" s="264"/>
    </row>
    <row r="66" spans="1:8" ht="15.75" x14ac:dyDescent="0.25">
      <c r="A66" s="243" t="s">
        <v>190</v>
      </c>
      <c r="C66" s="263"/>
      <c r="E66" s="242"/>
      <c r="G66" s="209"/>
      <c r="H66" s="264"/>
    </row>
    <row r="67" spans="1:8" ht="15.75" x14ac:dyDescent="0.25">
      <c r="A67" s="243" t="s">
        <v>191</v>
      </c>
      <c r="C67" s="263"/>
      <c r="E67" s="242"/>
      <c r="G67" s="209"/>
      <c r="H67" s="264"/>
    </row>
    <row r="68" spans="1:8" ht="15.75" x14ac:dyDescent="0.25">
      <c r="A68" s="243" t="s">
        <v>192</v>
      </c>
      <c r="C68" s="263"/>
      <c r="E68" s="242"/>
      <c r="G68" s="209"/>
      <c r="H68" s="264"/>
    </row>
    <row r="69" spans="1:8" ht="15.75" x14ac:dyDescent="0.25">
      <c r="A69" s="243" t="s">
        <v>63</v>
      </c>
      <c r="C69" s="263"/>
      <c r="E69" s="242"/>
      <c r="G69" s="209"/>
      <c r="H69" s="264"/>
    </row>
    <row r="70" spans="1:8" ht="15.75" x14ac:dyDescent="0.25">
      <c r="A70" s="243" t="s">
        <v>193</v>
      </c>
      <c r="C70" s="263"/>
      <c r="E70" s="242"/>
      <c r="G70" s="209"/>
      <c r="H70" s="264"/>
    </row>
    <row r="71" spans="1:8" ht="15.75" x14ac:dyDescent="0.25">
      <c r="A71" s="243" t="s">
        <v>194</v>
      </c>
      <c r="C71" s="263"/>
      <c r="E71" s="242"/>
      <c r="G71" s="209"/>
      <c r="H71" s="264"/>
    </row>
    <row r="72" spans="1:8" ht="15.75" x14ac:dyDescent="0.25">
      <c r="A72" s="243" t="s">
        <v>64</v>
      </c>
      <c r="C72" s="263"/>
      <c r="E72" s="242"/>
      <c r="G72" s="209"/>
      <c r="H72" s="264"/>
    </row>
    <row r="73" spans="1:8" ht="15.75" x14ac:dyDescent="0.25">
      <c r="A73" s="243" t="s">
        <v>195</v>
      </c>
      <c r="C73" s="263"/>
      <c r="E73" s="242"/>
      <c r="G73" s="209"/>
      <c r="H73" s="264"/>
    </row>
    <row r="74" spans="1:8" ht="15.75" x14ac:dyDescent="0.25">
      <c r="A74" s="243" t="s">
        <v>196</v>
      </c>
      <c r="C74" s="263"/>
      <c r="E74" s="242"/>
      <c r="G74" s="209"/>
      <c r="H74" s="264"/>
    </row>
    <row r="75" spans="1:8" ht="15.75" x14ac:dyDescent="0.25">
      <c r="A75" s="243" t="s">
        <v>197</v>
      </c>
      <c r="C75" s="263"/>
      <c r="E75" s="242"/>
      <c r="G75" s="209"/>
      <c r="H75" s="264"/>
    </row>
    <row r="76" spans="1:8" ht="15.75" x14ac:dyDescent="0.25">
      <c r="A76" s="243" t="s">
        <v>198</v>
      </c>
      <c r="C76" s="263"/>
      <c r="E76" s="242"/>
      <c r="G76" s="209"/>
      <c r="H76" s="264"/>
    </row>
    <row r="77" spans="1:8" ht="15.75" x14ac:dyDescent="0.25">
      <c r="A77" s="243"/>
      <c r="C77" s="263"/>
      <c r="E77" s="242"/>
      <c r="G77" s="209"/>
      <c r="H77" s="264"/>
    </row>
    <row r="78" spans="1:8" ht="15.75" x14ac:dyDescent="0.25">
      <c r="A78" s="243"/>
      <c r="C78" s="263"/>
      <c r="E78" s="242"/>
      <c r="G78" s="209"/>
      <c r="H78" s="264"/>
    </row>
    <row r="79" spans="1:8" ht="15.75" x14ac:dyDescent="0.25">
      <c r="A79" s="243"/>
      <c r="C79" s="263"/>
      <c r="E79" s="242"/>
      <c r="G79" s="209"/>
      <c r="H79" s="264"/>
    </row>
    <row r="80" spans="1:8" ht="15.75" x14ac:dyDescent="0.25">
      <c r="A80" s="243"/>
      <c r="C80" s="263"/>
      <c r="E80" s="242"/>
      <c r="G80" s="209"/>
      <c r="H80" s="264"/>
    </row>
    <row r="81" spans="1:10" ht="15.75" x14ac:dyDescent="0.25">
      <c r="A81" s="243"/>
      <c r="C81" s="263"/>
      <c r="E81" s="242"/>
      <c r="G81" s="209"/>
      <c r="H81" s="264"/>
    </row>
    <row r="82" spans="1:10" ht="15.75" x14ac:dyDescent="0.25">
      <c r="A82" s="243"/>
      <c r="C82" s="263"/>
      <c r="E82" s="242"/>
      <c r="G82" s="209"/>
      <c r="H82" s="264"/>
    </row>
    <row r="83" spans="1:10" ht="15.75" x14ac:dyDescent="0.25">
      <c r="A83" s="243"/>
      <c r="C83" s="263"/>
      <c r="E83" s="242"/>
      <c r="G83" s="209"/>
      <c r="H83" s="264"/>
    </row>
    <row r="84" spans="1:10" ht="15.75" x14ac:dyDescent="0.25">
      <c r="A84" s="243"/>
      <c r="C84" s="263"/>
      <c r="E84" s="242"/>
      <c r="G84" s="209"/>
      <c r="H84" s="264"/>
    </row>
    <row r="85" spans="1:10" ht="15.75" x14ac:dyDescent="0.25">
      <c r="A85" s="243"/>
      <c r="C85" s="263"/>
      <c r="E85" s="242"/>
      <c r="G85" s="209"/>
      <c r="H85" s="264"/>
    </row>
    <row r="86" spans="1:10" ht="15.75" x14ac:dyDescent="0.25">
      <c r="A86" s="243"/>
      <c r="C86" s="263"/>
      <c r="E86" s="242"/>
      <c r="G86" s="209"/>
      <c r="H86" s="264"/>
    </row>
    <row r="87" spans="1:10" ht="15.75" x14ac:dyDescent="0.25">
      <c r="A87" s="243"/>
      <c r="C87" s="263"/>
      <c r="E87" s="242"/>
      <c r="G87" s="209"/>
      <c r="H87" s="264"/>
    </row>
    <row r="88" spans="1:10" ht="15.75" x14ac:dyDescent="0.25">
      <c r="A88" s="243"/>
      <c r="C88" s="263"/>
      <c r="E88" s="242"/>
      <c r="G88" s="209"/>
      <c r="H88" s="264"/>
    </row>
    <row r="89" spans="1:10" ht="15.75" x14ac:dyDescent="0.25">
      <c r="A89" s="243"/>
      <c r="C89" s="263"/>
      <c r="E89" s="242"/>
      <c r="G89" s="209"/>
      <c r="H89" s="264"/>
    </row>
    <row r="90" spans="1:10" ht="15.75" x14ac:dyDescent="0.25">
      <c r="A90" s="265" t="s">
        <v>43</v>
      </c>
      <c r="B90" s="266"/>
      <c r="C90" s="267">
        <f>SUM(C65:C89)</f>
        <v>0</v>
      </c>
      <c r="E90" s="265" t="s">
        <v>43</v>
      </c>
      <c r="F90" s="266"/>
      <c r="G90" s="267">
        <f>SUM(G65:G89)</f>
        <v>0</v>
      </c>
      <c r="H90" s="542">
        <f>SUM(H65:H89)</f>
        <v>0</v>
      </c>
    </row>
    <row r="93" spans="1:10" ht="18" x14ac:dyDescent="0.25">
      <c r="A93" s="195" t="s">
        <v>160</v>
      </c>
    </row>
    <row r="96" spans="1:10" ht="30" customHeight="1" x14ac:dyDescent="0.2">
      <c r="A96" s="230" t="s">
        <v>161</v>
      </c>
      <c r="B96" s="231" t="s">
        <v>199</v>
      </c>
      <c r="C96" s="232" t="s">
        <v>200</v>
      </c>
      <c r="E96" s="233" t="s">
        <v>164</v>
      </c>
      <c r="F96" s="234" t="s">
        <v>165</v>
      </c>
      <c r="G96" s="234" t="s">
        <v>201</v>
      </c>
      <c r="H96" s="615" t="s">
        <v>167</v>
      </c>
      <c r="I96" s="615"/>
      <c r="J96" s="235" t="s">
        <v>168</v>
      </c>
    </row>
    <row r="97" spans="1:10" ht="15" x14ac:dyDescent="0.25">
      <c r="A97" s="536">
        <v>45292</v>
      </c>
      <c r="B97" s="236"/>
      <c r="C97" s="236"/>
      <c r="E97" s="537"/>
      <c r="F97" s="538"/>
      <c r="G97" s="539"/>
      <c r="H97" s="616"/>
      <c r="I97" s="616"/>
      <c r="J97" s="540"/>
    </row>
    <row r="98" spans="1:10" ht="15" x14ac:dyDescent="0.25">
      <c r="A98" s="536">
        <v>45323</v>
      </c>
      <c r="B98" s="236"/>
      <c r="C98" s="236"/>
      <c r="E98" s="537"/>
      <c r="F98" s="538"/>
      <c r="G98" s="539"/>
      <c r="H98" s="616"/>
      <c r="I98" s="616"/>
      <c r="J98" s="540"/>
    </row>
    <row r="99" spans="1:10" ht="15" x14ac:dyDescent="0.25">
      <c r="A99" s="536">
        <v>45352</v>
      </c>
      <c r="B99" s="236"/>
      <c r="C99" s="236"/>
      <c r="E99" s="537"/>
      <c r="F99" s="538"/>
      <c r="G99" s="539"/>
      <c r="H99" s="616"/>
      <c r="I99" s="616"/>
      <c r="J99" s="540"/>
    </row>
    <row r="100" spans="1:10" ht="15" x14ac:dyDescent="0.25">
      <c r="A100" s="536">
        <v>45383</v>
      </c>
      <c r="B100" s="236"/>
      <c r="C100" s="236"/>
    </row>
    <row r="101" spans="1:10" ht="21" x14ac:dyDescent="0.35">
      <c r="A101" s="536">
        <v>45413</v>
      </c>
      <c r="B101" s="236"/>
      <c r="C101" s="236"/>
      <c r="E101" s="237" t="s">
        <v>202</v>
      </c>
    </row>
    <row r="102" spans="1:10" ht="15.75" x14ac:dyDescent="0.25">
      <c r="A102" s="536">
        <v>45444</v>
      </c>
      <c r="B102" s="236"/>
      <c r="C102" s="236"/>
      <c r="E102" s="238" t="s">
        <v>170</v>
      </c>
      <c r="F102" s="238" t="s">
        <v>171</v>
      </c>
      <c r="G102" s="238" t="s">
        <v>172</v>
      </c>
    </row>
    <row r="103" spans="1:10" ht="15.75" x14ac:dyDescent="0.25">
      <c r="A103" s="536">
        <v>45474</v>
      </c>
      <c r="B103" s="236"/>
      <c r="C103" s="236"/>
      <c r="E103" s="239"/>
      <c r="F103" s="240"/>
      <c r="G103" s="241"/>
      <c r="H103" s="209"/>
      <c r="I103" s="209"/>
    </row>
    <row r="104" spans="1:10" ht="15.75" x14ac:dyDescent="0.25">
      <c r="A104" s="536">
        <v>45505</v>
      </c>
      <c r="B104" s="236"/>
      <c r="C104" s="236"/>
      <c r="E104" s="242"/>
      <c r="F104" s="240"/>
      <c r="G104" s="241"/>
      <c r="H104" s="209"/>
      <c r="I104" s="209"/>
    </row>
    <row r="105" spans="1:10" ht="15.75" x14ac:dyDescent="0.25">
      <c r="A105" s="536">
        <v>45536</v>
      </c>
      <c r="B105" s="236"/>
      <c r="C105" s="236"/>
      <c r="E105" s="242"/>
      <c r="F105" s="240"/>
      <c r="G105" s="241"/>
      <c r="H105" s="209"/>
      <c r="I105" s="209"/>
    </row>
    <row r="106" spans="1:10" ht="15.75" x14ac:dyDescent="0.25">
      <c r="A106" s="536">
        <v>45566</v>
      </c>
      <c r="B106" s="236"/>
      <c r="C106" s="236"/>
      <c r="E106" s="242"/>
      <c r="F106" s="240"/>
      <c r="G106" s="241"/>
      <c r="H106" s="209"/>
      <c r="I106" s="209"/>
    </row>
    <row r="107" spans="1:10" ht="15" x14ac:dyDescent="0.25">
      <c r="A107" s="536">
        <v>45597</v>
      </c>
      <c r="B107" s="236"/>
      <c r="C107" s="236"/>
      <c r="E107" s="243"/>
      <c r="F107" s="240"/>
      <c r="G107" s="241"/>
      <c r="H107" s="209"/>
      <c r="I107" s="209"/>
    </row>
    <row r="108" spans="1:10" ht="15" x14ac:dyDescent="0.25">
      <c r="A108" s="536">
        <v>45627</v>
      </c>
      <c r="B108" s="236"/>
      <c r="C108" s="236"/>
      <c r="E108" s="243"/>
      <c r="F108" s="240"/>
      <c r="G108" s="241"/>
      <c r="H108" s="209"/>
      <c r="I108" s="209"/>
    </row>
    <row r="109" spans="1:10" ht="15" x14ac:dyDescent="0.25">
      <c r="A109" s="244" t="s">
        <v>28</v>
      </c>
      <c r="B109" s="245">
        <f>SUM(B97:B108)</f>
        <v>0</v>
      </c>
      <c r="C109" s="245">
        <f>SUM(C97:C108)</f>
        <v>0</v>
      </c>
      <c r="E109" s="246"/>
      <c r="F109" s="240"/>
      <c r="G109" s="241"/>
      <c r="H109" s="209"/>
      <c r="I109" s="209"/>
    </row>
    <row r="110" spans="1:10" x14ac:dyDescent="0.2">
      <c r="F110" s="249">
        <f>SUM(F103:F109)</f>
        <v>0</v>
      </c>
      <c r="G110" s="541">
        <f>SUM(G103:G109)</f>
        <v>0</v>
      </c>
      <c r="H110" s="617"/>
      <c r="I110" s="617"/>
    </row>
    <row r="113" spans="1:18" ht="21" x14ac:dyDescent="0.35">
      <c r="A113" s="250"/>
      <c r="B113" s="251" t="s">
        <v>203</v>
      </c>
      <c r="C113" s="252"/>
      <c r="D113" s="252"/>
      <c r="E113" s="250"/>
      <c r="F113" s="250"/>
    </row>
    <row r="114" spans="1:18" ht="15.75" x14ac:dyDescent="0.25">
      <c r="A114" s="250"/>
      <c r="B114" s="253" t="s">
        <v>174</v>
      </c>
      <c r="C114" s="253" t="s">
        <v>175</v>
      </c>
      <c r="D114" s="253" t="s">
        <v>176</v>
      </c>
      <c r="E114" s="618" t="s">
        <v>177</v>
      </c>
      <c r="F114" s="619"/>
    </row>
    <row r="115" spans="1:18" ht="15.75" x14ac:dyDescent="0.25">
      <c r="A115" s="193" t="s">
        <v>178</v>
      </c>
      <c r="B115" s="254"/>
      <c r="C115" s="255"/>
      <c r="D115" s="255"/>
      <c r="E115" s="605"/>
      <c r="F115" s="606"/>
    </row>
    <row r="116" spans="1:18" ht="15.75" x14ac:dyDescent="0.25">
      <c r="A116" s="193" t="s">
        <v>204</v>
      </c>
      <c r="B116" s="254"/>
      <c r="C116" s="255"/>
      <c r="D116" s="255"/>
      <c r="E116" s="605"/>
      <c r="F116" s="606"/>
    </row>
    <row r="117" spans="1:18" ht="15.75" x14ac:dyDescent="0.25">
      <c r="A117" s="193" t="s">
        <v>163</v>
      </c>
      <c r="B117" s="254"/>
      <c r="C117" s="255"/>
      <c r="D117" s="255"/>
      <c r="E117" s="605"/>
      <c r="F117" s="606"/>
    </row>
    <row r="118" spans="1:18" ht="15.75" x14ac:dyDescent="0.25">
      <c r="A118" s="193" t="s">
        <v>204</v>
      </c>
      <c r="B118" s="254"/>
      <c r="C118" s="255"/>
      <c r="D118" s="255"/>
      <c r="E118" s="605"/>
      <c r="F118" s="606"/>
    </row>
    <row r="119" spans="1:18" ht="15.75" x14ac:dyDescent="0.25">
      <c r="A119" s="250" t="s">
        <v>181</v>
      </c>
      <c r="B119" s="256"/>
      <c r="C119" s="256"/>
      <c r="D119" s="256"/>
      <c r="E119" s="607"/>
      <c r="F119" s="608"/>
    </row>
    <row r="124" spans="1:18" ht="26.25" x14ac:dyDescent="0.2">
      <c r="A124" s="609" t="s">
        <v>205</v>
      </c>
      <c r="B124" s="609"/>
      <c r="C124" s="609"/>
      <c r="D124" s="609"/>
      <c r="E124" s="609"/>
      <c r="F124" s="609"/>
      <c r="G124" s="609"/>
      <c r="H124" s="609"/>
      <c r="I124" s="609"/>
      <c r="J124" s="609"/>
      <c r="K124" s="609"/>
      <c r="L124" s="609"/>
      <c r="M124" s="609"/>
      <c r="N124" s="609"/>
      <c r="O124" s="609"/>
      <c r="P124" s="609"/>
      <c r="Q124" s="609"/>
      <c r="R124" s="609"/>
    </row>
    <row r="128" spans="1:18" ht="23.25" x14ac:dyDescent="0.35">
      <c r="B128" s="610" t="s">
        <v>206</v>
      </c>
      <c r="C128" s="611"/>
      <c r="E128" s="612" t="s">
        <v>85</v>
      </c>
      <c r="F128" s="612"/>
      <c r="G128" s="612"/>
      <c r="H128" s="612"/>
      <c r="I128" s="612"/>
      <c r="J128" s="612"/>
      <c r="K128" s="612"/>
    </row>
    <row r="129" spans="1:11" ht="15" x14ac:dyDescent="0.25">
      <c r="A129" s="230" t="s">
        <v>161</v>
      </c>
      <c r="B129" s="203" t="s">
        <v>207</v>
      </c>
      <c r="C129" s="203" t="s">
        <v>208</v>
      </c>
      <c r="E129" s="268"/>
      <c r="F129" s="269"/>
      <c r="G129" s="269"/>
      <c r="H129" s="269"/>
      <c r="I129" s="269"/>
      <c r="J129" s="269"/>
      <c r="K129" s="269"/>
    </row>
    <row r="130" spans="1:11" ht="15" x14ac:dyDescent="0.25">
      <c r="A130" s="536">
        <v>45292</v>
      </c>
      <c r="B130" s="211"/>
      <c r="C130" s="211"/>
      <c r="E130" s="270"/>
      <c r="F130" s="271"/>
      <c r="G130" s="271"/>
      <c r="H130" s="271"/>
      <c r="I130" s="271"/>
      <c r="J130" s="271"/>
      <c r="K130" s="271"/>
    </row>
    <row r="131" spans="1:11" ht="15" x14ac:dyDescent="0.25">
      <c r="A131" s="536">
        <v>45323</v>
      </c>
      <c r="B131" s="211"/>
      <c r="C131" s="211"/>
      <c r="E131" s="272"/>
      <c r="F131" s="273"/>
      <c r="G131" s="273"/>
      <c r="H131" s="273"/>
      <c r="I131" s="273"/>
      <c r="J131" s="273"/>
      <c r="K131" s="273"/>
    </row>
    <row r="132" spans="1:11" ht="15" x14ac:dyDescent="0.25">
      <c r="A132" s="536">
        <v>45352</v>
      </c>
      <c r="B132" s="211"/>
      <c r="C132" s="211"/>
      <c r="E132" s="272"/>
      <c r="F132" s="273"/>
      <c r="G132" s="273"/>
      <c r="H132" s="273"/>
      <c r="I132" s="273"/>
      <c r="J132" s="273"/>
      <c r="K132" s="273"/>
    </row>
    <row r="133" spans="1:11" ht="15" x14ac:dyDescent="0.25">
      <c r="A133" s="536">
        <v>45383</v>
      </c>
      <c r="B133" s="211"/>
      <c r="C133" s="211"/>
      <c r="E133" s="272"/>
      <c r="F133" s="273"/>
      <c r="G133" s="273"/>
      <c r="H133" s="273"/>
      <c r="I133" s="273"/>
      <c r="J133" s="273"/>
      <c r="K133" s="273"/>
    </row>
    <row r="134" spans="1:11" ht="15" x14ac:dyDescent="0.25">
      <c r="A134" s="536">
        <v>45413</v>
      </c>
      <c r="B134" s="211"/>
      <c r="C134" s="211"/>
      <c r="E134" s="272"/>
      <c r="F134" s="274"/>
      <c r="G134" s="274"/>
      <c r="H134" s="274"/>
      <c r="I134" s="274"/>
      <c r="J134" s="274"/>
      <c r="K134" s="274"/>
    </row>
    <row r="135" spans="1:11" ht="15" x14ac:dyDescent="0.25">
      <c r="A135" s="536">
        <v>45444</v>
      </c>
      <c r="B135" s="211"/>
      <c r="C135" s="211"/>
      <c r="E135" s="272"/>
      <c r="F135" s="273"/>
      <c r="G135" s="273"/>
      <c r="H135" s="273"/>
      <c r="I135" s="273"/>
      <c r="J135" s="273"/>
      <c r="K135" s="273"/>
    </row>
    <row r="136" spans="1:11" ht="15" x14ac:dyDescent="0.25">
      <c r="A136" s="536">
        <v>45474</v>
      </c>
      <c r="B136" s="211"/>
      <c r="C136" s="211"/>
      <c r="E136" s="275"/>
      <c r="F136" s="276"/>
      <c r="G136" s="276"/>
      <c r="H136" s="276"/>
      <c r="I136" s="276"/>
      <c r="J136" s="276"/>
      <c r="K136" s="276"/>
    </row>
    <row r="137" spans="1:11" ht="15" x14ac:dyDescent="0.25">
      <c r="A137" s="536">
        <v>45505</v>
      </c>
      <c r="B137" s="211"/>
      <c r="C137" s="211"/>
      <c r="E137" s="277">
        <f t="shared" ref="E137:K137" si="4">SUM(E131:E136)</f>
        <v>0</v>
      </c>
      <c r="F137" s="278">
        <f t="shared" si="4"/>
        <v>0</v>
      </c>
      <c r="G137" s="278">
        <f t="shared" si="4"/>
        <v>0</v>
      </c>
      <c r="H137" s="278">
        <f t="shared" si="4"/>
        <v>0</v>
      </c>
      <c r="I137" s="278">
        <f t="shared" si="4"/>
        <v>0</v>
      </c>
      <c r="J137" s="278">
        <f t="shared" si="4"/>
        <v>0</v>
      </c>
      <c r="K137" s="278">
        <f t="shared" si="4"/>
        <v>0</v>
      </c>
    </row>
    <row r="138" spans="1:11" ht="15" x14ac:dyDescent="0.25">
      <c r="A138" s="536">
        <v>45536</v>
      </c>
      <c r="B138" s="211"/>
      <c r="C138" s="211"/>
    </row>
    <row r="139" spans="1:11" ht="23.25" x14ac:dyDescent="0.35">
      <c r="A139" s="536">
        <v>45566</v>
      </c>
      <c r="B139" s="211"/>
      <c r="C139" s="211"/>
      <c r="E139" s="603" t="s">
        <v>209</v>
      </c>
      <c r="F139" s="603"/>
      <c r="G139" s="603"/>
      <c r="H139" s="603"/>
      <c r="I139" s="603"/>
      <c r="J139" s="603"/>
      <c r="K139" s="603"/>
    </row>
    <row r="140" spans="1:11" ht="15" x14ac:dyDescent="0.25">
      <c r="A140" s="536">
        <v>45597</v>
      </c>
      <c r="B140" s="211"/>
      <c r="C140" s="211"/>
      <c r="E140" s="268"/>
      <c r="F140" s="279"/>
      <c r="G140" s="279"/>
      <c r="H140" s="279"/>
      <c r="I140" s="279"/>
      <c r="J140" s="279"/>
      <c r="K140" s="269"/>
    </row>
    <row r="141" spans="1:11" ht="15" x14ac:dyDescent="0.25">
      <c r="A141" s="536">
        <v>45627</v>
      </c>
      <c r="B141" s="211"/>
      <c r="C141" s="211"/>
      <c r="E141" s="270"/>
      <c r="F141" s="280"/>
      <c r="G141" s="280"/>
      <c r="H141" s="280"/>
      <c r="I141" s="280"/>
      <c r="J141" s="280"/>
      <c r="K141" s="271"/>
    </row>
    <row r="142" spans="1:11" ht="15" x14ac:dyDescent="0.25">
      <c r="A142" s="244" t="s">
        <v>28</v>
      </c>
      <c r="B142" s="222">
        <f>SUM(B130:B141)</f>
        <v>0</v>
      </c>
      <c r="C142" s="222">
        <f>SUM(C130:C141)</f>
        <v>0</v>
      </c>
      <c r="E142" s="281"/>
      <c r="F142" s="282"/>
      <c r="G142" s="282"/>
      <c r="H142" s="282"/>
      <c r="I142" s="282"/>
      <c r="J142" s="282"/>
      <c r="K142" s="283"/>
    </row>
    <row r="143" spans="1:11" ht="15" x14ac:dyDescent="0.25">
      <c r="E143" s="277">
        <f>SUM(E142:E142)</f>
        <v>0</v>
      </c>
      <c r="F143" s="277">
        <f t="shared" ref="F143:K143" si="5">SUM(F142:F142)</f>
        <v>0</v>
      </c>
      <c r="G143" s="277">
        <f t="shared" si="5"/>
        <v>0</v>
      </c>
      <c r="H143" s="277">
        <f t="shared" si="5"/>
        <v>0</v>
      </c>
      <c r="I143" s="277">
        <f t="shared" si="5"/>
        <v>0</v>
      </c>
      <c r="J143" s="277">
        <f t="shared" si="5"/>
        <v>0</v>
      </c>
      <c r="K143" s="277">
        <f t="shared" si="5"/>
        <v>0</v>
      </c>
    </row>
    <row r="145" spans="1:9" ht="23.25" x14ac:dyDescent="0.35">
      <c r="A145" s="604" t="s">
        <v>84</v>
      </c>
      <c r="B145" s="604"/>
      <c r="C145" s="604"/>
      <c r="D145" s="604"/>
      <c r="E145" s="604"/>
      <c r="F145" s="604"/>
      <c r="G145" s="604"/>
      <c r="H145" s="604"/>
      <c r="I145" s="604"/>
    </row>
    <row r="146" spans="1:9" ht="15" x14ac:dyDescent="0.25">
      <c r="A146" s="268" t="s">
        <v>79</v>
      </c>
      <c r="B146" s="279" t="s">
        <v>79</v>
      </c>
      <c r="C146" s="279" t="s">
        <v>79</v>
      </c>
      <c r="D146" s="279" t="s">
        <v>82</v>
      </c>
      <c r="E146" s="279" t="s">
        <v>82</v>
      </c>
      <c r="F146" s="279" t="s">
        <v>82</v>
      </c>
      <c r="G146" s="279" t="s">
        <v>82</v>
      </c>
      <c r="H146" s="279" t="s">
        <v>83</v>
      </c>
      <c r="I146" s="269" t="s">
        <v>83</v>
      </c>
    </row>
    <row r="147" spans="1:9" ht="15" x14ac:dyDescent="0.25">
      <c r="A147" s="270"/>
      <c r="B147" s="280"/>
      <c r="C147" s="280"/>
      <c r="D147" s="280"/>
      <c r="E147" s="280"/>
      <c r="F147" s="280"/>
      <c r="G147" s="280"/>
      <c r="H147" s="280"/>
      <c r="I147" s="271"/>
    </row>
    <row r="148" spans="1:9" ht="15" x14ac:dyDescent="0.25">
      <c r="A148" s="272"/>
      <c r="B148" s="284"/>
      <c r="C148" s="284"/>
      <c r="D148" s="284"/>
      <c r="E148" s="284"/>
      <c r="F148" s="284"/>
      <c r="G148" s="543"/>
      <c r="H148" s="284"/>
      <c r="I148" s="273"/>
    </row>
    <row r="149" spans="1:9" ht="15" x14ac:dyDescent="0.25">
      <c r="A149" s="272"/>
      <c r="B149" s="284"/>
      <c r="C149" s="284"/>
      <c r="D149" s="284"/>
      <c r="E149" s="284"/>
      <c r="F149" s="284"/>
      <c r="G149" s="543"/>
      <c r="H149" s="284"/>
      <c r="I149" s="273"/>
    </row>
    <row r="150" spans="1:9" ht="15" x14ac:dyDescent="0.25">
      <c r="A150" s="272"/>
      <c r="B150" s="284"/>
      <c r="C150" s="284"/>
      <c r="D150" s="284"/>
      <c r="E150" s="284"/>
      <c r="F150" s="284"/>
      <c r="G150" s="543"/>
      <c r="H150" s="284"/>
      <c r="I150" s="273"/>
    </row>
    <row r="151" spans="1:9" ht="15" x14ac:dyDescent="0.25">
      <c r="A151" s="272"/>
      <c r="B151" s="543"/>
      <c r="C151" s="284"/>
      <c r="D151" s="284"/>
      <c r="E151" s="284"/>
      <c r="F151" s="284"/>
      <c r="G151" s="543"/>
      <c r="H151" s="284"/>
      <c r="I151" s="273"/>
    </row>
    <row r="152" spans="1:9" ht="15" x14ac:dyDescent="0.25">
      <c r="A152" s="272"/>
      <c r="B152" s="284"/>
      <c r="C152" s="284"/>
      <c r="D152" s="284"/>
      <c r="E152" s="284"/>
      <c r="F152" s="284"/>
      <c r="G152" s="284"/>
      <c r="H152" s="284"/>
      <c r="I152" s="273"/>
    </row>
    <row r="153" spans="1:9" ht="15" x14ac:dyDescent="0.25">
      <c r="A153" s="275"/>
      <c r="B153" s="285"/>
      <c r="C153" s="285"/>
      <c r="D153" s="285"/>
      <c r="E153" s="285"/>
      <c r="F153" s="285"/>
      <c r="G153" s="286"/>
      <c r="H153" s="285"/>
      <c r="I153" s="276"/>
    </row>
    <row r="154" spans="1:9" ht="15" x14ac:dyDescent="0.25">
      <c r="A154" s="277">
        <f t="shared" ref="A154:I154" si="6">SUM(A148:A153)</f>
        <v>0</v>
      </c>
      <c r="B154" s="287">
        <f t="shared" si="6"/>
        <v>0</v>
      </c>
      <c r="C154" s="287">
        <f t="shared" si="6"/>
        <v>0</v>
      </c>
      <c r="D154" s="287">
        <f t="shared" si="6"/>
        <v>0</v>
      </c>
      <c r="E154" s="287">
        <f t="shared" si="6"/>
        <v>0</v>
      </c>
      <c r="F154" s="287">
        <f t="shared" si="6"/>
        <v>0</v>
      </c>
      <c r="G154" s="287">
        <f t="shared" si="6"/>
        <v>0</v>
      </c>
      <c r="H154" s="287">
        <f t="shared" si="6"/>
        <v>0</v>
      </c>
      <c r="I154" s="278">
        <f t="shared" si="6"/>
        <v>0</v>
      </c>
    </row>
  </sheetData>
  <mergeCells count="32">
    <mergeCell ref="E54:F54"/>
    <mergeCell ref="A3:Q3"/>
    <mergeCell ref="B9:F9"/>
    <mergeCell ref="G9:J9"/>
    <mergeCell ref="H33:I33"/>
    <mergeCell ref="H34:I34"/>
    <mergeCell ref="H35:I35"/>
    <mergeCell ref="H36:I36"/>
    <mergeCell ref="H47:I47"/>
    <mergeCell ref="E51:F51"/>
    <mergeCell ref="E52:F52"/>
    <mergeCell ref="E53:F53"/>
    <mergeCell ref="E116:F116"/>
    <mergeCell ref="E55:F55"/>
    <mergeCell ref="E56:F56"/>
    <mergeCell ref="A60:R60"/>
    <mergeCell ref="E64:F64"/>
    <mergeCell ref="H96:I96"/>
    <mergeCell ref="H97:I97"/>
    <mergeCell ref="H98:I98"/>
    <mergeCell ref="H99:I99"/>
    <mergeCell ref="H110:I110"/>
    <mergeCell ref="E114:F114"/>
    <mergeCell ref="E115:F115"/>
    <mergeCell ref="E139:K139"/>
    <mergeCell ref="A145:I145"/>
    <mergeCell ref="E117:F117"/>
    <mergeCell ref="E118:F118"/>
    <mergeCell ref="E119:F119"/>
    <mergeCell ref="A124:R124"/>
    <mergeCell ref="B128:C128"/>
    <mergeCell ref="E128:K128"/>
  </mergeCells>
  <conditionalFormatting sqref="B34:B45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{6476DC99-442A-4EB3-BB0A-F2E9D5F9EF88}</x14:id>
        </ext>
      </extLst>
    </cfRule>
  </conditionalFormatting>
  <conditionalFormatting sqref="B97:B108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{BFBEED6B-5454-455A-81A3-282F9C412EF0}</x14:id>
        </ext>
      </extLst>
    </cfRule>
  </conditionalFormatting>
  <conditionalFormatting sqref="C34:C45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{9D08FCA3-829D-4101-8062-719DB3CCDF0F}</x14:id>
        </ext>
      </extLst>
    </cfRule>
  </conditionalFormatting>
  <conditionalFormatting sqref="C97:C108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{AE8249D8-8424-4123-9BEB-B08A268A4CE9}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76DC99-442A-4EB3-BB0A-F2E9D5F9EF88}">
            <x14:dataBar minLength="0" maxLength="100" negativeBarColorSameAsPositive="1" axisPosition="none">
              <x14:cfvo type="min"/>
              <x14:cfvo type="max"/>
            </x14:dataBar>
          </x14:cfRule>
          <xm:sqref>B34:B45</xm:sqref>
        </x14:conditionalFormatting>
        <x14:conditionalFormatting xmlns:xm="http://schemas.microsoft.com/office/excel/2006/main">
          <x14:cfRule type="dataBar" id="{BFBEED6B-5454-455A-81A3-282F9C412EF0}">
            <x14:dataBar minLength="0" maxLength="100" negativeBarColorSameAsPositive="1" axisPosition="none">
              <x14:cfvo type="min"/>
              <x14:cfvo type="max"/>
            </x14:dataBar>
          </x14:cfRule>
          <xm:sqref>B97:B108</xm:sqref>
        </x14:conditionalFormatting>
        <x14:conditionalFormatting xmlns:xm="http://schemas.microsoft.com/office/excel/2006/main">
          <x14:cfRule type="dataBar" id="{9D08FCA3-829D-4101-8062-719DB3CCDF0F}">
            <x14:dataBar minLength="0" maxLength="100" negativeBarColorSameAsPositive="1" axisPosition="none">
              <x14:cfvo type="min"/>
              <x14:cfvo type="max"/>
            </x14:dataBar>
          </x14:cfRule>
          <xm:sqref>C34:C45</xm:sqref>
        </x14:conditionalFormatting>
        <x14:conditionalFormatting xmlns:xm="http://schemas.microsoft.com/office/excel/2006/main">
          <x14:cfRule type="dataBar" id="{AE8249D8-8424-4123-9BEB-B08A268A4CE9}">
            <x14:dataBar minLength="0" maxLength="100" negativeBarColorSameAsPositive="1" axisPosition="none">
              <x14:cfvo type="min"/>
              <x14:cfvo type="max"/>
            </x14:dataBar>
          </x14:cfRule>
          <xm:sqref>C97:C108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34"/>
  <sheetViews>
    <sheetView zoomScale="130" zoomScaleNormal="130" workbookViewId="0">
      <selection activeCell="B21" sqref="B21"/>
    </sheetView>
  </sheetViews>
  <sheetFormatPr baseColWidth="10" defaultRowHeight="12.75" x14ac:dyDescent="0.2"/>
  <cols>
    <col min="1" max="1" width="11.42578125" style="192"/>
    <col min="2" max="2" width="15.7109375" style="192" customWidth="1"/>
    <col min="3" max="3" width="14.28515625" style="192" customWidth="1"/>
    <col min="4" max="4" width="14" style="192" customWidth="1"/>
    <col min="5" max="5" width="14.42578125" style="192" customWidth="1"/>
    <col min="6" max="6" width="13.85546875" style="192" customWidth="1"/>
    <col min="7" max="7" width="13.5703125" style="192" customWidth="1"/>
    <col min="8" max="8" width="11.5703125" style="192" bestFit="1" customWidth="1"/>
    <col min="9" max="10" width="15.42578125" style="192" customWidth="1"/>
    <col min="11" max="16384" width="11.42578125" style="192"/>
  </cols>
  <sheetData>
    <row r="1" spans="1:18" ht="25.5" x14ac:dyDescent="0.35">
      <c r="A1" s="188" t="s">
        <v>210</v>
      </c>
      <c r="B1" s="189"/>
      <c r="C1" s="189"/>
      <c r="D1" s="189"/>
      <c r="E1" s="190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x14ac:dyDescent="0.2">
      <c r="A2" s="288"/>
      <c r="B2" s="288"/>
      <c r="C2" s="288"/>
      <c r="D2" s="288"/>
      <c r="E2" s="288"/>
      <c r="F2" s="288"/>
      <c r="G2" s="288"/>
      <c r="H2" s="288"/>
      <c r="I2" s="288"/>
      <c r="J2" s="288"/>
    </row>
    <row r="3" spans="1:18" x14ac:dyDescent="0.2">
      <c r="A3" s="289" t="s">
        <v>104</v>
      </c>
      <c r="B3" s="290" t="s">
        <v>105</v>
      </c>
      <c r="C3" s="290" t="s">
        <v>106</v>
      </c>
      <c r="D3" s="290" t="s">
        <v>107</v>
      </c>
      <c r="E3" s="290" t="s">
        <v>108</v>
      </c>
      <c r="F3" s="290" t="s">
        <v>109</v>
      </c>
      <c r="G3" s="290" t="s">
        <v>110</v>
      </c>
      <c r="H3" s="290" t="s">
        <v>111</v>
      </c>
      <c r="I3" s="290" t="s">
        <v>211</v>
      </c>
      <c r="J3" s="290" t="s">
        <v>212</v>
      </c>
    </row>
    <row r="4" spans="1:18" x14ac:dyDescent="0.2">
      <c r="A4" s="291">
        <v>45292</v>
      </c>
      <c r="B4" s="292"/>
      <c r="C4" s="292"/>
      <c r="D4" s="292"/>
      <c r="E4" s="292"/>
      <c r="F4" s="292"/>
      <c r="G4" s="292"/>
      <c r="H4" s="292"/>
      <c r="I4" s="293">
        <f>SUM(B4:H4)</f>
        <v>0</v>
      </c>
      <c r="J4" s="294">
        <f>SUM(B4+C4+D4+G4+H4)</f>
        <v>0</v>
      </c>
    </row>
    <row r="5" spans="1:18" x14ac:dyDescent="0.2">
      <c r="A5" s="291">
        <v>45323</v>
      </c>
      <c r="B5" s="292"/>
      <c r="C5" s="292"/>
      <c r="D5" s="292"/>
      <c r="E5" s="292"/>
      <c r="F5" s="292"/>
      <c r="G5" s="292"/>
      <c r="H5" s="292"/>
      <c r="I5" s="293">
        <f t="shared" ref="I5:I16" si="0">SUM(B5:H5)</f>
        <v>0</v>
      </c>
      <c r="J5" s="294">
        <f t="shared" ref="J5:J16" si="1">SUM(B5+C5+D5+G5+H5)</f>
        <v>0</v>
      </c>
    </row>
    <row r="6" spans="1:18" x14ac:dyDescent="0.2">
      <c r="A6" s="291">
        <v>45352</v>
      </c>
      <c r="B6" s="292"/>
      <c r="C6" s="292"/>
      <c r="D6" s="292"/>
      <c r="E6" s="292"/>
      <c r="F6" s="292"/>
      <c r="G6" s="292"/>
      <c r="H6" s="292"/>
      <c r="I6" s="293">
        <f t="shared" si="0"/>
        <v>0</v>
      </c>
      <c r="J6" s="294">
        <f t="shared" si="1"/>
        <v>0</v>
      </c>
    </row>
    <row r="7" spans="1:18" x14ac:dyDescent="0.2">
      <c r="A7" s="291">
        <v>45383</v>
      </c>
      <c r="B7" s="292"/>
      <c r="C7" s="292"/>
      <c r="D7" s="292"/>
      <c r="E7" s="292"/>
      <c r="F7" s="292"/>
      <c r="G7" s="292"/>
      <c r="H7" s="292"/>
      <c r="I7" s="293">
        <f t="shared" si="0"/>
        <v>0</v>
      </c>
      <c r="J7" s="294">
        <f t="shared" si="1"/>
        <v>0</v>
      </c>
    </row>
    <row r="8" spans="1:18" x14ac:dyDescent="0.2">
      <c r="A8" s="291">
        <v>45413</v>
      </c>
      <c r="B8" s="292"/>
      <c r="C8" s="292"/>
      <c r="D8" s="292"/>
      <c r="E8" s="292"/>
      <c r="F8" s="292"/>
      <c r="G8" s="292"/>
      <c r="H8" s="292"/>
      <c r="I8" s="293">
        <f t="shared" si="0"/>
        <v>0</v>
      </c>
      <c r="J8" s="294">
        <f t="shared" si="1"/>
        <v>0</v>
      </c>
    </row>
    <row r="9" spans="1:18" x14ac:dyDescent="0.2">
      <c r="A9" s="291">
        <v>45444</v>
      </c>
      <c r="B9" s="292"/>
      <c r="C9" s="292"/>
      <c r="D9" s="292"/>
      <c r="E9" s="292"/>
      <c r="F9" s="292"/>
      <c r="G9" s="292"/>
      <c r="H9" s="292"/>
      <c r="I9" s="293">
        <f t="shared" si="0"/>
        <v>0</v>
      </c>
      <c r="J9" s="294">
        <f t="shared" si="1"/>
        <v>0</v>
      </c>
    </row>
    <row r="10" spans="1:18" x14ac:dyDescent="0.2">
      <c r="A10" s="291">
        <v>45474</v>
      </c>
      <c r="B10" s="292"/>
      <c r="C10" s="292"/>
      <c r="D10" s="292"/>
      <c r="E10" s="292"/>
      <c r="F10" s="292"/>
      <c r="G10" s="292"/>
      <c r="H10" s="292"/>
      <c r="I10" s="293">
        <f t="shared" si="0"/>
        <v>0</v>
      </c>
      <c r="J10" s="294">
        <f t="shared" si="1"/>
        <v>0</v>
      </c>
    </row>
    <row r="11" spans="1:18" x14ac:dyDescent="0.2">
      <c r="A11" s="291">
        <v>45505</v>
      </c>
      <c r="B11" s="292"/>
      <c r="C11" s="292"/>
      <c r="D11" s="292"/>
      <c r="E11" s="292"/>
      <c r="F11" s="292"/>
      <c r="G11" s="292"/>
      <c r="H11" s="292"/>
      <c r="I11" s="293">
        <f t="shared" si="0"/>
        <v>0</v>
      </c>
      <c r="J11" s="294">
        <f t="shared" si="1"/>
        <v>0</v>
      </c>
    </row>
    <row r="12" spans="1:18" x14ac:dyDescent="0.2">
      <c r="A12" s="291">
        <v>45536</v>
      </c>
      <c r="B12" s="295"/>
      <c r="C12" s="292"/>
      <c r="D12" s="292"/>
      <c r="E12" s="292"/>
      <c r="F12" s="292"/>
      <c r="G12" s="292"/>
      <c r="H12" s="292"/>
      <c r="I12" s="293">
        <f t="shared" si="0"/>
        <v>0</v>
      </c>
      <c r="J12" s="294">
        <f t="shared" si="1"/>
        <v>0</v>
      </c>
    </row>
    <row r="13" spans="1:18" x14ac:dyDescent="0.2">
      <c r="A13" s="291">
        <v>45566</v>
      </c>
      <c r="B13" s="292"/>
      <c r="C13" s="292"/>
      <c r="D13" s="292"/>
      <c r="E13" s="292"/>
      <c r="F13" s="292"/>
      <c r="G13" s="292"/>
      <c r="H13" s="292"/>
      <c r="I13" s="293">
        <f t="shared" si="0"/>
        <v>0</v>
      </c>
      <c r="J13" s="294">
        <f t="shared" si="1"/>
        <v>0</v>
      </c>
    </row>
    <row r="14" spans="1:18" x14ac:dyDescent="0.2">
      <c r="A14" s="291">
        <v>45597</v>
      </c>
      <c r="B14" s="292"/>
      <c r="C14" s="292"/>
      <c r="D14" s="292"/>
      <c r="E14" s="292"/>
      <c r="F14" s="292"/>
      <c r="G14" s="292"/>
      <c r="H14" s="292"/>
      <c r="I14" s="293">
        <f t="shared" si="0"/>
        <v>0</v>
      </c>
      <c r="J14" s="294">
        <f t="shared" si="1"/>
        <v>0</v>
      </c>
    </row>
    <row r="15" spans="1:18" x14ac:dyDescent="0.2">
      <c r="A15" s="291">
        <v>45627</v>
      </c>
      <c r="B15" s="292"/>
      <c r="C15" s="292"/>
      <c r="D15" s="292"/>
      <c r="E15" s="292"/>
      <c r="F15" s="292"/>
      <c r="G15" s="292"/>
      <c r="H15" s="292"/>
      <c r="I15" s="293">
        <f t="shared" si="0"/>
        <v>0</v>
      </c>
      <c r="J15" s="294">
        <f t="shared" si="1"/>
        <v>0</v>
      </c>
    </row>
    <row r="16" spans="1:18" x14ac:dyDescent="0.2">
      <c r="A16" s="288"/>
      <c r="B16" s="296">
        <f t="shared" ref="B16:H16" si="2">SUM(B4:B15)</f>
        <v>0</v>
      </c>
      <c r="C16" s="296">
        <f t="shared" si="2"/>
        <v>0</v>
      </c>
      <c r="D16" s="296">
        <f t="shared" si="2"/>
        <v>0</v>
      </c>
      <c r="E16" s="296">
        <f t="shared" si="2"/>
        <v>0</v>
      </c>
      <c r="F16" s="296">
        <f t="shared" si="2"/>
        <v>0</v>
      </c>
      <c r="G16" s="296">
        <f t="shared" si="2"/>
        <v>0</v>
      </c>
      <c r="H16" s="296">
        <f t="shared" si="2"/>
        <v>0</v>
      </c>
      <c r="I16" s="297">
        <f t="shared" si="0"/>
        <v>0</v>
      </c>
      <c r="J16" s="298">
        <f t="shared" si="1"/>
        <v>0</v>
      </c>
    </row>
    <row r="17" spans="1:10" x14ac:dyDescent="0.2">
      <c r="A17" s="288"/>
      <c r="B17" s="288"/>
      <c r="C17" s="288"/>
      <c r="D17" s="288"/>
      <c r="E17" s="288"/>
      <c r="F17" s="288"/>
      <c r="G17" s="288"/>
      <c r="H17" s="288"/>
      <c r="I17" s="288"/>
      <c r="J17" s="288"/>
    </row>
    <row r="18" spans="1:10" x14ac:dyDescent="0.2">
      <c r="A18" s="288"/>
      <c r="B18" s="288"/>
      <c r="C18" s="288"/>
      <c r="D18" s="288"/>
      <c r="E18" s="288"/>
      <c r="F18" s="288"/>
      <c r="G18" s="288"/>
      <c r="H18" s="288"/>
      <c r="I18" s="288"/>
      <c r="J18" s="288"/>
    </row>
    <row r="19" spans="1:10" x14ac:dyDescent="0.2">
      <c r="A19" s="288" t="s">
        <v>213</v>
      </c>
      <c r="B19" s="288"/>
      <c r="C19" s="288"/>
      <c r="D19" s="288"/>
      <c r="E19" s="288"/>
      <c r="F19" s="288"/>
      <c r="G19" s="288"/>
      <c r="H19" s="288"/>
      <c r="I19" s="288"/>
      <c r="J19" s="288"/>
    </row>
    <row r="20" spans="1:10" x14ac:dyDescent="0.2">
      <c r="B20" s="299" t="s">
        <v>214</v>
      </c>
      <c r="C20" s="299" t="s">
        <v>215</v>
      </c>
      <c r="D20" s="288"/>
      <c r="E20" s="288"/>
      <c r="F20" s="288"/>
      <c r="G20" s="288"/>
      <c r="H20" s="288"/>
      <c r="I20" s="288"/>
      <c r="J20" s="288"/>
    </row>
    <row r="21" spans="1:10" x14ac:dyDescent="0.2">
      <c r="A21" s="300">
        <v>45292</v>
      </c>
      <c r="B21" s="301"/>
      <c r="C21" s="302"/>
      <c r="D21" s="303"/>
      <c r="E21" s="288"/>
      <c r="F21" s="288"/>
      <c r="G21" s="288"/>
      <c r="H21" s="288"/>
      <c r="I21" s="288"/>
      <c r="J21" s="288"/>
    </row>
    <row r="22" spans="1:10" x14ac:dyDescent="0.2">
      <c r="A22" s="300">
        <v>45323</v>
      </c>
      <c r="B22" s="304"/>
      <c r="C22" s="305"/>
      <c r="D22" s="303"/>
      <c r="E22" s="288"/>
      <c r="F22" s="288"/>
      <c r="G22" s="288"/>
      <c r="H22" s="288"/>
      <c r="I22" s="288"/>
      <c r="J22" s="288"/>
    </row>
    <row r="23" spans="1:10" x14ac:dyDescent="0.2">
      <c r="A23" s="300">
        <v>45352</v>
      </c>
      <c r="B23" s="304"/>
      <c r="C23" s="305"/>
      <c r="D23" s="303"/>
      <c r="E23" s="288"/>
      <c r="F23" s="288"/>
      <c r="G23" s="288"/>
      <c r="H23" s="288"/>
      <c r="I23" s="288"/>
      <c r="J23" s="288"/>
    </row>
    <row r="24" spans="1:10" x14ac:dyDescent="0.2">
      <c r="A24" s="300">
        <v>45383</v>
      </c>
      <c r="B24" s="304"/>
      <c r="C24" s="305"/>
      <c r="D24" s="303"/>
      <c r="E24" s="288"/>
      <c r="F24" s="288"/>
      <c r="G24" s="288"/>
      <c r="H24" s="288"/>
      <c r="I24" s="288"/>
      <c r="J24" s="288"/>
    </row>
    <row r="25" spans="1:10" x14ac:dyDescent="0.2">
      <c r="A25" s="300">
        <v>45413</v>
      </c>
      <c r="B25" s="304"/>
      <c r="C25" s="305"/>
      <c r="D25" s="303"/>
      <c r="E25" s="288"/>
      <c r="F25" s="288"/>
      <c r="G25" s="288"/>
      <c r="H25" s="288"/>
      <c r="I25" s="288"/>
      <c r="J25" s="288"/>
    </row>
    <row r="26" spans="1:10" x14ac:dyDescent="0.2">
      <c r="A26" s="300">
        <v>45444</v>
      </c>
      <c r="B26" s="304"/>
      <c r="C26" s="305"/>
      <c r="D26" s="303"/>
      <c r="E26" s="288"/>
      <c r="F26" s="288"/>
      <c r="G26" s="288"/>
      <c r="H26" s="288"/>
      <c r="I26" s="288"/>
      <c r="J26" s="288"/>
    </row>
    <row r="27" spans="1:10" x14ac:dyDescent="0.2">
      <c r="A27" s="300">
        <v>45474</v>
      </c>
      <c r="B27" s="304"/>
      <c r="C27" s="305"/>
      <c r="D27" s="303"/>
      <c r="E27" s="288"/>
      <c r="F27" s="288"/>
      <c r="G27" s="288"/>
      <c r="H27" s="288"/>
      <c r="I27" s="288"/>
      <c r="J27" s="288"/>
    </row>
    <row r="28" spans="1:10" x14ac:dyDescent="0.2">
      <c r="A28" s="300">
        <v>45505</v>
      </c>
      <c r="B28" s="304"/>
      <c r="C28" s="305"/>
      <c r="D28" s="303"/>
      <c r="E28" s="288"/>
      <c r="F28" s="288"/>
      <c r="G28" s="288"/>
      <c r="H28" s="288"/>
      <c r="I28" s="288"/>
      <c r="J28" s="288"/>
    </row>
    <row r="29" spans="1:10" x14ac:dyDescent="0.2">
      <c r="A29" s="300">
        <v>45536</v>
      </c>
      <c r="B29" s="304"/>
      <c r="C29" s="305"/>
      <c r="D29" s="303"/>
      <c r="E29" s="288"/>
      <c r="F29" s="288"/>
      <c r="G29" s="288"/>
      <c r="H29" s="288"/>
      <c r="I29" s="288"/>
      <c r="J29" s="288"/>
    </row>
    <row r="30" spans="1:10" x14ac:dyDescent="0.2">
      <c r="A30" s="300">
        <v>45566</v>
      </c>
      <c r="B30" s="304"/>
      <c r="C30" s="305"/>
      <c r="D30" s="303"/>
      <c r="E30" s="288"/>
      <c r="F30" s="288"/>
      <c r="G30" s="288"/>
      <c r="H30" s="288"/>
      <c r="I30" s="288"/>
      <c r="J30" s="288"/>
    </row>
    <row r="31" spans="1:10" x14ac:dyDescent="0.2">
      <c r="A31" s="300">
        <v>45597</v>
      </c>
      <c r="B31" s="304"/>
      <c r="C31" s="305"/>
      <c r="D31" s="303"/>
      <c r="E31" s="288"/>
      <c r="F31" s="288"/>
      <c r="G31" s="288"/>
      <c r="H31" s="288"/>
      <c r="I31" s="288"/>
      <c r="J31" s="288"/>
    </row>
    <row r="32" spans="1:10" x14ac:dyDescent="0.2">
      <c r="A32" s="300">
        <v>45627</v>
      </c>
      <c r="B32" s="306"/>
      <c r="C32" s="307"/>
      <c r="D32" s="303"/>
      <c r="E32" s="288"/>
      <c r="F32" s="288"/>
      <c r="G32" s="288"/>
      <c r="H32" s="288"/>
      <c r="I32" s="288"/>
      <c r="J32" s="288"/>
    </row>
    <row r="33" spans="1:10" x14ac:dyDescent="0.2">
      <c r="A33" s="288"/>
      <c r="B33" s="308">
        <f>SUM(B21:B32)</f>
        <v>0</v>
      </c>
      <c r="C33" s="308">
        <f>SUM(C21:C32)</f>
        <v>0</v>
      </c>
      <c r="D33" s="309"/>
      <c r="E33" s="288"/>
      <c r="F33" s="288"/>
      <c r="G33" s="288"/>
      <c r="H33" s="288"/>
      <c r="I33" s="288"/>
      <c r="J33" s="288"/>
    </row>
    <row r="34" spans="1:10" x14ac:dyDescent="0.2">
      <c r="B34" s="310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D79"/>
  <sheetViews>
    <sheetView zoomScale="110" zoomScaleNormal="110" workbookViewId="0">
      <selection activeCell="B79" sqref="B79"/>
    </sheetView>
  </sheetViews>
  <sheetFormatPr baseColWidth="10" defaultRowHeight="12.75" x14ac:dyDescent="0.2"/>
  <cols>
    <col min="4" max="4" width="17.5703125" customWidth="1"/>
    <col min="5" max="5" width="15.85546875" customWidth="1"/>
    <col min="6" max="6" width="15.7109375" bestFit="1" customWidth="1"/>
    <col min="7" max="7" width="14.85546875" customWidth="1"/>
    <col min="8" max="8" width="15.42578125" customWidth="1"/>
    <col min="9" max="9" width="13" customWidth="1"/>
    <col min="10" max="10" width="14" customWidth="1"/>
    <col min="14" max="14" width="12.85546875" customWidth="1"/>
    <col min="16" max="16" width="16.28515625" customWidth="1"/>
    <col min="20" max="20" width="15.7109375" bestFit="1" customWidth="1"/>
    <col min="21" max="21" width="14.42578125" customWidth="1"/>
    <col min="22" max="23" width="16" customWidth="1"/>
    <col min="26" max="26" width="19.85546875" customWidth="1"/>
  </cols>
  <sheetData>
    <row r="1" spans="1:30" s="192" customFormat="1" ht="25.5" x14ac:dyDescent="0.35">
      <c r="A1" s="188" t="s">
        <v>240</v>
      </c>
      <c r="B1" s="189"/>
      <c r="C1" s="189"/>
      <c r="D1" s="189"/>
      <c r="E1" s="190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</row>
    <row r="2" spans="1:30" ht="14.25" x14ac:dyDescent="0.2">
      <c r="A2" s="343" t="str">
        <f>DDJJ!A15</f>
        <v>DDJJ Ganancias Año:</v>
      </c>
      <c r="B2" s="344"/>
      <c r="C2" s="345">
        <f>DDJJ!B15</f>
        <v>2024</v>
      </c>
    </row>
    <row r="3" spans="1:30" ht="23.25" x14ac:dyDescent="0.35">
      <c r="A3" s="320" t="s">
        <v>241</v>
      </c>
      <c r="AD3" s="456" t="s">
        <v>340</v>
      </c>
    </row>
    <row r="4" spans="1:30" ht="18" x14ac:dyDescent="0.25">
      <c r="A4" s="627" t="s">
        <v>242</v>
      </c>
      <c r="B4" s="628"/>
      <c r="C4" s="628"/>
      <c r="D4" s="628"/>
      <c r="E4" s="628"/>
      <c r="F4" s="628"/>
      <c r="G4" s="628"/>
      <c r="H4" s="628"/>
      <c r="I4" s="628"/>
      <c r="J4" s="628"/>
      <c r="K4" s="628"/>
      <c r="L4" s="628"/>
      <c r="M4" s="628"/>
      <c r="N4" s="628"/>
      <c r="O4" s="628"/>
      <c r="P4" s="629"/>
      <c r="Q4" s="427" t="s">
        <v>320</v>
      </c>
      <c r="R4" s="428" t="s">
        <v>86</v>
      </c>
      <c r="S4" s="430"/>
      <c r="T4" s="4" t="s">
        <v>255</v>
      </c>
      <c r="U4" s="4" t="s">
        <v>245</v>
      </c>
      <c r="V4" s="4" t="s">
        <v>25</v>
      </c>
      <c r="W4" s="430" t="s">
        <v>255</v>
      </c>
      <c r="AA4" s="4" t="s">
        <v>331</v>
      </c>
      <c r="AB4" s="4" t="s">
        <v>245</v>
      </c>
      <c r="AC4" s="4" t="s">
        <v>25</v>
      </c>
      <c r="AD4" s="454" t="s">
        <v>339</v>
      </c>
    </row>
    <row r="5" spans="1:30" x14ac:dyDescent="0.2">
      <c r="A5" s="317" t="s">
        <v>170</v>
      </c>
      <c r="B5" s="318" t="s">
        <v>321</v>
      </c>
      <c r="C5" s="318" t="s">
        <v>322</v>
      </c>
      <c r="D5" s="318" t="s">
        <v>239</v>
      </c>
      <c r="E5" s="318" t="s">
        <v>243</v>
      </c>
      <c r="F5" s="318" t="s">
        <v>244</v>
      </c>
      <c r="G5" s="318" t="s">
        <v>245</v>
      </c>
      <c r="H5" s="319" t="s">
        <v>25</v>
      </c>
      <c r="I5" s="317" t="s">
        <v>170</v>
      </c>
      <c r="J5" s="318" t="s">
        <v>321</v>
      </c>
      <c r="K5" s="318" t="s">
        <v>322</v>
      </c>
      <c r="L5" s="318" t="s">
        <v>239</v>
      </c>
      <c r="M5" s="318" t="s">
        <v>243</v>
      </c>
      <c r="N5" s="318" t="s">
        <v>244</v>
      </c>
      <c r="O5" s="318" t="s">
        <v>245</v>
      </c>
      <c r="P5" s="318" t="s">
        <v>25</v>
      </c>
      <c r="Q5" s="104">
        <f>C6</f>
        <v>0</v>
      </c>
      <c r="R5" s="107" t="e">
        <f>INDEX($A$6:$C$11,(MATCH(Q5,$C$6:$C$11,(0))),1)</f>
        <v>#N/A</v>
      </c>
      <c r="S5" s="107" t="e">
        <f>INDEX($B$6:$B$11,(MATCH(Q5,$C$6:$C$11,(0))),1)</f>
        <v>#N/A</v>
      </c>
      <c r="T5" s="107" t="e">
        <f t="shared" ref="T5:T10" si="0">IF(Q5="",(""),(INDEX($F$6:$F$11,(MATCH(Q5,$C$6:$C$11,(0))),1)))</f>
        <v>#N/A</v>
      </c>
      <c r="U5" s="107" t="e">
        <f t="shared" ref="U5:U10" si="1">IF(Q5="",(""),(INDEX($G$6:$G$11,(MATCH(Q5,$C$6:$C$11,(0))),1)))</f>
        <v>#N/A</v>
      </c>
      <c r="V5" s="107" t="e">
        <f t="shared" ref="V5:V10" si="2">IF(Q5="",(""),(INDEX($H$6:$H$11,(MATCH(Q5,$C$6:$C$11,(0))),1)))</f>
        <v>#N/A</v>
      </c>
      <c r="W5" s="455" t="e">
        <f t="shared" ref="W5:W10" si="3">INDEX($E$6:$E$11,(MATCH(Q5,$C$6:$C$11,(0))),1)</f>
        <v>#N/A</v>
      </c>
      <c r="X5" s="635" t="s">
        <v>325</v>
      </c>
      <c r="Y5" s="110" cm="1">
        <f t="array" ref="Y5:Y34">_xlfn._xlws.FILTER(Q5:Q52, Q5:Q52&lt;&gt;"")</f>
        <v>0</v>
      </c>
      <c r="Z5" t="e">
        <f>IF(Y5="",(""),(INDEX(R1:R68,MATCH(Y5,Q1:Q68,0))&amp;" "&amp;INDEX(S1:S68,MATCH(Y5,Q1:Q68,0))))</f>
        <v>#N/A</v>
      </c>
      <c r="AA5" s="104" t="e">
        <f t="shared" ref="AA5:AA52" si="4">IF(Y5="",(""),(VLOOKUP(Y5,$Q$5:$V$52,4,(FALSE))))</f>
        <v>#N/A</v>
      </c>
      <c r="AB5" s="106" t="e">
        <f t="shared" ref="AB5:AB52" si="5">IF(Y5="",(""),(VLOOKUP(Y5,$Q$5:$V$52,5,(FALSE))))</f>
        <v>#N/A</v>
      </c>
      <c r="AC5" s="107" t="e">
        <f t="shared" ref="AC5:AC52" si="6">IF(Y5="",(""),(VLOOKUP(Y5,$Q$5:$V$52,6,(FALSE))))</f>
        <v>#N/A</v>
      </c>
      <c r="AD5" s="455" t="e">
        <f>IF(Y5="",(""),(VLOOKUP(Y5,$Q$5:$W$79,7,0)))</f>
        <v>#N/A</v>
      </c>
    </row>
    <row r="6" spans="1:30" x14ac:dyDescent="0.2">
      <c r="A6" s="104"/>
      <c r="B6" s="525"/>
      <c r="C6" s="106"/>
      <c r="D6" s="106"/>
      <c r="E6" s="417"/>
      <c r="F6" s="342"/>
      <c r="G6" s="342">
        <f>F6/5*($C$2-(YEAR(E6))+1)</f>
        <v>0</v>
      </c>
      <c r="H6" s="120" t="str">
        <f>IF(A6="",(""),(IF(F6-G6&lt;1,(0.01),(F6-G6))))</f>
        <v/>
      </c>
      <c r="I6" s="104"/>
      <c r="J6" s="106"/>
      <c r="K6" s="106"/>
      <c r="L6" s="106"/>
      <c r="M6" s="106"/>
      <c r="N6" s="342"/>
      <c r="O6" s="342">
        <f>N6/5*($C$2-(YEAR(M6))+1)</f>
        <v>0</v>
      </c>
      <c r="P6" s="342" t="str">
        <f>IF(I6="",(""),(IF(N6-O6&lt;1,(0.01),(N6-O6))))</f>
        <v/>
      </c>
      <c r="Q6" s="176">
        <f t="shared" ref="Q6:Q10" si="7">C7</f>
        <v>0</v>
      </c>
      <c r="R6" s="107" t="e">
        <f t="shared" ref="R6:R10" si="8">INDEX($A$6:$C$11,(MATCH(Q6,$C$6:$C$11,(0))),1)</f>
        <v>#N/A</v>
      </c>
      <c r="S6" s="107" t="e">
        <f t="shared" ref="S6:S10" si="9">INDEX($B$6:$B$11,(MATCH(Q6,$C$6:$C$11,(0))),1)</f>
        <v>#N/A</v>
      </c>
      <c r="T6" s="107" t="e">
        <f t="shared" si="0"/>
        <v>#N/A</v>
      </c>
      <c r="U6" s="107" t="e">
        <f t="shared" si="1"/>
        <v>#N/A</v>
      </c>
      <c r="V6" s="107" t="e">
        <f t="shared" si="2"/>
        <v>#N/A</v>
      </c>
      <c r="W6" s="455" t="e">
        <f t="shared" si="3"/>
        <v>#N/A</v>
      </c>
      <c r="X6" s="636"/>
      <c r="Y6" s="429">
        <v>0</v>
      </c>
      <c r="Z6" t="e">
        <f t="shared" ref="Z6:Z52" si="10">IF(Y6="",(""),(INDEX(R2:R70,MATCH(Y6,Q2:Q70,0))&amp;" "&amp;INDEX(S2:S70,MATCH(Y6,Q2:Q70,0))))</f>
        <v>#N/A</v>
      </c>
      <c r="AA6" s="176" t="e">
        <f t="shared" si="4"/>
        <v>#N/A</v>
      </c>
      <c r="AB6" t="e">
        <f t="shared" si="5"/>
        <v>#N/A</v>
      </c>
      <c r="AC6" s="141" t="e">
        <f t="shared" si="6"/>
        <v>#N/A</v>
      </c>
      <c r="AD6" s="455" t="e">
        <f t="shared" ref="AD6:AD53" si="11">IF(Y6="",(""),(VLOOKUP(Y6,$Q$5:$W$79,7,0)))</f>
        <v>#N/A</v>
      </c>
    </row>
    <row r="7" spans="1:30" x14ac:dyDescent="0.2">
      <c r="A7" s="176"/>
      <c r="B7" s="526"/>
      <c r="E7" s="63"/>
      <c r="F7" s="90"/>
      <c r="G7" s="342">
        <f t="shared" ref="G7:G11" si="12">F7/5*($C$2-(YEAR(E7))+1)</f>
        <v>0</v>
      </c>
      <c r="H7" s="181" t="str">
        <f t="shared" ref="H7:H11" si="13">IF(A7="",(""),(IF(F7-G7&lt;1,(0.01),(F7-G7))))</f>
        <v/>
      </c>
      <c r="I7" s="176"/>
      <c r="N7" s="90"/>
      <c r="O7" s="342">
        <f t="shared" ref="O7:O11" si="14">N7/5*($C$2-(YEAR(M7))+1)</f>
        <v>0</v>
      </c>
      <c r="P7" s="90" t="str">
        <f t="shared" ref="P7:P11" si="15">IF(I7="",(""),(IF(N7-O7&lt;1,(0.01),(N7-O7))))</f>
        <v/>
      </c>
      <c r="Q7" s="176">
        <f t="shared" si="7"/>
        <v>0</v>
      </c>
      <c r="R7" s="107" t="e">
        <f t="shared" si="8"/>
        <v>#N/A</v>
      </c>
      <c r="S7" s="107" t="e">
        <f t="shared" si="9"/>
        <v>#N/A</v>
      </c>
      <c r="T7" s="107" t="e">
        <f t="shared" si="0"/>
        <v>#N/A</v>
      </c>
      <c r="U7" s="107" t="e">
        <f t="shared" si="1"/>
        <v>#N/A</v>
      </c>
      <c r="V7" s="107" t="e">
        <f t="shared" si="2"/>
        <v>#N/A</v>
      </c>
      <c r="W7" s="455" t="e">
        <f t="shared" si="3"/>
        <v>#N/A</v>
      </c>
      <c r="X7" s="636"/>
      <c r="Y7" s="429">
        <v>0</v>
      </c>
      <c r="Z7" t="e">
        <f t="shared" si="10"/>
        <v>#N/A</v>
      </c>
      <c r="AA7" s="176" t="e">
        <f t="shared" si="4"/>
        <v>#N/A</v>
      </c>
      <c r="AB7" t="e">
        <f t="shared" si="5"/>
        <v>#N/A</v>
      </c>
      <c r="AC7" s="141" t="e">
        <f t="shared" si="6"/>
        <v>#N/A</v>
      </c>
      <c r="AD7" s="455" t="e">
        <f t="shared" si="11"/>
        <v>#N/A</v>
      </c>
    </row>
    <row r="8" spans="1:30" x14ac:dyDescent="0.2">
      <c r="A8" s="176"/>
      <c r="F8" s="90"/>
      <c r="G8" s="342">
        <f t="shared" si="12"/>
        <v>0</v>
      </c>
      <c r="H8" s="181" t="str">
        <f t="shared" si="13"/>
        <v/>
      </c>
      <c r="I8" s="176"/>
      <c r="N8" s="90"/>
      <c r="O8" s="342">
        <f t="shared" si="14"/>
        <v>0</v>
      </c>
      <c r="P8" s="90" t="str">
        <f t="shared" si="15"/>
        <v/>
      </c>
      <c r="Q8" s="176">
        <f t="shared" si="7"/>
        <v>0</v>
      </c>
      <c r="R8" s="107" t="e">
        <f t="shared" si="8"/>
        <v>#N/A</v>
      </c>
      <c r="S8" s="107" t="e">
        <f t="shared" si="9"/>
        <v>#N/A</v>
      </c>
      <c r="T8" s="107" t="e">
        <f t="shared" si="0"/>
        <v>#N/A</v>
      </c>
      <c r="U8" s="107" t="e">
        <f t="shared" si="1"/>
        <v>#N/A</v>
      </c>
      <c r="V8" s="107" t="e">
        <f t="shared" si="2"/>
        <v>#N/A</v>
      </c>
      <c r="W8" s="455" t="e">
        <f t="shared" si="3"/>
        <v>#N/A</v>
      </c>
      <c r="X8" s="636"/>
      <c r="Y8" s="429">
        <v>0</v>
      </c>
      <c r="Z8" t="e">
        <f t="shared" si="10"/>
        <v>#N/A</v>
      </c>
      <c r="AA8" s="176" t="e">
        <f t="shared" si="4"/>
        <v>#N/A</v>
      </c>
      <c r="AB8" t="e">
        <f t="shared" si="5"/>
        <v>#N/A</v>
      </c>
      <c r="AC8" s="141" t="e">
        <f t="shared" si="6"/>
        <v>#N/A</v>
      </c>
      <c r="AD8" s="455" t="e">
        <f t="shared" si="11"/>
        <v>#N/A</v>
      </c>
    </row>
    <row r="9" spans="1:30" x14ac:dyDescent="0.2">
      <c r="A9" s="176"/>
      <c r="F9" s="90"/>
      <c r="G9" s="342">
        <f t="shared" si="12"/>
        <v>0</v>
      </c>
      <c r="H9" s="181" t="str">
        <f t="shared" si="13"/>
        <v/>
      </c>
      <c r="I9" s="176"/>
      <c r="N9" s="90"/>
      <c r="O9" s="342">
        <f t="shared" si="14"/>
        <v>0</v>
      </c>
      <c r="P9" s="90" t="str">
        <f t="shared" si="15"/>
        <v/>
      </c>
      <c r="Q9" s="176">
        <f t="shared" si="7"/>
        <v>0</v>
      </c>
      <c r="R9" s="107" t="e">
        <f t="shared" si="8"/>
        <v>#N/A</v>
      </c>
      <c r="S9" s="107" t="e">
        <f t="shared" si="9"/>
        <v>#N/A</v>
      </c>
      <c r="T9" s="107" t="e">
        <f t="shared" si="0"/>
        <v>#N/A</v>
      </c>
      <c r="U9" s="107" t="e">
        <f t="shared" si="1"/>
        <v>#N/A</v>
      </c>
      <c r="V9" s="107" t="e">
        <f t="shared" si="2"/>
        <v>#N/A</v>
      </c>
      <c r="W9" s="455" t="e">
        <f t="shared" si="3"/>
        <v>#N/A</v>
      </c>
      <c r="X9" s="636"/>
      <c r="Y9" s="429">
        <v>0</v>
      </c>
      <c r="Z9" t="e">
        <f t="shared" si="10"/>
        <v>#N/A</v>
      </c>
      <c r="AA9" s="176" t="e">
        <f t="shared" si="4"/>
        <v>#N/A</v>
      </c>
      <c r="AB9" t="e">
        <f t="shared" si="5"/>
        <v>#N/A</v>
      </c>
      <c r="AC9" s="141" t="e">
        <f t="shared" si="6"/>
        <v>#N/A</v>
      </c>
      <c r="AD9" s="455" t="e">
        <f t="shared" si="11"/>
        <v>#N/A</v>
      </c>
    </row>
    <row r="10" spans="1:30" x14ac:dyDescent="0.2">
      <c r="A10" s="176"/>
      <c r="F10" s="90"/>
      <c r="G10" s="342">
        <f t="shared" si="12"/>
        <v>0</v>
      </c>
      <c r="H10" s="181" t="str">
        <f t="shared" si="13"/>
        <v/>
      </c>
      <c r="I10" s="176"/>
      <c r="N10" s="90"/>
      <c r="O10" s="342">
        <f t="shared" si="14"/>
        <v>0</v>
      </c>
      <c r="P10" s="90" t="str">
        <f t="shared" si="15"/>
        <v/>
      </c>
      <c r="Q10" s="176">
        <f t="shared" si="7"/>
        <v>0</v>
      </c>
      <c r="R10" s="107" t="e">
        <f t="shared" si="8"/>
        <v>#N/A</v>
      </c>
      <c r="S10" s="107" t="e">
        <f t="shared" si="9"/>
        <v>#N/A</v>
      </c>
      <c r="T10" s="107" t="e">
        <f t="shared" si="0"/>
        <v>#N/A</v>
      </c>
      <c r="U10" s="107" t="e">
        <f t="shared" si="1"/>
        <v>#N/A</v>
      </c>
      <c r="V10" s="107" t="e">
        <f t="shared" si="2"/>
        <v>#N/A</v>
      </c>
      <c r="W10" s="455" t="e">
        <f t="shared" si="3"/>
        <v>#N/A</v>
      </c>
      <c r="X10" s="636"/>
      <c r="Y10" s="429">
        <v>0</v>
      </c>
      <c r="Z10" t="e">
        <f t="shared" si="10"/>
        <v>#N/A</v>
      </c>
      <c r="AA10" s="176" t="e">
        <f t="shared" si="4"/>
        <v>#N/A</v>
      </c>
      <c r="AB10" t="e">
        <f t="shared" si="5"/>
        <v>#N/A</v>
      </c>
      <c r="AC10" s="141" t="e">
        <f t="shared" si="6"/>
        <v>#N/A</v>
      </c>
      <c r="AD10" s="455" t="e">
        <f t="shared" si="11"/>
        <v>#N/A</v>
      </c>
    </row>
    <row r="11" spans="1:30" x14ac:dyDescent="0.2">
      <c r="A11" s="103"/>
      <c r="B11" s="144"/>
      <c r="C11" s="144"/>
      <c r="D11" s="144"/>
      <c r="E11" s="144"/>
      <c r="F11" s="315"/>
      <c r="G11" s="342">
        <f t="shared" si="12"/>
        <v>0</v>
      </c>
      <c r="H11" s="334" t="str">
        <f t="shared" si="13"/>
        <v/>
      </c>
      <c r="I11" s="103"/>
      <c r="J11" s="144"/>
      <c r="K11" s="144"/>
      <c r="L11" s="144"/>
      <c r="M11" s="144"/>
      <c r="N11" s="315"/>
      <c r="O11" s="342">
        <f t="shared" si="14"/>
        <v>0</v>
      </c>
      <c r="P11" s="315" t="str">
        <f t="shared" si="15"/>
        <v/>
      </c>
      <c r="Q11" s="176">
        <f>K6</f>
        <v>0</v>
      </c>
      <c r="R11" s="141" t="e">
        <f>IF(Q11="",(""),(INDEX($I$6:$K$11,(MATCH(Q11,$I$6:$K$11,(0))),1)))</f>
        <v>#N/A</v>
      </c>
      <c r="S11" s="141" t="e">
        <f>IF(R11="",(""),(INDEX($J$6:$J$11,(MATCH(R11,$I$6:$K$11,(0))),1)))</f>
        <v>#N/A</v>
      </c>
      <c r="T11" s="107" t="e">
        <f t="shared" ref="T11:T16" si="16">INDEX($N$6:$N$11,(MATCH(Q11,$C$6:$C$11,(0))),1)</f>
        <v>#N/A</v>
      </c>
      <c r="U11" s="141" t="e">
        <f>IF(T11="",(""),(INDEX($O$6:$O$11,(MATCH(Q11,$I$6:$K$11,(0))),1)))</f>
        <v>#N/A</v>
      </c>
      <c r="V11" s="141" t="e">
        <f>IF(U11="",(""),(INDEX($P$6:$P$11,(MATCH(Q11,$I$6:$K$11,(0))),1)))</f>
        <v>#N/A</v>
      </c>
      <c r="W11" s="376" t="e">
        <f t="shared" ref="W11:W16" si="17">IF(Q11="",(""),(INDEX($M$6:$M$11,(MATCH(Q11,$I$6:$K$11,(0))),1)))</f>
        <v>#N/A</v>
      </c>
      <c r="X11" s="636"/>
      <c r="Y11" s="429">
        <v>0</v>
      </c>
      <c r="Z11" t="e">
        <f t="shared" si="10"/>
        <v>#N/A</v>
      </c>
      <c r="AA11" s="176" t="e">
        <f t="shared" si="4"/>
        <v>#N/A</v>
      </c>
      <c r="AB11" t="e">
        <f t="shared" si="5"/>
        <v>#N/A</v>
      </c>
      <c r="AC11" s="141" t="e">
        <f t="shared" si="6"/>
        <v>#N/A</v>
      </c>
      <c r="AD11" s="455" t="e">
        <f t="shared" si="11"/>
        <v>#N/A</v>
      </c>
    </row>
    <row r="12" spans="1:30" ht="18" x14ac:dyDescent="0.25">
      <c r="A12" s="630" t="s">
        <v>15</v>
      </c>
      <c r="B12" s="631"/>
      <c r="C12" s="631"/>
      <c r="D12" s="631"/>
      <c r="E12" s="631"/>
      <c r="F12" s="631"/>
      <c r="G12" s="631"/>
      <c r="H12" s="631"/>
      <c r="I12" s="631"/>
      <c r="J12" s="631"/>
      <c r="K12" s="631"/>
      <c r="L12" s="631"/>
      <c r="M12" s="631"/>
      <c r="N12" s="631"/>
      <c r="O12" s="631"/>
      <c r="P12" s="631"/>
      <c r="Q12" s="176">
        <f t="shared" ref="Q12:Q16" si="18">K7</f>
        <v>0</v>
      </c>
      <c r="R12" s="141" t="e">
        <f t="shared" ref="R12:R16" si="19">IF(Q12="",(""),(INDEX($I$6:$K$11,(MATCH(Q12,$I$6:$K$11,(0))),1)))</f>
        <v>#N/A</v>
      </c>
      <c r="S12" s="141" t="e">
        <f t="shared" ref="S12:S16" si="20">IF(R12="",(""),(INDEX($J$6:$J$11,(MATCH(R12,$I$6:$K$11,(0))),1)))</f>
        <v>#N/A</v>
      </c>
      <c r="T12" s="107" t="e">
        <f t="shared" si="16"/>
        <v>#N/A</v>
      </c>
      <c r="U12" s="141" t="e">
        <f t="shared" ref="U12" si="21">IF(T12="",(""),(INDEX($I$6:$K$11,(MATCH(T12,$I$6:$K$11,(0))),1)))</f>
        <v>#N/A</v>
      </c>
      <c r="V12" s="141" t="e">
        <f>IF(U12="",(""),(INDEX($I$6:$K$11,(MATCH(U12,$I$6:$K$11,(0))),1)))</f>
        <v>#N/A</v>
      </c>
      <c r="W12" s="376" t="e">
        <f t="shared" si="17"/>
        <v>#N/A</v>
      </c>
      <c r="X12" s="636"/>
      <c r="Y12" s="429">
        <v>0</v>
      </c>
      <c r="Z12" t="e">
        <f t="shared" si="10"/>
        <v>#N/A</v>
      </c>
      <c r="AA12" s="176" t="e">
        <f t="shared" si="4"/>
        <v>#N/A</v>
      </c>
      <c r="AB12" t="e">
        <f t="shared" si="5"/>
        <v>#N/A</v>
      </c>
      <c r="AC12" s="141" t="e">
        <f t="shared" si="6"/>
        <v>#N/A</v>
      </c>
      <c r="AD12" s="455" t="e">
        <f t="shared" si="11"/>
        <v>#N/A</v>
      </c>
    </row>
    <row r="13" spans="1:30" x14ac:dyDescent="0.2">
      <c r="A13" s="317" t="s">
        <v>170</v>
      </c>
      <c r="B13" s="317" t="s">
        <v>323</v>
      </c>
      <c r="C13" s="317" t="s">
        <v>324</v>
      </c>
      <c r="D13" s="317" t="s">
        <v>249</v>
      </c>
      <c r="E13" s="317" t="s">
        <v>250</v>
      </c>
      <c r="F13" s="317" t="s">
        <v>244</v>
      </c>
      <c r="G13" s="317" t="s">
        <v>243</v>
      </c>
      <c r="H13" s="317" t="s">
        <v>25</v>
      </c>
      <c r="I13" s="317" t="s">
        <v>170</v>
      </c>
      <c r="J13" s="317" t="s">
        <v>323</v>
      </c>
      <c r="K13" s="317" t="s">
        <v>324</v>
      </c>
      <c r="L13" s="317" t="s">
        <v>249</v>
      </c>
      <c r="M13" s="317" t="s">
        <v>250</v>
      </c>
      <c r="N13" s="317" t="s">
        <v>244</v>
      </c>
      <c r="O13" s="317" t="s">
        <v>243</v>
      </c>
      <c r="P13" s="317" t="s">
        <v>25</v>
      </c>
      <c r="Q13" s="176">
        <f t="shared" si="18"/>
        <v>0</v>
      </c>
      <c r="R13" s="141" t="e">
        <f t="shared" si="19"/>
        <v>#N/A</v>
      </c>
      <c r="S13" s="141" t="e">
        <f t="shared" si="20"/>
        <v>#N/A</v>
      </c>
      <c r="T13" s="107" t="e">
        <f t="shared" si="16"/>
        <v>#N/A</v>
      </c>
      <c r="U13" s="141" t="e">
        <f t="shared" ref="U13" si="22">IF(T13="",(""),(INDEX($I$6:$K$11,(MATCH(T13,$I$6:$K$11,(0))),1)))</f>
        <v>#N/A</v>
      </c>
      <c r="V13" s="141" t="e">
        <f>IF(U13="",(""),(INDEX($I$6:$K$11,(MATCH(U13,$I$6:$K$11,(0))),1)))</f>
        <v>#N/A</v>
      </c>
      <c r="W13" s="376" t="e">
        <f t="shared" si="17"/>
        <v>#N/A</v>
      </c>
      <c r="X13" s="636"/>
      <c r="Y13" s="429">
        <v>0</v>
      </c>
      <c r="Z13" t="e">
        <f t="shared" si="10"/>
        <v>#N/A</v>
      </c>
      <c r="AA13" s="176" t="e">
        <f t="shared" si="4"/>
        <v>#N/A</v>
      </c>
      <c r="AB13" t="e">
        <f t="shared" si="5"/>
        <v>#N/A</v>
      </c>
      <c r="AC13" s="141" t="e">
        <f t="shared" si="6"/>
        <v>#N/A</v>
      </c>
      <c r="AD13" s="455" t="e">
        <f t="shared" si="11"/>
        <v>#N/A</v>
      </c>
    </row>
    <row r="14" spans="1:30" x14ac:dyDescent="0.2">
      <c r="A14" s="176"/>
      <c r="F14" s="90"/>
      <c r="G14" s="63"/>
      <c r="H14" s="90" t="str">
        <f>IF(A14="",(""),IF(A14="Urbano Edif",(IF(G14-(F14/50*($C$2-(YEAR(G14)-1)))&lt;1,(0.01),((F14-(F14/50*($C$2-(YEAR(G14)-1))))))),(F14)))</f>
        <v/>
      </c>
      <c r="I14" s="176"/>
      <c r="N14" s="90"/>
      <c r="O14" s="63"/>
      <c r="P14" s="90" t="str">
        <f>IF(I14="",(""),IF(I14="Urbano Edif",(IF(O14-(N14/50*($C$2-(YEAR(O14)-1)))&lt;1,(0.01),((N14-(N14/50*($C$2-(YEAR(O14)-1))))))),(N14)))</f>
        <v/>
      </c>
      <c r="Q14" s="176">
        <f t="shared" si="18"/>
        <v>0</v>
      </c>
      <c r="R14" s="141" t="e">
        <f t="shared" si="19"/>
        <v>#N/A</v>
      </c>
      <c r="S14" s="141" t="e">
        <f t="shared" si="20"/>
        <v>#N/A</v>
      </c>
      <c r="T14" s="107" t="e">
        <f t="shared" si="16"/>
        <v>#N/A</v>
      </c>
      <c r="U14" s="141" t="e">
        <f t="shared" ref="U14" si="23">IF(T14="",(""),(INDEX($I$6:$K$11,(MATCH(T14,$I$6:$K$11,(0))),1)))</f>
        <v>#N/A</v>
      </c>
      <c r="V14" s="141" t="e">
        <f>IF(U14="",(""),(INDEX($I$6:$K$11,(MATCH(U14,$I$6:$K$11,(0))),1)))</f>
        <v>#N/A</v>
      </c>
      <c r="W14" s="376" t="e">
        <f t="shared" si="17"/>
        <v>#N/A</v>
      </c>
      <c r="X14" s="636"/>
      <c r="Y14" s="429">
        <v>0</v>
      </c>
      <c r="Z14" t="e">
        <f t="shared" si="10"/>
        <v>#N/A</v>
      </c>
      <c r="AA14" s="176" t="e">
        <f t="shared" si="4"/>
        <v>#N/A</v>
      </c>
      <c r="AB14" t="e">
        <f t="shared" si="5"/>
        <v>#N/A</v>
      </c>
      <c r="AC14" s="141" t="e">
        <f t="shared" si="6"/>
        <v>#N/A</v>
      </c>
      <c r="AD14" s="455" t="e">
        <f t="shared" si="11"/>
        <v>#N/A</v>
      </c>
    </row>
    <row r="15" spans="1:30" x14ac:dyDescent="0.2">
      <c r="A15" s="176"/>
      <c r="F15" s="90"/>
      <c r="H15" s="90" t="str">
        <f t="shared" ref="H15:H16" si="24">IF(A15="",(""),IF(A15="Urbano Edif",(IF(G15-(F15/50*($C$2-(YEAR(G15)-1)))&lt;1,(0.01),((F15-(F15/50*($C$2-(YEAR(G15)-1))))))),(F15)))</f>
        <v/>
      </c>
      <c r="I15" s="176"/>
      <c r="N15" s="90"/>
      <c r="P15" s="90" t="str">
        <f t="shared" ref="P15:P16" si="25">IF(I15="",(""),IF(I15="Urbano Edif",(IF(O15-(N15/50*($C$2-(YEAR(O15)-1)))&lt;1,(0.01),((N15-(N15/50*($C$2-(YEAR(O15)-1))))))),(N15)))</f>
        <v/>
      </c>
      <c r="Q15" s="176">
        <f t="shared" si="18"/>
        <v>0</v>
      </c>
      <c r="R15" s="141" t="e">
        <f t="shared" si="19"/>
        <v>#N/A</v>
      </c>
      <c r="S15" s="141" t="e">
        <f t="shared" si="20"/>
        <v>#N/A</v>
      </c>
      <c r="T15" s="107" t="e">
        <f t="shared" si="16"/>
        <v>#N/A</v>
      </c>
      <c r="U15" s="141" t="e">
        <f t="shared" ref="U15" si="26">IF(T15="",(""),(INDEX($I$6:$K$11,(MATCH(T15,$I$6:$K$11,(0))),1)))</f>
        <v>#N/A</v>
      </c>
      <c r="V15" s="141" t="e">
        <f>IF(U15="",(""),(INDEX($I$6:$K$11,(MATCH(U15,$I$6:$K$11,(0))),1)))</f>
        <v>#N/A</v>
      </c>
      <c r="W15" s="376" t="e">
        <f t="shared" si="17"/>
        <v>#N/A</v>
      </c>
      <c r="X15" s="636"/>
      <c r="Y15" s="429">
        <v>0</v>
      </c>
      <c r="Z15" t="e">
        <f t="shared" si="10"/>
        <v>#N/A</v>
      </c>
      <c r="AA15" s="176" t="e">
        <f t="shared" si="4"/>
        <v>#N/A</v>
      </c>
      <c r="AB15" t="e">
        <f t="shared" si="5"/>
        <v>#N/A</v>
      </c>
      <c r="AC15" s="141" t="e">
        <f t="shared" si="6"/>
        <v>#N/A</v>
      </c>
      <c r="AD15" s="455" t="e">
        <f t="shared" si="11"/>
        <v>#N/A</v>
      </c>
    </row>
    <row r="16" spans="1:30" x14ac:dyDescent="0.2">
      <c r="A16" s="176"/>
      <c r="F16" s="90"/>
      <c r="H16" s="90" t="str">
        <f t="shared" si="24"/>
        <v/>
      </c>
      <c r="I16" s="176"/>
      <c r="N16" s="90"/>
      <c r="P16" s="90" t="str">
        <f t="shared" si="25"/>
        <v/>
      </c>
      <c r="Q16" s="103">
        <f t="shared" si="18"/>
        <v>0</v>
      </c>
      <c r="R16" s="141" t="e">
        <f t="shared" si="19"/>
        <v>#N/A</v>
      </c>
      <c r="S16" s="141" t="e">
        <f t="shared" si="20"/>
        <v>#N/A</v>
      </c>
      <c r="T16" s="107" t="e">
        <f t="shared" si="16"/>
        <v>#N/A</v>
      </c>
      <c r="U16" s="141" t="e">
        <f t="shared" ref="U16" si="27">IF(T16="",(""),(INDEX($I$6:$K$11,(MATCH(T16,$I$6:$K$11,(0))),1)))</f>
        <v>#N/A</v>
      </c>
      <c r="V16" s="141" t="e">
        <f>IF(U16="",(""),(INDEX($I$6:$K$11,(MATCH(U16,$I$6:$K$11,(0))),1)))</f>
        <v>#N/A</v>
      </c>
      <c r="W16" s="376" t="e">
        <f t="shared" si="17"/>
        <v>#N/A</v>
      </c>
      <c r="X16" s="637"/>
      <c r="Y16" s="429">
        <v>0</v>
      </c>
      <c r="Z16" t="e">
        <f t="shared" si="10"/>
        <v>#N/A</v>
      </c>
      <c r="AA16" s="176" t="e">
        <f t="shared" si="4"/>
        <v>#N/A</v>
      </c>
      <c r="AB16" t="e">
        <f t="shared" si="5"/>
        <v>#N/A</v>
      </c>
      <c r="AC16" s="141" t="e">
        <f t="shared" si="6"/>
        <v>#N/A</v>
      </c>
      <c r="AD16" s="455" t="e">
        <f t="shared" si="11"/>
        <v>#N/A</v>
      </c>
    </row>
    <row r="17" spans="1:30" ht="18" x14ac:dyDescent="0.25">
      <c r="A17" s="627" t="s">
        <v>247</v>
      </c>
      <c r="B17" s="628"/>
      <c r="C17" s="628"/>
      <c r="D17" s="628"/>
      <c r="E17" s="628"/>
      <c r="F17" s="628"/>
      <c r="G17" s="628"/>
      <c r="H17" s="628"/>
      <c r="I17" s="628"/>
      <c r="J17" s="628"/>
      <c r="K17" s="628"/>
      <c r="L17" s="628"/>
      <c r="M17" s="628"/>
      <c r="N17" s="628"/>
      <c r="O17" s="628"/>
      <c r="P17" s="628"/>
      <c r="Q17" s="104" t="str">
        <f>IF(A14="",(""),(C14))</f>
        <v/>
      </c>
      <c r="R17" s="107" t="str">
        <f>IF(Q17="",(""),(INDEX($A$14:$C$16,(MATCH(Q17,$C$14:$C$16,(0))),(1))))</f>
        <v/>
      </c>
      <c r="S17" s="107" t="str">
        <f>IF(Q17="",(""),(INDEX($A$14:$C$16,(MATCH(Q17,$C$14:$C$16,(0))),(2))))</f>
        <v/>
      </c>
      <c r="T17" s="107" t="str">
        <f>IF(Q17="",(""),(INDEX($F$14:$F$16,(MATCH(Q17,$C$14:$C$16,(0))),(1))))</f>
        <v/>
      </c>
      <c r="U17" s="107" t="str">
        <f t="shared" ref="U17:U49" si="28">IF(Q17="",(""),(T17-V17))</f>
        <v/>
      </c>
      <c r="V17" s="107" t="str">
        <f>IF(Q17="",(""),(INDEX($H$14:$H$16,(MATCH(Q17,$C$14:$C$16,(0))),(1))))</f>
        <v/>
      </c>
      <c r="W17" s="455" t="str">
        <f>IF(Q17="",(""),(INDEX($A$14:$C$16,(MATCH(Q17,$G$14:$G$16,(0))),(2))))</f>
        <v/>
      </c>
      <c r="X17" s="635" t="s">
        <v>326</v>
      </c>
      <c r="Y17" s="429">
        <v>0</v>
      </c>
      <c r="Z17" t="e">
        <f t="shared" si="10"/>
        <v>#N/A</v>
      </c>
      <c r="AA17" s="176" t="e">
        <f t="shared" si="4"/>
        <v>#N/A</v>
      </c>
      <c r="AB17" t="e">
        <f t="shared" si="5"/>
        <v>#N/A</v>
      </c>
      <c r="AC17" s="141" t="e">
        <f t="shared" si="6"/>
        <v>#N/A</v>
      </c>
      <c r="AD17" s="455" t="e">
        <f t="shared" si="11"/>
        <v>#N/A</v>
      </c>
    </row>
    <row r="18" spans="1:30" x14ac:dyDescent="0.2">
      <c r="A18" s="317" t="s">
        <v>170</v>
      </c>
      <c r="B18" s="318" t="s">
        <v>321</v>
      </c>
      <c r="C18" s="318" t="s">
        <v>322</v>
      </c>
      <c r="D18" s="318" t="s">
        <v>239</v>
      </c>
      <c r="E18" s="318" t="s">
        <v>243</v>
      </c>
      <c r="F18" s="318" t="s">
        <v>244</v>
      </c>
      <c r="G18" s="318" t="s">
        <v>245</v>
      </c>
      <c r="H18" s="319" t="s">
        <v>25</v>
      </c>
      <c r="I18" s="317" t="s">
        <v>170</v>
      </c>
      <c r="J18" s="318" t="s">
        <v>321</v>
      </c>
      <c r="K18" s="318" t="s">
        <v>322</v>
      </c>
      <c r="L18" s="318" t="s">
        <v>239</v>
      </c>
      <c r="M18" s="318" t="s">
        <v>243</v>
      </c>
      <c r="N18" s="318" t="s">
        <v>244</v>
      </c>
      <c r="O18" s="318" t="s">
        <v>245</v>
      </c>
      <c r="P18" s="318" t="s">
        <v>25</v>
      </c>
      <c r="Q18" s="104" t="str">
        <f t="shared" ref="Q18:Q19" si="29">IF(A15="",(""),(C15))</f>
        <v/>
      </c>
      <c r="R18" s="107" t="str">
        <f t="shared" ref="R18" si="30">IF(Q18="",(""),(INDEX($A$14:$C$16,(MATCH(Q18,$C$14:$C$16,(0))),(1))))</f>
        <v/>
      </c>
      <c r="S18" s="107" t="str">
        <f t="shared" ref="S18:S19" si="31">IF(Q18="",(""),(INDEX($A$14:$C$16,(MATCH(Q18,$C$14:$C$16,(0))),(2))))</f>
        <v/>
      </c>
      <c r="T18" s="107" t="str">
        <f t="shared" ref="T18:T19" si="32">IF(Q18="",(""),(INDEX($F$14:$F$16,(MATCH(Q18,$C$14:$C$16,(0))),(1))))</f>
        <v/>
      </c>
      <c r="U18" s="107" t="str">
        <f t="shared" si="28"/>
        <v/>
      </c>
      <c r="V18" s="107" t="str">
        <f>IF(Q18="",(""),(INDEX($H$14:$H$16,(MATCH(Q18,$C$14:$C$16,(0))),(1))))</f>
        <v/>
      </c>
      <c r="W18" s="455" t="str">
        <f>IF(Q18="",(""),(INDEX($A$14:$C$16,(MATCH(Q18,$G$14:$G$16,(0))),(2))))</f>
        <v/>
      </c>
      <c r="X18" s="636"/>
      <c r="Y18" s="429">
        <v>0</v>
      </c>
      <c r="Z18" t="e">
        <f t="shared" si="10"/>
        <v>#N/A</v>
      </c>
      <c r="AA18" s="176" t="e">
        <f t="shared" si="4"/>
        <v>#N/A</v>
      </c>
      <c r="AB18" t="e">
        <f t="shared" si="5"/>
        <v>#N/A</v>
      </c>
      <c r="AC18" s="141" t="e">
        <f t="shared" si="6"/>
        <v>#N/A</v>
      </c>
      <c r="AD18" s="455" t="e">
        <f t="shared" si="11"/>
        <v>#N/A</v>
      </c>
    </row>
    <row r="19" spans="1:30" x14ac:dyDescent="0.2">
      <c r="A19" s="104"/>
      <c r="B19" s="525"/>
      <c r="C19" s="106"/>
      <c r="D19" s="106"/>
      <c r="E19" s="417"/>
      <c r="F19" s="342"/>
      <c r="G19" s="342">
        <f>F19/10*($C$2-(YEAR(E19))+1)</f>
        <v>0</v>
      </c>
      <c r="H19" s="120" t="str">
        <f>IF(A19="",(""),(IF(F19-G19&lt;1,(0.01),(F19-G19))))</f>
        <v/>
      </c>
      <c r="I19" s="104"/>
      <c r="J19" s="106"/>
      <c r="K19" s="106"/>
      <c r="L19" s="106"/>
      <c r="M19" s="342"/>
      <c r="N19" s="342"/>
      <c r="O19" s="342">
        <f>N19/10*($C$2-(YEAR(M19))+1)</f>
        <v>0</v>
      </c>
      <c r="P19" s="120" t="str">
        <f>IF(I19="",(""),(IF(N19-O19&lt;1,(0.01),(N19-O19))))</f>
        <v/>
      </c>
      <c r="Q19" s="104" t="str">
        <f t="shared" si="29"/>
        <v/>
      </c>
      <c r="R19" s="107" t="str">
        <f>IF(Q19="",(""),(INDEX($A$14:$C$16,(MATCH(Q19,$C$14:$C$16,(0))),(1))))</f>
        <v/>
      </c>
      <c r="S19" s="107" t="str">
        <f t="shared" si="31"/>
        <v/>
      </c>
      <c r="T19" s="107" t="str">
        <f t="shared" si="32"/>
        <v/>
      </c>
      <c r="U19" s="107" t="str">
        <f t="shared" si="28"/>
        <v/>
      </c>
      <c r="V19" s="107" t="str">
        <f>IF(Q19="",(""),(INDEX($H$14:$H$16,(MATCH(Q19,$C$14:$C$16,(0))),(1))))</f>
        <v/>
      </c>
      <c r="W19" s="455" t="str">
        <f>IF(Q19="",(""),(INDEX($A$14:$C$16,(MATCH(Q19,$G$14:$G$16,(0))),(2))))</f>
        <v/>
      </c>
      <c r="X19" s="636"/>
      <c r="Y19" s="429">
        <v>0</v>
      </c>
      <c r="Z19" t="e">
        <f t="shared" si="10"/>
        <v>#N/A</v>
      </c>
      <c r="AA19" s="176" t="e">
        <f t="shared" si="4"/>
        <v>#N/A</v>
      </c>
      <c r="AB19" t="e">
        <f t="shared" si="5"/>
        <v>#N/A</v>
      </c>
      <c r="AC19" s="141" t="e">
        <f t="shared" si="6"/>
        <v>#N/A</v>
      </c>
      <c r="AD19" s="455" t="e">
        <f t="shared" si="11"/>
        <v>#N/A</v>
      </c>
    </row>
    <row r="20" spans="1:30" x14ac:dyDescent="0.2">
      <c r="A20" s="104"/>
      <c r="F20" s="90"/>
      <c r="G20" s="342">
        <f>F20/10*($C$2-(YEAR(E20))+1)</f>
        <v>0</v>
      </c>
      <c r="H20" s="181" t="str">
        <f t="shared" ref="H20:H21" si="33">IF(A20="",(""),(IF(F20-G20&lt;1,(0.01),(F20-G20))))</f>
        <v/>
      </c>
      <c r="I20" s="104"/>
      <c r="K20" s="106"/>
      <c r="M20" s="90"/>
      <c r="N20" s="90"/>
      <c r="O20" s="342">
        <f>N20/10*($C$2-(YEAR(M20))+1)</f>
        <v>0</v>
      </c>
      <c r="P20" s="181" t="str">
        <f t="shared" ref="P20:P21" si="34">IF(I20="",(""),(IF(N20-O20&lt;1,(0.01),(N20-O20))))</f>
        <v/>
      </c>
      <c r="Q20" s="176" t="str">
        <f>IF(I14="",(""),(K14))</f>
        <v/>
      </c>
      <c r="R20" s="107" t="str">
        <f>IF(Q20="",(""),(INDEX($I$14:$K$16,(MATCH(Q20,$K$14:$K$16,(0))),(1))))</f>
        <v/>
      </c>
      <c r="S20" s="107" t="str">
        <f>IF(Q20="",(""),(INDEX($I$14:$K$16,(MATCH(Q20,$K$14:$K$16,(0))),(2))))</f>
        <v/>
      </c>
      <c r="T20" s="107" t="str">
        <f>IF(Q20="",(""),(INDEX($N$14:$N$16,(MATCH(Q20,$K$14:$K$16,(0))),(1))))</f>
        <v/>
      </c>
      <c r="U20" s="107" t="str">
        <f t="shared" si="28"/>
        <v/>
      </c>
      <c r="V20" s="107" t="str">
        <f>IF(Q20="",(""),(INDEX($P$14:$P$16,(MATCH(Q20,$K$14:$K$16,(0))),(1))))</f>
        <v/>
      </c>
      <c r="W20" s="455" t="str">
        <f>IF(Q20="",(""),(INDEX($I$14:$K$16,(MATCH(Q20,$O$14:$O$16,(0))),(2))))</f>
        <v/>
      </c>
      <c r="X20" s="636"/>
      <c r="Y20" s="429">
        <v>0</v>
      </c>
      <c r="Z20" t="e">
        <f t="shared" si="10"/>
        <v>#N/A</v>
      </c>
      <c r="AA20" s="176" t="e">
        <f t="shared" si="4"/>
        <v>#N/A</v>
      </c>
      <c r="AB20" t="e">
        <f t="shared" si="5"/>
        <v>#N/A</v>
      </c>
      <c r="AC20" s="141" t="e">
        <f t="shared" si="6"/>
        <v>#N/A</v>
      </c>
      <c r="AD20" s="455" t="e">
        <f t="shared" si="11"/>
        <v>#N/A</v>
      </c>
    </row>
    <row r="21" spans="1:30" x14ac:dyDescent="0.2">
      <c r="A21" s="104"/>
      <c r="F21" s="90"/>
      <c r="G21" s="342">
        <f>F21/10*($C$2-(YEAR(E21))+1)</f>
        <v>0</v>
      </c>
      <c r="H21" s="181" t="str">
        <f t="shared" si="33"/>
        <v/>
      </c>
      <c r="I21" s="104"/>
      <c r="K21" s="106"/>
      <c r="M21" s="90"/>
      <c r="N21" s="90"/>
      <c r="O21" s="342">
        <f>N21/10*($C$2-(YEAR(M21))+1)</f>
        <v>0</v>
      </c>
      <c r="P21" s="181" t="str">
        <f t="shared" si="34"/>
        <v/>
      </c>
      <c r="Q21" s="176" t="str">
        <f t="shared" ref="Q21:Q22" si="35">IF(I15="",(""),(K15))</f>
        <v/>
      </c>
      <c r="R21" s="107" t="str">
        <f t="shared" ref="R21:R22" si="36">IF(Q21="",(""),(INDEX($I$14:$K$16,(MATCH(Q21,$K$14:$K$16,(0))),(1))))</f>
        <v/>
      </c>
      <c r="S21" s="107" t="str">
        <f t="shared" ref="S21:S22" si="37">IF(Q21="",(""),(INDEX($I$14:$K$16,(MATCH(Q21,$K$14:$K$16,(0))),(2))))</f>
        <v/>
      </c>
      <c r="T21" s="107" t="str">
        <f t="shared" ref="T21:T22" si="38">IF(Q21="",(""),(INDEX($N$14:$N$16,(MATCH(Q21,$K$14:$K$16,(0))),(1))))</f>
        <v/>
      </c>
      <c r="U21" s="107" t="str">
        <f t="shared" si="28"/>
        <v/>
      </c>
      <c r="V21" s="107" t="str">
        <f>IF(Q21="",(""),(INDEX($P$14:$P$16,(MATCH(Q21,$K$14:$K$16,(0))),(1))))</f>
        <v/>
      </c>
      <c r="W21" s="455" t="str">
        <f>IF(Q21="",(""),(INDEX($I$14:$K$16,(MATCH(Q21,$O$14:$O$16,(0))),(2))))</f>
        <v/>
      </c>
      <c r="X21" s="636"/>
      <c r="Y21" s="429">
        <v>0</v>
      </c>
      <c r="Z21" t="e">
        <f t="shared" si="10"/>
        <v>#N/A</v>
      </c>
      <c r="AA21" s="176" t="e">
        <f t="shared" si="4"/>
        <v>#N/A</v>
      </c>
      <c r="AB21" t="e">
        <f t="shared" si="5"/>
        <v>#N/A</v>
      </c>
      <c r="AC21" s="141" t="e">
        <f t="shared" si="6"/>
        <v>#N/A</v>
      </c>
      <c r="AD21" s="455" t="e">
        <f t="shared" si="11"/>
        <v>#N/A</v>
      </c>
    </row>
    <row r="22" spans="1:30" ht="18" x14ac:dyDescent="0.25">
      <c r="A22" s="627" t="s">
        <v>248</v>
      </c>
      <c r="B22" s="628"/>
      <c r="C22" s="628"/>
      <c r="D22" s="628"/>
      <c r="E22" s="628"/>
      <c r="F22" s="628"/>
      <c r="G22" s="628"/>
      <c r="H22" s="628"/>
      <c r="I22" s="628"/>
      <c r="J22" s="628"/>
      <c r="K22" s="628"/>
      <c r="L22" s="628"/>
      <c r="M22" s="628"/>
      <c r="N22" s="628"/>
      <c r="O22" s="628"/>
      <c r="P22" s="628"/>
      <c r="Q22" s="176" t="str">
        <f t="shared" si="35"/>
        <v/>
      </c>
      <c r="R22" s="107" t="str">
        <f t="shared" si="36"/>
        <v/>
      </c>
      <c r="S22" s="107" t="str">
        <f t="shared" si="37"/>
        <v/>
      </c>
      <c r="T22" s="107" t="str">
        <f t="shared" si="38"/>
        <v/>
      </c>
      <c r="U22" s="107" t="str">
        <f t="shared" si="28"/>
        <v/>
      </c>
      <c r="V22" s="107" t="str">
        <f>IF(Q22="",(""),(INDEX($P$14:$P$16,(MATCH(Q22,$K$14:$K$16,(0))),(1))))</f>
        <v/>
      </c>
      <c r="W22" s="455" t="str">
        <f>IF(Q22="",(""),(INDEX($I$14:$K$16,(MATCH(Q22,$O$14:$O$16,(0))),(2))))</f>
        <v/>
      </c>
      <c r="X22" s="637"/>
      <c r="Y22" s="429">
        <v>0</v>
      </c>
      <c r="Z22" t="e">
        <f t="shared" si="10"/>
        <v>#N/A</v>
      </c>
      <c r="AA22" s="176" t="e">
        <f t="shared" si="4"/>
        <v>#N/A</v>
      </c>
      <c r="AB22" t="e">
        <f t="shared" si="5"/>
        <v>#N/A</v>
      </c>
      <c r="AC22" s="141" t="e">
        <f t="shared" si="6"/>
        <v>#N/A</v>
      </c>
      <c r="AD22" s="455" t="e">
        <f t="shared" si="11"/>
        <v>#N/A</v>
      </c>
    </row>
    <row r="23" spans="1:30" x14ac:dyDescent="0.2">
      <c r="A23" s="321" t="s">
        <v>170</v>
      </c>
      <c r="B23" s="322" t="s">
        <v>251</v>
      </c>
      <c r="C23" s="322" t="s">
        <v>256</v>
      </c>
      <c r="D23" s="322" t="s">
        <v>252</v>
      </c>
      <c r="E23" s="322" t="s">
        <v>245</v>
      </c>
      <c r="F23" s="323" t="s">
        <v>25</v>
      </c>
      <c r="G23" s="321" t="s">
        <v>170</v>
      </c>
      <c r="H23" s="322" t="s">
        <v>251</v>
      </c>
      <c r="I23" s="322" t="s">
        <v>256</v>
      </c>
      <c r="J23" s="322" t="s">
        <v>252</v>
      </c>
      <c r="K23" s="322" t="s">
        <v>245</v>
      </c>
      <c r="L23" s="323" t="s">
        <v>25</v>
      </c>
      <c r="Q23" s="104">
        <f>C19</f>
        <v>0</v>
      </c>
      <c r="R23" s="107" t="e">
        <f>INDEX($A$19:$C$21,(MATCH(Q23,$C$19:$C$21,(0))),1)</f>
        <v>#N/A</v>
      </c>
      <c r="S23" s="107" t="e">
        <f>INDEX($A$19:$C$21,(MATCH(Q23,$C$19:$C$21,(0))),2)</f>
        <v>#N/A</v>
      </c>
      <c r="T23" s="120">
        <f>F19</f>
        <v>0</v>
      </c>
      <c r="U23" s="107" t="e">
        <f t="shared" si="28"/>
        <v>#VALUE!</v>
      </c>
      <c r="V23" s="120" t="str">
        <f>H19</f>
        <v/>
      </c>
      <c r="W23" s="455" t="e">
        <f>INDEX($A$19:$E$21,(MATCH(Q23,$C$19:$C$21,(0))),5)</f>
        <v>#N/A</v>
      </c>
      <c r="X23" s="641" t="s">
        <v>327</v>
      </c>
      <c r="Y23" s="429">
        <v>0</v>
      </c>
      <c r="Z23" t="e">
        <f t="shared" si="10"/>
        <v>#N/A</v>
      </c>
      <c r="AA23" s="176" t="e">
        <f t="shared" si="4"/>
        <v>#N/A</v>
      </c>
      <c r="AB23" t="e">
        <f t="shared" si="5"/>
        <v>#N/A</v>
      </c>
      <c r="AC23" s="141" t="e">
        <f t="shared" si="6"/>
        <v>#N/A</v>
      </c>
      <c r="AD23" s="455" t="e">
        <f t="shared" si="11"/>
        <v>#N/A</v>
      </c>
    </row>
    <row r="24" spans="1:30" x14ac:dyDescent="0.2">
      <c r="A24" s="176"/>
      <c r="C24" s="63"/>
      <c r="D24" s="90"/>
      <c r="E24" t="str">
        <f>IF(B24="",(""),(B24/(D24)*($C$2-(YEAR(C24))+1)))</f>
        <v/>
      </c>
      <c r="F24" s="181" t="str">
        <f>IF(E24="",(""),(B24-E24))</f>
        <v/>
      </c>
      <c r="G24" s="176"/>
      <c r="J24" s="90"/>
      <c r="L24" s="181" t="str">
        <f>IF(K24="",(""),(H24-K24))</f>
        <v/>
      </c>
      <c r="Q24" s="176">
        <f t="shared" ref="Q24:Q25" si="39">C20</f>
        <v>0</v>
      </c>
      <c r="R24" s="107" t="e">
        <f t="shared" ref="R24:R25" si="40">INDEX($A$19:$C$21,(MATCH(Q24,$C$19:$C$21,(0))),1)</f>
        <v>#N/A</v>
      </c>
      <c r="S24" s="107" t="e">
        <f t="shared" ref="S24:S25" si="41">INDEX($A$19:$C$21,(MATCH(Q24,$C$19:$C$21,(0))),2)</f>
        <v>#N/A</v>
      </c>
      <c r="T24" s="120">
        <f t="shared" ref="T24:T25" si="42">F20</f>
        <v>0</v>
      </c>
      <c r="U24" s="107" t="e">
        <f t="shared" si="28"/>
        <v>#VALUE!</v>
      </c>
      <c r="V24" s="120" t="str">
        <f>H20</f>
        <v/>
      </c>
      <c r="W24" s="455" t="e">
        <f>INDEX($A$19:$E$21,(MATCH(Q24,$C$19:$C$21,(0))),5)</f>
        <v>#N/A</v>
      </c>
      <c r="X24" s="642"/>
      <c r="Y24" s="429">
        <v>0</v>
      </c>
      <c r="Z24" t="e">
        <f t="shared" si="10"/>
        <v>#N/A</v>
      </c>
      <c r="AA24" s="176" t="e">
        <f t="shared" si="4"/>
        <v>#N/A</v>
      </c>
      <c r="AB24" t="e">
        <f t="shared" si="5"/>
        <v>#N/A</v>
      </c>
      <c r="AC24" s="141" t="e">
        <f t="shared" si="6"/>
        <v>#N/A</v>
      </c>
      <c r="AD24" s="455" t="e">
        <f t="shared" si="11"/>
        <v>#N/A</v>
      </c>
    </row>
    <row r="25" spans="1:30" x14ac:dyDescent="0.2">
      <c r="A25" s="176"/>
      <c r="D25" s="90"/>
      <c r="E25" s="90"/>
      <c r="F25" s="181" t="str">
        <f t="shared" ref="F25:F26" si="43">IF(E25="",(""),(B25-E25))</f>
        <v/>
      </c>
      <c r="G25" s="176"/>
      <c r="J25" s="90"/>
      <c r="K25" s="90"/>
      <c r="L25" s="181" t="str">
        <f t="shared" ref="L25:L26" si="44">IF(K25="",(""),(H25-K25))</f>
        <v/>
      </c>
      <c r="Q25" s="176">
        <f t="shared" si="39"/>
        <v>0</v>
      </c>
      <c r="R25" s="107" t="e">
        <f t="shared" si="40"/>
        <v>#N/A</v>
      </c>
      <c r="S25" s="107" t="e">
        <f t="shared" si="41"/>
        <v>#N/A</v>
      </c>
      <c r="T25" s="120">
        <f t="shared" si="42"/>
        <v>0</v>
      </c>
      <c r="U25" s="107" t="e">
        <f t="shared" si="28"/>
        <v>#VALUE!</v>
      </c>
      <c r="V25" s="120" t="str">
        <f>H21</f>
        <v/>
      </c>
      <c r="W25" s="455" t="e">
        <f>INDEX($A$19:$E$21,(MATCH(Q25,$C$19:$C$21,(0))),5)</f>
        <v>#N/A</v>
      </c>
      <c r="X25" s="642"/>
      <c r="Y25" s="429">
        <v>0</v>
      </c>
      <c r="Z25" t="e">
        <f t="shared" si="10"/>
        <v>#N/A</v>
      </c>
      <c r="AA25" s="176" t="e">
        <f t="shared" si="4"/>
        <v>#N/A</v>
      </c>
      <c r="AB25" t="e">
        <f t="shared" si="5"/>
        <v>#N/A</v>
      </c>
      <c r="AC25" s="141" t="e">
        <f t="shared" si="6"/>
        <v>#N/A</v>
      </c>
      <c r="AD25" s="455" t="e">
        <f t="shared" si="11"/>
        <v>#N/A</v>
      </c>
    </row>
    <row r="26" spans="1:30" x14ac:dyDescent="0.2">
      <c r="A26" s="103"/>
      <c r="B26" s="144"/>
      <c r="C26" s="144"/>
      <c r="D26" s="315"/>
      <c r="E26" s="315"/>
      <c r="F26" s="181" t="str">
        <f t="shared" si="43"/>
        <v/>
      </c>
      <c r="G26" s="103"/>
      <c r="H26" s="144"/>
      <c r="I26" s="144"/>
      <c r="J26" s="315"/>
      <c r="K26" s="315"/>
      <c r="L26" s="181" t="str">
        <f t="shared" si="44"/>
        <v/>
      </c>
      <c r="Q26" s="176">
        <f>K19</f>
        <v>0</v>
      </c>
      <c r="R26" s="107" t="e">
        <f>INDEX($I$19:$K$21,(MATCH(Q26,$K$19:$K$21,(0))),1)</f>
        <v>#N/A</v>
      </c>
      <c r="S26" s="141" t="e">
        <f>INDEX($I$19:$K$21,(MATCH(Q26,$K$19:$K$21,(0))),2)</f>
        <v>#N/A</v>
      </c>
      <c r="T26" s="181">
        <f>N19</f>
        <v>0</v>
      </c>
      <c r="U26" s="107" t="e">
        <f t="shared" si="28"/>
        <v>#VALUE!</v>
      </c>
      <c r="V26" s="120" t="str">
        <f>P14</f>
        <v/>
      </c>
      <c r="W26" s="376" t="e">
        <f>INDEX($I$19:$N$21,(MATCH(Q26,$K$19:$K$21,(0))),5)</f>
        <v>#N/A</v>
      </c>
      <c r="X26" s="642"/>
      <c r="Y26" s="429">
        <v>0</v>
      </c>
      <c r="Z26" t="e">
        <f t="shared" si="10"/>
        <v>#N/A</v>
      </c>
      <c r="AA26" s="176" t="e">
        <f t="shared" si="4"/>
        <v>#N/A</v>
      </c>
      <c r="AB26" t="e">
        <f t="shared" si="5"/>
        <v>#N/A</v>
      </c>
      <c r="AC26" s="141" t="e">
        <f t="shared" si="6"/>
        <v>#N/A</v>
      </c>
      <c r="AD26" s="455" t="e">
        <f t="shared" si="11"/>
        <v>#N/A</v>
      </c>
    </row>
    <row r="27" spans="1:30" x14ac:dyDescent="0.2">
      <c r="Q27" s="176">
        <f t="shared" ref="Q27:Q28" si="45">K20</f>
        <v>0</v>
      </c>
      <c r="R27" s="107" t="e">
        <f t="shared" ref="R27:R28" si="46">INDEX($I$19:$K$21,(MATCH(Q27,$K$19:$K$21,(0))),1)</f>
        <v>#N/A</v>
      </c>
      <c r="S27" s="141" t="e">
        <f t="shared" ref="S27:S28" si="47">INDEX($I$19:$K$21,(MATCH(Q27,$K$19:$K$21,(0))),2)</f>
        <v>#N/A</v>
      </c>
      <c r="T27" s="181">
        <f t="shared" ref="T27:T28" si="48">N20</f>
        <v>0</v>
      </c>
      <c r="U27" s="107" t="e">
        <f t="shared" si="28"/>
        <v>#VALUE!</v>
      </c>
      <c r="V27" s="120" t="str">
        <f>P15</f>
        <v/>
      </c>
      <c r="W27" s="376" t="e">
        <f>INDEX($I$19:$N$21,(MATCH(Q27,$K$19:$K$21,(0))),5)</f>
        <v>#N/A</v>
      </c>
      <c r="X27" s="642"/>
      <c r="Y27" s="429">
        <v>0</v>
      </c>
      <c r="Z27" t="e">
        <f t="shared" si="10"/>
        <v>#N/A</v>
      </c>
      <c r="AA27" s="176" t="e">
        <f t="shared" si="4"/>
        <v>#N/A</v>
      </c>
      <c r="AB27" t="e">
        <f t="shared" si="5"/>
        <v>#N/A</v>
      </c>
      <c r="AC27" s="141" t="e">
        <f t="shared" si="6"/>
        <v>#N/A</v>
      </c>
      <c r="AD27" s="455" t="e">
        <f t="shared" si="11"/>
        <v>#N/A</v>
      </c>
    </row>
    <row r="28" spans="1:30" ht="23.25" x14ac:dyDescent="0.35">
      <c r="A28" s="320" t="s">
        <v>253</v>
      </c>
      <c r="Q28" s="103">
        <f t="shared" si="45"/>
        <v>0</v>
      </c>
      <c r="R28" s="107" t="e">
        <f t="shared" si="46"/>
        <v>#N/A</v>
      </c>
      <c r="S28" s="141" t="e">
        <f t="shared" si="47"/>
        <v>#N/A</v>
      </c>
      <c r="T28" s="181">
        <f t="shared" si="48"/>
        <v>0</v>
      </c>
      <c r="U28" s="107" t="e">
        <f t="shared" si="28"/>
        <v>#VALUE!</v>
      </c>
      <c r="V28" s="120" t="str">
        <f>P16</f>
        <v/>
      </c>
      <c r="W28" s="376" t="e">
        <f>INDEX($I$19:$N$21,(MATCH(Q28,$K$19:$K$21,(0))),5)</f>
        <v>#N/A</v>
      </c>
      <c r="X28" s="643"/>
      <c r="Y28" s="429">
        <v>0</v>
      </c>
      <c r="Z28" t="e">
        <f t="shared" si="10"/>
        <v>#N/A</v>
      </c>
      <c r="AA28" s="176" t="e">
        <f t="shared" si="4"/>
        <v>#N/A</v>
      </c>
      <c r="AB28" t="e">
        <f t="shared" si="5"/>
        <v>#N/A</v>
      </c>
      <c r="AC28" s="141" t="e">
        <f t="shared" si="6"/>
        <v>#N/A</v>
      </c>
      <c r="AD28" s="455" t="e">
        <f t="shared" si="11"/>
        <v>#N/A</v>
      </c>
    </row>
    <row r="29" spans="1:30" ht="18" x14ac:dyDescent="0.25">
      <c r="A29" s="627" t="s">
        <v>242</v>
      </c>
      <c r="B29" s="628"/>
      <c r="C29" s="628"/>
      <c r="D29" s="628"/>
      <c r="E29" s="628"/>
      <c r="F29" s="628"/>
      <c r="G29" s="628"/>
      <c r="H29" s="628"/>
      <c r="I29" s="628"/>
      <c r="J29" s="628"/>
      <c r="K29" s="628"/>
      <c r="L29" s="628"/>
      <c r="M29" s="628"/>
      <c r="N29" s="628"/>
      <c r="O29" s="628"/>
      <c r="P29" s="628"/>
      <c r="Q29" s="104" t="str">
        <f>IF(A24="",(""),(A24))</f>
        <v/>
      </c>
      <c r="R29" s="107" t="str">
        <f>Q29</f>
        <v/>
      </c>
      <c r="S29" s="107" t="str">
        <f>IF(C24="",(""),(YEAR(C24)))</f>
        <v/>
      </c>
      <c r="T29" s="107">
        <f>B24</f>
        <v>0</v>
      </c>
      <c r="U29" s="107" t="str">
        <f t="shared" si="28"/>
        <v/>
      </c>
      <c r="V29" s="120" t="str">
        <f>F24</f>
        <v/>
      </c>
      <c r="W29" s="455" t="str">
        <f>IF(C24="",(""),(C24))</f>
        <v/>
      </c>
      <c r="X29" s="638" t="s">
        <v>328</v>
      </c>
      <c r="Y29" s="429">
        <v>0</v>
      </c>
      <c r="Z29" t="e">
        <f t="shared" si="10"/>
        <v>#N/A</v>
      </c>
      <c r="AA29" s="176" t="e">
        <f t="shared" si="4"/>
        <v>#N/A</v>
      </c>
      <c r="AB29" t="e">
        <f t="shared" si="5"/>
        <v>#N/A</v>
      </c>
      <c r="AC29" s="141" t="e">
        <f t="shared" si="6"/>
        <v>#N/A</v>
      </c>
      <c r="AD29" s="455" t="e">
        <f t="shared" si="11"/>
        <v>#N/A</v>
      </c>
    </row>
    <row r="30" spans="1:30" x14ac:dyDescent="0.2">
      <c r="A30" s="317" t="s">
        <v>170</v>
      </c>
      <c r="B30" s="318" t="s">
        <v>321</v>
      </c>
      <c r="C30" s="318" t="s">
        <v>322</v>
      </c>
      <c r="D30" s="318" t="s">
        <v>239</v>
      </c>
      <c r="E30" s="318" t="s">
        <v>243</v>
      </c>
      <c r="F30" s="318" t="s">
        <v>244</v>
      </c>
      <c r="G30" s="318" t="s">
        <v>245</v>
      </c>
      <c r="H30" s="319" t="s">
        <v>25</v>
      </c>
      <c r="I30" s="317" t="s">
        <v>170</v>
      </c>
      <c r="J30" s="318" t="s">
        <v>321</v>
      </c>
      <c r="K30" s="318" t="s">
        <v>322</v>
      </c>
      <c r="L30" s="318" t="s">
        <v>239</v>
      </c>
      <c r="M30" s="318" t="s">
        <v>243</v>
      </c>
      <c r="N30" s="318" t="s">
        <v>244</v>
      </c>
      <c r="O30" s="318" t="s">
        <v>245</v>
      </c>
      <c r="P30" s="318" t="s">
        <v>25</v>
      </c>
      <c r="Q30" s="104" t="str">
        <f t="shared" ref="Q30:Q31" si="49">IF(A25="",(""),(A25))</f>
        <v/>
      </c>
      <c r="R30" s="107" t="str">
        <f t="shared" ref="R30:R34" si="50">Q30</f>
        <v/>
      </c>
      <c r="S30" s="107" t="str">
        <f t="shared" ref="S30:S31" si="51">IF(C25="",(""),(YEAR(C25)))</f>
        <v/>
      </c>
      <c r="T30" s="107">
        <f t="shared" ref="T30:T31" si="52">B25</f>
        <v>0</v>
      </c>
      <c r="U30" s="107" t="str">
        <f t="shared" si="28"/>
        <v/>
      </c>
      <c r="V30" s="120" t="str">
        <f>F25</f>
        <v/>
      </c>
      <c r="W30" s="455" t="str">
        <f t="shared" ref="W30:W31" si="53">IF(C25="",(""),(C25))</f>
        <v/>
      </c>
      <c r="X30" s="639"/>
      <c r="Y30" s="429">
        <v>0</v>
      </c>
      <c r="Z30" t="e">
        <f t="shared" si="10"/>
        <v>#N/A</v>
      </c>
      <c r="AA30" s="176" t="e">
        <f t="shared" si="4"/>
        <v>#N/A</v>
      </c>
      <c r="AB30" t="e">
        <f t="shared" si="5"/>
        <v>#N/A</v>
      </c>
      <c r="AC30" s="141" t="e">
        <f t="shared" si="6"/>
        <v>#N/A</v>
      </c>
      <c r="AD30" s="455" t="e">
        <f t="shared" si="11"/>
        <v>#N/A</v>
      </c>
    </row>
    <row r="31" spans="1:30" x14ac:dyDescent="0.2">
      <c r="A31" s="104"/>
      <c r="B31" s="106"/>
      <c r="C31" s="106"/>
      <c r="D31" s="106"/>
      <c r="E31" s="417"/>
      <c r="F31" s="342"/>
      <c r="G31" s="342">
        <f>F31/5*($C$2-(YEAR(E31))+1)</f>
        <v>0</v>
      </c>
      <c r="H31" s="120" t="str">
        <f>IF(A31="",(""),(IF(F31-G31&lt;1,(0.01),(F31-G31))))</f>
        <v/>
      </c>
      <c r="I31" s="104"/>
      <c r="J31" s="106"/>
      <c r="K31" s="106"/>
      <c r="L31" s="106"/>
      <c r="M31" s="342"/>
      <c r="N31" s="342"/>
      <c r="O31" s="342">
        <f>N31/5*($C$2-(YEAR(M31))+1)</f>
        <v>0</v>
      </c>
      <c r="P31" s="120" t="str">
        <f>IF(I31="",(""),(IF(N31-O31&lt;1,(0.01),(N31-O31))))</f>
        <v/>
      </c>
      <c r="Q31" s="104" t="str">
        <f t="shared" si="49"/>
        <v/>
      </c>
      <c r="R31" s="107" t="str">
        <f t="shared" si="50"/>
        <v/>
      </c>
      <c r="S31" s="107" t="str">
        <f t="shared" si="51"/>
        <v/>
      </c>
      <c r="T31" s="107">
        <f t="shared" si="52"/>
        <v>0</v>
      </c>
      <c r="U31" s="107" t="str">
        <f t="shared" si="28"/>
        <v/>
      </c>
      <c r="V31" s="120" t="str">
        <f>F26</f>
        <v/>
      </c>
      <c r="W31" s="455" t="str">
        <f t="shared" si="53"/>
        <v/>
      </c>
      <c r="X31" s="639"/>
      <c r="Y31" s="429">
        <v>0</v>
      </c>
      <c r="Z31" t="e">
        <f t="shared" si="10"/>
        <v>#N/A</v>
      </c>
      <c r="AA31" s="176" t="e">
        <f t="shared" si="4"/>
        <v>#N/A</v>
      </c>
      <c r="AB31" t="e">
        <f t="shared" si="5"/>
        <v>#N/A</v>
      </c>
      <c r="AC31" s="141" t="e">
        <f t="shared" si="6"/>
        <v>#N/A</v>
      </c>
      <c r="AD31" s="455" t="e">
        <f t="shared" si="11"/>
        <v>#N/A</v>
      </c>
    </row>
    <row r="32" spans="1:30" x14ac:dyDescent="0.2">
      <c r="A32" s="176"/>
      <c r="F32" s="90"/>
      <c r="G32" s="342">
        <f t="shared" ref="G32:G36" si="54">F32/5*($C$2-(YEAR(E32))+1)</f>
        <v>0</v>
      </c>
      <c r="H32" s="181" t="str">
        <f t="shared" ref="H32:H36" si="55">IF(A32="",(""),(IF(F32-G32&lt;1,(0.01),(F32-G32))))</f>
        <v/>
      </c>
      <c r="I32" s="176"/>
      <c r="M32" s="90"/>
      <c r="N32" s="90"/>
      <c r="O32" s="342">
        <f t="shared" ref="O32:O36" si="56">N32/5*($C$2-(YEAR(M32))+1)</f>
        <v>0</v>
      </c>
      <c r="P32" s="181" t="str">
        <f t="shared" ref="P32:P36" si="57">IF(I32="",(""),(IF(N32-O32&lt;1,(0.01),(N32-O32))))</f>
        <v/>
      </c>
      <c r="Q32" s="176" t="str">
        <f>IF(G24="",(""),(G24))</f>
        <v/>
      </c>
      <c r="R32" s="107" t="str">
        <f t="shared" si="50"/>
        <v/>
      </c>
      <c r="S32" s="141" t="str">
        <f>IF(I24="",(""),(YEAR(I24)))</f>
        <v/>
      </c>
      <c r="T32" s="141">
        <f>H24</f>
        <v>0</v>
      </c>
      <c r="U32" s="107" t="str">
        <f t="shared" si="28"/>
        <v/>
      </c>
      <c r="V32" s="181" t="str">
        <f>L24</f>
        <v/>
      </c>
      <c r="W32" s="376" t="str">
        <f>IF(I24="",(""),(I24))</f>
        <v/>
      </c>
      <c r="X32" s="639"/>
      <c r="Y32" s="429">
        <v>0</v>
      </c>
      <c r="Z32" t="e">
        <f t="shared" si="10"/>
        <v>#N/A</v>
      </c>
      <c r="AA32" s="176" t="e">
        <f t="shared" si="4"/>
        <v>#N/A</v>
      </c>
      <c r="AB32" t="e">
        <f t="shared" si="5"/>
        <v>#N/A</v>
      </c>
      <c r="AC32" s="141" t="e">
        <f t="shared" si="6"/>
        <v>#N/A</v>
      </c>
      <c r="AD32" s="455" t="e">
        <f t="shared" si="11"/>
        <v>#N/A</v>
      </c>
    </row>
    <row r="33" spans="1:30" x14ac:dyDescent="0.2">
      <c r="A33" s="176"/>
      <c r="F33" s="90"/>
      <c r="G33" s="342">
        <f t="shared" si="54"/>
        <v>0</v>
      </c>
      <c r="H33" s="181" t="str">
        <f t="shared" si="55"/>
        <v/>
      </c>
      <c r="I33" s="176"/>
      <c r="M33" s="90"/>
      <c r="N33" s="90"/>
      <c r="O33" s="342">
        <f t="shared" si="56"/>
        <v>0</v>
      </c>
      <c r="P33" s="181" t="str">
        <f t="shared" si="57"/>
        <v/>
      </c>
      <c r="Q33" s="176" t="str">
        <f t="shared" ref="Q33:Q34" si="58">IF(G25="",(""),(G25))</f>
        <v/>
      </c>
      <c r="R33" s="107" t="str">
        <f t="shared" si="50"/>
        <v/>
      </c>
      <c r="S33" s="141" t="str">
        <f t="shared" ref="S33:S34" si="59">IF(I25="",(""),(YEAR(I25)))</f>
        <v/>
      </c>
      <c r="T33" s="141">
        <f t="shared" ref="T33:T34" si="60">H25</f>
        <v>0</v>
      </c>
      <c r="U33" s="107" t="str">
        <f t="shared" si="28"/>
        <v/>
      </c>
      <c r="V33" s="181" t="str">
        <f>L25</f>
        <v/>
      </c>
      <c r="W33" s="376" t="str">
        <f t="shared" ref="W33:W34" si="61">IF(I25="",(""),(I25))</f>
        <v/>
      </c>
      <c r="X33" s="639"/>
      <c r="Y33" s="429">
        <v>0</v>
      </c>
      <c r="Z33" t="e">
        <f t="shared" si="10"/>
        <v>#N/A</v>
      </c>
      <c r="AA33" s="176" t="e">
        <f t="shared" si="4"/>
        <v>#N/A</v>
      </c>
      <c r="AB33" t="e">
        <f t="shared" si="5"/>
        <v>#N/A</v>
      </c>
      <c r="AC33" s="141" t="e">
        <f t="shared" si="6"/>
        <v>#N/A</v>
      </c>
      <c r="AD33" s="455" t="e">
        <f t="shared" si="11"/>
        <v>#N/A</v>
      </c>
    </row>
    <row r="34" spans="1:30" x14ac:dyDescent="0.2">
      <c r="A34" s="176"/>
      <c r="F34" s="90"/>
      <c r="G34" s="342">
        <f t="shared" si="54"/>
        <v>0</v>
      </c>
      <c r="H34" s="181" t="str">
        <f t="shared" si="55"/>
        <v/>
      </c>
      <c r="I34" s="176"/>
      <c r="M34" s="90"/>
      <c r="N34" s="90"/>
      <c r="O34" s="342">
        <f t="shared" si="56"/>
        <v>0</v>
      </c>
      <c r="P34" s="181" t="str">
        <f t="shared" si="57"/>
        <v/>
      </c>
      <c r="Q34" s="176" t="str">
        <f t="shared" si="58"/>
        <v/>
      </c>
      <c r="R34" s="107" t="str">
        <f t="shared" si="50"/>
        <v/>
      </c>
      <c r="S34" s="141" t="str">
        <f t="shared" si="59"/>
        <v/>
      </c>
      <c r="T34" s="141">
        <f t="shared" si="60"/>
        <v>0</v>
      </c>
      <c r="U34" s="107" t="str">
        <f t="shared" si="28"/>
        <v/>
      </c>
      <c r="V34" s="181" t="str">
        <f>L26</f>
        <v/>
      </c>
      <c r="W34" s="376" t="str">
        <f t="shared" si="61"/>
        <v/>
      </c>
      <c r="X34" s="640"/>
      <c r="Y34" s="429">
        <v>0</v>
      </c>
      <c r="Z34" t="e">
        <f t="shared" si="10"/>
        <v>#N/A</v>
      </c>
      <c r="AA34" s="176" t="e">
        <f t="shared" si="4"/>
        <v>#N/A</v>
      </c>
      <c r="AB34" t="e">
        <f t="shared" si="5"/>
        <v>#N/A</v>
      </c>
      <c r="AC34" s="141" t="e">
        <f t="shared" si="6"/>
        <v>#N/A</v>
      </c>
      <c r="AD34" s="455" t="e">
        <f t="shared" si="11"/>
        <v>#N/A</v>
      </c>
    </row>
    <row r="35" spans="1:30" x14ac:dyDescent="0.2">
      <c r="A35" s="176"/>
      <c r="F35" s="90"/>
      <c r="G35" s="342">
        <f t="shared" si="54"/>
        <v>0</v>
      </c>
      <c r="H35" s="181" t="str">
        <f t="shared" si="55"/>
        <v/>
      </c>
      <c r="I35" s="176"/>
      <c r="M35" s="90"/>
      <c r="N35" s="90"/>
      <c r="O35" s="342">
        <f t="shared" si="56"/>
        <v>0</v>
      </c>
      <c r="P35" s="181" t="str">
        <f t="shared" si="57"/>
        <v/>
      </c>
      <c r="Q35" s="104">
        <f>C31</f>
        <v>0</v>
      </c>
      <c r="R35" s="107" t="e">
        <f>INDEX($A$31:$C$36,(MATCH(Q35,$C$31:$C$36,(0))),1)</f>
        <v>#N/A</v>
      </c>
      <c r="S35" s="107" t="e">
        <f>INDEX($A$31:$C$36,(MATCH(Q35,$C$31:$C$36,(0))),2)</f>
        <v>#N/A</v>
      </c>
      <c r="T35" s="107" t="e">
        <f>INDEX($F$31:$F$36,(MATCH(Q35,$C$31:$C$36,(0))),1)</f>
        <v>#N/A</v>
      </c>
      <c r="U35" s="431" t="str">
        <f t="shared" ca="1" si="28"/>
        <v/>
      </c>
      <c r="V35" s="107" t="str">
        <f ca="1">INDEX($H$31:$H$36,(MATCH(U35,$C$31:$C$36,(0))),1)</f>
        <v/>
      </c>
      <c r="W35" s="455" t="e">
        <f t="shared" ref="W35:W40" si="62">INDEX($A$31:$E$36,(MATCH(Q35,$C$31:$C$36,(0))),5)</f>
        <v>#N/A</v>
      </c>
      <c r="X35" s="638" t="s">
        <v>329</v>
      </c>
      <c r="Y35" s="429"/>
      <c r="Z35" t="str">
        <f t="shared" si="10"/>
        <v/>
      </c>
      <c r="AA35" s="176" t="str">
        <f t="shared" si="4"/>
        <v/>
      </c>
      <c r="AB35" t="str">
        <f t="shared" si="5"/>
        <v/>
      </c>
      <c r="AC35" s="141" t="str">
        <f t="shared" si="6"/>
        <v/>
      </c>
      <c r="AD35" s="455" t="str">
        <f t="shared" si="11"/>
        <v/>
      </c>
    </row>
    <row r="36" spans="1:30" x14ac:dyDescent="0.2">
      <c r="A36" s="103"/>
      <c r="B36" s="144"/>
      <c r="C36" s="144"/>
      <c r="D36" s="144"/>
      <c r="E36" s="144"/>
      <c r="F36" s="315"/>
      <c r="G36" s="342">
        <f t="shared" si="54"/>
        <v>0</v>
      </c>
      <c r="H36" s="334" t="str">
        <f t="shared" si="55"/>
        <v/>
      </c>
      <c r="I36" s="103"/>
      <c r="J36" s="144"/>
      <c r="K36" s="144"/>
      <c r="L36" s="144"/>
      <c r="M36" s="315"/>
      <c r="N36" s="315"/>
      <c r="O36" s="342">
        <f t="shared" si="56"/>
        <v>0</v>
      </c>
      <c r="P36" s="334" t="str">
        <f t="shared" si="57"/>
        <v/>
      </c>
      <c r="Q36" s="104">
        <f t="shared" ref="Q36:Q40" si="63">C32</f>
        <v>0</v>
      </c>
      <c r="R36" s="107" t="e">
        <f t="shared" ref="R36:R46" si="64">INDEX($A$31:$C$36,(MATCH(Q36,$C$31:$C$36,(0))),1)</f>
        <v>#N/A</v>
      </c>
      <c r="S36" s="107" t="e">
        <f t="shared" ref="S36:S40" si="65">INDEX($A$31:$C$36,(MATCH(Q36,$C$31:$C$36,(0))),2)</f>
        <v>#N/A</v>
      </c>
      <c r="T36" s="107" t="e">
        <f t="shared" ref="T36:T40" si="66">INDEX($F$31:$F$36,(MATCH(Q36,$C$31:$C$36,(0))),1)</f>
        <v>#N/A</v>
      </c>
      <c r="U36" s="431" t="str">
        <f t="shared" ca="1" si="28"/>
        <v/>
      </c>
      <c r="V36" s="107" t="str">
        <f t="shared" ref="V36:V40" ca="1" si="67">INDEX($H$31:$H$36,(MATCH(U36,$C$31:$C$36,(0))),1)</f>
        <v/>
      </c>
      <c r="W36" s="455" t="e">
        <f t="shared" si="62"/>
        <v>#N/A</v>
      </c>
      <c r="X36" s="639"/>
      <c r="Y36" s="429"/>
      <c r="Z36" t="str">
        <f t="shared" si="10"/>
        <v/>
      </c>
      <c r="AA36" s="176" t="str">
        <f t="shared" si="4"/>
        <v/>
      </c>
      <c r="AB36" t="str">
        <f t="shared" si="5"/>
        <v/>
      </c>
      <c r="AC36" s="141" t="str">
        <f t="shared" si="6"/>
        <v/>
      </c>
      <c r="AD36" s="455" t="str">
        <f t="shared" si="11"/>
        <v/>
      </c>
    </row>
    <row r="37" spans="1:30" ht="18" x14ac:dyDescent="0.25">
      <c r="A37" s="630" t="s">
        <v>15</v>
      </c>
      <c r="B37" s="631"/>
      <c r="C37" s="631"/>
      <c r="D37" s="631"/>
      <c r="E37" s="631"/>
      <c r="F37" s="631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104">
        <f t="shared" si="63"/>
        <v>0</v>
      </c>
      <c r="R37" s="107" t="e">
        <f t="shared" si="64"/>
        <v>#N/A</v>
      </c>
      <c r="S37" s="107" t="e">
        <f t="shared" si="65"/>
        <v>#N/A</v>
      </c>
      <c r="T37" s="107" t="e">
        <f t="shared" si="66"/>
        <v>#N/A</v>
      </c>
      <c r="U37" s="431" t="str">
        <f t="shared" ca="1" si="28"/>
        <v/>
      </c>
      <c r="V37" s="107" t="str">
        <f t="shared" ca="1" si="67"/>
        <v/>
      </c>
      <c r="W37" s="455" t="e">
        <f t="shared" si="62"/>
        <v>#N/A</v>
      </c>
      <c r="X37" s="639"/>
      <c r="Y37" s="429"/>
      <c r="Z37" t="str">
        <f t="shared" si="10"/>
        <v/>
      </c>
      <c r="AA37" s="176" t="str">
        <f t="shared" si="4"/>
        <v/>
      </c>
      <c r="AB37" t="str">
        <f t="shared" si="5"/>
        <v/>
      </c>
      <c r="AC37" s="141" t="str">
        <f t="shared" si="6"/>
        <v/>
      </c>
      <c r="AD37" s="455" t="str">
        <f t="shared" si="11"/>
        <v/>
      </c>
    </row>
    <row r="38" spans="1:30" x14ac:dyDescent="0.2">
      <c r="A38" s="317" t="s">
        <v>170</v>
      </c>
      <c r="B38" s="317" t="s">
        <v>323</v>
      </c>
      <c r="C38" s="317" t="s">
        <v>324</v>
      </c>
      <c r="D38" s="317" t="s">
        <v>249</v>
      </c>
      <c r="E38" s="317" t="s">
        <v>250</v>
      </c>
      <c r="F38" s="317" t="s">
        <v>244</v>
      </c>
      <c r="G38" s="317" t="s">
        <v>243</v>
      </c>
      <c r="H38" s="317" t="s">
        <v>25</v>
      </c>
      <c r="I38" s="317" t="s">
        <v>170</v>
      </c>
      <c r="J38" s="317" t="s">
        <v>323</v>
      </c>
      <c r="K38" s="317" t="s">
        <v>324</v>
      </c>
      <c r="L38" s="317" t="s">
        <v>249</v>
      </c>
      <c r="M38" s="317" t="s">
        <v>250</v>
      </c>
      <c r="N38" s="317" t="s">
        <v>244</v>
      </c>
      <c r="O38" s="317" t="s">
        <v>243</v>
      </c>
      <c r="P38" s="317" t="s">
        <v>25</v>
      </c>
      <c r="Q38" s="104">
        <f t="shared" si="63"/>
        <v>0</v>
      </c>
      <c r="R38" s="107" t="e">
        <f t="shared" si="64"/>
        <v>#N/A</v>
      </c>
      <c r="S38" s="107" t="e">
        <f t="shared" si="65"/>
        <v>#N/A</v>
      </c>
      <c r="T38" s="107" t="e">
        <f t="shared" si="66"/>
        <v>#N/A</v>
      </c>
      <c r="U38" s="431" t="str">
        <f t="shared" ca="1" si="28"/>
        <v/>
      </c>
      <c r="V38" s="107" t="str">
        <f t="shared" ca="1" si="67"/>
        <v/>
      </c>
      <c r="W38" s="455" t="e">
        <f t="shared" si="62"/>
        <v>#N/A</v>
      </c>
      <c r="X38" s="639"/>
      <c r="Y38" s="429"/>
      <c r="Z38" t="str">
        <f t="shared" si="10"/>
        <v/>
      </c>
      <c r="AA38" s="176" t="str">
        <f t="shared" si="4"/>
        <v/>
      </c>
      <c r="AB38" t="str">
        <f t="shared" si="5"/>
        <v/>
      </c>
      <c r="AC38" s="141" t="str">
        <f t="shared" si="6"/>
        <v/>
      </c>
      <c r="AD38" s="455" t="str">
        <f t="shared" si="11"/>
        <v/>
      </c>
    </row>
    <row r="39" spans="1:30" x14ac:dyDescent="0.2">
      <c r="A39" s="176"/>
      <c r="F39" s="90"/>
      <c r="G39" s="63"/>
      <c r="H39" s="90" t="str">
        <f>IF(A39="",(""),IF(A39="Urbano Edif",(IF(G39-(F39/50*($C$2-(YEAR(G39))))&lt;1,(0.01),((F39-(F39/50*($C$2-(YEAR(G39)))))))),(F39)))</f>
        <v/>
      </c>
      <c r="I39" s="176"/>
      <c r="N39" s="90"/>
      <c r="O39" s="63"/>
      <c r="P39" s="90" t="str">
        <f>IF(I39="",(""),IF(I39="Urbano Edif",(IF(O39-(N39/50*($C$2-(YEAR(O39))))&lt;1,(0.01),((N39-(N39/50*($C$2-(YEAR(O39)))))))),(N39)))</f>
        <v/>
      </c>
      <c r="Q39" s="104">
        <f t="shared" si="63"/>
        <v>0</v>
      </c>
      <c r="R39" s="107" t="e">
        <f t="shared" si="64"/>
        <v>#N/A</v>
      </c>
      <c r="S39" s="107" t="e">
        <f t="shared" si="65"/>
        <v>#N/A</v>
      </c>
      <c r="T39" s="107" t="e">
        <f t="shared" si="66"/>
        <v>#N/A</v>
      </c>
      <c r="U39" s="431" t="str">
        <f t="shared" ca="1" si="28"/>
        <v/>
      </c>
      <c r="V39" s="107" t="str">
        <f t="shared" ca="1" si="67"/>
        <v/>
      </c>
      <c r="W39" s="455" t="e">
        <f t="shared" si="62"/>
        <v>#N/A</v>
      </c>
      <c r="X39" s="639"/>
      <c r="Y39" s="429"/>
      <c r="Z39" t="str">
        <f t="shared" si="10"/>
        <v/>
      </c>
      <c r="AA39" s="176" t="str">
        <f t="shared" si="4"/>
        <v/>
      </c>
      <c r="AB39" t="str">
        <f t="shared" si="5"/>
        <v/>
      </c>
      <c r="AC39" s="141" t="str">
        <f t="shared" si="6"/>
        <v/>
      </c>
      <c r="AD39" s="455" t="str">
        <f t="shared" si="11"/>
        <v/>
      </c>
    </row>
    <row r="40" spans="1:30" x14ac:dyDescent="0.2">
      <c r="A40" s="176"/>
      <c r="F40" s="90"/>
      <c r="H40" s="90" t="str">
        <f t="shared" ref="H40:H41" si="68">IF(A40="",(""),IF(A40="Urbano Edif",(IF(G40-(F40/50*($C$2-(YEAR(G40))))&lt;1,(0.01),((F40-(F40/50*($C$2-(YEAR(G40)))))))),(F40)))</f>
        <v/>
      </c>
      <c r="I40" s="176"/>
      <c r="N40" s="90"/>
      <c r="P40" s="90" t="str">
        <f t="shared" ref="P40:P41" si="69">IF(I40="",(""),IF(I40="Urbano Edif",(IF(O40-(N40/50*($C$2-(YEAR(O40))))&lt;1,(0.01),((N40-(N40/50*($C$2-(YEAR(O40)))))))),(N40)))</f>
        <v/>
      </c>
      <c r="Q40" s="104">
        <f t="shared" si="63"/>
        <v>0</v>
      </c>
      <c r="R40" s="107" t="e">
        <f t="shared" si="64"/>
        <v>#N/A</v>
      </c>
      <c r="S40" s="107" t="e">
        <f t="shared" si="65"/>
        <v>#N/A</v>
      </c>
      <c r="T40" s="107" t="e">
        <f t="shared" si="66"/>
        <v>#N/A</v>
      </c>
      <c r="U40" s="431" t="str">
        <f t="shared" ca="1" si="28"/>
        <v/>
      </c>
      <c r="V40" s="107" t="str">
        <f t="shared" ca="1" si="67"/>
        <v/>
      </c>
      <c r="W40" s="455" t="e">
        <f t="shared" si="62"/>
        <v>#N/A</v>
      </c>
      <c r="X40" s="639"/>
      <c r="Y40" s="429"/>
      <c r="Z40" t="str">
        <f t="shared" si="10"/>
        <v/>
      </c>
      <c r="AA40" s="176" t="str">
        <f t="shared" si="4"/>
        <v/>
      </c>
      <c r="AB40" t="str">
        <f t="shared" si="5"/>
        <v/>
      </c>
      <c r="AC40" s="141" t="str">
        <f t="shared" si="6"/>
        <v/>
      </c>
      <c r="AD40" s="455" t="str">
        <f t="shared" si="11"/>
        <v/>
      </c>
    </row>
    <row r="41" spans="1:30" x14ac:dyDescent="0.2">
      <c r="A41" s="103"/>
      <c r="B41" s="144"/>
      <c r="C41" s="144"/>
      <c r="D41" s="144"/>
      <c r="E41" s="144"/>
      <c r="F41" s="315"/>
      <c r="G41" s="144"/>
      <c r="H41" s="315" t="str">
        <f t="shared" si="68"/>
        <v/>
      </c>
      <c r="I41" s="103"/>
      <c r="J41" s="144"/>
      <c r="K41" s="144"/>
      <c r="L41" s="144"/>
      <c r="M41" s="144"/>
      <c r="N41" s="315"/>
      <c r="O41" s="144"/>
      <c r="P41" s="315" t="str">
        <f t="shared" si="69"/>
        <v/>
      </c>
      <c r="Q41" s="176">
        <f>K31</f>
        <v>0</v>
      </c>
      <c r="R41" s="107" t="e">
        <f t="shared" si="64"/>
        <v>#N/A</v>
      </c>
      <c r="S41" s="141" t="e">
        <f>INDEX($A$31:$C$36,(MATCH(Q41,$C$31:$C$36,(0))),2)</f>
        <v>#N/A</v>
      </c>
      <c r="T41" s="141" t="e">
        <f>INDEX($N$31:$N$36,(MATCH(Q41,$C$31:$C$36,(0))),1)</f>
        <v>#N/A</v>
      </c>
      <c r="U41" s="431" t="str">
        <f t="shared" ca="1" si="28"/>
        <v/>
      </c>
      <c r="V41" s="107" t="e">
        <f ca="1">INDEX($P$31:$P$36,(MATCH(U41,$C$31:$C$36,(0))),1)</f>
        <v>#N/A</v>
      </c>
      <c r="W41" s="376" t="e">
        <f>INDEX($I$31:$N$36,(MATCH(Q41,$K$31:$K$36,(0))),5)</f>
        <v>#N/A</v>
      </c>
      <c r="X41" s="639"/>
      <c r="Y41" s="429"/>
      <c r="Z41" t="str">
        <f t="shared" si="10"/>
        <v/>
      </c>
      <c r="AA41" s="176" t="str">
        <f t="shared" si="4"/>
        <v/>
      </c>
      <c r="AB41" t="str">
        <f t="shared" si="5"/>
        <v/>
      </c>
      <c r="AC41" s="141" t="str">
        <f t="shared" si="6"/>
        <v/>
      </c>
      <c r="AD41" s="455" t="str">
        <f t="shared" si="11"/>
        <v/>
      </c>
    </row>
    <row r="42" spans="1:30" x14ac:dyDescent="0.2">
      <c r="Q42" s="176">
        <f t="shared" ref="Q42:Q46" si="70">K32</f>
        <v>0</v>
      </c>
      <c r="R42" s="107" t="e">
        <f t="shared" si="64"/>
        <v>#N/A</v>
      </c>
      <c r="S42" s="141" t="e">
        <f t="shared" ref="S42:S46" si="71">INDEX($A$31:$C$36,(MATCH(Q42,$C$31:$C$36,(0))),2)</f>
        <v>#N/A</v>
      </c>
      <c r="T42" s="141" t="e">
        <f t="shared" ref="T42:T46" si="72">INDEX($N$31:$N$36,(MATCH(Q42,$C$31:$C$36,(0))),1)</f>
        <v>#N/A</v>
      </c>
      <c r="U42" s="431" t="str">
        <f t="shared" ca="1" si="28"/>
        <v/>
      </c>
      <c r="V42" s="107" t="e">
        <f t="shared" ref="V42:V46" ca="1" si="73">INDEX($P$31:$P$36,(MATCH(U42,$C$31:$C$36,(0))),1)</f>
        <v>#N/A</v>
      </c>
      <c r="W42" s="376" t="e">
        <f t="shared" ref="W42:W46" si="74">INDEX($I$31:$N$36,(MATCH(Q42,$K$31:$K$36,(0))),5)</f>
        <v>#N/A</v>
      </c>
      <c r="X42" s="639"/>
      <c r="Y42" s="429"/>
      <c r="Z42" t="str">
        <f t="shared" si="10"/>
        <v/>
      </c>
      <c r="AA42" s="176" t="str">
        <f t="shared" si="4"/>
        <v/>
      </c>
      <c r="AB42" t="str">
        <f t="shared" si="5"/>
        <v/>
      </c>
      <c r="AC42" s="141" t="str">
        <f t="shared" si="6"/>
        <v/>
      </c>
      <c r="AD42" s="455" t="str">
        <f t="shared" si="11"/>
        <v/>
      </c>
    </row>
    <row r="43" spans="1:30" x14ac:dyDescent="0.2">
      <c r="Q43" s="176">
        <f t="shared" si="70"/>
        <v>0</v>
      </c>
      <c r="R43" s="107" t="e">
        <f t="shared" si="64"/>
        <v>#N/A</v>
      </c>
      <c r="S43" s="141" t="e">
        <f t="shared" si="71"/>
        <v>#N/A</v>
      </c>
      <c r="T43" s="141" t="e">
        <f t="shared" si="72"/>
        <v>#N/A</v>
      </c>
      <c r="U43" s="431" t="str">
        <f t="shared" ca="1" si="28"/>
        <v/>
      </c>
      <c r="V43" s="107" t="e">
        <f t="shared" ca="1" si="73"/>
        <v>#N/A</v>
      </c>
      <c r="W43" s="376" t="e">
        <f t="shared" si="74"/>
        <v>#N/A</v>
      </c>
      <c r="X43" s="639"/>
      <c r="Y43" s="429"/>
      <c r="Z43" t="str">
        <f t="shared" si="10"/>
        <v/>
      </c>
      <c r="AA43" s="176" t="str">
        <f t="shared" si="4"/>
        <v/>
      </c>
      <c r="AB43" t="str">
        <f t="shared" si="5"/>
        <v/>
      </c>
      <c r="AC43" s="141" t="str">
        <f t="shared" si="6"/>
        <v/>
      </c>
      <c r="AD43" s="455" t="str">
        <f t="shared" si="11"/>
        <v/>
      </c>
    </row>
    <row r="44" spans="1:30" ht="18" x14ac:dyDescent="0.25">
      <c r="A44" s="328" t="s">
        <v>254</v>
      </c>
      <c r="B44" s="106"/>
      <c r="C44" s="106"/>
      <c r="D44" s="329" t="s">
        <v>255</v>
      </c>
      <c r="E44" s="330" t="s">
        <v>25</v>
      </c>
      <c r="Q44" s="176">
        <f t="shared" si="70"/>
        <v>0</v>
      </c>
      <c r="R44" s="107" t="e">
        <f t="shared" si="64"/>
        <v>#N/A</v>
      </c>
      <c r="S44" s="141" t="e">
        <f t="shared" si="71"/>
        <v>#N/A</v>
      </c>
      <c r="T44" s="141" t="e">
        <f t="shared" si="72"/>
        <v>#N/A</v>
      </c>
      <c r="U44" s="431" t="str">
        <f t="shared" ca="1" si="28"/>
        <v/>
      </c>
      <c r="V44" s="107" t="e">
        <f t="shared" ca="1" si="73"/>
        <v>#N/A</v>
      </c>
      <c r="W44" s="376" t="e">
        <f t="shared" si="74"/>
        <v>#N/A</v>
      </c>
      <c r="X44" s="639"/>
      <c r="Y44" s="429"/>
      <c r="Z44" t="str">
        <f t="shared" si="10"/>
        <v/>
      </c>
      <c r="AA44" s="176" t="str">
        <f t="shared" si="4"/>
        <v/>
      </c>
      <c r="AB44" t="str">
        <f t="shared" si="5"/>
        <v/>
      </c>
      <c r="AC44" s="141" t="str">
        <f t="shared" si="6"/>
        <v/>
      </c>
      <c r="AD44" s="455" t="str">
        <f t="shared" si="11"/>
        <v/>
      </c>
    </row>
    <row r="45" spans="1:30" ht="14.25" x14ac:dyDescent="0.2">
      <c r="A45" s="331" t="str">
        <f>A3</f>
        <v>Bienes Destinados a la actividad</v>
      </c>
      <c r="B45" s="326"/>
      <c r="C45" s="326"/>
      <c r="D45" s="326"/>
      <c r="E45" s="327"/>
      <c r="Q45" s="176">
        <f t="shared" si="70"/>
        <v>0</v>
      </c>
      <c r="R45" s="107" t="e">
        <f t="shared" si="64"/>
        <v>#N/A</v>
      </c>
      <c r="S45" s="141" t="e">
        <f t="shared" si="71"/>
        <v>#N/A</v>
      </c>
      <c r="T45" s="141" t="e">
        <f t="shared" si="72"/>
        <v>#N/A</v>
      </c>
      <c r="U45" s="431" t="str">
        <f t="shared" ca="1" si="28"/>
        <v/>
      </c>
      <c r="V45" s="107" t="e">
        <f t="shared" ca="1" si="73"/>
        <v>#N/A</v>
      </c>
      <c r="W45" s="376" t="e">
        <f t="shared" si="74"/>
        <v>#N/A</v>
      </c>
      <c r="X45" s="639"/>
      <c r="Y45" s="429"/>
      <c r="Z45" t="str">
        <f t="shared" si="10"/>
        <v/>
      </c>
      <c r="AA45" s="176" t="str">
        <f t="shared" si="4"/>
        <v/>
      </c>
      <c r="AB45" t="str">
        <f t="shared" si="5"/>
        <v/>
      </c>
      <c r="AC45" s="141" t="str">
        <f t="shared" si="6"/>
        <v/>
      </c>
      <c r="AD45" s="455" t="str">
        <f t="shared" si="11"/>
        <v/>
      </c>
    </row>
    <row r="46" spans="1:30" x14ac:dyDescent="0.2">
      <c r="A46" s="176"/>
      <c r="B46" s="176" t="str">
        <f>A4</f>
        <v>Rodados:</v>
      </c>
      <c r="D46" s="90">
        <f>SUM(F6:F11,M6:M11)</f>
        <v>0</v>
      </c>
      <c r="E46" s="181">
        <f>SUM(H6:H11,P6:P11)</f>
        <v>0</v>
      </c>
      <c r="Q46" s="176">
        <f t="shared" si="70"/>
        <v>0</v>
      </c>
      <c r="R46" s="107" t="e">
        <f t="shared" si="64"/>
        <v>#N/A</v>
      </c>
      <c r="S46" s="141" t="e">
        <f t="shared" si="71"/>
        <v>#N/A</v>
      </c>
      <c r="T46" s="141" t="e">
        <f t="shared" si="72"/>
        <v>#N/A</v>
      </c>
      <c r="U46" s="431" t="str">
        <f t="shared" ca="1" si="28"/>
        <v/>
      </c>
      <c r="V46" s="107" t="e">
        <f t="shared" ca="1" si="73"/>
        <v>#N/A</v>
      </c>
      <c r="W46" s="376" t="e">
        <f t="shared" si="74"/>
        <v>#N/A</v>
      </c>
      <c r="X46" s="640"/>
      <c r="Y46" s="429"/>
      <c r="Z46" t="str">
        <f t="shared" si="10"/>
        <v/>
      </c>
      <c r="AA46" s="176" t="str">
        <f t="shared" si="4"/>
        <v/>
      </c>
      <c r="AB46" t="str">
        <f t="shared" si="5"/>
        <v/>
      </c>
      <c r="AC46" s="141" t="str">
        <f t="shared" si="6"/>
        <v/>
      </c>
      <c r="AD46" s="455" t="str">
        <f t="shared" si="11"/>
        <v/>
      </c>
    </row>
    <row r="47" spans="1:30" x14ac:dyDescent="0.2">
      <c r="A47" s="176"/>
      <c r="B47" s="176" t="str">
        <f>A12</f>
        <v>Inmuebles</v>
      </c>
      <c r="D47" s="90">
        <f>SUM(H14:H16,P14:P16)</f>
        <v>0</v>
      </c>
      <c r="E47" s="181">
        <f>SUM(F14:F16,L14:L16)</f>
        <v>0</v>
      </c>
      <c r="Q47" s="104" t="str">
        <f>IF(A39="",(""),(C39))</f>
        <v/>
      </c>
      <c r="R47" s="107" t="str">
        <f>IF(Q47="",(""),(INDEX($A$39:$C$41,(MATCH(Q47,$C$39:$C$41,(0))),(1))))</f>
        <v/>
      </c>
      <c r="S47" s="107" t="str">
        <f>IF(Q47="",(""),(INDEX($A$39:$C$41,(MATCH(Q47,$C$39:$C$41,(0))),(2))))</f>
        <v/>
      </c>
      <c r="T47" s="107" t="str">
        <f>IF(Q47="",(""),(INDEX($F$39:$F$41,(MATCH(Q47,$C$39:$C$41,(0))),(1))))</f>
        <v/>
      </c>
      <c r="U47" s="431" t="str">
        <f t="shared" si="28"/>
        <v/>
      </c>
      <c r="V47" s="107" t="str">
        <f>IF(Q47="",(""),(INDEX($H$39:$H$41,(MATCH(Q47,$C$39:$C$41,(0))),(1))))</f>
        <v/>
      </c>
      <c r="W47" s="455" t="str">
        <f>IF(Q47="",(""),(INDEX($A$39:$G$41,(MATCH(Q47,$C$39:$C$41,(0))),(7))))</f>
        <v/>
      </c>
      <c r="X47" s="635" t="s">
        <v>330</v>
      </c>
      <c r="Y47" s="429"/>
      <c r="Z47" t="str">
        <f t="shared" si="10"/>
        <v/>
      </c>
      <c r="AA47" s="176" t="str">
        <f t="shared" si="4"/>
        <v/>
      </c>
      <c r="AB47" t="str">
        <f t="shared" si="5"/>
        <v/>
      </c>
      <c r="AC47" s="141" t="str">
        <f t="shared" si="6"/>
        <v/>
      </c>
      <c r="AD47" s="455" t="str">
        <f t="shared" si="11"/>
        <v/>
      </c>
    </row>
    <row r="48" spans="1:30" x14ac:dyDescent="0.2">
      <c r="A48" s="176"/>
      <c r="B48" s="176" t="str">
        <f>A17</f>
        <v>Maquinarias</v>
      </c>
      <c r="D48" s="90">
        <f>SUM(F19:F21,M19:M21)</f>
        <v>0</v>
      </c>
      <c r="E48" s="181">
        <f>SUM(H19:H21,P19:P21)</f>
        <v>0</v>
      </c>
      <c r="Q48" s="104" t="str">
        <f t="shared" ref="Q48:Q49" si="75">IF(A40="",(""),(C40))</f>
        <v/>
      </c>
      <c r="R48" s="107" t="str">
        <f t="shared" ref="R48:R49" si="76">IF(Q48="",(""),(INDEX($A$39:$C$41,(MATCH(Q48,$C$39:$C$41,(0))),(1))))</f>
        <v/>
      </c>
      <c r="S48" s="107" t="str">
        <f t="shared" ref="S48:S49" si="77">IF(Q48="",(""),(INDEX($A$39:$C$41,(MATCH(Q48,$C$39:$C$41,(0))),(2))))</f>
        <v/>
      </c>
      <c r="T48" s="107" t="str">
        <f t="shared" ref="T48:T49" si="78">IF(Q48="",(""),(INDEX($F$39:$F$41,(MATCH(Q48,$C$39:$C$41,(0))),(1))))</f>
        <v/>
      </c>
      <c r="U48" s="431" t="str">
        <f t="shared" si="28"/>
        <v/>
      </c>
      <c r="V48" s="107" t="str">
        <f t="shared" ref="V48:V49" si="79">IF(Q48="",(""),(INDEX($H$39:$H$41,(MATCH(Q48,$C$39:$C$41,(0))),(1))))</f>
        <v/>
      </c>
      <c r="W48" s="455" t="str">
        <f>IF(Q48="",(""),(INDEX($A$39:$G$41,(MATCH(Q48,$C$39:$C$41,(0))),(7))))</f>
        <v/>
      </c>
      <c r="X48" s="636"/>
      <c r="Y48" s="429"/>
      <c r="Z48" t="str">
        <f t="shared" si="10"/>
        <v/>
      </c>
      <c r="AA48" s="176" t="str">
        <f t="shared" si="4"/>
        <v/>
      </c>
      <c r="AB48" t="str">
        <f t="shared" si="5"/>
        <v/>
      </c>
      <c r="AC48" s="141" t="str">
        <f t="shared" si="6"/>
        <v/>
      </c>
      <c r="AD48" s="455" t="str">
        <f t="shared" si="11"/>
        <v/>
      </c>
    </row>
    <row r="49" spans="1:30" x14ac:dyDescent="0.2">
      <c r="A49" s="176"/>
      <c r="B49" s="103" t="str">
        <f>A22</f>
        <v>Instalaciones</v>
      </c>
      <c r="C49" s="144"/>
      <c r="D49" s="315">
        <f>SUM(B24:B26,H24:H26)</f>
        <v>0</v>
      </c>
      <c r="E49" s="334">
        <f>SUM(F24:F26,L24:L26)</f>
        <v>0</v>
      </c>
      <c r="Q49" s="104" t="str">
        <f t="shared" si="75"/>
        <v/>
      </c>
      <c r="R49" s="107" t="str">
        <f t="shared" si="76"/>
        <v/>
      </c>
      <c r="S49" s="107" t="str">
        <f t="shared" si="77"/>
        <v/>
      </c>
      <c r="T49" s="107" t="str">
        <f t="shared" si="78"/>
        <v/>
      </c>
      <c r="U49" s="431" t="str">
        <f t="shared" si="28"/>
        <v/>
      </c>
      <c r="V49" s="107" t="str">
        <f t="shared" si="79"/>
        <v/>
      </c>
      <c r="W49" s="455" t="str">
        <f>IF(Q49="",(""),(INDEX($A$39:$G$41,(MATCH(Q49,$C$39:$C$41,(0))),(7))))</f>
        <v/>
      </c>
      <c r="X49" s="636"/>
      <c r="Y49" s="429"/>
      <c r="Z49" t="str">
        <f t="shared" si="10"/>
        <v/>
      </c>
      <c r="AA49" s="176" t="str">
        <f t="shared" si="4"/>
        <v/>
      </c>
      <c r="AB49" t="str">
        <f t="shared" si="5"/>
        <v/>
      </c>
      <c r="AC49" s="141" t="str">
        <f t="shared" si="6"/>
        <v/>
      </c>
      <c r="AD49" s="455" t="str">
        <f t="shared" si="11"/>
        <v/>
      </c>
    </row>
    <row r="50" spans="1:30" x14ac:dyDescent="0.2">
      <c r="A50" s="176"/>
      <c r="C50" s="325" t="s">
        <v>43</v>
      </c>
      <c r="D50" s="335">
        <f>SUM(D46:D49)</f>
        <v>0</v>
      </c>
      <c r="E50" s="336">
        <f>SUM(E46:E49)</f>
        <v>0</v>
      </c>
      <c r="Q50" s="176" t="str">
        <f>IF(I39="",(""),(K39))</f>
        <v/>
      </c>
      <c r="R50" s="141" t="str">
        <f>IF(Q50="",(""),(INDEX($I$39:$K$41,(MATCH(Q50,$K$39:$K$41,(0))),(1))))</f>
        <v/>
      </c>
      <c r="S50" s="141" t="str">
        <f>IF(Q50="",(""),(INDEX($I$39:$K$41,(MATCH(Q50,$K$39:$K$41,(0))),(2))))</f>
        <v/>
      </c>
      <c r="T50" s="141" t="str">
        <f>IF(Q50="",(""),(INDEX($N$39:$N$41,(MATCH(Q50,$K$39:$K$41,(0))),(1))))</f>
        <v/>
      </c>
      <c r="U50" s="431" t="str">
        <f t="shared" ref="U50:U52" si="80">IF(Q50="",(""),(T50-V50))</f>
        <v/>
      </c>
      <c r="V50" s="141" t="str">
        <f>IF(Q50="",(""),(INDEX($P$39:$P$41,(MATCH(Q50,$K$39:$K$41,(0))),(1))))</f>
        <v/>
      </c>
      <c r="W50" s="376" t="str">
        <f>IF(Q50="",(""),(INDEX($I$39:$O$41,(MATCH(Q50,$K$39:$K$41,(0))),(7))))</f>
        <v/>
      </c>
      <c r="X50" s="636"/>
      <c r="Y50" s="429"/>
      <c r="Z50" t="str">
        <f t="shared" si="10"/>
        <v/>
      </c>
      <c r="AA50" s="176" t="str">
        <f t="shared" si="4"/>
        <v/>
      </c>
      <c r="AB50" t="str">
        <f t="shared" si="5"/>
        <v/>
      </c>
      <c r="AC50" s="141" t="str">
        <f t="shared" si="6"/>
        <v/>
      </c>
      <c r="AD50" s="455" t="str">
        <f t="shared" si="11"/>
        <v/>
      </c>
    </row>
    <row r="51" spans="1:30" ht="14.25" x14ac:dyDescent="0.2">
      <c r="A51" s="331" t="str">
        <f>A28</f>
        <v>Bienes Propios no afectados a la explotación</v>
      </c>
      <c r="B51" s="326"/>
      <c r="C51" s="326"/>
      <c r="D51" s="337"/>
      <c r="E51" s="338"/>
      <c r="Q51" s="176" t="str">
        <f t="shared" ref="Q51:Q52" si="81">IF(I40="",(""),(K40))</f>
        <v/>
      </c>
      <c r="R51" s="141" t="str">
        <f t="shared" ref="R51:R52" si="82">IF(Q51="",(""),(INDEX($I$39:$K$41,(MATCH(Q51,$I$39:$I$41,(0))),(1))))</f>
        <v/>
      </c>
      <c r="S51" s="141" t="str">
        <f t="shared" ref="S51:S52" si="83">IF(Q51="",(""),(INDEX($I$39:$K$41,(MATCH(Q51,$I$39:$I$41,(0))),(2))))</f>
        <v/>
      </c>
      <c r="T51" s="141" t="str">
        <f t="shared" ref="T51:T52" si="84">IF(Q51="",(""),(INDEX($N$39:$N$41,(MATCH(Q51,$I$39:$I$41,(0))),(1))))</f>
        <v/>
      </c>
      <c r="U51" s="431" t="str">
        <f t="shared" si="80"/>
        <v/>
      </c>
      <c r="V51" s="141" t="str">
        <f t="shared" ref="V51:V52" si="85">IF(Q51="",(""),(INDEX($P$39:$P$41,(MATCH(Q51,$K$39:$K$41,(0))),(1))))</f>
        <v/>
      </c>
      <c r="W51" s="376" t="str">
        <f>IF(Q51="",(""),(INDEX($I$39:$O$41,(MATCH(Q51,$I$39:$I$41,(0))),(7))))</f>
        <v/>
      </c>
      <c r="X51" s="636"/>
      <c r="Y51" s="429"/>
      <c r="Z51" t="str">
        <f t="shared" si="10"/>
        <v/>
      </c>
      <c r="AA51" s="176" t="str">
        <f t="shared" si="4"/>
        <v/>
      </c>
      <c r="AB51" t="str">
        <f t="shared" si="5"/>
        <v/>
      </c>
      <c r="AC51" s="141" t="str">
        <f t="shared" si="6"/>
        <v/>
      </c>
      <c r="AD51" s="455" t="str">
        <f t="shared" si="11"/>
        <v/>
      </c>
    </row>
    <row r="52" spans="1:30" x14ac:dyDescent="0.2">
      <c r="A52" s="176"/>
      <c r="B52" s="176" t="str">
        <f>A29</f>
        <v>Rodados:</v>
      </c>
      <c r="D52" s="90">
        <f>SUM(F31:F36,M31:M36)</f>
        <v>0</v>
      </c>
      <c r="E52" s="181">
        <f>SUM(H31:H36,P31:P36)</f>
        <v>0</v>
      </c>
      <c r="Q52" s="176" t="str">
        <f t="shared" si="81"/>
        <v/>
      </c>
      <c r="R52" s="141" t="str">
        <f t="shared" si="82"/>
        <v/>
      </c>
      <c r="S52" s="141" t="str">
        <f t="shared" si="83"/>
        <v/>
      </c>
      <c r="T52" s="141" t="str">
        <f t="shared" si="84"/>
        <v/>
      </c>
      <c r="U52" s="431" t="str">
        <f t="shared" si="80"/>
        <v/>
      </c>
      <c r="V52" s="141" t="str">
        <f t="shared" si="85"/>
        <v/>
      </c>
      <c r="W52" s="376" t="str">
        <f>IF(Q52="",(""),(INDEX($I$39:$O$41,(MATCH(Q52,$I$39:$I$41,(0))),(7))))</f>
        <v/>
      </c>
      <c r="X52" s="637"/>
      <c r="Y52" s="429"/>
      <c r="Z52" t="str">
        <f t="shared" si="10"/>
        <v/>
      </c>
      <c r="AA52" s="103" t="str">
        <f t="shared" si="4"/>
        <v/>
      </c>
      <c r="AB52" s="144" t="str">
        <f t="shared" si="5"/>
        <v/>
      </c>
      <c r="AC52" s="145" t="str">
        <f t="shared" si="6"/>
        <v/>
      </c>
      <c r="AD52" s="455" t="str">
        <f t="shared" si="11"/>
        <v/>
      </c>
    </row>
    <row r="53" spans="1:30" x14ac:dyDescent="0.2">
      <c r="A53" s="176"/>
      <c r="B53" s="103" t="str">
        <f>A37</f>
        <v>Inmuebles</v>
      </c>
      <c r="C53" s="144"/>
      <c r="D53" s="315">
        <f>SUM(H39:H41,P39:P41)</f>
        <v>0</v>
      </c>
      <c r="E53" s="334">
        <f>SUM(F39:F41,L39:L41)</f>
        <v>0</v>
      </c>
      <c r="AD53" s="455" t="str">
        <f t="shared" si="11"/>
        <v/>
      </c>
    </row>
    <row r="54" spans="1:30" x14ac:dyDescent="0.2">
      <c r="A54" s="103"/>
      <c r="B54" s="144"/>
      <c r="C54" s="324" t="s">
        <v>43</v>
      </c>
      <c r="D54" s="339">
        <f>SUM(D52:D53)</f>
        <v>0</v>
      </c>
      <c r="E54" s="340">
        <f>SUM(E52:E53)</f>
        <v>0</v>
      </c>
    </row>
    <row r="55" spans="1:30" ht="15.75" x14ac:dyDescent="0.25">
      <c r="A55" s="332" t="s">
        <v>211</v>
      </c>
      <c r="B55" s="333"/>
      <c r="C55" s="333"/>
      <c r="D55" s="341">
        <f>SUM(D54,D50)</f>
        <v>0</v>
      </c>
      <c r="E55" s="341">
        <f>SUM(E54,E50)</f>
        <v>0</v>
      </c>
    </row>
    <row r="57" spans="1:30" ht="23.25" x14ac:dyDescent="0.35">
      <c r="A57" s="320" t="s">
        <v>257</v>
      </c>
    </row>
    <row r="58" spans="1:30" ht="18" x14ac:dyDescent="0.25">
      <c r="A58" s="627" t="s">
        <v>258</v>
      </c>
      <c r="B58" s="628"/>
      <c r="C58" s="628"/>
      <c r="D58" s="628"/>
      <c r="E58" s="628"/>
      <c r="F58" s="628"/>
      <c r="G58" s="628"/>
      <c r="H58" s="628"/>
      <c r="I58" s="628"/>
      <c r="J58" s="628"/>
      <c r="K58" s="628"/>
      <c r="L58" s="628"/>
      <c r="M58" s="628"/>
      <c r="N58" s="628"/>
      <c r="O58" s="628"/>
      <c r="P58" s="629"/>
    </row>
    <row r="59" spans="1:30" ht="18" x14ac:dyDescent="0.25">
      <c r="A59" s="632" t="s">
        <v>369</v>
      </c>
      <c r="B59" s="633"/>
      <c r="C59" s="633"/>
      <c r="D59" s="633"/>
      <c r="E59" s="633"/>
      <c r="F59" s="633"/>
      <c r="G59" s="633"/>
      <c r="H59" s="633"/>
      <c r="I59" s="633" t="s">
        <v>263</v>
      </c>
      <c r="J59" s="633"/>
      <c r="K59" s="633"/>
      <c r="L59" s="633"/>
      <c r="M59" s="633"/>
      <c r="N59" s="633"/>
      <c r="O59" s="633"/>
      <c r="P59" s="634"/>
    </row>
    <row r="60" spans="1:30" x14ac:dyDescent="0.2">
      <c r="A60" s="317" t="s">
        <v>170</v>
      </c>
      <c r="B60" s="318" t="s">
        <v>264</v>
      </c>
      <c r="C60" s="318" t="s">
        <v>269</v>
      </c>
      <c r="D60" s="318" t="s">
        <v>265</v>
      </c>
      <c r="E60" s="318" t="s">
        <v>266</v>
      </c>
      <c r="F60" s="318" t="s">
        <v>361</v>
      </c>
      <c r="G60" s="318" t="s">
        <v>267</v>
      </c>
      <c r="H60" s="319" t="s">
        <v>268</v>
      </c>
      <c r="I60" s="317" t="s">
        <v>170</v>
      </c>
      <c r="J60" s="318" t="s">
        <v>264</v>
      </c>
      <c r="K60" s="318" t="s">
        <v>269</v>
      </c>
      <c r="L60" s="318" t="s">
        <v>265</v>
      </c>
      <c r="M60" s="318" t="s">
        <v>266</v>
      </c>
      <c r="N60" s="318" t="s">
        <v>361</v>
      </c>
      <c r="O60" s="318" t="s">
        <v>267</v>
      </c>
      <c r="P60" s="319" t="s">
        <v>268</v>
      </c>
    </row>
    <row r="61" spans="1:30" x14ac:dyDescent="0.2">
      <c r="A61" s="104"/>
      <c r="B61" s="106"/>
      <c r="C61" s="106"/>
      <c r="D61" s="106"/>
      <c r="E61" s="106"/>
      <c r="F61" s="342"/>
      <c r="G61" s="342"/>
      <c r="H61" s="120"/>
      <c r="I61" s="104"/>
      <c r="J61" s="106"/>
      <c r="K61" s="106"/>
      <c r="L61" s="106"/>
      <c r="M61" s="106"/>
      <c r="N61" s="342"/>
      <c r="O61" s="342"/>
      <c r="P61" s="120"/>
    </row>
    <row r="62" spans="1:30" x14ac:dyDescent="0.2">
      <c r="A62" s="104"/>
      <c r="F62" s="90"/>
      <c r="G62" s="90"/>
      <c r="H62" s="181"/>
      <c r="I62" s="104"/>
      <c r="J62" s="106"/>
      <c r="N62" s="90"/>
      <c r="O62" s="90"/>
      <c r="P62" s="181"/>
    </row>
    <row r="63" spans="1:30" x14ac:dyDescent="0.2">
      <c r="A63" s="104"/>
      <c r="F63" s="90"/>
      <c r="G63" s="90"/>
      <c r="H63" s="181"/>
      <c r="I63" s="104"/>
      <c r="J63" s="106"/>
      <c r="N63" s="90"/>
      <c r="O63" s="90"/>
      <c r="P63" s="181"/>
    </row>
    <row r="64" spans="1:30" x14ac:dyDescent="0.2">
      <c r="A64" s="104"/>
      <c r="F64" s="90"/>
      <c r="G64" s="90"/>
      <c r="H64" s="181"/>
      <c r="I64" s="104"/>
      <c r="J64" s="106"/>
      <c r="N64" s="90"/>
      <c r="O64" s="90"/>
      <c r="P64" s="181"/>
    </row>
    <row r="65" spans="1:16" x14ac:dyDescent="0.2">
      <c r="A65" s="104"/>
      <c r="F65" s="90"/>
      <c r="G65" s="90"/>
      <c r="H65" s="181"/>
      <c r="I65" s="104"/>
      <c r="J65" s="106"/>
      <c r="N65" s="90"/>
      <c r="O65" s="90"/>
      <c r="P65" s="181"/>
    </row>
    <row r="66" spans="1:16" x14ac:dyDescent="0.2">
      <c r="A66" s="416"/>
      <c r="B66" s="144"/>
      <c r="C66" s="144"/>
      <c r="D66" s="144"/>
      <c r="E66" s="144"/>
      <c r="F66" s="315"/>
      <c r="G66" s="315"/>
      <c r="H66" s="334"/>
      <c r="I66" s="416"/>
      <c r="J66" s="106"/>
      <c r="K66" s="144"/>
      <c r="L66" s="144"/>
      <c r="M66" s="144"/>
      <c r="N66" s="315"/>
      <c r="O66" s="315"/>
      <c r="P66" s="334"/>
    </row>
    <row r="67" spans="1:16" ht="18" x14ac:dyDescent="0.25">
      <c r="A67" s="627" t="s">
        <v>259</v>
      </c>
      <c r="B67" s="628"/>
      <c r="C67" s="628"/>
      <c r="D67" s="628"/>
      <c r="E67" s="628"/>
      <c r="F67" s="628"/>
      <c r="G67" s="628"/>
      <c r="H67" s="628"/>
      <c r="I67" s="628"/>
      <c r="J67" s="628"/>
      <c r="K67" s="628"/>
      <c r="L67" s="628"/>
      <c r="M67" s="628"/>
      <c r="N67" s="628"/>
      <c r="O67" s="628"/>
      <c r="P67" s="629"/>
    </row>
    <row r="68" spans="1:16" x14ac:dyDescent="0.2">
      <c r="A68" s="317" t="s">
        <v>170</v>
      </c>
      <c r="B68" s="318" t="s">
        <v>262</v>
      </c>
      <c r="C68" s="318" t="s">
        <v>410</v>
      </c>
      <c r="D68" s="318" t="s">
        <v>260</v>
      </c>
      <c r="E68" s="318" t="s">
        <v>162</v>
      </c>
      <c r="F68" s="318" t="s">
        <v>199</v>
      </c>
      <c r="G68" s="318" t="s">
        <v>261</v>
      </c>
      <c r="H68" s="319" t="s">
        <v>246</v>
      </c>
      <c r="I68" s="317" t="s">
        <v>170</v>
      </c>
      <c r="J68" s="318" t="s">
        <v>262</v>
      </c>
      <c r="K68" s="318" t="s">
        <v>405</v>
      </c>
      <c r="L68" s="318" t="s">
        <v>260</v>
      </c>
      <c r="M68" s="318" t="s">
        <v>162</v>
      </c>
      <c r="N68" s="318" t="s">
        <v>199</v>
      </c>
      <c r="O68" s="318" t="s">
        <v>261</v>
      </c>
      <c r="P68" s="319" t="s">
        <v>246</v>
      </c>
    </row>
    <row r="69" spans="1:16" ht="18" x14ac:dyDescent="0.25">
      <c r="A69" s="632" t="s">
        <v>369</v>
      </c>
      <c r="B69" s="633"/>
      <c r="C69" s="633"/>
      <c r="D69" s="633"/>
      <c r="E69" s="633"/>
      <c r="F69" s="633"/>
      <c r="G69" s="633"/>
      <c r="H69" s="633"/>
      <c r="I69" s="633" t="s">
        <v>263</v>
      </c>
      <c r="J69" s="633"/>
      <c r="K69" s="633"/>
      <c r="L69" s="633"/>
      <c r="M69" s="633"/>
      <c r="N69" s="633"/>
      <c r="O69" s="633"/>
      <c r="P69" s="634"/>
    </row>
    <row r="70" spans="1:16" x14ac:dyDescent="0.2">
      <c r="A70" s="104"/>
      <c r="B70" s="106"/>
      <c r="C70" s="106"/>
      <c r="D70" s="106"/>
      <c r="E70" s="106"/>
      <c r="F70" s="342"/>
      <c r="G70" s="545">
        <f>B70</f>
        <v>0</v>
      </c>
      <c r="H70" s="120">
        <f>G70*D70*C70</f>
        <v>0</v>
      </c>
      <c r="I70" s="104"/>
      <c r="J70" s="545">
        <f>G70</f>
        <v>0</v>
      </c>
      <c r="K70" s="106"/>
      <c r="L70" s="106"/>
      <c r="M70" s="106"/>
      <c r="N70" s="342"/>
      <c r="O70" s="545"/>
      <c r="P70" s="120">
        <f>O70*L70*K70</f>
        <v>0</v>
      </c>
    </row>
    <row r="71" spans="1:16" x14ac:dyDescent="0.2">
      <c r="A71" s="104"/>
      <c r="F71" s="90"/>
      <c r="G71" s="545">
        <f t="shared" ref="G71:G78" si="86">B71</f>
        <v>0</v>
      </c>
      <c r="H71" s="120">
        <f t="shared" ref="H71:H78" si="87">G71*D71*C71</f>
        <v>0</v>
      </c>
      <c r="I71" s="104"/>
      <c r="J71" s="545">
        <f t="shared" ref="J71:J78" si="88">G71</f>
        <v>0</v>
      </c>
      <c r="N71" s="90"/>
      <c r="O71" s="545"/>
      <c r="P71" s="120">
        <f t="shared" ref="P71:P78" si="89">O71*L71*K71</f>
        <v>0</v>
      </c>
    </row>
    <row r="72" spans="1:16" x14ac:dyDescent="0.2">
      <c r="A72" s="104"/>
      <c r="F72" s="90"/>
      <c r="G72" s="545">
        <f t="shared" si="86"/>
        <v>0</v>
      </c>
      <c r="H72" s="120">
        <f t="shared" si="87"/>
        <v>0</v>
      </c>
      <c r="I72" s="104"/>
      <c r="J72" s="545">
        <f t="shared" si="88"/>
        <v>0</v>
      </c>
      <c r="N72" s="90"/>
      <c r="O72" s="545"/>
      <c r="P72" s="120">
        <f t="shared" si="89"/>
        <v>0</v>
      </c>
    </row>
    <row r="73" spans="1:16" x14ac:dyDescent="0.2">
      <c r="A73" s="104"/>
      <c r="F73" s="90"/>
      <c r="G73" s="545">
        <f t="shared" si="86"/>
        <v>0</v>
      </c>
      <c r="H73" s="120">
        <f t="shared" si="87"/>
        <v>0</v>
      </c>
      <c r="I73" s="104"/>
      <c r="J73" s="545">
        <f t="shared" si="88"/>
        <v>0</v>
      </c>
      <c r="N73" s="90"/>
      <c r="O73" s="545"/>
      <c r="P73" s="120">
        <f t="shared" si="89"/>
        <v>0</v>
      </c>
    </row>
    <row r="74" spans="1:16" x14ac:dyDescent="0.2">
      <c r="A74" s="104"/>
      <c r="F74" s="90"/>
      <c r="G74" s="545">
        <f t="shared" si="86"/>
        <v>0</v>
      </c>
      <c r="H74" s="120">
        <f t="shared" si="87"/>
        <v>0</v>
      </c>
      <c r="I74" s="104"/>
      <c r="J74" s="545">
        <f t="shared" si="88"/>
        <v>0</v>
      </c>
      <c r="N74" s="90"/>
      <c r="O74" s="545"/>
      <c r="P74" s="120">
        <f t="shared" si="89"/>
        <v>0</v>
      </c>
    </row>
    <row r="75" spans="1:16" x14ac:dyDescent="0.2">
      <c r="A75" s="104"/>
      <c r="B75" s="144"/>
      <c r="C75" s="144"/>
      <c r="D75" s="144"/>
      <c r="E75" s="144"/>
      <c r="F75" s="315"/>
      <c r="G75" s="545">
        <f t="shared" si="86"/>
        <v>0</v>
      </c>
      <c r="H75" s="120">
        <f t="shared" si="87"/>
        <v>0</v>
      </c>
      <c r="I75" s="104"/>
      <c r="J75" s="545">
        <f t="shared" si="88"/>
        <v>0</v>
      </c>
      <c r="K75" s="144"/>
      <c r="L75" s="144"/>
      <c r="M75" s="144"/>
      <c r="N75" s="315"/>
      <c r="O75" s="545"/>
      <c r="P75" s="120">
        <f t="shared" si="89"/>
        <v>0</v>
      </c>
    </row>
    <row r="76" spans="1:16" x14ac:dyDescent="0.2">
      <c r="A76" s="104"/>
      <c r="B76" s="144"/>
      <c r="C76" s="144"/>
      <c r="D76" s="144"/>
      <c r="E76" s="144"/>
      <c r="F76" s="315"/>
      <c r="G76" s="545">
        <f t="shared" si="86"/>
        <v>0</v>
      </c>
      <c r="H76" s="120">
        <f t="shared" si="87"/>
        <v>0</v>
      </c>
      <c r="I76" s="104"/>
      <c r="J76" s="545">
        <f t="shared" si="88"/>
        <v>0</v>
      </c>
      <c r="K76" s="144"/>
      <c r="L76" s="144"/>
      <c r="M76" s="144"/>
      <c r="N76" s="315"/>
      <c r="O76" s="545"/>
      <c r="P76" s="120">
        <f t="shared" si="89"/>
        <v>0</v>
      </c>
    </row>
    <row r="77" spans="1:16" x14ac:dyDescent="0.2">
      <c r="A77" s="104"/>
      <c r="B77" s="144"/>
      <c r="C77" s="144"/>
      <c r="D77" s="144"/>
      <c r="E77" s="144"/>
      <c r="F77" s="315"/>
      <c r="G77" s="545">
        <f t="shared" si="86"/>
        <v>0</v>
      </c>
      <c r="H77" s="120">
        <f t="shared" si="87"/>
        <v>0</v>
      </c>
      <c r="I77" s="104"/>
      <c r="J77" s="545">
        <f t="shared" si="88"/>
        <v>0</v>
      </c>
      <c r="K77" s="144"/>
      <c r="L77" s="144"/>
      <c r="M77" s="144"/>
      <c r="N77" s="315"/>
      <c r="O77" s="545"/>
      <c r="P77" s="120">
        <f t="shared" si="89"/>
        <v>0</v>
      </c>
    </row>
    <row r="78" spans="1:16" x14ac:dyDescent="0.2">
      <c r="A78" s="104"/>
      <c r="B78" s="144"/>
      <c r="C78" s="144"/>
      <c r="D78" s="144"/>
      <c r="E78" s="144"/>
      <c r="F78" s="315"/>
      <c r="G78" s="545">
        <f t="shared" si="86"/>
        <v>0</v>
      </c>
      <c r="H78" s="120">
        <f t="shared" si="87"/>
        <v>0</v>
      </c>
      <c r="I78" s="104"/>
      <c r="J78" s="545">
        <f t="shared" si="88"/>
        <v>0</v>
      </c>
      <c r="K78" s="144"/>
      <c r="L78" s="144"/>
      <c r="M78" s="144"/>
      <c r="N78" s="315"/>
      <c r="O78" s="545"/>
      <c r="P78" s="120">
        <f t="shared" si="89"/>
        <v>0</v>
      </c>
    </row>
    <row r="79" spans="1:16" x14ac:dyDescent="0.2">
      <c r="B79" s="176"/>
      <c r="I79" s="176"/>
    </row>
  </sheetData>
  <mergeCells count="18">
    <mergeCell ref="A69:H69"/>
    <mergeCell ref="I69:P69"/>
    <mergeCell ref="X47:X52"/>
    <mergeCell ref="X5:X16"/>
    <mergeCell ref="X35:X46"/>
    <mergeCell ref="X17:X22"/>
    <mergeCell ref="X23:X28"/>
    <mergeCell ref="X29:X34"/>
    <mergeCell ref="A58:P58"/>
    <mergeCell ref="A67:P67"/>
    <mergeCell ref="A59:H59"/>
    <mergeCell ref="I59:P59"/>
    <mergeCell ref="A37:P37"/>
    <mergeCell ref="A4:P4"/>
    <mergeCell ref="A12:P12"/>
    <mergeCell ref="A17:P17"/>
    <mergeCell ref="A22:P22"/>
    <mergeCell ref="A29:P29"/>
  </mergeCells>
  <conditionalFormatting sqref="Y1:Y1048576">
    <cfRule type="containsText" dxfId="1" priority="2" operator="containsText" text="0">
      <formula>NOT(ISERROR(SEARCH("0",Y1)))</formula>
    </cfRule>
  </conditionalFormatting>
  <conditionalFormatting sqref="Z5:Z52">
    <cfRule type="cellIs" dxfId="0" priority="1" operator="equal">
      <formula>"Error. No se ha completado con la información necesaria"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183596D2-E4B6-4B21-A640-831D600F3CD4}">
          <x14:formula1>
            <xm:f>'Base de Datos'!$J$4:$J$10</xm:f>
          </x14:formula1>
          <xm:sqref>A6:A11 I6:I11 A31:A36 I31:I36</xm:sqref>
        </x14:dataValidation>
        <x14:dataValidation type="list" allowBlank="1" showInputMessage="1" showErrorMessage="1" xr:uid="{BB059D1C-BADE-43C6-95C1-7C1F4EE10BEF}">
          <x14:formula1>
            <xm:f>'Base de Datos'!$A$14:$A$17</xm:f>
          </x14:formula1>
          <xm:sqref>I14:I16 A14:A16 I39:I41 A39:A41</xm:sqref>
        </x14:dataValidation>
        <x14:dataValidation type="list" allowBlank="1" showInputMessage="1" showErrorMessage="1" xr:uid="{8F160FFB-AB95-4151-BCF6-E93BAA924575}">
          <x14:formula1>
            <xm:f>'Base de Datos'!$L$4:$L$8</xm:f>
          </x14:formula1>
          <xm:sqref>A19:A21 I19:I21</xm:sqref>
        </x14:dataValidation>
        <x14:dataValidation type="list" allowBlank="1" showInputMessage="1" showErrorMessage="1" xr:uid="{6C1838CB-BD8C-46F3-8E93-A208219B8B66}">
          <x14:formula1>
            <xm:f>'Base de Datos'!$P$4:$P$13</xm:f>
          </x14:formula1>
          <xm:sqref>A61:A66 I61:I66</xm:sqref>
        </x14:dataValidation>
        <x14:dataValidation type="list" allowBlank="1" showInputMessage="1" showErrorMessage="1" xr:uid="{2C62B586-AAC1-4B98-B2C7-860C02F08121}">
          <x14:formula1>
            <xm:f>'Base de Datos'!$N$4:$N$11</xm:f>
          </x14:formula1>
          <xm:sqref>A70:A78 I70:I78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N78"/>
  <sheetViews>
    <sheetView topLeftCell="C1" workbookViewId="0">
      <selection activeCell="H7" sqref="H7"/>
    </sheetView>
  </sheetViews>
  <sheetFormatPr baseColWidth="10" defaultRowHeight="12.75" x14ac:dyDescent="0.2"/>
  <cols>
    <col min="1" max="1" width="5.140625" customWidth="1"/>
    <col min="2" max="2" width="5.85546875" customWidth="1"/>
    <col min="3" max="3" width="38" customWidth="1"/>
    <col min="4" max="4" width="16.140625" customWidth="1"/>
    <col min="5" max="5" width="21" bestFit="1" customWidth="1"/>
    <col min="6" max="6" width="17.28515625" customWidth="1"/>
    <col min="7" max="7" width="13.5703125" customWidth="1"/>
    <col min="8" max="8" width="9" customWidth="1"/>
    <col min="9" max="9" width="16.140625" customWidth="1"/>
    <col min="12" max="12" width="16.5703125" customWidth="1"/>
    <col min="13" max="13" width="15.42578125" customWidth="1"/>
    <col min="14" max="14" width="5.7109375" customWidth="1"/>
  </cols>
  <sheetData>
    <row r="1" spans="1:14" x14ac:dyDescent="0.2">
      <c r="A1" t="s">
        <v>239</v>
      </c>
    </row>
    <row r="3" spans="1:14" ht="13.5" thickBot="1" x14ac:dyDescent="0.25"/>
    <row r="4" spans="1:14" ht="13.5" thickBot="1" x14ac:dyDescent="0.25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42"/>
    </row>
    <row r="5" spans="1:14" ht="15.75" thickBot="1" x14ac:dyDescent="0.3">
      <c r="B5" s="27"/>
      <c r="C5" s="654" t="s">
        <v>31</v>
      </c>
      <c r="D5" s="655"/>
      <c r="G5" s="667" t="s">
        <v>32</v>
      </c>
      <c r="H5" s="668"/>
      <c r="I5" s="668"/>
      <c r="J5" s="668"/>
      <c r="K5" s="668"/>
      <c r="L5" s="668"/>
      <c r="M5" s="669"/>
      <c r="N5" s="40"/>
    </row>
    <row r="6" spans="1:14" ht="30.75" thickBot="1" x14ac:dyDescent="0.25">
      <c r="B6" s="27"/>
      <c r="C6" s="50" t="s">
        <v>33</v>
      </c>
      <c r="D6" s="51">
        <f>F78</f>
        <v>0</v>
      </c>
      <c r="E6" s="526"/>
      <c r="G6" s="74" t="s">
        <v>34</v>
      </c>
      <c r="H6" s="89" t="s">
        <v>77</v>
      </c>
      <c r="I6" s="75" t="s">
        <v>35</v>
      </c>
      <c r="J6" s="75" t="s">
        <v>36</v>
      </c>
      <c r="K6" s="75" t="s">
        <v>37</v>
      </c>
      <c r="L6" s="75" t="s">
        <v>38</v>
      </c>
      <c r="M6" s="76" t="s">
        <v>39</v>
      </c>
      <c r="N6" s="40"/>
    </row>
    <row r="7" spans="1:14" ht="15.75" thickBot="1" x14ac:dyDescent="0.3">
      <c r="B7" s="27"/>
      <c r="C7" s="70" t="s">
        <v>40</v>
      </c>
      <c r="D7" s="71" t="e">
        <f>-SUM(D8:D16)</f>
        <v>#N/A</v>
      </c>
      <c r="G7" s="78">
        <v>1</v>
      </c>
      <c r="H7" s="86">
        <v>385732.49</v>
      </c>
      <c r="I7" s="82" t="e">
        <f>+$L$33</f>
        <v>#N/A</v>
      </c>
      <c r="J7" s="81">
        <f>'Base de Datos'!$H$42</f>
        <v>7694.0074999999997</v>
      </c>
      <c r="K7" s="80">
        <f>'Base de Datos'!H31</f>
        <v>4261.5324000000001</v>
      </c>
      <c r="L7" s="84">
        <f>K7/J7</f>
        <v>0.55387681906990605</v>
      </c>
      <c r="M7" s="83" t="e">
        <f>(+I7+H7)*L7</f>
        <v>#N/A</v>
      </c>
      <c r="N7" s="40"/>
    </row>
    <row r="8" spans="1:14" ht="15.75" thickBot="1" x14ac:dyDescent="0.3">
      <c r="B8" s="27"/>
      <c r="C8" s="65" t="s">
        <v>61</v>
      </c>
      <c r="D8" s="72" t="e">
        <f>DDJJ!B262</f>
        <v>#N/A</v>
      </c>
      <c r="G8" s="77">
        <v>2</v>
      </c>
      <c r="H8" s="87"/>
      <c r="I8" s="82" t="e">
        <f>+$L$33</f>
        <v>#N/A</v>
      </c>
      <c r="J8" s="81">
        <f>'Base de Datos'!$H$42</f>
        <v>7694.0074999999997</v>
      </c>
      <c r="K8" s="80">
        <f>'Base de Datos'!H32</f>
        <v>4825.7880999999998</v>
      </c>
      <c r="L8" s="84">
        <f t="shared" ref="L8:L17" si="0">K8/J8</f>
        <v>0.62721385441851984</v>
      </c>
      <c r="M8" s="83" t="e">
        <f t="shared" ref="M8:M18" si="1">(+I8+H8)*L8</f>
        <v>#N/A</v>
      </c>
      <c r="N8" s="40"/>
    </row>
    <row r="9" spans="1:14" ht="15.75" thickBot="1" x14ac:dyDescent="0.3">
      <c r="B9" s="27"/>
      <c r="C9" s="27"/>
      <c r="D9" s="52"/>
      <c r="G9" s="77">
        <v>3</v>
      </c>
      <c r="H9" s="87">
        <v>31700000</v>
      </c>
      <c r="I9" s="82" t="e">
        <f t="shared" ref="I9:I18" si="2">+$L$33</f>
        <v>#N/A</v>
      </c>
      <c r="J9" s="81">
        <f>'Base de Datos'!$H$42</f>
        <v>7694.0074999999997</v>
      </c>
      <c r="K9" s="80">
        <f>'Base de Datos'!H33</f>
        <v>5357.0928999999996</v>
      </c>
      <c r="L9" s="84">
        <f t="shared" si="0"/>
        <v>0.6962682191302777</v>
      </c>
      <c r="M9" s="83" t="e">
        <f t="shared" si="1"/>
        <v>#N/A</v>
      </c>
      <c r="N9" s="40"/>
    </row>
    <row r="10" spans="1:14" ht="15.75" thickBot="1" x14ac:dyDescent="0.3">
      <c r="B10" s="27"/>
      <c r="C10" s="27"/>
      <c r="D10" s="52"/>
      <c r="G10" s="77">
        <v>4</v>
      </c>
      <c r="H10" s="87"/>
      <c r="I10" s="82" t="e">
        <f t="shared" si="2"/>
        <v>#N/A</v>
      </c>
      <c r="J10" s="81">
        <f>'Base de Datos'!$H$42</f>
        <v>7694.0074999999997</v>
      </c>
      <c r="K10" s="80">
        <f>'Base de Datos'!H34</f>
        <v>5830.2271000000001</v>
      </c>
      <c r="L10" s="84">
        <f t="shared" si="0"/>
        <v>0.75776207652513994</v>
      </c>
      <c r="M10" s="83" t="e">
        <f t="shared" si="1"/>
        <v>#N/A</v>
      </c>
      <c r="N10" s="40"/>
    </row>
    <row r="11" spans="1:14" ht="15.75" thickBot="1" x14ac:dyDescent="0.3">
      <c r="B11" s="27"/>
      <c r="C11" s="27"/>
      <c r="D11" s="52"/>
      <c r="G11" s="77">
        <v>5</v>
      </c>
      <c r="H11" s="87"/>
      <c r="I11" s="82" t="e">
        <f t="shared" si="2"/>
        <v>#N/A</v>
      </c>
      <c r="J11" s="81">
        <f>'Base de Datos'!$H$42</f>
        <v>7694.0074999999997</v>
      </c>
      <c r="K11" s="80">
        <f>'Base de Datos'!H35</f>
        <v>6073.7165000000005</v>
      </c>
      <c r="L11" s="84">
        <f t="shared" si="0"/>
        <v>0.7894087054113218</v>
      </c>
      <c r="M11" s="83" t="e">
        <f t="shared" si="1"/>
        <v>#N/A</v>
      </c>
      <c r="N11" s="40"/>
    </row>
    <row r="12" spans="1:14" ht="15.75" thickBot="1" x14ac:dyDescent="0.3">
      <c r="B12" s="27"/>
      <c r="C12" s="27"/>
      <c r="D12" s="52"/>
      <c r="G12" s="77">
        <v>6</v>
      </c>
      <c r="H12" s="87"/>
      <c r="I12" s="82" t="e">
        <f t="shared" si="2"/>
        <v>#N/A</v>
      </c>
      <c r="J12" s="81">
        <f>'Base de Datos'!$H$42</f>
        <v>7694.0074999999997</v>
      </c>
      <c r="K12" s="80">
        <f>'Base de Datos'!H36</f>
        <v>6351.7145</v>
      </c>
      <c r="L12" s="84">
        <f t="shared" si="0"/>
        <v>0.82554046119658708</v>
      </c>
      <c r="M12" s="83" t="e">
        <f t="shared" si="1"/>
        <v>#N/A</v>
      </c>
      <c r="N12" s="40"/>
    </row>
    <row r="13" spans="1:14" ht="15.75" thickBot="1" x14ac:dyDescent="0.3">
      <c r="B13" s="27"/>
      <c r="C13" s="27"/>
      <c r="D13" s="52"/>
      <c r="G13" s="77">
        <v>7</v>
      </c>
      <c r="H13" s="87"/>
      <c r="I13" s="82" t="e">
        <f t="shared" si="2"/>
        <v>#N/A</v>
      </c>
      <c r="J13" s="81">
        <f>'Base de Datos'!$H$42</f>
        <v>7694.0074999999997</v>
      </c>
      <c r="K13" s="80">
        <f>'Base de Datos'!H37</f>
        <v>6607.7479000000003</v>
      </c>
      <c r="L13" s="84">
        <f t="shared" si="0"/>
        <v>0.85881744981402741</v>
      </c>
      <c r="M13" s="83" t="e">
        <f t="shared" si="1"/>
        <v>#N/A</v>
      </c>
      <c r="N13" s="40"/>
    </row>
    <row r="14" spans="1:14" ht="15.75" thickBot="1" x14ac:dyDescent="0.3">
      <c r="B14" s="27"/>
      <c r="C14" s="27"/>
      <c r="D14" s="52"/>
      <c r="G14" s="77">
        <v>8</v>
      </c>
      <c r="H14" s="87"/>
      <c r="I14" s="82" t="e">
        <f t="shared" si="2"/>
        <v>#N/A</v>
      </c>
      <c r="J14" s="81">
        <f>'Base de Datos'!$H$42</f>
        <v>7694.0074999999997</v>
      </c>
      <c r="K14" s="80">
        <f>'Base de Datos'!H38</f>
        <v>6883.4412000000002</v>
      </c>
      <c r="L14" s="84">
        <f t="shared" si="0"/>
        <v>0.89464966079120667</v>
      </c>
      <c r="M14" s="83" t="e">
        <f t="shared" si="1"/>
        <v>#N/A</v>
      </c>
      <c r="N14" s="40"/>
    </row>
    <row r="15" spans="1:14" ht="15.75" thickBot="1" x14ac:dyDescent="0.3">
      <c r="B15" s="27"/>
      <c r="C15" s="27"/>
      <c r="D15" s="52"/>
      <c r="G15" s="77">
        <v>9</v>
      </c>
      <c r="H15" s="87"/>
      <c r="I15" s="82" t="e">
        <f t="shared" si="2"/>
        <v>#N/A</v>
      </c>
      <c r="J15" s="81">
        <f>'Base de Datos'!$H$42</f>
        <v>7694.0074999999997</v>
      </c>
      <c r="K15" s="80">
        <f>'Base de Datos'!H39</f>
        <v>7122.2421000000004</v>
      </c>
      <c r="L15" s="84">
        <f t="shared" si="0"/>
        <v>0.92568691933300051</v>
      </c>
      <c r="M15" s="83" t="e">
        <f t="shared" si="1"/>
        <v>#N/A</v>
      </c>
      <c r="N15" s="40"/>
    </row>
    <row r="16" spans="1:14" ht="15.75" thickBot="1" x14ac:dyDescent="0.3">
      <c r="B16" s="27"/>
      <c r="C16" s="28"/>
      <c r="D16" s="53"/>
      <c r="G16" s="77">
        <v>10</v>
      </c>
      <c r="H16" s="87"/>
      <c r="I16" s="82" t="e">
        <f t="shared" si="2"/>
        <v>#N/A</v>
      </c>
      <c r="J16" s="81">
        <f>'Base de Datos'!$H$42</f>
        <v>7694.0074999999997</v>
      </c>
      <c r="K16" s="80">
        <f>'Base de Datos'!H40</f>
        <v>7313.9542000000001</v>
      </c>
      <c r="L16" s="84">
        <f t="shared" si="0"/>
        <v>0.9506039862841309</v>
      </c>
      <c r="M16" s="83" t="e">
        <f t="shared" si="1"/>
        <v>#N/A</v>
      </c>
      <c r="N16" s="40"/>
    </row>
    <row r="17" spans="2:14" ht="15.75" thickBot="1" x14ac:dyDescent="0.3">
      <c r="B17" s="27"/>
      <c r="C17" s="54" t="s">
        <v>41</v>
      </c>
      <c r="D17" s="55" t="e">
        <f>D6+D7</f>
        <v>#N/A</v>
      </c>
      <c r="E17" s="4"/>
      <c r="G17" s="77">
        <v>11</v>
      </c>
      <c r="H17" s="87"/>
      <c r="I17" s="82" t="e">
        <f t="shared" si="2"/>
        <v>#N/A</v>
      </c>
      <c r="J17" s="81">
        <f>'Base de Datos'!$H$42</f>
        <v>7694.0074999999997</v>
      </c>
      <c r="K17" s="80">
        <f>'Base de Datos'!H41</f>
        <v>7491.4314000000004</v>
      </c>
      <c r="L17" s="84">
        <f t="shared" si="0"/>
        <v>0.97367092506733333</v>
      </c>
      <c r="M17" s="83" t="e">
        <f t="shared" si="1"/>
        <v>#N/A</v>
      </c>
      <c r="N17" s="40"/>
    </row>
    <row r="18" spans="2:14" ht="15.75" thickBot="1" x14ac:dyDescent="0.3">
      <c r="B18" s="27"/>
      <c r="D18" s="5"/>
      <c r="E18" s="4"/>
      <c r="G18" s="79">
        <v>12</v>
      </c>
      <c r="H18" s="88">
        <v>17942081.52</v>
      </c>
      <c r="I18" s="82" t="e">
        <f t="shared" si="2"/>
        <v>#N/A</v>
      </c>
      <c r="J18" s="81">
        <f>'Base de Datos'!$H$42</f>
        <v>7694.0074999999997</v>
      </c>
      <c r="K18" s="80">
        <f>'Base de Datos'!H42</f>
        <v>7694.0074999999997</v>
      </c>
      <c r="L18" s="84">
        <f>(J18/K18)-1</f>
        <v>0</v>
      </c>
      <c r="M18" s="83" t="e">
        <f t="shared" si="1"/>
        <v>#N/A</v>
      </c>
      <c r="N18" s="40"/>
    </row>
    <row r="19" spans="2:14" ht="15.75" thickBot="1" x14ac:dyDescent="0.3">
      <c r="B19" s="27"/>
      <c r="C19" s="68" t="s">
        <v>42</v>
      </c>
      <c r="D19" s="69">
        <f>DDJJ!C192</f>
        <v>0</v>
      </c>
      <c r="G19" s="670" t="s">
        <v>43</v>
      </c>
      <c r="H19" s="671"/>
      <c r="I19" s="672"/>
      <c r="J19" s="672"/>
      <c r="K19" s="672"/>
      <c r="L19" s="672"/>
      <c r="M19" s="29" t="e">
        <f>SUM(M7:M18)</f>
        <v>#N/A</v>
      </c>
      <c r="N19" s="40"/>
    </row>
    <row r="20" spans="2:14" ht="15.75" thickBot="1" x14ac:dyDescent="0.3">
      <c r="B20" s="27"/>
      <c r="C20" s="68" t="s">
        <v>62</v>
      </c>
      <c r="D20" s="73">
        <f>'Base de Datos'!H42/'Base de Datos'!H30</f>
        <v>2.1776362746413853</v>
      </c>
      <c r="G20" s="30"/>
      <c r="H20" s="31"/>
      <c r="I20" s="31"/>
      <c r="J20" s="31"/>
      <c r="K20" s="31"/>
      <c r="L20" s="31"/>
      <c r="M20" s="32"/>
      <c r="N20" s="40"/>
    </row>
    <row r="21" spans="2:14" ht="15.75" customHeight="1" thickBot="1" x14ac:dyDescent="0.3">
      <c r="B21" s="27"/>
      <c r="C21" s="54" t="s">
        <v>44</v>
      </c>
      <c r="D21" s="55" t="e">
        <f>+D17-D19</f>
        <v>#N/A</v>
      </c>
      <c r="G21" s="673" t="s">
        <v>45</v>
      </c>
      <c r="H21" s="674"/>
      <c r="I21" s="674"/>
      <c r="J21" s="674"/>
      <c r="K21" s="674"/>
      <c r="L21" s="675"/>
      <c r="N21" s="40"/>
    </row>
    <row r="22" spans="2:14" ht="13.5" thickBot="1" x14ac:dyDescent="0.25">
      <c r="B22" s="27"/>
      <c r="D22" s="5"/>
      <c r="G22" s="676"/>
      <c r="H22" s="677"/>
      <c r="I22" s="677"/>
      <c r="J22" s="677"/>
      <c r="K22" s="677"/>
      <c r="L22" s="678"/>
      <c r="N22" s="40"/>
    </row>
    <row r="23" spans="2:14" ht="15.75" thickBot="1" x14ac:dyDescent="0.3">
      <c r="B23" s="27"/>
      <c r="C23" s="54" t="s">
        <v>31</v>
      </c>
      <c r="D23" s="55" t="e">
        <f>+D21*D20</f>
        <v>#N/A</v>
      </c>
      <c r="G23" s="658" t="s">
        <v>46</v>
      </c>
      <c r="H23" s="659"/>
      <c r="I23" s="660"/>
      <c r="J23" s="660"/>
      <c r="K23" s="660"/>
      <c r="L23" s="56">
        <f>DDJJ!B192-DDJJ!C192</f>
        <v>0</v>
      </c>
      <c r="N23" s="40"/>
    </row>
    <row r="24" spans="2:14" ht="15" x14ac:dyDescent="0.25">
      <c r="B24" s="27"/>
      <c r="G24" s="656" t="s">
        <v>406</v>
      </c>
      <c r="H24" s="657"/>
      <c r="I24" s="653"/>
      <c r="J24" s="653"/>
      <c r="K24" s="653"/>
      <c r="L24" s="57">
        <f>DDJJ!D126</f>
        <v>0</v>
      </c>
      <c r="N24" s="40"/>
    </row>
    <row r="25" spans="2:14" ht="15.75" thickBot="1" x14ac:dyDescent="0.3">
      <c r="B25" s="27"/>
      <c r="G25" s="651" t="s">
        <v>47</v>
      </c>
      <c r="H25" s="652"/>
      <c r="I25" s="653"/>
      <c r="J25" s="653"/>
      <c r="K25" s="653"/>
      <c r="L25" s="57">
        <v>0</v>
      </c>
      <c r="N25" s="40"/>
    </row>
    <row r="26" spans="2:14" ht="15.75" thickBot="1" x14ac:dyDescent="0.3">
      <c r="B26" s="27"/>
      <c r="C26" s="654" t="s">
        <v>48</v>
      </c>
      <c r="D26" s="655"/>
      <c r="E26" s="58"/>
      <c r="G26" s="651" t="s">
        <v>49</v>
      </c>
      <c r="H26" s="652"/>
      <c r="I26" s="653"/>
      <c r="J26" s="653"/>
      <c r="K26" s="653"/>
      <c r="L26" s="57" t="e">
        <f>DDJJ!C252</f>
        <v>#N/A</v>
      </c>
      <c r="N26" s="40"/>
    </row>
    <row r="27" spans="2:14" ht="15" x14ac:dyDescent="0.25">
      <c r="B27" s="27"/>
      <c r="C27" s="39" t="e">
        <f>IF(D23&gt;D21,("AJUSTE ESTÁTICO PÉRDIDA"),("AJUSTE ESTÁTICO GANANCIA"))</f>
        <v>#N/A</v>
      </c>
      <c r="D27" s="52" t="e">
        <f>-D23</f>
        <v>#N/A</v>
      </c>
      <c r="E27" s="48"/>
      <c r="G27" s="651" t="s">
        <v>50</v>
      </c>
      <c r="H27" s="652"/>
      <c r="I27" s="653"/>
      <c r="J27" s="653"/>
      <c r="K27" s="653"/>
      <c r="L27" s="57">
        <v>0</v>
      </c>
      <c r="M27" s="12"/>
      <c r="N27" s="40"/>
    </row>
    <row r="28" spans="2:14" ht="15.75" thickBot="1" x14ac:dyDescent="0.3">
      <c r="B28" s="27"/>
      <c r="C28" s="27" t="s">
        <v>32</v>
      </c>
      <c r="D28" s="52" t="e">
        <f>+M19</f>
        <v>#N/A</v>
      </c>
      <c r="E28" s="48"/>
      <c r="G28" s="651" t="s">
        <v>51</v>
      </c>
      <c r="H28" s="652"/>
      <c r="I28" s="653"/>
      <c r="J28" s="653"/>
      <c r="K28" s="653"/>
      <c r="L28" s="57" t="e">
        <f>DDJJ!B199</f>
        <v>#N/A</v>
      </c>
      <c r="M28" s="12"/>
      <c r="N28" s="40"/>
    </row>
    <row r="29" spans="2:14" ht="15.75" thickBot="1" x14ac:dyDescent="0.3">
      <c r="B29" s="27"/>
      <c r="C29" s="54" t="s">
        <v>48</v>
      </c>
      <c r="D29" s="55" t="e">
        <f>SUM(D27:D28)</f>
        <v>#N/A</v>
      </c>
      <c r="E29" s="48"/>
      <c r="G29" s="656" t="s">
        <v>75</v>
      </c>
      <c r="H29" s="657"/>
      <c r="I29" s="653"/>
      <c r="J29" s="653"/>
      <c r="K29" s="653"/>
      <c r="L29" s="57">
        <f>SUM(H7:H18)</f>
        <v>50027814.009999998</v>
      </c>
      <c r="N29" s="40"/>
    </row>
    <row r="30" spans="2:14" ht="15.75" thickBot="1" x14ac:dyDescent="0.3">
      <c r="B30" s="27"/>
      <c r="G30" s="661"/>
      <c r="H30" s="662"/>
      <c r="I30" s="663"/>
      <c r="J30" s="663"/>
      <c r="K30" s="663"/>
      <c r="L30" s="59"/>
      <c r="N30" s="40"/>
    </row>
    <row r="31" spans="2:14" ht="15.75" thickBot="1" x14ac:dyDescent="0.3">
      <c r="B31" s="27"/>
      <c r="C31" s="33" t="s">
        <v>52</v>
      </c>
      <c r="D31" s="34" t="s">
        <v>53</v>
      </c>
      <c r="G31" s="664" t="s">
        <v>54</v>
      </c>
      <c r="H31" s="665"/>
      <c r="I31" s="666"/>
      <c r="J31" s="666"/>
      <c r="K31" s="666"/>
      <c r="L31" s="60" t="e">
        <f>SUM(L23:L30)</f>
        <v>#N/A</v>
      </c>
      <c r="N31" s="40"/>
    </row>
    <row r="32" spans="2:14" ht="15.75" thickBot="1" x14ac:dyDescent="0.3">
      <c r="B32" s="27"/>
      <c r="C32" s="23" t="s">
        <v>55</v>
      </c>
      <c r="D32" s="24" t="s">
        <v>56</v>
      </c>
      <c r="G32" s="645"/>
      <c r="H32" s="646"/>
      <c r="I32" s="646"/>
      <c r="J32" s="646"/>
      <c r="K32" s="646"/>
      <c r="L32" s="647"/>
      <c r="N32" s="40"/>
    </row>
    <row r="33" spans="1:14" ht="15.75" thickBot="1" x14ac:dyDescent="0.3">
      <c r="B33" s="27"/>
      <c r="G33" s="648" t="s">
        <v>57</v>
      </c>
      <c r="H33" s="649"/>
      <c r="I33" s="650"/>
      <c r="J33" s="61">
        <v>0</v>
      </c>
      <c r="K33" s="62"/>
      <c r="L33" s="135" t="e">
        <f>+L31/12</f>
        <v>#N/A</v>
      </c>
      <c r="N33" s="40"/>
    </row>
    <row r="34" spans="1:14" ht="13.5" thickBot="1" x14ac:dyDescent="0.25">
      <c r="B34" s="28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41"/>
    </row>
    <row r="36" spans="1:14" ht="36.75" customHeight="1" x14ac:dyDescent="0.2">
      <c r="A36" s="644" t="s">
        <v>419</v>
      </c>
      <c r="B36" s="644"/>
      <c r="C36" s="644"/>
      <c r="D36" s="644"/>
      <c r="E36" s="644"/>
      <c r="F36" s="644"/>
      <c r="G36" s="644"/>
      <c r="H36" s="644"/>
      <c r="I36" s="644"/>
    </row>
    <row r="37" spans="1:14" x14ac:dyDescent="0.2">
      <c r="B37" s="582" t="s">
        <v>420</v>
      </c>
      <c r="D37" s="12"/>
    </row>
    <row r="38" spans="1:14" ht="20.25" x14ac:dyDescent="0.3">
      <c r="C38" s="591" t="s">
        <v>338</v>
      </c>
      <c r="D38" s="592"/>
      <c r="E38" s="592"/>
      <c r="F38" s="592"/>
      <c r="G38" s="593"/>
    </row>
    <row r="39" spans="1:14" x14ac:dyDescent="0.2">
      <c r="C39" s="480" t="s">
        <v>355</v>
      </c>
      <c r="D39" s="480" t="s">
        <v>24</v>
      </c>
      <c r="E39" s="481" t="s">
        <v>26</v>
      </c>
      <c r="F39" s="482" t="s">
        <v>25</v>
      </c>
      <c r="G39" s="482" t="s">
        <v>354</v>
      </c>
    </row>
    <row r="40" spans="1:14" x14ac:dyDescent="0.2">
      <c r="C40" s="140"/>
      <c r="D40" s="578"/>
      <c r="E40" s="578"/>
      <c r="F40" s="578"/>
      <c r="G40" s="579"/>
    </row>
    <row r="41" spans="1:14" x14ac:dyDescent="0.2">
      <c r="C41" s="140"/>
      <c r="D41" s="578"/>
      <c r="E41" s="578"/>
      <c r="F41" s="578"/>
      <c r="G41" s="580"/>
    </row>
    <row r="42" spans="1:14" x14ac:dyDescent="0.2">
      <c r="C42" s="140"/>
      <c r="D42" s="578"/>
      <c r="E42" s="578"/>
      <c r="F42" s="578"/>
      <c r="G42" s="580"/>
    </row>
    <row r="43" spans="1:14" x14ac:dyDescent="0.2">
      <c r="C43" s="140"/>
      <c r="D43" s="578"/>
      <c r="E43" s="578"/>
      <c r="F43" s="578"/>
      <c r="G43" s="580"/>
    </row>
    <row r="44" spans="1:14" x14ac:dyDescent="0.2">
      <c r="C44" s="140"/>
      <c r="D44" s="578"/>
      <c r="E44" s="578"/>
      <c r="F44" s="578"/>
      <c r="G44" s="580"/>
    </row>
    <row r="45" spans="1:14" x14ac:dyDescent="0.2">
      <c r="C45" s="140"/>
      <c r="D45" s="578"/>
      <c r="E45" s="578"/>
      <c r="F45" s="578"/>
      <c r="G45" s="580"/>
    </row>
    <row r="46" spans="1:14" x14ac:dyDescent="0.2">
      <c r="C46" s="140"/>
      <c r="D46" s="578"/>
      <c r="E46" s="578"/>
      <c r="F46" s="578"/>
      <c r="G46" s="580"/>
    </row>
    <row r="47" spans="1:14" x14ac:dyDescent="0.2">
      <c r="C47" s="140"/>
      <c r="D47" s="578"/>
      <c r="E47" s="578"/>
      <c r="F47" s="578"/>
      <c r="G47" s="580"/>
    </row>
    <row r="48" spans="1:14" x14ac:dyDescent="0.2">
      <c r="C48" s="140"/>
      <c r="D48" s="578"/>
      <c r="E48" s="578"/>
      <c r="F48" s="578"/>
      <c r="G48" s="580"/>
    </row>
    <row r="49" spans="3:7" x14ac:dyDescent="0.2">
      <c r="C49" s="140"/>
      <c r="D49" s="578"/>
      <c r="E49" s="578"/>
      <c r="F49" s="578"/>
      <c r="G49" s="580"/>
    </row>
    <row r="50" spans="3:7" x14ac:dyDescent="0.2">
      <c r="C50" s="140"/>
      <c r="D50" s="578"/>
      <c r="E50" s="578"/>
      <c r="F50" s="578"/>
      <c r="G50" s="580"/>
    </row>
    <row r="51" spans="3:7" x14ac:dyDescent="0.2">
      <c r="C51" s="140"/>
      <c r="D51" s="578"/>
      <c r="E51" s="578"/>
      <c r="F51" s="578"/>
      <c r="G51" s="580"/>
    </row>
    <row r="52" spans="3:7" x14ac:dyDescent="0.2">
      <c r="C52" s="140"/>
      <c r="D52" s="578"/>
      <c r="E52" s="578"/>
      <c r="F52" s="578"/>
      <c r="G52" s="580"/>
    </row>
    <row r="53" spans="3:7" x14ac:dyDescent="0.2">
      <c r="C53" s="140"/>
      <c r="D53" s="578"/>
      <c r="E53" s="578"/>
      <c r="F53" s="578"/>
      <c r="G53" s="580"/>
    </row>
    <row r="54" spans="3:7" x14ac:dyDescent="0.2">
      <c r="C54" s="140"/>
      <c r="D54" s="578"/>
      <c r="E54" s="578"/>
      <c r="F54" s="578"/>
      <c r="G54" s="580"/>
    </row>
    <row r="55" spans="3:7" x14ac:dyDescent="0.2">
      <c r="C55" s="140"/>
      <c r="D55" s="578"/>
      <c r="E55" s="578"/>
      <c r="F55" s="578"/>
      <c r="G55" s="580"/>
    </row>
    <row r="56" spans="3:7" x14ac:dyDescent="0.2">
      <c r="C56" s="140"/>
      <c r="D56" s="578"/>
      <c r="E56" s="578"/>
      <c r="F56" s="578"/>
      <c r="G56" s="580"/>
    </row>
    <row r="57" spans="3:7" x14ac:dyDescent="0.2">
      <c r="C57" s="140"/>
      <c r="D57" s="578"/>
      <c r="E57" s="578"/>
      <c r="F57" s="578"/>
      <c r="G57" s="580"/>
    </row>
    <row r="58" spans="3:7" x14ac:dyDescent="0.2">
      <c r="C58" s="140"/>
      <c r="D58" s="578"/>
      <c r="E58" s="578"/>
      <c r="F58" s="578"/>
      <c r="G58" s="580"/>
    </row>
    <row r="59" spans="3:7" x14ac:dyDescent="0.2">
      <c r="C59" s="140"/>
      <c r="D59" s="578"/>
      <c r="E59" s="578"/>
      <c r="F59" s="578"/>
      <c r="G59" s="580"/>
    </row>
    <row r="60" spans="3:7" x14ac:dyDescent="0.2">
      <c r="C60" s="140"/>
      <c r="D60" s="578"/>
      <c r="E60" s="578"/>
      <c r="F60" s="578"/>
      <c r="G60" s="580"/>
    </row>
    <row r="61" spans="3:7" x14ac:dyDescent="0.2">
      <c r="C61" s="140"/>
      <c r="D61" s="578"/>
      <c r="E61" s="578"/>
      <c r="F61" s="578"/>
      <c r="G61" s="580"/>
    </row>
    <row r="62" spans="3:7" x14ac:dyDescent="0.2">
      <c r="C62" s="140"/>
      <c r="D62" s="578"/>
      <c r="E62" s="578"/>
      <c r="F62" s="578"/>
      <c r="G62" s="580"/>
    </row>
    <row r="63" spans="3:7" x14ac:dyDescent="0.2">
      <c r="C63" s="140"/>
      <c r="D63" s="578"/>
      <c r="E63" s="578"/>
      <c r="F63" s="578"/>
      <c r="G63" s="580"/>
    </row>
    <row r="64" spans="3:7" x14ac:dyDescent="0.2">
      <c r="C64" s="140"/>
      <c r="D64" s="578"/>
      <c r="E64" s="578"/>
      <c r="F64" s="578"/>
      <c r="G64" s="580"/>
    </row>
    <row r="65" spans="3:7" x14ac:dyDescent="0.2">
      <c r="C65" s="140"/>
      <c r="D65" s="578"/>
      <c r="E65" s="578"/>
      <c r="F65" s="578"/>
      <c r="G65" s="580"/>
    </row>
    <row r="66" spans="3:7" x14ac:dyDescent="0.2">
      <c r="C66" s="140"/>
      <c r="D66" s="578"/>
      <c r="E66" s="578"/>
      <c r="F66" s="578"/>
      <c r="G66" s="580"/>
    </row>
    <row r="67" spans="3:7" x14ac:dyDescent="0.2">
      <c r="C67" s="140"/>
      <c r="D67" s="578"/>
      <c r="E67" s="578"/>
      <c r="F67" s="578"/>
      <c r="G67" s="580"/>
    </row>
    <row r="68" spans="3:7" x14ac:dyDescent="0.2">
      <c r="C68" s="140"/>
      <c r="D68" s="578"/>
      <c r="E68" s="578"/>
      <c r="F68" s="578"/>
      <c r="G68" s="580"/>
    </row>
    <row r="69" spans="3:7" x14ac:dyDescent="0.2">
      <c r="C69" s="140"/>
      <c r="D69" s="578"/>
      <c r="E69" s="578"/>
      <c r="F69" s="578"/>
      <c r="G69" s="580"/>
    </row>
    <row r="70" spans="3:7" x14ac:dyDescent="0.2">
      <c r="C70" s="140"/>
      <c r="D70" s="578"/>
      <c r="E70" s="578"/>
      <c r="F70" s="578"/>
      <c r="G70" s="580"/>
    </row>
    <row r="71" spans="3:7" x14ac:dyDescent="0.2">
      <c r="C71" s="140"/>
      <c r="D71" s="578"/>
      <c r="E71" s="578"/>
      <c r="F71" s="578"/>
      <c r="G71" s="580"/>
    </row>
    <row r="72" spans="3:7" x14ac:dyDescent="0.2">
      <c r="C72" s="140"/>
      <c r="D72" s="578"/>
      <c r="E72" s="578"/>
      <c r="F72" s="578"/>
      <c r="G72" s="580"/>
    </row>
    <row r="73" spans="3:7" x14ac:dyDescent="0.2">
      <c r="C73" s="140"/>
      <c r="D73" s="578"/>
      <c r="E73" s="578"/>
      <c r="F73" s="578"/>
      <c r="G73" s="580"/>
    </row>
    <row r="74" spans="3:7" x14ac:dyDescent="0.2">
      <c r="C74" s="140"/>
      <c r="D74" s="578"/>
      <c r="E74" s="578"/>
      <c r="F74" s="578"/>
      <c r="G74" s="580"/>
    </row>
    <row r="75" spans="3:7" x14ac:dyDescent="0.2">
      <c r="C75" s="140"/>
      <c r="D75" s="578"/>
      <c r="E75" s="578"/>
      <c r="F75" s="578"/>
      <c r="G75" s="580"/>
    </row>
    <row r="76" spans="3:7" x14ac:dyDescent="0.2">
      <c r="C76" s="140"/>
      <c r="D76" s="578"/>
      <c r="E76" s="578"/>
      <c r="F76" s="578"/>
      <c r="G76" s="580"/>
    </row>
    <row r="77" spans="3:7" x14ac:dyDescent="0.2">
      <c r="C77" s="140"/>
      <c r="D77" s="578"/>
      <c r="E77" s="578"/>
      <c r="F77" s="578"/>
      <c r="G77" s="580"/>
    </row>
    <row r="78" spans="3:7" x14ac:dyDescent="0.2">
      <c r="C78" s="324" t="s">
        <v>332</v>
      </c>
      <c r="D78" s="432">
        <f>SUM(D40:D77)</f>
        <v>0</v>
      </c>
      <c r="E78" s="432">
        <f t="shared" ref="E78:F78" si="3">SUM(E40:E77)</f>
        <v>0</v>
      </c>
      <c r="F78" s="432">
        <f t="shared" si="3"/>
        <v>0</v>
      </c>
      <c r="G78" s="581"/>
    </row>
  </sheetData>
  <mergeCells count="18">
    <mergeCell ref="G23:K23"/>
    <mergeCell ref="G24:K24"/>
    <mergeCell ref="G30:K30"/>
    <mergeCell ref="G31:K31"/>
    <mergeCell ref="C5:D5"/>
    <mergeCell ref="G5:M5"/>
    <mergeCell ref="G19:L19"/>
    <mergeCell ref="G21:L22"/>
    <mergeCell ref="C38:G38"/>
    <mergeCell ref="A36:I36"/>
    <mergeCell ref="G32:L32"/>
    <mergeCell ref="G33:I33"/>
    <mergeCell ref="G25:K25"/>
    <mergeCell ref="C26:D26"/>
    <mergeCell ref="G26:K26"/>
    <mergeCell ref="G27:K27"/>
    <mergeCell ref="G28:K28"/>
    <mergeCell ref="G29:K29"/>
  </mergeCells>
  <phoneticPr fontId="1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/>
  <dimension ref="A1:U144"/>
  <sheetViews>
    <sheetView workbookViewId="0">
      <selection activeCell="K2" sqref="K2"/>
    </sheetView>
  </sheetViews>
  <sheetFormatPr baseColWidth="10" defaultRowHeight="12.75" x14ac:dyDescent="0.2"/>
  <cols>
    <col min="9" max="9" width="12.85546875" bestFit="1" customWidth="1"/>
    <col min="10" max="10" width="11.85546875" bestFit="1" customWidth="1"/>
    <col min="11" max="11" width="12.85546875" bestFit="1" customWidth="1"/>
  </cols>
  <sheetData>
    <row r="1" spans="1:21" x14ac:dyDescent="0.2">
      <c r="A1" s="104"/>
      <c r="B1" s="106"/>
      <c r="C1" s="106"/>
      <c r="D1" s="106"/>
      <c r="E1" s="106"/>
      <c r="F1" s="106"/>
      <c r="G1" s="106"/>
      <c r="H1" s="106"/>
      <c r="I1" s="517" t="s">
        <v>373</v>
      </c>
      <c r="J1" s="518" t="s">
        <v>374</v>
      </c>
      <c r="K1" s="519" t="s">
        <v>375</v>
      </c>
    </row>
    <row r="2" spans="1:21" x14ac:dyDescent="0.2">
      <c r="A2" s="523" t="s">
        <v>372</v>
      </c>
      <c r="B2" s="144"/>
      <c r="C2" s="144"/>
      <c r="D2" s="144"/>
      <c r="E2" s="144"/>
      <c r="F2" s="144"/>
      <c r="G2" s="144"/>
      <c r="H2" s="144"/>
      <c r="I2" s="520">
        <f>SUM(I3:I592)</f>
        <v>0</v>
      </c>
      <c r="J2" s="521">
        <f t="shared" ref="J2:K2" si="0">SUM(J3:J592)</f>
        <v>0</v>
      </c>
      <c r="K2" s="522">
        <f t="shared" si="0"/>
        <v>0</v>
      </c>
    </row>
    <row r="3" spans="1:21" x14ac:dyDescent="0.2">
      <c r="A3" s="99"/>
      <c r="B3" s="99"/>
      <c r="C3" s="99"/>
      <c r="D3" s="99"/>
      <c r="E3" s="99"/>
      <c r="F3" s="99"/>
      <c r="G3" s="99"/>
      <c r="H3" s="99"/>
      <c r="I3" s="99"/>
      <c r="J3" s="99"/>
      <c r="K3" s="99"/>
    </row>
    <row r="4" spans="1:21" x14ac:dyDescent="0.2">
      <c r="A4" s="100"/>
      <c r="B4" s="99"/>
      <c r="C4" s="100"/>
      <c r="D4" s="99"/>
      <c r="E4" s="99"/>
      <c r="F4" s="101"/>
      <c r="G4" s="99"/>
      <c r="H4" s="101"/>
      <c r="I4" s="102"/>
      <c r="J4" s="99"/>
      <c r="K4" s="99"/>
      <c r="U4">
        <f>SUM(E4:T4)</f>
        <v>0</v>
      </c>
    </row>
    <row r="5" spans="1:21" x14ac:dyDescent="0.2">
      <c r="A5" s="99"/>
      <c r="B5" s="99"/>
      <c r="C5" s="99"/>
      <c r="D5" s="99"/>
      <c r="E5" s="99"/>
      <c r="F5" s="99"/>
      <c r="G5" s="99"/>
      <c r="H5" s="99"/>
      <c r="I5" s="99"/>
      <c r="J5" s="99"/>
      <c r="K5" s="99"/>
    </row>
    <row r="6" spans="1:21" x14ac:dyDescent="0.2">
      <c r="A6" s="100"/>
      <c r="B6" s="99"/>
      <c r="C6" s="100"/>
      <c r="D6" s="99"/>
      <c r="E6" s="99"/>
      <c r="F6" s="101"/>
      <c r="G6" s="99"/>
      <c r="H6" s="101"/>
      <c r="I6" s="99"/>
      <c r="J6" s="102"/>
      <c r="K6" s="99"/>
      <c r="U6">
        <f>SUM(E6:T6)</f>
        <v>0</v>
      </c>
    </row>
    <row r="7" spans="1:21" x14ac:dyDescent="0.2">
      <c r="A7" s="99"/>
      <c r="B7" s="99"/>
      <c r="C7" s="99"/>
      <c r="D7" s="99"/>
      <c r="E7" s="99"/>
      <c r="F7" s="99"/>
      <c r="G7" s="99"/>
      <c r="H7" s="99"/>
      <c r="I7" s="99"/>
      <c r="J7" s="99"/>
      <c r="K7" s="99"/>
    </row>
    <row r="8" spans="1:21" x14ac:dyDescent="0.2">
      <c r="A8" s="100"/>
      <c r="B8" s="99"/>
      <c r="C8" s="100"/>
      <c r="D8" s="99"/>
      <c r="E8" s="99"/>
      <c r="F8" s="101"/>
      <c r="G8" s="99"/>
      <c r="H8" s="101"/>
      <c r="I8" s="102"/>
      <c r="J8" s="99"/>
      <c r="K8" s="102"/>
      <c r="U8">
        <f>SUM(E8:T8)</f>
        <v>0</v>
      </c>
    </row>
    <row r="9" spans="1:21" x14ac:dyDescent="0.2">
      <c r="A9" s="100"/>
      <c r="B9" s="99"/>
      <c r="C9" s="100"/>
      <c r="D9" s="99"/>
      <c r="E9" s="99"/>
      <c r="F9" s="101"/>
      <c r="G9" s="99"/>
      <c r="H9" s="101"/>
      <c r="I9" s="102"/>
      <c r="J9" s="99"/>
      <c r="K9" s="99"/>
      <c r="U9">
        <f>SUM(E9:T9)</f>
        <v>0</v>
      </c>
    </row>
    <row r="10" spans="1:21" x14ac:dyDescent="0.2">
      <c r="A10" s="99"/>
      <c r="B10" s="99"/>
      <c r="C10" s="100"/>
      <c r="D10" s="99"/>
      <c r="E10" s="99"/>
      <c r="F10" s="99"/>
      <c r="G10" s="99"/>
      <c r="H10" s="101"/>
      <c r="I10" s="99"/>
      <c r="J10" s="99"/>
      <c r="K10" s="99"/>
    </row>
    <row r="11" spans="1:21" x14ac:dyDescent="0.2">
      <c r="A11" s="100"/>
      <c r="B11" s="99"/>
      <c r="C11" s="100"/>
      <c r="D11" s="99"/>
      <c r="E11" s="99"/>
      <c r="F11" s="101"/>
      <c r="G11" s="99"/>
      <c r="H11" s="101"/>
      <c r="I11" s="99"/>
      <c r="J11" s="102"/>
      <c r="K11" s="99"/>
      <c r="U11">
        <f>SUM(E11:T11)</f>
        <v>0</v>
      </c>
    </row>
    <row r="12" spans="1:21" x14ac:dyDescent="0.2">
      <c r="A12" s="99"/>
      <c r="B12" s="99"/>
      <c r="C12" s="100"/>
      <c r="D12" s="99"/>
      <c r="E12" s="99"/>
      <c r="F12" s="99"/>
      <c r="G12" s="99"/>
      <c r="H12" s="101"/>
      <c r="I12" s="99"/>
      <c r="J12" s="102"/>
      <c r="K12" s="99"/>
    </row>
    <row r="13" spans="1:21" x14ac:dyDescent="0.2">
      <c r="A13" s="100"/>
      <c r="B13" s="99"/>
      <c r="C13" s="100"/>
      <c r="D13" s="99"/>
      <c r="E13" s="99"/>
      <c r="F13" s="101"/>
      <c r="G13" s="99"/>
      <c r="H13" s="101"/>
      <c r="I13" s="99"/>
      <c r="J13" s="99"/>
      <c r="K13" s="102"/>
      <c r="U13">
        <f>SUM(E13:T13)</f>
        <v>0</v>
      </c>
    </row>
    <row r="14" spans="1:21" x14ac:dyDescent="0.2">
      <c r="A14" s="100"/>
      <c r="B14" s="99"/>
      <c r="C14" s="100"/>
      <c r="D14" s="99"/>
      <c r="E14" s="99"/>
      <c r="F14" s="101"/>
      <c r="G14" s="99"/>
      <c r="H14" s="101"/>
      <c r="I14" s="102"/>
      <c r="J14" s="99"/>
      <c r="K14" s="99"/>
      <c r="U14">
        <f>SUM(E14:T14)</f>
        <v>0</v>
      </c>
    </row>
    <row r="15" spans="1:21" x14ac:dyDescent="0.2">
      <c r="A15" s="99"/>
      <c r="B15" s="99"/>
      <c r="C15" s="100"/>
      <c r="D15" s="99"/>
      <c r="E15" s="99"/>
      <c r="F15" s="99"/>
      <c r="G15" s="99"/>
      <c r="H15" s="101"/>
      <c r="I15" s="102"/>
      <c r="J15" s="99"/>
      <c r="K15" s="99"/>
    </row>
    <row r="16" spans="1:21" x14ac:dyDescent="0.2">
      <c r="A16" s="100"/>
      <c r="B16" s="99"/>
      <c r="C16" s="100"/>
      <c r="D16" s="99"/>
      <c r="E16" s="99"/>
      <c r="F16" s="101"/>
      <c r="G16" s="99"/>
      <c r="H16" s="101"/>
      <c r="I16" s="99"/>
      <c r="J16" s="102"/>
      <c r="K16" s="99"/>
      <c r="U16">
        <f>SUM(E16:T16)</f>
        <v>0</v>
      </c>
    </row>
    <row r="17" spans="1:21" x14ac:dyDescent="0.2">
      <c r="A17" s="99"/>
      <c r="B17" s="99"/>
      <c r="C17" s="100"/>
      <c r="D17" s="99"/>
      <c r="E17" s="99"/>
      <c r="F17" s="99"/>
      <c r="G17" s="99"/>
      <c r="H17" s="101"/>
      <c r="I17" s="99"/>
      <c r="J17" s="102"/>
      <c r="K17" s="99"/>
    </row>
    <row r="18" spans="1:21" x14ac:dyDescent="0.2">
      <c r="A18" s="100"/>
      <c r="B18" s="99"/>
      <c r="C18" s="100"/>
      <c r="D18" s="99"/>
      <c r="E18" s="99"/>
      <c r="F18" s="101"/>
      <c r="G18" s="99"/>
      <c r="H18" s="101"/>
      <c r="I18" s="99"/>
      <c r="J18" s="99"/>
      <c r="K18" s="102"/>
      <c r="U18">
        <f>SUM(E18:T18)</f>
        <v>0</v>
      </c>
    </row>
    <row r="19" spans="1:21" x14ac:dyDescent="0.2">
      <c r="A19" s="100"/>
      <c r="B19" s="99"/>
      <c r="C19" s="100"/>
      <c r="D19" s="99"/>
      <c r="E19" s="99"/>
      <c r="F19" s="101"/>
      <c r="G19" s="99"/>
      <c r="H19" s="101"/>
      <c r="I19" s="102"/>
      <c r="J19" s="99"/>
      <c r="K19" s="99"/>
      <c r="U19">
        <f>SUM(E19:T19)</f>
        <v>0</v>
      </c>
    </row>
    <row r="20" spans="1:21" x14ac:dyDescent="0.2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99"/>
    </row>
    <row r="21" spans="1:21" x14ac:dyDescent="0.2">
      <c r="A21" s="100"/>
      <c r="B21" s="99"/>
      <c r="C21" s="100"/>
      <c r="D21" s="99"/>
      <c r="E21" s="99"/>
      <c r="F21" s="101"/>
      <c r="G21" s="99"/>
      <c r="H21" s="101"/>
      <c r="I21" s="99"/>
      <c r="J21" s="102"/>
      <c r="K21" s="99"/>
      <c r="U21">
        <f>SUM(E21:T21)</f>
        <v>0</v>
      </c>
    </row>
    <row r="22" spans="1:21" x14ac:dyDescent="0.2">
      <c r="A22" s="99"/>
      <c r="B22" s="99"/>
      <c r="C22" s="99"/>
      <c r="D22" s="99"/>
      <c r="E22" s="99"/>
      <c r="F22" s="99"/>
      <c r="G22" s="99"/>
      <c r="H22" s="99"/>
      <c r="I22" s="99"/>
      <c r="J22" s="99"/>
      <c r="K22" s="99"/>
    </row>
    <row r="23" spans="1:21" x14ac:dyDescent="0.2">
      <c r="A23" s="100"/>
      <c r="B23" s="99"/>
      <c r="C23" s="100"/>
      <c r="D23" s="99"/>
      <c r="E23" s="99"/>
      <c r="F23" s="101"/>
      <c r="G23" s="99"/>
      <c r="H23" s="101"/>
      <c r="I23" s="99"/>
      <c r="J23" s="102"/>
      <c r="K23" s="102"/>
      <c r="U23">
        <f>SUM(E23:T23)</f>
        <v>0</v>
      </c>
    </row>
    <row r="24" spans="1:21" x14ac:dyDescent="0.2">
      <c r="A24" s="100"/>
      <c r="B24" s="99"/>
      <c r="C24" s="100"/>
      <c r="D24" s="99"/>
      <c r="E24" s="99"/>
      <c r="F24" s="101"/>
      <c r="G24" s="99"/>
      <c r="H24" s="101"/>
      <c r="I24" s="102"/>
      <c r="J24" s="99"/>
      <c r="K24" s="99"/>
      <c r="U24">
        <f>SUM(E24:T24)</f>
        <v>0</v>
      </c>
    </row>
    <row r="25" spans="1:21" x14ac:dyDescent="0.2">
      <c r="A25" s="99"/>
      <c r="B25" s="99"/>
      <c r="C25" s="100"/>
      <c r="D25" s="99"/>
      <c r="E25" s="99"/>
      <c r="F25" s="99"/>
      <c r="G25" s="99"/>
      <c r="H25" s="101"/>
      <c r="I25" s="99"/>
      <c r="J25" s="99"/>
      <c r="K25" s="99"/>
    </row>
    <row r="26" spans="1:21" x14ac:dyDescent="0.2">
      <c r="A26" s="100"/>
      <c r="B26" s="99"/>
      <c r="C26" s="100"/>
      <c r="D26" s="99"/>
      <c r="E26" s="99"/>
      <c r="F26" s="101"/>
      <c r="G26" s="99"/>
      <c r="H26" s="101"/>
      <c r="I26" s="102"/>
      <c r="J26" s="102"/>
      <c r="K26" s="99"/>
      <c r="U26">
        <f>SUM(E26:T26)</f>
        <v>0</v>
      </c>
    </row>
    <row r="27" spans="1:21" x14ac:dyDescent="0.2">
      <c r="A27" s="99"/>
      <c r="B27" s="99"/>
      <c r="C27" s="99"/>
      <c r="D27" s="99"/>
      <c r="E27" s="99"/>
      <c r="F27" s="99"/>
      <c r="G27" s="99"/>
      <c r="H27" s="99"/>
      <c r="I27" s="99"/>
      <c r="J27" s="99"/>
      <c r="K27" s="99"/>
    </row>
    <row r="28" spans="1:21" x14ac:dyDescent="0.2">
      <c r="A28" s="100"/>
      <c r="B28" s="99"/>
      <c r="C28" s="100"/>
      <c r="D28" s="99"/>
      <c r="E28" s="99"/>
      <c r="F28" s="101"/>
      <c r="G28" s="99"/>
      <c r="H28" s="101"/>
      <c r="I28" s="99"/>
      <c r="J28" s="102"/>
      <c r="K28" s="99"/>
      <c r="U28">
        <f>SUM(E28:T28)</f>
        <v>0</v>
      </c>
    </row>
    <row r="29" spans="1:21" x14ac:dyDescent="0.2">
      <c r="A29" s="100"/>
      <c r="B29" s="99"/>
      <c r="C29" s="100"/>
      <c r="D29" s="99"/>
      <c r="E29" s="99"/>
      <c r="F29" s="101"/>
      <c r="G29" s="99"/>
      <c r="H29" s="101"/>
      <c r="I29" s="102"/>
      <c r="J29" s="99"/>
      <c r="K29" s="99"/>
      <c r="U29">
        <f>SUM(E29:T29)</f>
        <v>0</v>
      </c>
    </row>
    <row r="30" spans="1:21" x14ac:dyDescent="0.2">
      <c r="A30" s="99"/>
      <c r="B30" s="99"/>
      <c r="C30" s="100"/>
      <c r="D30" s="99"/>
      <c r="E30" s="99"/>
      <c r="F30" s="99"/>
      <c r="G30" s="99"/>
      <c r="H30" s="101"/>
      <c r="I30" s="102"/>
      <c r="J30" s="99"/>
      <c r="K30" s="99"/>
    </row>
    <row r="31" spans="1:21" x14ac:dyDescent="0.2">
      <c r="A31" s="100"/>
      <c r="B31" s="99"/>
      <c r="C31" s="100"/>
      <c r="D31" s="99"/>
      <c r="E31" s="99"/>
      <c r="F31" s="101"/>
      <c r="G31" s="99"/>
      <c r="H31" s="101"/>
      <c r="I31" s="99"/>
      <c r="J31" s="102"/>
      <c r="K31" s="99"/>
      <c r="U31">
        <f>SUM(E31:T31)</f>
        <v>0</v>
      </c>
    </row>
    <row r="32" spans="1:21" x14ac:dyDescent="0.2">
      <c r="A32" s="99"/>
      <c r="B32" s="99"/>
      <c r="C32" s="100"/>
      <c r="D32" s="99"/>
      <c r="E32" s="99"/>
      <c r="F32" s="99"/>
      <c r="G32" s="99"/>
      <c r="H32" s="101"/>
      <c r="I32" s="99"/>
      <c r="J32" s="102"/>
      <c r="K32" s="99"/>
    </row>
    <row r="33" spans="1:21" x14ac:dyDescent="0.2">
      <c r="A33" s="100"/>
      <c r="B33" s="99"/>
      <c r="C33" s="100"/>
      <c r="D33" s="99"/>
      <c r="E33" s="99"/>
      <c r="F33" s="101"/>
      <c r="G33" s="99"/>
      <c r="H33" s="101"/>
      <c r="I33" s="99"/>
      <c r="J33" s="99"/>
      <c r="K33" s="99"/>
      <c r="U33">
        <f>SUM(E33:T33)</f>
        <v>0</v>
      </c>
    </row>
    <row r="34" spans="1:21" x14ac:dyDescent="0.2">
      <c r="A34" s="100"/>
      <c r="B34" s="99"/>
      <c r="C34" s="100"/>
      <c r="D34" s="99"/>
      <c r="E34" s="99"/>
      <c r="F34" s="101"/>
      <c r="G34" s="99"/>
      <c r="H34" s="101"/>
      <c r="I34" s="102"/>
      <c r="J34" s="102"/>
      <c r="K34" s="99"/>
      <c r="U34">
        <f>SUM(E34:T34)</f>
        <v>0</v>
      </c>
    </row>
    <row r="35" spans="1:21" x14ac:dyDescent="0.2">
      <c r="A35" s="99"/>
      <c r="B35" s="99"/>
      <c r="C35" s="99"/>
      <c r="D35" s="99"/>
      <c r="E35" s="99"/>
      <c r="F35" s="99"/>
      <c r="G35" s="99"/>
      <c r="H35" s="99"/>
      <c r="I35" s="99"/>
      <c r="J35" s="99"/>
      <c r="K35" s="99"/>
    </row>
    <row r="36" spans="1:21" x14ac:dyDescent="0.2">
      <c r="A36" s="100"/>
      <c r="B36" s="99"/>
      <c r="C36" s="100"/>
      <c r="D36" s="99"/>
      <c r="E36" s="99"/>
      <c r="F36" s="101"/>
      <c r="G36" s="99"/>
      <c r="H36" s="101"/>
      <c r="I36" s="99"/>
      <c r="J36" s="102"/>
      <c r="K36" s="99"/>
      <c r="U36">
        <f>SUM(E36:T36)</f>
        <v>0</v>
      </c>
    </row>
    <row r="37" spans="1:21" x14ac:dyDescent="0.2">
      <c r="A37" s="99"/>
      <c r="B37" s="99"/>
      <c r="C37" s="100"/>
      <c r="D37" s="99"/>
      <c r="E37" s="99"/>
      <c r="F37" s="99"/>
      <c r="G37" s="99"/>
      <c r="H37" s="101"/>
      <c r="I37" s="102"/>
      <c r="J37" s="99"/>
      <c r="K37" s="99"/>
    </row>
    <row r="38" spans="1:21" x14ac:dyDescent="0.2">
      <c r="A38" s="100"/>
      <c r="B38" s="99"/>
      <c r="C38" s="100"/>
      <c r="D38" s="99"/>
      <c r="E38" s="99"/>
      <c r="F38" s="101"/>
      <c r="G38" s="99"/>
      <c r="H38" s="101"/>
      <c r="I38" s="99"/>
      <c r="J38" s="99"/>
      <c r="K38" s="99"/>
      <c r="U38">
        <f>SUM(E38:T38)</f>
        <v>0</v>
      </c>
    </row>
    <row r="39" spans="1:21" x14ac:dyDescent="0.2">
      <c r="A39" s="100"/>
      <c r="B39" s="99"/>
      <c r="C39" s="100"/>
      <c r="D39" s="99"/>
      <c r="E39" s="99"/>
      <c r="F39" s="101"/>
      <c r="G39" s="99"/>
      <c r="H39" s="101"/>
      <c r="I39" s="102"/>
      <c r="J39" s="102"/>
      <c r="K39" s="99"/>
      <c r="U39">
        <f>SUM(E39:T39)</f>
        <v>0</v>
      </c>
    </row>
    <row r="40" spans="1:21" x14ac:dyDescent="0.2">
      <c r="A40" s="99"/>
      <c r="B40" s="99"/>
      <c r="C40" s="99"/>
      <c r="D40" s="99"/>
      <c r="E40" s="99"/>
      <c r="F40" s="99"/>
      <c r="G40" s="99"/>
      <c r="H40" s="99"/>
      <c r="I40" s="99"/>
      <c r="J40" s="99"/>
      <c r="K40" s="99"/>
    </row>
    <row r="41" spans="1:21" x14ac:dyDescent="0.2">
      <c r="A41" s="100"/>
      <c r="B41" s="99"/>
      <c r="C41" s="100"/>
      <c r="D41" s="99"/>
      <c r="E41" s="99"/>
      <c r="F41" s="101"/>
      <c r="G41" s="99"/>
      <c r="H41" s="101"/>
      <c r="I41" s="102"/>
      <c r="J41" s="102"/>
      <c r="K41" s="99"/>
      <c r="U41">
        <f>SUM(E41:T41)</f>
        <v>0</v>
      </c>
    </row>
    <row r="42" spans="1:21" x14ac:dyDescent="0.2">
      <c r="A42" s="99"/>
      <c r="B42" s="99"/>
      <c r="C42" s="99"/>
      <c r="D42" s="99"/>
      <c r="E42" s="99"/>
      <c r="F42" s="99"/>
      <c r="G42" s="99"/>
      <c r="H42" s="99"/>
      <c r="I42" s="99"/>
      <c r="J42" s="99"/>
      <c r="K42" s="99"/>
    </row>
    <row r="43" spans="1:21" x14ac:dyDescent="0.2">
      <c r="A43" s="100"/>
      <c r="B43" s="99"/>
      <c r="C43" s="100"/>
      <c r="D43" s="99"/>
      <c r="E43" s="99"/>
      <c r="F43" s="101"/>
      <c r="G43" s="99"/>
      <c r="H43" s="101"/>
      <c r="I43" s="99"/>
      <c r="J43" s="102"/>
      <c r="K43" s="99"/>
      <c r="U43">
        <f>SUM(E43:T43)</f>
        <v>0</v>
      </c>
    </row>
    <row r="44" spans="1:21" x14ac:dyDescent="0.2">
      <c r="A44" s="100"/>
      <c r="B44" s="99"/>
      <c r="C44" s="100"/>
      <c r="D44" s="99"/>
      <c r="E44" s="99"/>
      <c r="F44" s="101"/>
      <c r="G44" s="99"/>
      <c r="H44" s="101"/>
      <c r="I44" s="102"/>
      <c r="J44" s="99"/>
      <c r="K44" s="99"/>
      <c r="U44">
        <f>SUM(E44:T44)</f>
        <v>0</v>
      </c>
    </row>
    <row r="45" spans="1:21" x14ac:dyDescent="0.2">
      <c r="A45" s="99"/>
      <c r="B45" s="99"/>
      <c r="C45" s="100"/>
      <c r="D45" s="99"/>
      <c r="E45" s="99"/>
      <c r="F45" s="99"/>
      <c r="G45" s="99"/>
      <c r="H45" s="101"/>
      <c r="I45" s="99"/>
      <c r="J45" s="102"/>
      <c r="K45" s="99"/>
    </row>
    <row r="46" spans="1:21" x14ac:dyDescent="0.2">
      <c r="A46" s="100"/>
      <c r="B46" s="99"/>
      <c r="C46" s="100"/>
      <c r="D46" s="99"/>
      <c r="E46" s="99"/>
      <c r="F46" s="101"/>
      <c r="G46" s="99"/>
      <c r="H46" s="101"/>
      <c r="I46" s="99"/>
      <c r="J46" s="102"/>
      <c r="K46" s="99"/>
      <c r="U46">
        <f>SUM(E46:T46)</f>
        <v>0</v>
      </c>
    </row>
    <row r="47" spans="1:21" x14ac:dyDescent="0.2">
      <c r="A47" s="99"/>
      <c r="B47" s="99"/>
      <c r="C47" s="100"/>
      <c r="D47" s="99"/>
      <c r="E47" s="99"/>
      <c r="F47" s="99"/>
      <c r="G47" s="99"/>
      <c r="H47" s="101"/>
      <c r="I47" s="99"/>
      <c r="J47" s="99"/>
      <c r="K47" s="99"/>
    </row>
    <row r="48" spans="1:21" x14ac:dyDescent="0.2">
      <c r="A48" s="100"/>
      <c r="B48" s="99"/>
      <c r="C48" s="100"/>
      <c r="D48" s="99"/>
      <c r="E48" s="99"/>
      <c r="F48" s="101"/>
      <c r="G48" s="99"/>
      <c r="H48" s="101"/>
      <c r="I48" s="102"/>
      <c r="J48" s="99"/>
      <c r="K48" s="99"/>
      <c r="U48">
        <f>SUM(E48:T48)</f>
        <v>0</v>
      </c>
    </row>
    <row r="49" spans="1:21" x14ac:dyDescent="0.2">
      <c r="A49" s="100"/>
      <c r="B49" s="99"/>
      <c r="C49" s="100"/>
      <c r="D49" s="99"/>
      <c r="E49" s="99"/>
      <c r="F49" s="101"/>
      <c r="G49" s="99"/>
      <c r="H49" s="101"/>
      <c r="I49" s="102"/>
      <c r="J49" s="99"/>
      <c r="K49" s="99"/>
    </row>
    <row r="50" spans="1:21" x14ac:dyDescent="0.2">
      <c r="A50" s="99"/>
      <c r="B50" s="99"/>
      <c r="C50" s="100"/>
      <c r="D50" s="99"/>
      <c r="E50" s="99"/>
      <c r="F50" s="99"/>
      <c r="G50" s="99"/>
      <c r="H50" s="101"/>
      <c r="I50" s="99"/>
      <c r="J50" s="102"/>
      <c r="K50" s="99"/>
      <c r="U50">
        <f>SUM(E50:T50)</f>
        <v>0</v>
      </c>
    </row>
    <row r="51" spans="1:21" x14ac:dyDescent="0.2">
      <c r="A51" s="100"/>
      <c r="B51" s="99"/>
      <c r="C51" s="100"/>
      <c r="D51" s="99"/>
      <c r="E51" s="99"/>
      <c r="F51" s="101"/>
      <c r="G51" s="99"/>
      <c r="H51" s="101"/>
      <c r="I51" s="99"/>
      <c r="J51" s="102"/>
      <c r="K51" s="99"/>
    </row>
    <row r="52" spans="1:21" x14ac:dyDescent="0.2">
      <c r="A52" s="99"/>
      <c r="B52" s="99"/>
      <c r="C52" s="100"/>
      <c r="D52" s="99"/>
      <c r="E52" s="99"/>
      <c r="F52" s="99"/>
      <c r="G52" s="99"/>
      <c r="H52" s="101"/>
      <c r="I52" s="102"/>
      <c r="J52" s="99"/>
      <c r="K52" s="99"/>
      <c r="U52">
        <f>SUM(E52:T52)</f>
        <v>0</v>
      </c>
    </row>
    <row r="53" spans="1:21" x14ac:dyDescent="0.2">
      <c r="A53" s="100"/>
      <c r="B53" s="99"/>
      <c r="C53" s="100"/>
      <c r="D53" s="99"/>
      <c r="E53" s="99"/>
      <c r="F53" s="101"/>
      <c r="G53" s="99"/>
      <c r="H53" s="101"/>
      <c r="I53" s="102"/>
      <c r="J53" s="99"/>
      <c r="K53" s="99"/>
      <c r="U53">
        <f>SUM(E53:T53)</f>
        <v>0</v>
      </c>
    </row>
    <row r="54" spans="1:21" x14ac:dyDescent="0.2">
      <c r="A54" s="100"/>
      <c r="B54" s="99"/>
      <c r="C54" s="100"/>
      <c r="D54" s="99"/>
      <c r="E54" s="99"/>
      <c r="F54" s="101"/>
      <c r="G54" s="99"/>
      <c r="H54" s="101"/>
      <c r="I54" s="102"/>
      <c r="J54" s="102"/>
      <c r="K54" s="99"/>
    </row>
    <row r="55" spans="1:21" x14ac:dyDescent="0.2">
      <c r="A55" s="99"/>
      <c r="B55" s="99"/>
      <c r="C55" s="100"/>
      <c r="D55" s="99"/>
      <c r="E55" s="99"/>
      <c r="F55" s="99"/>
      <c r="G55" s="99"/>
      <c r="H55" s="101"/>
      <c r="I55" s="99"/>
      <c r="J55" s="102"/>
      <c r="K55" s="99"/>
      <c r="U55">
        <f>SUM(E55:T55)</f>
        <v>0</v>
      </c>
    </row>
    <row r="56" spans="1:21" x14ac:dyDescent="0.2">
      <c r="A56" s="100"/>
      <c r="B56" s="99"/>
      <c r="C56" s="100"/>
      <c r="D56" s="99"/>
      <c r="E56" s="99"/>
      <c r="F56" s="101"/>
      <c r="G56" s="99"/>
      <c r="H56" s="101"/>
      <c r="I56" s="99"/>
      <c r="J56" s="102"/>
      <c r="K56" s="99"/>
    </row>
    <row r="57" spans="1:21" x14ac:dyDescent="0.2">
      <c r="A57" s="99"/>
      <c r="B57" s="99"/>
      <c r="C57" s="100"/>
      <c r="D57" s="99"/>
      <c r="E57" s="99"/>
      <c r="F57" s="99"/>
      <c r="G57" s="99"/>
      <c r="H57" s="101"/>
      <c r="I57" s="99"/>
      <c r="J57" s="99"/>
      <c r="K57" s="99"/>
      <c r="U57">
        <f>SUM(E57:T57)</f>
        <v>0</v>
      </c>
    </row>
    <row r="58" spans="1:21" x14ac:dyDescent="0.2">
      <c r="A58" s="100"/>
      <c r="B58" s="99"/>
      <c r="C58" s="100"/>
      <c r="D58" s="99"/>
      <c r="E58" s="99"/>
      <c r="F58" s="101"/>
      <c r="G58" s="99"/>
      <c r="H58" s="101"/>
      <c r="I58" s="102"/>
      <c r="J58" s="99"/>
      <c r="K58" s="99"/>
      <c r="U58">
        <f>SUM(E58:T58)</f>
        <v>0</v>
      </c>
    </row>
    <row r="59" spans="1:21" x14ac:dyDescent="0.2">
      <c r="A59" s="100"/>
      <c r="B59" s="99"/>
      <c r="C59" s="100"/>
      <c r="D59" s="99"/>
      <c r="E59" s="99"/>
      <c r="F59" s="101"/>
      <c r="G59" s="99"/>
      <c r="H59" s="101"/>
      <c r="I59" s="102"/>
      <c r="J59" s="99"/>
      <c r="K59" s="99"/>
    </row>
    <row r="60" spans="1:21" x14ac:dyDescent="0.2">
      <c r="A60" s="99"/>
      <c r="B60" s="99"/>
      <c r="C60" s="100"/>
      <c r="D60" s="99"/>
      <c r="E60" s="99"/>
      <c r="F60" s="99"/>
      <c r="G60" s="99"/>
      <c r="H60" s="101"/>
      <c r="I60" s="99"/>
      <c r="J60" s="102"/>
      <c r="K60" s="99"/>
      <c r="U60">
        <f>SUM(E60:T60)</f>
        <v>0</v>
      </c>
    </row>
    <row r="61" spans="1:21" x14ac:dyDescent="0.2">
      <c r="A61" s="100"/>
      <c r="B61" s="99"/>
      <c r="C61" s="100"/>
      <c r="D61" s="99"/>
      <c r="E61" s="99"/>
      <c r="F61" s="101"/>
      <c r="G61" s="99"/>
      <c r="H61" s="101"/>
      <c r="I61" s="99"/>
      <c r="J61" s="102"/>
      <c r="K61" s="99"/>
    </row>
    <row r="62" spans="1:21" x14ac:dyDescent="0.2">
      <c r="A62" s="99"/>
      <c r="B62" s="99"/>
      <c r="C62" s="100"/>
      <c r="D62" s="99"/>
      <c r="E62" s="99"/>
      <c r="F62" s="99"/>
      <c r="G62" s="99"/>
      <c r="H62" s="101"/>
      <c r="I62" s="99"/>
      <c r="J62" s="99"/>
      <c r="K62" s="99"/>
      <c r="U62">
        <f>SUM(E62:T62)</f>
        <v>0</v>
      </c>
    </row>
    <row r="63" spans="1:21" x14ac:dyDescent="0.2">
      <c r="A63" s="100"/>
      <c r="B63" s="99"/>
      <c r="C63" s="100"/>
      <c r="D63" s="99"/>
      <c r="E63" s="99"/>
      <c r="F63" s="101"/>
      <c r="G63" s="99"/>
      <c r="H63" s="101"/>
      <c r="I63" s="102"/>
      <c r="J63" s="99"/>
      <c r="K63" s="99"/>
      <c r="U63">
        <f>SUM(E63:T63)</f>
        <v>0</v>
      </c>
    </row>
    <row r="64" spans="1:21" x14ac:dyDescent="0.2">
      <c r="A64" s="99"/>
      <c r="B64" s="99"/>
      <c r="C64" s="99"/>
      <c r="D64" s="99"/>
      <c r="E64" s="99"/>
      <c r="F64" s="99"/>
      <c r="G64" s="99"/>
      <c r="H64" s="99"/>
      <c r="I64" s="99"/>
      <c r="J64" s="99"/>
      <c r="K64" s="99"/>
    </row>
    <row r="65" spans="1:21" x14ac:dyDescent="0.2">
      <c r="A65" s="99"/>
      <c r="B65" s="99"/>
      <c r="C65" s="100"/>
      <c r="D65" s="99"/>
      <c r="E65" s="99"/>
      <c r="F65" s="99"/>
      <c r="G65" s="99"/>
      <c r="H65" s="101"/>
      <c r="I65" s="130"/>
      <c r="J65" s="130"/>
      <c r="K65" s="130"/>
      <c r="U65">
        <f>SUM(E65:T65)</f>
        <v>0</v>
      </c>
    </row>
    <row r="66" spans="1:21" x14ac:dyDescent="0.2">
      <c r="A66" s="99"/>
      <c r="B66" s="99"/>
      <c r="C66" s="99"/>
      <c r="D66" s="99"/>
      <c r="E66" s="99"/>
      <c r="F66" s="99"/>
      <c r="G66" s="99"/>
      <c r="H66" s="99"/>
      <c r="I66" s="99"/>
      <c r="J66" s="99"/>
      <c r="K66" s="99"/>
    </row>
    <row r="67" spans="1:21" x14ac:dyDescent="0.2">
      <c r="A67" s="99"/>
      <c r="B67" s="99"/>
      <c r="C67" s="100"/>
      <c r="D67" s="99"/>
      <c r="E67" s="99"/>
      <c r="F67" s="99"/>
      <c r="G67" s="99"/>
      <c r="H67" s="101"/>
      <c r="I67" s="99"/>
      <c r="J67" s="102"/>
      <c r="K67" s="99"/>
      <c r="U67">
        <f>SUM(E67:T67)</f>
        <v>0</v>
      </c>
    </row>
    <row r="68" spans="1:21" x14ac:dyDescent="0.2">
      <c r="A68" s="99"/>
      <c r="B68" s="99"/>
      <c r="C68" s="99"/>
      <c r="D68" s="99"/>
      <c r="E68" s="99"/>
      <c r="F68" s="99"/>
      <c r="G68" s="99"/>
      <c r="H68" s="99"/>
      <c r="I68" s="99"/>
      <c r="J68" s="99"/>
      <c r="K68" s="99"/>
    </row>
    <row r="69" spans="1:21" x14ac:dyDescent="0.2">
      <c r="A69" s="99"/>
      <c r="B69" s="99"/>
      <c r="C69" s="100"/>
      <c r="D69" s="99"/>
      <c r="E69" s="99"/>
      <c r="F69" s="99"/>
      <c r="G69" s="99"/>
      <c r="H69" s="101"/>
      <c r="I69" s="99"/>
      <c r="J69" s="99"/>
      <c r="K69" s="99"/>
      <c r="U69">
        <f>SUM(E69:T69)</f>
        <v>0</v>
      </c>
    </row>
    <row r="70" spans="1:21" x14ac:dyDescent="0.2">
      <c r="A70" s="99"/>
      <c r="B70" s="99"/>
      <c r="C70" s="100"/>
      <c r="D70" s="99"/>
      <c r="E70" s="99"/>
      <c r="F70" s="99"/>
      <c r="G70" s="99"/>
      <c r="H70" s="101"/>
      <c r="I70" s="102"/>
      <c r="J70" s="99"/>
      <c r="K70" s="99"/>
    </row>
    <row r="71" spans="1:21" x14ac:dyDescent="0.2">
      <c r="A71" s="99"/>
      <c r="B71" s="99"/>
      <c r="C71" s="100"/>
      <c r="D71" s="99"/>
      <c r="E71" s="99"/>
      <c r="F71" s="99"/>
      <c r="G71" s="99"/>
      <c r="H71" s="101"/>
      <c r="I71" s="99"/>
      <c r="J71" s="99"/>
      <c r="K71" s="99"/>
      <c r="U71">
        <f>SUM(E71:T71)</f>
        <v>0</v>
      </c>
    </row>
    <row r="72" spans="1:21" x14ac:dyDescent="0.2">
      <c r="A72" s="99"/>
      <c r="B72" s="99"/>
      <c r="C72" s="100"/>
      <c r="D72" s="99"/>
      <c r="E72" s="99"/>
      <c r="F72" s="99"/>
      <c r="G72" s="99"/>
      <c r="H72" s="101"/>
      <c r="I72" s="99"/>
      <c r="J72" s="102"/>
      <c r="K72" s="99"/>
    </row>
    <row r="73" spans="1:21" x14ac:dyDescent="0.2">
      <c r="A73" s="99"/>
      <c r="B73" s="99"/>
      <c r="C73" s="100"/>
      <c r="D73" s="99"/>
      <c r="E73" s="99"/>
      <c r="F73" s="99"/>
      <c r="G73" s="99"/>
      <c r="H73" s="101"/>
      <c r="I73" s="99"/>
      <c r="J73" s="99"/>
      <c r="K73" s="99"/>
      <c r="U73">
        <f>SUM(E73:T73)</f>
        <v>0</v>
      </c>
    </row>
    <row r="74" spans="1:21" x14ac:dyDescent="0.2">
      <c r="A74" s="99"/>
      <c r="B74" s="99"/>
      <c r="C74" s="100"/>
      <c r="D74" s="99"/>
      <c r="E74" s="99"/>
      <c r="F74" s="99"/>
      <c r="G74" s="99"/>
      <c r="H74" s="101"/>
      <c r="I74" s="99"/>
      <c r="J74" s="99"/>
      <c r="K74" s="99"/>
    </row>
    <row r="75" spans="1:21" x14ac:dyDescent="0.2">
      <c r="A75" s="99"/>
      <c r="B75" s="99"/>
      <c r="C75" s="100"/>
      <c r="D75" s="99"/>
      <c r="E75" s="99"/>
      <c r="F75" s="99"/>
      <c r="G75" s="99"/>
      <c r="H75" s="101"/>
      <c r="I75" s="99"/>
      <c r="J75" s="99"/>
      <c r="K75" s="99"/>
      <c r="U75">
        <f>SUM(E75:T75)</f>
        <v>0</v>
      </c>
    </row>
    <row r="76" spans="1:21" x14ac:dyDescent="0.2">
      <c r="A76" s="99"/>
      <c r="B76" s="99"/>
      <c r="C76" s="100"/>
      <c r="D76" s="99"/>
      <c r="E76" s="99"/>
      <c r="F76" s="99"/>
      <c r="G76" s="99"/>
      <c r="H76" s="101"/>
      <c r="I76" s="99"/>
      <c r="J76" s="99"/>
      <c r="K76" s="99"/>
    </row>
    <row r="77" spans="1:21" x14ac:dyDescent="0.2">
      <c r="A77" s="99"/>
      <c r="B77" s="99"/>
      <c r="C77" s="100"/>
      <c r="D77" s="99"/>
      <c r="E77" s="99"/>
      <c r="F77" s="99"/>
      <c r="G77" s="99"/>
      <c r="H77" s="101"/>
      <c r="I77" s="99"/>
      <c r="J77" s="99"/>
      <c r="K77" s="102"/>
      <c r="U77">
        <f>SUM(E77:T77)</f>
        <v>0</v>
      </c>
    </row>
    <row r="78" spans="1:21" x14ac:dyDescent="0.2">
      <c r="A78" s="99"/>
      <c r="B78" s="99"/>
      <c r="C78" s="100"/>
      <c r="D78" s="99"/>
      <c r="E78" s="99"/>
      <c r="F78" s="99"/>
      <c r="G78" s="99"/>
      <c r="H78" s="101"/>
      <c r="I78" s="99"/>
      <c r="J78" s="99"/>
      <c r="K78" s="99"/>
    </row>
    <row r="79" spans="1:21" x14ac:dyDescent="0.2">
      <c r="A79" s="99"/>
      <c r="B79" s="99"/>
      <c r="C79" s="99"/>
      <c r="D79" s="99"/>
      <c r="E79" s="99"/>
      <c r="F79" s="101"/>
      <c r="G79" s="99"/>
      <c r="H79" s="99"/>
      <c r="I79" s="102"/>
      <c r="J79" s="99"/>
      <c r="K79" s="99"/>
      <c r="U79">
        <f>SUM(E79:T79)</f>
        <v>0</v>
      </c>
    </row>
    <row r="80" spans="1:21" x14ac:dyDescent="0.2">
      <c r="A80" s="99"/>
      <c r="B80" s="99"/>
      <c r="C80" s="100"/>
      <c r="D80" s="99"/>
      <c r="E80" s="99"/>
      <c r="F80" s="99"/>
      <c r="G80" s="99"/>
      <c r="H80" s="101"/>
      <c r="I80" s="99"/>
      <c r="J80" s="99"/>
      <c r="K80" s="99"/>
    </row>
    <row r="81" spans="1:11" x14ac:dyDescent="0.2">
      <c r="A81" s="99"/>
      <c r="B81" s="99"/>
      <c r="C81" s="100"/>
      <c r="D81" s="99"/>
      <c r="E81" s="99"/>
      <c r="F81" s="99"/>
      <c r="G81" s="99"/>
      <c r="H81" s="101"/>
      <c r="I81" s="102"/>
      <c r="J81" s="99"/>
      <c r="K81" s="99"/>
    </row>
    <row r="82" spans="1:11" x14ac:dyDescent="0.2">
      <c r="A82" s="99"/>
      <c r="B82" s="99"/>
      <c r="C82" s="99"/>
      <c r="D82" s="99"/>
      <c r="E82" s="99"/>
      <c r="F82" s="99"/>
      <c r="G82" s="99"/>
      <c r="H82" s="99"/>
      <c r="I82" s="99"/>
      <c r="J82" s="99"/>
      <c r="K82" s="99"/>
    </row>
    <row r="83" spans="1:11" x14ac:dyDescent="0.2">
      <c r="A83" s="99"/>
      <c r="B83" s="99"/>
      <c r="C83" s="100"/>
      <c r="D83" s="99"/>
      <c r="E83" s="99"/>
      <c r="F83" s="99"/>
      <c r="G83" s="99"/>
      <c r="H83" s="101"/>
      <c r="I83" s="99"/>
      <c r="J83" s="102"/>
      <c r="K83" s="99"/>
    </row>
    <row r="84" spans="1:11" x14ac:dyDescent="0.2">
      <c r="A84" s="99"/>
      <c r="B84" s="99"/>
      <c r="C84" s="99"/>
      <c r="D84" s="99"/>
      <c r="E84" s="99"/>
      <c r="F84" s="99"/>
      <c r="G84" s="99"/>
      <c r="H84" s="99"/>
      <c r="I84" s="99"/>
      <c r="J84" s="99"/>
      <c r="K84" s="99"/>
    </row>
    <row r="85" spans="1:11" x14ac:dyDescent="0.2">
      <c r="A85" s="99"/>
      <c r="B85" s="99"/>
      <c r="C85" s="100"/>
      <c r="D85" s="99"/>
      <c r="E85" s="99"/>
      <c r="F85" s="99"/>
      <c r="G85" s="99"/>
      <c r="H85" s="101"/>
      <c r="I85" s="99"/>
      <c r="J85" s="99"/>
      <c r="K85" s="99"/>
    </row>
    <row r="86" spans="1:11" x14ac:dyDescent="0.2">
      <c r="A86" s="99"/>
      <c r="B86" s="99"/>
      <c r="C86" s="99"/>
      <c r="D86" s="99"/>
      <c r="E86" s="99"/>
      <c r="F86" s="99"/>
      <c r="G86" s="99"/>
      <c r="H86" s="99"/>
      <c r="I86" s="99"/>
      <c r="J86" s="99"/>
      <c r="K86" s="99"/>
    </row>
    <row r="87" spans="1:11" x14ac:dyDescent="0.2">
      <c r="A87" s="99"/>
      <c r="B87" s="99"/>
      <c r="C87" s="100"/>
      <c r="D87" s="99"/>
      <c r="E87" s="99"/>
      <c r="F87" s="99"/>
      <c r="G87" s="99"/>
      <c r="H87" s="101"/>
      <c r="I87" s="99"/>
      <c r="J87" s="99"/>
      <c r="K87" s="99"/>
    </row>
    <row r="88" spans="1:11" x14ac:dyDescent="0.2">
      <c r="A88" s="99"/>
      <c r="B88" s="99"/>
      <c r="C88" s="99"/>
      <c r="D88" s="99"/>
      <c r="E88" s="99"/>
      <c r="F88" s="99"/>
      <c r="G88" s="99"/>
      <c r="H88" s="99"/>
      <c r="I88" s="99"/>
      <c r="J88" s="99"/>
      <c r="K88" s="99"/>
    </row>
    <row r="89" spans="1:11" x14ac:dyDescent="0.2">
      <c r="A89" s="99"/>
      <c r="B89" s="99"/>
      <c r="C89" s="100"/>
      <c r="D89" s="99"/>
      <c r="E89" s="99"/>
      <c r="F89" s="99"/>
      <c r="G89" s="99"/>
      <c r="H89" s="101"/>
      <c r="I89" s="99"/>
      <c r="J89" s="99"/>
      <c r="K89" s="99"/>
    </row>
    <row r="90" spans="1:11" x14ac:dyDescent="0.2">
      <c r="A90" s="99"/>
      <c r="B90" s="99"/>
      <c r="C90" s="100"/>
      <c r="D90" s="99"/>
      <c r="E90" s="99"/>
      <c r="F90" s="99"/>
      <c r="G90" s="99"/>
      <c r="H90" s="101"/>
      <c r="I90" s="102"/>
      <c r="J90" s="99"/>
      <c r="K90" s="99"/>
    </row>
    <row r="91" spans="1:11" x14ac:dyDescent="0.2">
      <c r="A91" s="99"/>
      <c r="B91" s="99"/>
      <c r="C91" s="99"/>
      <c r="D91" s="99"/>
      <c r="E91" s="99"/>
      <c r="F91" s="99"/>
      <c r="G91" s="99"/>
      <c r="H91" s="99"/>
      <c r="I91" s="99"/>
      <c r="J91" s="99"/>
      <c r="K91" s="99"/>
    </row>
    <row r="92" spans="1:11" x14ac:dyDescent="0.2">
      <c r="A92" s="99"/>
      <c r="B92" s="99"/>
      <c r="C92" s="100"/>
      <c r="D92" s="99"/>
      <c r="E92" s="99"/>
      <c r="F92" s="99"/>
      <c r="G92" s="99"/>
      <c r="H92" s="101"/>
      <c r="I92" s="99"/>
      <c r="J92" s="102"/>
      <c r="K92" s="99"/>
    </row>
    <row r="93" spans="1:11" x14ac:dyDescent="0.2">
      <c r="A93" s="99"/>
      <c r="B93" s="99"/>
      <c r="C93" s="99"/>
      <c r="D93" s="99"/>
      <c r="E93" s="99"/>
      <c r="F93" s="99"/>
      <c r="G93" s="99"/>
      <c r="H93" s="99"/>
      <c r="I93" s="99"/>
      <c r="J93" s="99"/>
      <c r="K93" s="99"/>
    </row>
    <row r="94" spans="1:11" x14ac:dyDescent="0.2">
      <c r="A94" s="99"/>
      <c r="B94" s="99"/>
      <c r="C94" s="100"/>
      <c r="D94" s="99"/>
      <c r="E94" s="99"/>
      <c r="F94" s="99"/>
      <c r="G94" s="99"/>
      <c r="H94" s="101"/>
      <c r="I94" s="102"/>
      <c r="J94" s="99"/>
      <c r="K94" s="99"/>
    </row>
    <row r="95" spans="1:11" x14ac:dyDescent="0.2">
      <c r="A95" s="99"/>
      <c r="B95" s="99"/>
      <c r="C95" s="99"/>
      <c r="D95" s="99"/>
      <c r="E95" s="99"/>
      <c r="F95" s="99"/>
      <c r="G95" s="99"/>
      <c r="H95" s="99"/>
      <c r="I95" s="99"/>
      <c r="J95" s="99"/>
      <c r="K95" s="99"/>
    </row>
    <row r="96" spans="1:11" x14ac:dyDescent="0.2">
      <c r="A96" s="99"/>
      <c r="B96" s="99"/>
      <c r="C96" s="100"/>
      <c r="D96" s="99"/>
      <c r="E96" s="99"/>
      <c r="F96" s="99"/>
      <c r="G96" s="99"/>
      <c r="H96" s="101"/>
      <c r="I96" s="99"/>
      <c r="J96" s="99"/>
      <c r="K96" s="99"/>
    </row>
    <row r="97" spans="1:11" x14ac:dyDescent="0.2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</row>
    <row r="98" spans="1:11" x14ac:dyDescent="0.2">
      <c r="A98" s="99"/>
      <c r="B98" s="99"/>
      <c r="C98" s="100"/>
      <c r="D98" s="99"/>
      <c r="E98" s="99"/>
      <c r="F98" s="99"/>
      <c r="G98" s="99"/>
      <c r="H98" s="101"/>
      <c r="I98" s="99"/>
      <c r="J98" s="102"/>
      <c r="K98" s="99"/>
    </row>
    <row r="99" spans="1:11" x14ac:dyDescent="0.2">
      <c r="A99" s="99"/>
      <c r="B99" s="99"/>
      <c r="C99" s="99"/>
      <c r="D99" s="99"/>
      <c r="E99" s="99"/>
      <c r="F99" s="99"/>
      <c r="G99" s="99"/>
      <c r="H99" s="99"/>
      <c r="I99" s="99"/>
      <c r="J99" s="99"/>
      <c r="K99" s="99"/>
    </row>
    <row r="100" spans="1:11" x14ac:dyDescent="0.2">
      <c r="A100" s="99"/>
      <c r="B100" s="99"/>
      <c r="C100" s="100"/>
      <c r="D100" s="99"/>
      <c r="E100" s="99"/>
      <c r="F100" s="99"/>
      <c r="G100" s="99"/>
      <c r="H100" s="101"/>
      <c r="I100" s="99"/>
      <c r="J100" s="99"/>
      <c r="K100" s="99"/>
    </row>
    <row r="101" spans="1:11" x14ac:dyDescent="0.2">
      <c r="A101" s="99"/>
      <c r="B101" s="99"/>
      <c r="C101" s="100"/>
      <c r="D101" s="99"/>
      <c r="E101" s="99"/>
      <c r="F101" s="99"/>
      <c r="G101" s="99"/>
      <c r="H101" s="101"/>
      <c r="I101" s="102"/>
      <c r="J101" s="99"/>
      <c r="K101" s="99"/>
    </row>
    <row r="102" spans="1:11" x14ac:dyDescent="0.2">
      <c r="A102" s="99"/>
      <c r="B102" s="99"/>
      <c r="C102" s="99"/>
      <c r="D102" s="99"/>
      <c r="E102" s="99"/>
      <c r="F102" s="99"/>
      <c r="G102" s="99"/>
      <c r="H102" s="99"/>
      <c r="I102" s="99"/>
      <c r="J102" s="99"/>
      <c r="K102" s="99"/>
    </row>
    <row r="103" spans="1:11" x14ac:dyDescent="0.2">
      <c r="A103" s="99"/>
      <c r="B103" s="99"/>
      <c r="C103" s="100"/>
      <c r="D103" s="99"/>
      <c r="E103" s="99"/>
      <c r="F103" s="99"/>
      <c r="G103" s="99"/>
      <c r="H103" s="101"/>
      <c r="I103" s="99"/>
      <c r="J103" s="102"/>
      <c r="K103" s="99"/>
    </row>
    <row r="104" spans="1:11" x14ac:dyDescent="0.2">
      <c r="A104" s="99"/>
      <c r="B104" s="99"/>
      <c r="C104" s="99"/>
      <c r="D104" s="99"/>
      <c r="E104" s="99"/>
      <c r="F104" s="99"/>
      <c r="G104" s="99"/>
      <c r="H104" s="99"/>
      <c r="I104" s="99"/>
      <c r="J104" s="99"/>
      <c r="K104" s="99"/>
    </row>
    <row r="105" spans="1:11" x14ac:dyDescent="0.2">
      <c r="A105" s="99"/>
      <c r="B105" s="99"/>
      <c r="C105" s="100"/>
      <c r="D105" s="99"/>
      <c r="E105" s="99"/>
      <c r="F105" s="99"/>
      <c r="G105" s="99"/>
      <c r="H105" s="101"/>
      <c r="I105" s="102"/>
      <c r="J105" s="99"/>
      <c r="K105" s="99"/>
    </row>
    <row r="106" spans="1:11" x14ac:dyDescent="0.2">
      <c r="A106" s="99"/>
      <c r="B106" s="99"/>
      <c r="C106" s="99"/>
      <c r="D106" s="99"/>
      <c r="E106" s="99"/>
      <c r="F106" s="99"/>
      <c r="G106" s="99"/>
      <c r="H106" s="99"/>
      <c r="I106" s="99"/>
      <c r="J106" s="99"/>
      <c r="K106" s="99"/>
    </row>
    <row r="107" spans="1:11" x14ac:dyDescent="0.2">
      <c r="A107" s="99"/>
      <c r="B107" s="99"/>
      <c r="C107" s="100"/>
      <c r="D107" s="99"/>
      <c r="E107" s="99"/>
      <c r="F107" s="99"/>
      <c r="G107" s="99"/>
      <c r="H107" s="101"/>
      <c r="I107" s="99"/>
      <c r="J107" s="99"/>
      <c r="K107" s="99"/>
    </row>
    <row r="108" spans="1:11" x14ac:dyDescent="0.2">
      <c r="A108" s="99"/>
      <c r="B108" s="99"/>
      <c r="C108" s="99"/>
      <c r="D108" s="99"/>
      <c r="E108" s="99"/>
      <c r="F108" s="99"/>
      <c r="G108" s="99"/>
      <c r="H108" s="99"/>
      <c r="I108" s="99"/>
      <c r="J108" s="99"/>
      <c r="K108" s="99"/>
    </row>
    <row r="109" spans="1:11" x14ac:dyDescent="0.2">
      <c r="A109" s="99"/>
      <c r="B109" s="99"/>
      <c r="C109" s="100"/>
      <c r="D109" s="99"/>
      <c r="E109" s="99"/>
      <c r="F109" s="99"/>
      <c r="G109" s="99"/>
      <c r="H109" s="101"/>
      <c r="I109" s="99"/>
      <c r="J109" s="102"/>
      <c r="K109" s="99"/>
    </row>
    <row r="110" spans="1:11" x14ac:dyDescent="0.2">
      <c r="A110" s="99"/>
      <c r="B110" s="99"/>
      <c r="C110" s="99"/>
      <c r="D110" s="99"/>
      <c r="E110" s="99"/>
      <c r="F110" s="99"/>
      <c r="G110" s="99"/>
      <c r="H110" s="99"/>
      <c r="I110" s="99"/>
      <c r="J110" s="99"/>
      <c r="K110" s="99"/>
    </row>
    <row r="111" spans="1:11" x14ac:dyDescent="0.2">
      <c r="A111" s="99"/>
      <c r="B111" s="99"/>
      <c r="C111" s="100"/>
      <c r="D111" s="99"/>
      <c r="E111" s="99"/>
      <c r="F111" s="99"/>
      <c r="G111" s="99"/>
      <c r="H111" s="101"/>
      <c r="I111" s="99"/>
      <c r="J111" s="99"/>
      <c r="K111" s="99"/>
    </row>
    <row r="112" spans="1:11" x14ac:dyDescent="0.2">
      <c r="A112" s="99"/>
      <c r="B112" s="99"/>
      <c r="C112" s="100"/>
      <c r="D112" s="99"/>
      <c r="E112" s="99"/>
      <c r="F112" s="99"/>
      <c r="G112" s="99"/>
      <c r="H112" s="101"/>
      <c r="I112" s="102"/>
      <c r="J112" s="99"/>
      <c r="K112" s="99"/>
    </row>
    <row r="113" spans="1:11" x14ac:dyDescent="0.2">
      <c r="A113" s="99"/>
      <c r="B113" s="99"/>
      <c r="C113" s="99"/>
      <c r="D113" s="99"/>
      <c r="E113" s="99"/>
      <c r="F113" s="99"/>
      <c r="G113" s="99"/>
      <c r="H113" s="99"/>
      <c r="I113" s="99"/>
      <c r="J113" s="99"/>
      <c r="K113" s="99"/>
    </row>
    <row r="114" spans="1:11" x14ac:dyDescent="0.2">
      <c r="A114" s="99"/>
      <c r="B114" s="99"/>
      <c r="C114" s="100"/>
      <c r="D114" s="99"/>
      <c r="E114" s="99"/>
      <c r="F114" s="99"/>
      <c r="G114" s="99"/>
      <c r="H114" s="101"/>
      <c r="I114" s="99"/>
      <c r="J114" s="102"/>
      <c r="K114" s="99"/>
    </row>
    <row r="115" spans="1:11" x14ac:dyDescent="0.2">
      <c r="A115" s="99"/>
      <c r="B115" s="99"/>
      <c r="C115" s="99"/>
      <c r="D115" s="99"/>
      <c r="E115" s="99"/>
      <c r="F115" s="99"/>
      <c r="G115" s="99"/>
      <c r="H115" s="99"/>
      <c r="I115" s="99"/>
      <c r="J115" s="99"/>
      <c r="K115" s="99"/>
    </row>
    <row r="116" spans="1:11" x14ac:dyDescent="0.2">
      <c r="A116" s="99"/>
      <c r="B116" s="99"/>
      <c r="C116" s="100"/>
      <c r="D116" s="99"/>
      <c r="E116" s="99"/>
      <c r="F116" s="99"/>
      <c r="G116" s="99"/>
      <c r="H116" s="101"/>
      <c r="I116" s="102"/>
      <c r="J116" s="99"/>
      <c r="K116" s="99"/>
    </row>
    <row r="117" spans="1:11" x14ac:dyDescent="0.2">
      <c r="A117" s="99"/>
      <c r="B117" s="99"/>
      <c r="C117" s="99"/>
      <c r="D117" s="99"/>
      <c r="E117" s="99"/>
      <c r="F117" s="99"/>
      <c r="G117" s="99"/>
      <c r="H117" s="99"/>
      <c r="I117" s="99"/>
      <c r="J117" s="99"/>
      <c r="K117" s="99"/>
    </row>
    <row r="118" spans="1:11" x14ac:dyDescent="0.2">
      <c r="A118" s="99"/>
      <c r="B118" s="99"/>
      <c r="C118" s="100"/>
      <c r="D118" s="99"/>
      <c r="E118" s="99"/>
      <c r="F118" s="99"/>
      <c r="G118" s="99"/>
      <c r="H118" s="101"/>
      <c r="I118" s="99"/>
      <c r="J118" s="102"/>
      <c r="K118" s="99"/>
    </row>
    <row r="119" spans="1:11" x14ac:dyDescent="0.2">
      <c r="A119" s="99"/>
      <c r="B119" s="99"/>
      <c r="C119" s="99"/>
      <c r="D119" s="99"/>
      <c r="E119" s="99"/>
      <c r="F119" s="99"/>
      <c r="G119" s="99"/>
      <c r="H119" s="99"/>
      <c r="I119" s="99"/>
      <c r="J119" s="99"/>
      <c r="K119" s="99"/>
    </row>
    <row r="120" spans="1:11" x14ac:dyDescent="0.2">
      <c r="A120" s="99"/>
      <c r="B120" s="99"/>
      <c r="C120" s="100"/>
      <c r="D120" s="99"/>
      <c r="E120" s="99"/>
      <c r="F120" s="99"/>
      <c r="G120" s="99"/>
      <c r="H120" s="101"/>
      <c r="I120" s="99"/>
      <c r="J120" s="102"/>
      <c r="K120" s="99"/>
    </row>
    <row r="121" spans="1:11" x14ac:dyDescent="0.2">
      <c r="A121" s="99"/>
      <c r="B121" s="99"/>
      <c r="C121" s="99"/>
      <c r="D121" s="99"/>
      <c r="E121" s="99"/>
      <c r="F121" s="99"/>
      <c r="G121" s="99"/>
      <c r="H121" s="99"/>
      <c r="I121" s="99"/>
      <c r="J121" s="99"/>
      <c r="K121" s="99"/>
    </row>
    <row r="122" spans="1:11" x14ac:dyDescent="0.2">
      <c r="A122" s="99"/>
      <c r="B122" s="99"/>
      <c r="C122" s="100"/>
      <c r="D122" s="99"/>
      <c r="E122" s="99"/>
      <c r="F122" s="99"/>
      <c r="G122" s="99"/>
      <c r="H122" s="101"/>
      <c r="I122" s="99"/>
      <c r="J122" s="99"/>
      <c r="K122" s="99"/>
    </row>
    <row r="123" spans="1:11" x14ac:dyDescent="0.2">
      <c r="A123" s="99"/>
      <c r="B123" s="99"/>
      <c r="C123" s="100"/>
      <c r="D123" s="99"/>
      <c r="E123" s="99"/>
      <c r="F123" s="99"/>
      <c r="G123" s="99"/>
      <c r="H123" s="101"/>
      <c r="I123" s="99"/>
      <c r="J123" s="102"/>
      <c r="K123" s="99"/>
    </row>
    <row r="124" spans="1:11" x14ac:dyDescent="0.2">
      <c r="A124" s="99"/>
      <c r="B124" s="99"/>
      <c r="C124" s="100"/>
      <c r="D124" s="99"/>
      <c r="E124" s="99"/>
      <c r="F124" s="99"/>
      <c r="G124" s="99"/>
      <c r="H124" s="101"/>
      <c r="I124" s="102"/>
      <c r="J124" s="99"/>
      <c r="K124" s="99"/>
    </row>
    <row r="125" spans="1:11" x14ac:dyDescent="0.2">
      <c r="A125" s="99"/>
      <c r="B125" s="99"/>
      <c r="C125" s="100"/>
      <c r="D125" s="99"/>
      <c r="E125" s="99"/>
      <c r="F125" s="99"/>
      <c r="G125" s="99"/>
      <c r="H125" s="101"/>
      <c r="I125" s="99"/>
      <c r="J125" s="99"/>
      <c r="K125" s="99"/>
    </row>
    <row r="126" spans="1:11" x14ac:dyDescent="0.2">
      <c r="A126" s="99"/>
      <c r="B126" s="99"/>
      <c r="C126" s="100"/>
      <c r="D126" s="99"/>
      <c r="E126" s="99"/>
      <c r="F126" s="99"/>
      <c r="G126" s="99"/>
      <c r="H126" s="101"/>
      <c r="I126" s="99"/>
      <c r="J126" s="102"/>
      <c r="K126" s="99"/>
    </row>
    <row r="127" spans="1:11" x14ac:dyDescent="0.2">
      <c r="A127" s="99"/>
      <c r="B127" s="99"/>
      <c r="C127" s="100"/>
      <c r="D127" s="99"/>
      <c r="E127" s="99"/>
      <c r="F127" s="99"/>
      <c r="G127" s="99"/>
      <c r="H127" s="101"/>
      <c r="I127" s="99"/>
      <c r="J127" s="99"/>
      <c r="K127" s="102"/>
    </row>
    <row r="128" spans="1:11" x14ac:dyDescent="0.2">
      <c r="A128" s="99"/>
      <c r="B128" s="99"/>
      <c r="C128" s="100"/>
      <c r="D128" s="99"/>
      <c r="E128" s="99"/>
      <c r="F128" s="99"/>
      <c r="G128" s="99"/>
      <c r="H128" s="101"/>
      <c r="I128" s="102"/>
      <c r="J128" s="99"/>
      <c r="K128" s="99"/>
    </row>
    <row r="129" spans="1:11" x14ac:dyDescent="0.2">
      <c r="A129" s="99"/>
      <c r="B129" s="99"/>
      <c r="C129" s="99"/>
      <c r="D129" s="99"/>
      <c r="E129" s="99"/>
      <c r="F129" s="99"/>
      <c r="G129" s="99"/>
      <c r="H129" s="99"/>
      <c r="I129" s="99"/>
      <c r="J129" s="99"/>
      <c r="K129" s="99"/>
    </row>
    <row r="130" spans="1:11" x14ac:dyDescent="0.2">
      <c r="A130" s="99"/>
      <c r="B130" s="99"/>
      <c r="C130" s="100"/>
      <c r="D130" s="99"/>
      <c r="E130" s="99"/>
      <c r="F130" s="99"/>
      <c r="G130" s="99"/>
      <c r="H130" s="101"/>
      <c r="I130" s="99"/>
      <c r="J130" s="102"/>
      <c r="K130" s="99"/>
    </row>
    <row r="131" spans="1:11" x14ac:dyDescent="0.2">
      <c r="A131" s="99"/>
      <c r="B131" s="99"/>
      <c r="C131" s="99"/>
      <c r="D131" s="99"/>
      <c r="E131" s="99"/>
      <c r="F131" s="99"/>
      <c r="G131" s="99"/>
      <c r="H131" s="99"/>
      <c r="I131" s="99"/>
      <c r="J131" s="99"/>
      <c r="K131" s="99"/>
    </row>
    <row r="132" spans="1:11" x14ac:dyDescent="0.2">
      <c r="A132" s="99"/>
      <c r="B132" s="99"/>
      <c r="C132" s="100"/>
      <c r="D132" s="99"/>
      <c r="E132" s="99"/>
      <c r="F132" s="99"/>
      <c r="G132" s="99"/>
      <c r="H132" s="101"/>
      <c r="I132" s="99"/>
      <c r="J132" s="99"/>
      <c r="K132" s="99"/>
    </row>
    <row r="133" spans="1:11" x14ac:dyDescent="0.2">
      <c r="A133" s="99"/>
      <c r="B133" s="99"/>
      <c r="C133" s="99"/>
      <c r="D133" s="99"/>
      <c r="E133" s="99"/>
      <c r="F133" s="99"/>
      <c r="G133" s="99"/>
      <c r="H133" s="99"/>
      <c r="I133" s="99"/>
      <c r="J133" s="99"/>
      <c r="K133" s="99"/>
    </row>
    <row r="134" spans="1:11" x14ac:dyDescent="0.2">
      <c r="A134" s="99"/>
      <c r="B134" s="99"/>
      <c r="C134" s="100"/>
      <c r="D134" s="99"/>
      <c r="E134" s="99"/>
      <c r="F134" s="99"/>
      <c r="G134" s="99"/>
      <c r="H134" s="101"/>
      <c r="I134" s="99"/>
      <c r="J134" s="99"/>
      <c r="K134" s="99"/>
    </row>
    <row r="135" spans="1:11" x14ac:dyDescent="0.2">
      <c r="A135" s="99"/>
      <c r="B135" s="99"/>
      <c r="C135" s="99"/>
      <c r="D135" s="99"/>
      <c r="E135" s="99"/>
      <c r="F135" s="99"/>
      <c r="G135" s="99"/>
      <c r="H135" s="99"/>
      <c r="I135" s="99"/>
      <c r="J135" s="99"/>
      <c r="K135" s="99"/>
    </row>
    <row r="136" spans="1:11" x14ac:dyDescent="0.2">
      <c r="A136" s="99"/>
      <c r="B136" s="99"/>
      <c r="C136" s="100"/>
      <c r="D136" s="99"/>
      <c r="E136" s="99"/>
      <c r="F136" s="99"/>
      <c r="G136" s="99"/>
      <c r="H136" s="101"/>
      <c r="I136" s="99"/>
      <c r="J136" s="102"/>
      <c r="K136" s="99"/>
    </row>
    <row r="137" spans="1:11" x14ac:dyDescent="0.2">
      <c r="A137" s="99"/>
      <c r="B137" s="99"/>
      <c r="C137" s="99"/>
      <c r="D137" s="99"/>
      <c r="E137" s="99"/>
      <c r="F137" s="99"/>
      <c r="G137" s="99"/>
      <c r="H137" s="99"/>
      <c r="I137" s="99"/>
      <c r="J137" s="99"/>
      <c r="K137" s="99"/>
    </row>
    <row r="138" spans="1:11" x14ac:dyDescent="0.2">
      <c r="A138" s="99"/>
      <c r="B138" s="99"/>
      <c r="C138" s="100"/>
      <c r="D138" s="99"/>
      <c r="E138" s="99"/>
      <c r="F138" s="99"/>
      <c r="G138" s="99"/>
      <c r="H138" s="101"/>
      <c r="I138" s="99"/>
      <c r="J138" s="102"/>
      <c r="K138" s="99"/>
    </row>
    <row r="139" spans="1:11" x14ac:dyDescent="0.2">
      <c r="A139" s="99"/>
      <c r="B139" s="99"/>
      <c r="C139" s="99"/>
      <c r="D139" s="99"/>
      <c r="E139" s="99"/>
      <c r="F139" s="99"/>
      <c r="G139" s="99"/>
      <c r="H139" s="99"/>
      <c r="I139" s="99"/>
      <c r="J139" s="99"/>
      <c r="K139" s="99"/>
    </row>
    <row r="140" spans="1:11" x14ac:dyDescent="0.2">
      <c r="A140" s="99"/>
      <c r="B140" s="99"/>
      <c r="C140" s="100"/>
      <c r="D140" s="99"/>
      <c r="E140" s="99"/>
      <c r="F140" s="99"/>
      <c r="G140" s="99"/>
      <c r="H140" s="101"/>
      <c r="I140" s="99"/>
      <c r="J140" s="99"/>
      <c r="K140" s="99"/>
    </row>
    <row r="141" spans="1:11" x14ac:dyDescent="0.2">
      <c r="A141" s="99"/>
      <c r="B141" s="99"/>
      <c r="C141" s="99"/>
      <c r="D141" s="99"/>
      <c r="E141" s="99"/>
      <c r="F141" s="99"/>
      <c r="G141" s="99"/>
      <c r="H141" s="99"/>
      <c r="I141" s="99"/>
      <c r="J141" s="99"/>
      <c r="K141" s="99"/>
    </row>
    <row r="142" spans="1:11" x14ac:dyDescent="0.2">
      <c r="A142" s="99"/>
      <c r="B142" s="99"/>
      <c r="C142" s="100"/>
      <c r="D142" s="99"/>
      <c r="E142" s="99"/>
      <c r="F142" s="99"/>
      <c r="G142" s="99"/>
      <c r="H142" s="101"/>
      <c r="I142" s="99"/>
      <c r="J142" s="99"/>
      <c r="K142" s="99"/>
    </row>
    <row r="143" spans="1:11" x14ac:dyDescent="0.2">
      <c r="A143" s="99"/>
      <c r="B143" s="99"/>
      <c r="C143" s="99"/>
      <c r="D143" s="99"/>
      <c r="E143" s="99"/>
      <c r="F143" s="99"/>
      <c r="G143" s="99"/>
      <c r="H143" s="99"/>
      <c r="I143" s="99"/>
      <c r="J143" s="99"/>
      <c r="K143" s="99"/>
    </row>
    <row r="144" spans="1:11" x14ac:dyDescent="0.2">
      <c r="A144" s="99"/>
      <c r="B144" s="99"/>
      <c r="C144" s="100"/>
      <c r="D144" s="99"/>
      <c r="E144" s="99"/>
      <c r="F144" s="99"/>
      <c r="G144" s="99"/>
      <c r="H144" s="101"/>
      <c r="I144" s="99"/>
      <c r="J144" s="99"/>
      <c r="K144" s="99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P22"/>
  <sheetViews>
    <sheetView zoomScale="130" zoomScaleNormal="130" workbookViewId="0">
      <selection activeCell="J17" sqref="J17"/>
    </sheetView>
  </sheetViews>
  <sheetFormatPr baseColWidth="10" defaultRowHeight="12.75" x14ac:dyDescent="0.2"/>
  <cols>
    <col min="1" max="1" width="0.85546875" customWidth="1"/>
    <col min="2" max="2" width="12.7109375" bestFit="1" customWidth="1"/>
    <col min="3" max="3" width="0.85546875" customWidth="1"/>
    <col min="4" max="4" width="8" customWidth="1"/>
    <col min="6" max="6" width="12.42578125" customWidth="1"/>
    <col min="7" max="7" width="12.7109375" bestFit="1" customWidth="1"/>
    <col min="9" max="9" width="12.7109375" bestFit="1" customWidth="1"/>
    <col min="10" max="10" width="14.42578125" customWidth="1"/>
    <col min="11" max="11" width="14.7109375" customWidth="1"/>
    <col min="12" max="12" width="15.42578125" customWidth="1"/>
  </cols>
  <sheetData>
    <row r="1" spans="1:16" ht="28.5" x14ac:dyDescent="0.45">
      <c r="E1" s="104"/>
      <c r="F1" s="105" t="s">
        <v>92</v>
      </c>
      <c r="G1" s="106"/>
      <c r="H1" s="106"/>
      <c r="I1" s="107"/>
    </row>
    <row r="2" spans="1:16" ht="15" x14ac:dyDescent="0.25">
      <c r="A2" s="91"/>
      <c r="B2" s="91"/>
      <c r="E2" s="94"/>
      <c r="F2" s="679" t="s">
        <v>93</v>
      </c>
      <c r="G2" s="680"/>
      <c r="H2" s="681" t="s">
        <v>94</v>
      </c>
      <c r="I2" s="682"/>
      <c r="J2" s="681" t="s">
        <v>95</v>
      </c>
      <c r="K2" s="682"/>
      <c r="L2" s="91"/>
      <c r="M2" s="91"/>
      <c r="N2" s="91"/>
      <c r="O2" s="91"/>
      <c r="P2" s="91"/>
    </row>
    <row r="3" spans="1:16" ht="30" x14ac:dyDescent="0.25">
      <c r="A3" s="108"/>
      <c r="B3" s="109" t="s">
        <v>96</v>
      </c>
      <c r="D3" s="110"/>
      <c r="E3" s="111" t="s">
        <v>97</v>
      </c>
      <c r="F3" s="111" t="s">
        <v>98</v>
      </c>
      <c r="G3" s="112" t="s">
        <v>99</v>
      </c>
      <c r="H3" s="113" t="s">
        <v>100</v>
      </c>
      <c r="I3" s="114" t="s">
        <v>101</v>
      </c>
      <c r="J3" s="113" t="s">
        <v>102</v>
      </c>
      <c r="K3" s="114" t="s">
        <v>103</v>
      </c>
      <c r="L3" s="115" t="s">
        <v>43</v>
      </c>
      <c r="M3" s="91"/>
      <c r="N3" s="91"/>
      <c r="O3" s="91"/>
      <c r="P3" s="91"/>
    </row>
    <row r="4" spans="1:16" ht="15" x14ac:dyDescent="0.25">
      <c r="A4" s="108"/>
      <c r="B4" s="116"/>
      <c r="D4" s="117">
        <v>45292</v>
      </c>
      <c r="E4" s="118"/>
      <c r="F4" s="118"/>
      <c r="G4" s="119"/>
      <c r="H4" s="95"/>
      <c r="I4" s="96"/>
      <c r="J4" s="95"/>
      <c r="K4" s="120"/>
      <c r="L4" s="121">
        <f>K4+J4+I4+G4+E4</f>
        <v>0</v>
      </c>
      <c r="M4" s="91"/>
      <c r="N4" s="91"/>
      <c r="O4" s="91"/>
      <c r="P4" s="91"/>
    </row>
    <row r="5" spans="1:16" ht="15" x14ac:dyDescent="0.25">
      <c r="A5" s="108"/>
      <c r="B5" s="116"/>
      <c r="C5" s="108"/>
      <c r="D5" s="117">
        <v>45323</v>
      </c>
      <c r="E5" s="122"/>
      <c r="F5" s="92"/>
      <c r="G5" s="93"/>
      <c r="H5" s="92"/>
      <c r="I5" s="93"/>
      <c r="J5" s="92"/>
      <c r="K5" s="93"/>
      <c r="L5" s="121">
        <f t="shared" ref="L5:L15" si="0">K5+J5+I5+G5+E5</f>
        <v>0</v>
      </c>
      <c r="M5" s="91"/>
      <c r="N5" s="91"/>
      <c r="O5" s="91"/>
      <c r="P5" s="91"/>
    </row>
    <row r="6" spans="1:16" ht="15" x14ac:dyDescent="0.25">
      <c r="A6" s="108"/>
      <c r="B6" s="116"/>
      <c r="C6" s="108"/>
      <c r="D6" s="117">
        <v>45352</v>
      </c>
      <c r="E6" s="122"/>
      <c r="F6" s="92"/>
      <c r="G6" s="93"/>
      <c r="H6" s="92"/>
      <c r="I6" s="93"/>
      <c r="J6" s="92"/>
      <c r="K6" s="93"/>
      <c r="L6" s="121">
        <f t="shared" si="0"/>
        <v>0</v>
      </c>
      <c r="M6" s="91"/>
      <c r="N6" s="91"/>
      <c r="O6" s="91"/>
      <c r="P6" s="91"/>
    </row>
    <row r="7" spans="1:16" ht="15" x14ac:dyDescent="0.25">
      <c r="A7" s="108"/>
      <c r="B7" s="116"/>
      <c r="C7" s="108"/>
      <c r="D7" s="117">
        <v>45383</v>
      </c>
      <c r="E7" s="122"/>
      <c r="F7" s="92"/>
      <c r="G7" s="93"/>
      <c r="H7" s="92"/>
      <c r="I7" s="93"/>
      <c r="J7" s="92"/>
      <c r="K7" s="93"/>
      <c r="L7" s="121">
        <f t="shared" si="0"/>
        <v>0</v>
      </c>
      <c r="M7" s="91"/>
      <c r="N7" s="91"/>
      <c r="O7" s="91"/>
      <c r="P7" s="91"/>
    </row>
    <row r="8" spans="1:16" ht="15" x14ac:dyDescent="0.25">
      <c r="A8" s="108"/>
      <c r="B8" s="116"/>
      <c r="C8" s="108"/>
      <c r="D8" s="117">
        <v>45413</v>
      </c>
      <c r="E8" s="122"/>
      <c r="F8" s="92"/>
      <c r="G8" s="93"/>
      <c r="H8" s="92"/>
      <c r="I8" s="93"/>
      <c r="J8" s="92"/>
      <c r="K8" s="93"/>
      <c r="L8" s="121">
        <f t="shared" si="0"/>
        <v>0</v>
      </c>
      <c r="M8" s="91"/>
      <c r="N8" s="91"/>
      <c r="O8" s="91"/>
      <c r="P8" s="91"/>
    </row>
    <row r="9" spans="1:16" ht="15" x14ac:dyDescent="0.25">
      <c r="A9" s="108"/>
      <c r="B9" s="116"/>
      <c r="C9" s="108"/>
      <c r="D9" s="117">
        <v>45444</v>
      </c>
      <c r="E9" s="122"/>
      <c r="F9" s="92"/>
      <c r="G9" s="93"/>
      <c r="H9" s="92"/>
      <c r="I9" s="93"/>
      <c r="J9" s="92"/>
      <c r="K9" s="93"/>
      <c r="L9" s="121">
        <f t="shared" si="0"/>
        <v>0</v>
      </c>
      <c r="M9" s="91"/>
      <c r="N9" s="91"/>
      <c r="O9" s="91"/>
      <c r="P9" s="91"/>
    </row>
    <row r="10" spans="1:16" ht="15" x14ac:dyDescent="0.25">
      <c r="A10" s="108"/>
      <c r="B10" s="116"/>
      <c r="C10" s="108"/>
      <c r="D10" s="117">
        <v>45474</v>
      </c>
      <c r="E10" s="122"/>
      <c r="F10" s="92"/>
      <c r="G10" s="93"/>
      <c r="H10" s="92"/>
      <c r="I10" s="93"/>
      <c r="J10" s="92"/>
      <c r="K10" s="93"/>
      <c r="L10" s="121">
        <f t="shared" si="0"/>
        <v>0</v>
      </c>
      <c r="M10" s="91"/>
      <c r="N10" s="91"/>
      <c r="O10" s="91"/>
      <c r="P10" s="91"/>
    </row>
    <row r="11" spans="1:16" ht="15" x14ac:dyDescent="0.25">
      <c r="A11" s="108"/>
      <c r="B11" s="116"/>
      <c r="C11" s="108"/>
      <c r="D11" s="117">
        <v>45505</v>
      </c>
      <c r="E11" s="122"/>
      <c r="F11" s="92"/>
      <c r="G11" s="93"/>
      <c r="H11" s="92"/>
      <c r="I11" s="93"/>
      <c r="J11" s="92"/>
      <c r="K11" s="93"/>
      <c r="L11" s="121">
        <f t="shared" si="0"/>
        <v>0</v>
      </c>
      <c r="M11" s="91"/>
      <c r="N11" s="91"/>
      <c r="O11" s="91"/>
      <c r="P11" s="91"/>
    </row>
    <row r="12" spans="1:16" ht="15" x14ac:dyDescent="0.25">
      <c r="A12" s="108"/>
      <c r="B12" s="116"/>
      <c r="C12" s="108"/>
      <c r="D12" s="117">
        <v>45536</v>
      </c>
      <c r="E12" s="122"/>
      <c r="F12" s="92"/>
      <c r="G12" s="93"/>
      <c r="H12" s="92"/>
      <c r="I12" s="93"/>
      <c r="J12" s="92"/>
      <c r="K12" s="93"/>
      <c r="L12" s="121">
        <f t="shared" si="0"/>
        <v>0</v>
      </c>
      <c r="M12" s="91"/>
      <c r="N12" s="91"/>
      <c r="O12" s="91"/>
      <c r="P12" s="91"/>
    </row>
    <row r="13" spans="1:16" ht="15" x14ac:dyDescent="0.25">
      <c r="A13" s="108"/>
      <c r="B13" s="116"/>
      <c r="C13" s="108"/>
      <c r="D13" s="117">
        <v>45566</v>
      </c>
      <c r="E13" s="122"/>
      <c r="F13" s="92"/>
      <c r="G13" s="93"/>
      <c r="H13" s="92"/>
      <c r="I13" s="93"/>
      <c r="J13" s="92"/>
      <c r="K13" s="93"/>
      <c r="L13" s="121">
        <f t="shared" si="0"/>
        <v>0</v>
      </c>
      <c r="M13" s="91"/>
      <c r="N13" s="91"/>
      <c r="O13" s="91"/>
      <c r="P13" s="91"/>
    </row>
    <row r="14" spans="1:16" ht="15" x14ac:dyDescent="0.25">
      <c r="A14" s="108"/>
      <c r="B14" s="116"/>
      <c r="C14" s="108"/>
      <c r="D14" s="117">
        <v>45597</v>
      </c>
      <c r="E14" s="122"/>
      <c r="F14" s="92"/>
      <c r="G14" s="93"/>
      <c r="H14" s="92"/>
      <c r="I14" s="93"/>
      <c r="J14" s="92"/>
      <c r="K14" s="93"/>
      <c r="L14" s="121">
        <f t="shared" si="0"/>
        <v>0</v>
      </c>
      <c r="M14" s="91"/>
      <c r="N14" s="91"/>
      <c r="O14" s="91"/>
      <c r="P14" s="91"/>
    </row>
    <row r="15" spans="1:16" ht="15" x14ac:dyDescent="0.25">
      <c r="A15" s="108"/>
      <c r="B15" s="123"/>
      <c r="C15" s="108"/>
      <c r="D15" s="117">
        <v>45627</v>
      </c>
      <c r="E15" s="124"/>
      <c r="F15" s="97"/>
      <c r="G15" s="98"/>
      <c r="H15" s="97"/>
      <c r="I15" s="98"/>
      <c r="J15" s="92"/>
      <c r="K15" s="93"/>
      <c r="L15" s="121">
        <f t="shared" si="0"/>
        <v>0</v>
      </c>
      <c r="M15" s="91"/>
      <c r="N15" s="91"/>
      <c r="O15" s="91"/>
      <c r="P15" s="91"/>
    </row>
    <row r="16" spans="1:16" ht="15" x14ac:dyDescent="0.25">
      <c r="A16" s="108"/>
      <c r="B16" s="131">
        <f>SUM(B4:B15)</f>
        <v>0</v>
      </c>
      <c r="C16" s="108"/>
      <c r="D16" s="125"/>
      <c r="E16" s="126">
        <f t="shared" ref="E16:L16" si="1">SUM(E4:E15)</f>
        <v>0</v>
      </c>
      <c r="F16" s="127">
        <f t="shared" si="1"/>
        <v>0</v>
      </c>
      <c r="G16" s="128">
        <f t="shared" si="1"/>
        <v>0</v>
      </c>
      <c r="H16" s="127">
        <f>SUM(H4:H15)</f>
        <v>0</v>
      </c>
      <c r="I16" s="128">
        <f>SUM(I4:I15)</f>
        <v>0</v>
      </c>
      <c r="J16" s="127">
        <f t="shared" si="1"/>
        <v>0</v>
      </c>
      <c r="K16" s="128">
        <f t="shared" si="1"/>
        <v>0</v>
      </c>
      <c r="L16" s="129">
        <f t="shared" si="1"/>
        <v>0</v>
      </c>
      <c r="M16" s="91"/>
      <c r="N16" s="91"/>
      <c r="O16" s="91"/>
      <c r="P16" s="91"/>
    </row>
    <row r="17" spans="1:16" ht="15" x14ac:dyDescent="0.25">
      <c r="A17" s="108"/>
      <c r="B17" s="108"/>
      <c r="C17" s="108"/>
      <c r="D17" s="108"/>
      <c r="E17" s="108"/>
      <c r="F17" s="91"/>
      <c r="G17" s="91"/>
      <c r="H17" s="91"/>
      <c r="I17" s="91"/>
      <c r="J17" s="91"/>
      <c r="K17" s="91"/>
      <c r="L17" s="91"/>
      <c r="M17" s="91"/>
      <c r="N17" s="91"/>
      <c r="O17" s="91"/>
      <c r="P17" s="91"/>
    </row>
    <row r="18" spans="1:16" ht="15" x14ac:dyDescent="0.25">
      <c r="A18" s="108"/>
      <c r="B18" s="108"/>
      <c r="C18" s="108"/>
      <c r="D18" s="108"/>
      <c r="E18" s="108"/>
      <c r="F18" s="91"/>
      <c r="G18" s="91"/>
      <c r="H18" s="91"/>
      <c r="I18" s="91"/>
      <c r="J18" s="91"/>
      <c r="K18" s="91"/>
      <c r="L18" s="91"/>
      <c r="M18" s="91"/>
      <c r="N18" s="91"/>
      <c r="O18" s="91"/>
      <c r="P18" s="91"/>
    </row>
    <row r="19" spans="1:16" ht="15" x14ac:dyDescent="0.25">
      <c r="A19" s="108"/>
      <c r="B19" s="108"/>
      <c r="C19" s="108"/>
      <c r="D19" s="108"/>
      <c r="E19" s="108"/>
      <c r="F19" s="91"/>
      <c r="G19" s="91"/>
      <c r="H19" s="91"/>
      <c r="I19" s="91"/>
      <c r="J19" s="91"/>
      <c r="K19" s="91"/>
      <c r="L19" s="91"/>
      <c r="M19" s="91"/>
      <c r="N19" s="91"/>
      <c r="O19" s="91"/>
      <c r="P19" s="91"/>
    </row>
    <row r="20" spans="1:16" ht="15" x14ac:dyDescent="0.25">
      <c r="A20" s="108"/>
      <c r="B20" s="108"/>
      <c r="C20" s="108"/>
      <c r="D20" s="108"/>
      <c r="E20" s="108"/>
      <c r="F20" s="91"/>
      <c r="G20" s="91"/>
      <c r="H20" s="91"/>
      <c r="I20" s="91"/>
      <c r="J20" s="91"/>
      <c r="K20" s="91"/>
      <c r="L20" s="91"/>
      <c r="M20" s="91"/>
      <c r="N20" s="91"/>
      <c r="O20" s="91"/>
      <c r="P20" s="91"/>
    </row>
    <row r="21" spans="1:16" ht="15" x14ac:dyDescent="0.25">
      <c r="A21" s="108"/>
      <c r="B21" s="108"/>
      <c r="C21" s="108"/>
      <c r="D21" s="108"/>
      <c r="E21" s="108"/>
      <c r="F21" s="91"/>
      <c r="G21" s="91"/>
      <c r="H21" s="91"/>
      <c r="I21" s="91"/>
      <c r="J21" s="91"/>
      <c r="K21" s="91"/>
      <c r="L21" s="91"/>
      <c r="M21" s="91"/>
      <c r="N21" s="91"/>
      <c r="O21" s="91"/>
      <c r="P21" s="91"/>
    </row>
    <row r="22" spans="1:16" ht="15" x14ac:dyDescent="0.25">
      <c r="A22" s="108"/>
      <c r="B22" s="108"/>
      <c r="C22" s="108"/>
      <c r="D22" s="108"/>
      <c r="E22" s="108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</row>
  </sheetData>
  <mergeCells count="3">
    <mergeCell ref="F2:G2"/>
    <mergeCell ref="H2:I2"/>
    <mergeCell ref="J2:K2"/>
  </mergeCells>
  <phoneticPr fontId="7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R46"/>
  <sheetViews>
    <sheetView workbookViewId="0">
      <selection activeCell="E47" sqref="E47"/>
    </sheetView>
  </sheetViews>
  <sheetFormatPr baseColWidth="10" defaultRowHeight="12.75" x14ac:dyDescent="0.2"/>
  <cols>
    <col min="1" max="2" width="16.5703125" style="192" bestFit="1" customWidth="1"/>
    <col min="3" max="3" width="14.42578125" style="192" bestFit="1" customWidth="1"/>
    <col min="4" max="4" width="11.42578125" style="192"/>
    <col min="5" max="5" width="18.5703125" style="192" customWidth="1"/>
    <col min="6" max="7" width="11.42578125" style="192"/>
    <col min="8" max="8" width="13" style="192" customWidth="1"/>
    <col min="9" max="9" width="6.28515625" style="192" customWidth="1"/>
    <col min="10" max="10" width="11.42578125" style="192"/>
    <col min="11" max="11" width="4.7109375" style="192" customWidth="1"/>
    <col min="12" max="12" width="11.42578125" style="192"/>
    <col min="13" max="13" width="5" style="192" customWidth="1"/>
    <col min="14" max="14" width="11.42578125" style="192"/>
    <col min="15" max="15" width="3.5703125" style="192" customWidth="1"/>
    <col min="16" max="16384" width="11.42578125" style="192"/>
  </cols>
  <sheetData>
    <row r="1" spans="1:18" ht="25.5" x14ac:dyDescent="0.35">
      <c r="A1" s="188" t="s">
        <v>216</v>
      </c>
      <c r="B1" s="189"/>
      <c r="C1" s="189"/>
      <c r="D1" s="189"/>
      <c r="E1" s="190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x14ac:dyDescent="0.2">
      <c r="A2" s="223" t="s">
        <v>217</v>
      </c>
      <c r="C2" s="223" t="s">
        <v>218</v>
      </c>
      <c r="E2" s="223" t="s">
        <v>219</v>
      </c>
      <c r="G2" s="223" t="s">
        <v>220</v>
      </c>
      <c r="J2" s="223" t="s">
        <v>270</v>
      </c>
      <c r="L2" s="223" t="s">
        <v>283</v>
      </c>
      <c r="N2" s="223" t="s">
        <v>284</v>
      </c>
      <c r="P2" s="223" t="s">
        <v>286</v>
      </c>
    </row>
    <row r="3" spans="1:18" x14ac:dyDescent="0.2">
      <c r="A3" s="311" t="s">
        <v>221</v>
      </c>
      <c r="C3" s="311" t="s">
        <v>222</v>
      </c>
      <c r="E3" s="311" t="s">
        <v>223</v>
      </c>
      <c r="G3" s="311" t="s">
        <v>224</v>
      </c>
      <c r="J3" s="192" t="s">
        <v>271</v>
      </c>
      <c r="L3" s="192" t="s">
        <v>276</v>
      </c>
      <c r="N3" s="192" t="s">
        <v>285</v>
      </c>
      <c r="P3" s="192" t="s">
        <v>287</v>
      </c>
    </row>
    <row r="4" spans="1:18" x14ac:dyDescent="0.2">
      <c r="A4" s="312" t="s">
        <v>125</v>
      </c>
      <c r="C4" s="312">
        <v>2022</v>
      </c>
      <c r="E4" s="312" t="s">
        <v>225</v>
      </c>
      <c r="G4" s="312" t="s">
        <v>144</v>
      </c>
      <c r="H4" s="192">
        <v>4010108</v>
      </c>
      <c r="J4" s="192" t="s">
        <v>272</v>
      </c>
      <c r="L4" s="192" t="s">
        <v>278</v>
      </c>
      <c r="N4" s="544" t="s">
        <v>388</v>
      </c>
      <c r="P4" s="192" t="s">
        <v>288</v>
      </c>
    </row>
    <row r="5" spans="1:18" x14ac:dyDescent="0.2">
      <c r="A5" s="312" t="s">
        <v>126</v>
      </c>
      <c r="C5" s="312">
        <f>C4+1</f>
        <v>2023</v>
      </c>
      <c r="E5" s="312" t="s">
        <v>130</v>
      </c>
      <c r="G5" s="312" t="s">
        <v>145</v>
      </c>
      <c r="H5" s="192">
        <v>4010119</v>
      </c>
      <c r="J5" s="192" t="s">
        <v>273</v>
      </c>
      <c r="L5" s="192" t="s">
        <v>279</v>
      </c>
      <c r="N5" s="544" t="s">
        <v>389</v>
      </c>
      <c r="P5" s="192" t="s">
        <v>289</v>
      </c>
    </row>
    <row r="6" spans="1:18" x14ac:dyDescent="0.2">
      <c r="A6" s="575" t="s">
        <v>417</v>
      </c>
      <c r="C6" s="312">
        <f>C5+1</f>
        <v>2024</v>
      </c>
      <c r="G6" s="312" t="s">
        <v>227</v>
      </c>
      <c r="H6" s="192">
        <v>4010123</v>
      </c>
      <c r="J6" s="192" t="s">
        <v>16</v>
      </c>
      <c r="L6" s="192" t="s">
        <v>280</v>
      </c>
      <c r="N6" s="544" t="s">
        <v>390</v>
      </c>
      <c r="P6" s="192" t="s">
        <v>290</v>
      </c>
    </row>
    <row r="7" spans="1:18" x14ac:dyDescent="0.2">
      <c r="C7" s="312">
        <f>C6+1</f>
        <v>2025</v>
      </c>
      <c r="G7" s="312" t="s">
        <v>146</v>
      </c>
      <c r="H7" s="192">
        <v>4010121</v>
      </c>
      <c r="J7" s="192" t="s">
        <v>274</v>
      </c>
      <c r="L7" s="192" t="s">
        <v>282</v>
      </c>
      <c r="N7" s="544" t="s">
        <v>391</v>
      </c>
      <c r="P7" s="192" t="s">
        <v>291</v>
      </c>
    </row>
    <row r="8" spans="1:18" x14ac:dyDescent="0.2">
      <c r="C8" s="312">
        <f>C7+1</f>
        <v>2026</v>
      </c>
      <c r="G8" s="312" t="s">
        <v>150</v>
      </c>
      <c r="H8" s="192">
        <v>4010120</v>
      </c>
      <c r="J8" s="192" t="s">
        <v>281</v>
      </c>
      <c r="L8" s="192" t="s">
        <v>277</v>
      </c>
      <c r="N8" s="544" t="s">
        <v>392</v>
      </c>
      <c r="P8" s="192" t="s">
        <v>292</v>
      </c>
    </row>
    <row r="9" spans="1:18" x14ac:dyDescent="0.2">
      <c r="C9" s="313">
        <f>C8+1</f>
        <v>2027</v>
      </c>
      <c r="G9" s="313" t="s">
        <v>228</v>
      </c>
      <c r="H9" s="192">
        <v>4010135</v>
      </c>
      <c r="J9" s="192" t="s">
        <v>275</v>
      </c>
      <c r="N9" s="544" t="s">
        <v>393</v>
      </c>
      <c r="P9" s="192" t="s">
        <v>293</v>
      </c>
    </row>
    <row r="10" spans="1:18" x14ac:dyDescent="0.2">
      <c r="G10" s="312" t="s">
        <v>229</v>
      </c>
      <c r="J10" s="192" t="s">
        <v>277</v>
      </c>
      <c r="N10" s="544" t="s">
        <v>394</v>
      </c>
      <c r="P10" s="192" t="s">
        <v>294</v>
      </c>
    </row>
    <row r="11" spans="1:18" x14ac:dyDescent="0.2">
      <c r="G11" s="312" t="s">
        <v>149</v>
      </c>
      <c r="H11" s="192">
        <v>4010124</v>
      </c>
      <c r="N11" s="544" t="s">
        <v>395</v>
      </c>
      <c r="P11" s="192" t="s">
        <v>295</v>
      </c>
    </row>
    <row r="12" spans="1:18" x14ac:dyDescent="0.2">
      <c r="A12" s="223" t="s">
        <v>298</v>
      </c>
      <c r="G12" s="312" t="s">
        <v>147</v>
      </c>
      <c r="H12" s="192">
        <v>4010125</v>
      </c>
      <c r="P12" s="192" t="s">
        <v>296</v>
      </c>
    </row>
    <row r="13" spans="1:18" x14ac:dyDescent="0.2">
      <c r="A13" s="192" t="s">
        <v>299</v>
      </c>
      <c r="G13" s="312" t="s">
        <v>148</v>
      </c>
      <c r="H13" s="192">
        <v>4010130</v>
      </c>
      <c r="P13" s="192" t="s">
        <v>297</v>
      </c>
    </row>
    <row r="14" spans="1:18" x14ac:dyDescent="0.2">
      <c r="A14" s="192" t="s">
        <v>79</v>
      </c>
      <c r="G14" s="192" t="s">
        <v>230</v>
      </c>
    </row>
    <row r="15" spans="1:18" x14ac:dyDescent="0.2">
      <c r="A15" s="192" t="s">
        <v>300</v>
      </c>
      <c r="G15" s="192" t="s">
        <v>231</v>
      </c>
    </row>
    <row r="16" spans="1:18" x14ac:dyDescent="0.2">
      <c r="A16" s="192" t="s">
        <v>83</v>
      </c>
      <c r="G16" s="192" t="s">
        <v>232</v>
      </c>
    </row>
    <row r="17" spans="1:8" x14ac:dyDescent="0.2">
      <c r="A17" s="192" t="s">
        <v>226</v>
      </c>
      <c r="G17" s="192" t="s">
        <v>233</v>
      </c>
    </row>
    <row r="18" spans="1:8" x14ac:dyDescent="0.2">
      <c r="G18" s="192" t="s">
        <v>234</v>
      </c>
    </row>
    <row r="19" spans="1:8" x14ac:dyDescent="0.2">
      <c r="G19" s="192" t="s">
        <v>235</v>
      </c>
      <c r="H19" s="192">
        <v>4010137</v>
      </c>
    </row>
    <row r="20" spans="1:8" x14ac:dyDescent="0.2">
      <c r="G20" s="192" t="s">
        <v>236</v>
      </c>
      <c r="H20" s="192">
        <v>4010129</v>
      </c>
    </row>
    <row r="21" spans="1:8" x14ac:dyDescent="0.2">
      <c r="G21" s="192" t="s">
        <v>237</v>
      </c>
    </row>
    <row r="25" spans="1:8" ht="15" x14ac:dyDescent="0.2">
      <c r="A25" s="257" t="s">
        <v>396</v>
      </c>
      <c r="G25" s="561" t="s">
        <v>404</v>
      </c>
      <c r="H25" s="562"/>
    </row>
    <row r="26" spans="1:8" ht="15" x14ac:dyDescent="0.2">
      <c r="A26" s="683" t="s">
        <v>397</v>
      </c>
      <c r="B26" s="684"/>
      <c r="C26" s="684"/>
      <c r="D26" s="684"/>
      <c r="E26" s="685"/>
      <c r="G26" s="246">
        <v>3533519.57</v>
      </c>
      <c r="H26" s="563"/>
    </row>
    <row r="27" spans="1:8" x14ac:dyDescent="0.2">
      <c r="A27" s="550" t="s">
        <v>398</v>
      </c>
      <c r="B27" s="551" t="s">
        <v>399</v>
      </c>
      <c r="C27" s="551" t="s">
        <v>400</v>
      </c>
      <c r="D27" s="551" t="s">
        <v>401</v>
      </c>
      <c r="E27" s="552" t="s">
        <v>402</v>
      </c>
    </row>
    <row r="28" spans="1:8" x14ac:dyDescent="0.2">
      <c r="A28" s="208">
        <v>0</v>
      </c>
      <c r="B28" s="546">
        <v>1360200</v>
      </c>
      <c r="C28" s="209">
        <v>0</v>
      </c>
      <c r="D28" s="553">
        <v>0.05</v>
      </c>
      <c r="E28" s="263">
        <v>0</v>
      </c>
    </row>
    <row r="29" spans="1:8" x14ac:dyDescent="0.2">
      <c r="A29" s="208">
        <f>B28</f>
        <v>1360200</v>
      </c>
      <c r="B29" s="546">
        <v>2720400</v>
      </c>
      <c r="C29" s="209">
        <v>68010</v>
      </c>
      <c r="D29" s="553">
        <v>0.09</v>
      </c>
      <c r="E29" s="263">
        <f>A29</f>
        <v>1360200</v>
      </c>
      <c r="G29" s="544" t="s">
        <v>407</v>
      </c>
    </row>
    <row r="30" spans="1:8" ht="15.75" x14ac:dyDescent="0.25">
      <c r="A30" s="208">
        <f t="shared" ref="A30:A36" si="0">B29</f>
        <v>2720400</v>
      </c>
      <c r="B30" s="546">
        <v>4080600</v>
      </c>
      <c r="C30" s="209">
        <v>190428</v>
      </c>
      <c r="D30" s="553">
        <v>0.12</v>
      </c>
      <c r="E30" s="263">
        <f t="shared" ref="E30:E36" si="1">A30</f>
        <v>2720400</v>
      </c>
      <c r="G30" s="564">
        <v>45261</v>
      </c>
      <c r="H30" s="565">
        <v>3533.1922</v>
      </c>
    </row>
    <row r="31" spans="1:8" ht="15.75" x14ac:dyDescent="0.25">
      <c r="A31" s="208">
        <f t="shared" si="0"/>
        <v>4080600</v>
      </c>
      <c r="B31" s="546">
        <v>6120900</v>
      </c>
      <c r="C31" s="209">
        <v>353652</v>
      </c>
      <c r="D31" s="553">
        <v>0.15</v>
      </c>
      <c r="E31" s="263">
        <f t="shared" si="1"/>
        <v>4080600</v>
      </c>
      <c r="G31" s="564">
        <v>45292</v>
      </c>
      <c r="H31" s="565">
        <v>4261.5324000000001</v>
      </c>
    </row>
    <row r="32" spans="1:8" ht="15.75" x14ac:dyDescent="0.25">
      <c r="A32" s="208">
        <f t="shared" si="0"/>
        <v>6120900</v>
      </c>
      <c r="B32" s="209">
        <v>12241800</v>
      </c>
      <c r="C32" s="209">
        <v>659697</v>
      </c>
      <c r="D32" s="553">
        <v>0.19</v>
      </c>
      <c r="E32" s="263">
        <f t="shared" si="1"/>
        <v>6120900</v>
      </c>
      <c r="G32" s="564">
        <v>45323</v>
      </c>
      <c r="H32" s="565">
        <v>4825.7880999999998</v>
      </c>
    </row>
    <row r="33" spans="1:8" ht="15.75" x14ac:dyDescent="0.25">
      <c r="A33" s="208">
        <f t="shared" si="0"/>
        <v>12241800</v>
      </c>
      <c r="B33" s="209">
        <v>18362700</v>
      </c>
      <c r="C33" s="209">
        <v>1822668</v>
      </c>
      <c r="D33" s="553">
        <v>0.23</v>
      </c>
      <c r="E33" s="263">
        <f t="shared" si="1"/>
        <v>12241800</v>
      </c>
      <c r="G33" s="564">
        <v>45352</v>
      </c>
      <c r="H33" s="565">
        <v>5357.0928999999996</v>
      </c>
    </row>
    <row r="34" spans="1:8" ht="15.75" x14ac:dyDescent="0.25">
      <c r="A34" s="208">
        <f t="shared" si="0"/>
        <v>18362700</v>
      </c>
      <c r="B34" s="209">
        <v>27544050</v>
      </c>
      <c r="C34" s="209">
        <v>3230475</v>
      </c>
      <c r="D34" s="553">
        <v>0.27</v>
      </c>
      <c r="E34" s="263">
        <f t="shared" si="1"/>
        <v>18362700</v>
      </c>
      <c r="G34" s="564">
        <v>45383</v>
      </c>
      <c r="H34" s="565">
        <v>5830.2271000000001</v>
      </c>
    </row>
    <row r="35" spans="1:8" ht="15.75" x14ac:dyDescent="0.25">
      <c r="A35" s="208">
        <f t="shared" si="0"/>
        <v>27544050</v>
      </c>
      <c r="B35" s="209">
        <v>41316075</v>
      </c>
      <c r="C35" s="209">
        <v>5709439.5</v>
      </c>
      <c r="D35" s="553">
        <v>0.31</v>
      </c>
      <c r="E35" s="263">
        <f t="shared" si="1"/>
        <v>27544050</v>
      </c>
      <c r="G35" s="564">
        <v>45413</v>
      </c>
      <c r="H35" s="565">
        <v>6073.7165000000005</v>
      </c>
    </row>
    <row r="36" spans="1:8" ht="15.75" x14ac:dyDescent="0.25">
      <c r="A36" s="547">
        <f t="shared" si="0"/>
        <v>41316075</v>
      </c>
      <c r="B36" s="548">
        <v>999999999</v>
      </c>
      <c r="C36" s="548">
        <v>9978767.25</v>
      </c>
      <c r="D36" s="554">
        <v>0.35</v>
      </c>
      <c r="E36" s="549">
        <f t="shared" si="1"/>
        <v>41316075</v>
      </c>
      <c r="G36" s="564">
        <v>45444</v>
      </c>
      <c r="H36" s="565">
        <v>6351.7145</v>
      </c>
    </row>
    <row r="37" spans="1:8" ht="15.75" x14ac:dyDescent="0.25">
      <c r="A37" s="557" t="s">
        <v>403</v>
      </c>
      <c r="B37" s="555">
        <f>B36</f>
        <v>999999999</v>
      </c>
      <c r="C37" s="555">
        <v>9978767.25</v>
      </c>
      <c r="D37" s="554">
        <v>0.35</v>
      </c>
      <c r="E37" s="556"/>
      <c r="G37" s="564">
        <v>45474</v>
      </c>
      <c r="H37" s="565">
        <v>6607.7479000000003</v>
      </c>
    </row>
    <row r="38" spans="1:8" ht="15.75" x14ac:dyDescent="0.25">
      <c r="G38" s="564">
        <v>45505</v>
      </c>
      <c r="H38" s="565">
        <v>6883.4412000000002</v>
      </c>
    </row>
    <row r="39" spans="1:8" ht="15.75" x14ac:dyDescent="0.25">
      <c r="G39" s="564">
        <v>45536</v>
      </c>
      <c r="H39" s="565">
        <v>7122.2421000000004</v>
      </c>
    </row>
    <row r="40" spans="1:8" ht="15.75" x14ac:dyDescent="0.25">
      <c r="A40" s="257" t="s">
        <v>411</v>
      </c>
      <c r="G40" s="564">
        <v>45566</v>
      </c>
      <c r="H40" s="565">
        <v>7313.9542000000001</v>
      </c>
    </row>
    <row r="41" spans="1:8" ht="15.75" x14ac:dyDescent="0.25">
      <c r="A41" s="572" t="s">
        <v>412</v>
      </c>
      <c r="B41" s="573"/>
      <c r="C41" s="574" t="s">
        <v>415</v>
      </c>
      <c r="G41" s="564">
        <v>45597</v>
      </c>
      <c r="H41" s="565">
        <v>7491.4314000000004</v>
      </c>
    </row>
    <row r="42" spans="1:8" ht="15.75" x14ac:dyDescent="0.25">
      <c r="A42" s="312" t="s">
        <v>125</v>
      </c>
      <c r="B42" s="567"/>
      <c r="C42" s="562">
        <v>3040680.51</v>
      </c>
      <c r="G42" s="564">
        <v>45627</v>
      </c>
      <c r="H42" s="565">
        <v>7694.0074999999997</v>
      </c>
    </row>
    <row r="43" spans="1:8" x14ac:dyDescent="0.2">
      <c r="A43" s="312" t="s">
        <v>126</v>
      </c>
      <c r="C43" s="568">
        <v>1533426.27</v>
      </c>
    </row>
    <row r="44" spans="1:8" x14ac:dyDescent="0.2">
      <c r="A44" s="575" t="s">
        <v>417</v>
      </c>
      <c r="B44" s="570"/>
      <c r="C44" s="563">
        <v>3066852.54</v>
      </c>
    </row>
    <row r="45" spans="1:8" x14ac:dyDescent="0.2">
      <c r="A45" s="561" t="s">
        <v>414</v>
      </c>
      <c r="B45" s="567"/>
      <c r="C45" s="571">
        <v>12914344.23</v>
      </c>
      <c r="G45" s="561"/>
      <c r="H45" s="562"/>
    </row>
    <row r="46" spans="1:8" x14ac:dyDescent="0.2">
      <c r="A46" s="569" t="s">
        <v>413</v>
      </c>
      <c r="B46" s="570"/>
      <c r="C46" s="563">
        <v>15497213.08</v>
      </c>
      <c r="G46" s="246"/>
      <c r="H46" s="563"/>
    </row>
  </sheetData>
  <mergeCells count="1">
    <mergeCell ref="A26:E26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DDJJ</vt:lpstr>
      <vt:lpstr>Ingresos-Egresos</vt:lpstr>
      <vt:lpstr>Sueldos</vt:lpstr>
      <vt:lpstr>Bienes</vt:lpstr>
      <vt:lpstr>AXI</vt:lpstr>
      <vt:lpstr>CCMA</vt:lpstr>
      <vt:lpstr>Liq Med</vt:lpstr>
      <vt:lpstr>Base de Datos</vt:lpstr>
    </vt:vector>
  </TitlesOfParts>
  <Company>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Tripano</dc:creator>
  <cp:lastModifiedBy>Geronimo</cp:lastModifiedBy>
  <cp:lastPrinted>2023-11-07T15:27:33Z</cp:lastPrinted>
  <dcterms:created xsi:type="dcterms:W3CDTF">2000-03-18T15:57:30Z</dcterms:created>
  <dcterms:modified xsi:type="dcterms:W3CDTF">2025-07-04T14:18:08Z</dcterms:modified>
</cp:coreProperties>
</file>