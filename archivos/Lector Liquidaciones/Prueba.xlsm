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D:\Mis documentos\Documentos\Universidad\8vo Cuatrimestre\Metodología de la Investigación\TFG\GAP Carpeta del Sitio\archivos\Lector Liquidaciones\"/>
    </mc:Choice>
  </mc:AlternateContent>
  <xr:revisionPtr revIDLastSave="0" documentId="13_ncr:1_{CD438203-A24D-4408-8FDA-1B9FD65C658C}" xr6:coauthVersionLast="47" xr6:coauthVersionMax="47" xr10:uidLastSave="{00000000-0000-0000-0000-000000000000}"/>
  <bookViews>
    <workbookView xWindow="-108" yWindow="-108" windowWidth="23256" windowHeight="12456" xr2:uid="{00000000-000D-0000-FFFF-FFFF00000000}"/>
  </bookViews>
  <sheets>
    <sheet name="LQ Parciales" sheetId="1" r:id="rId1"/>
    <sheet name="Resumen Mensual" sheetId="4" r:id="rId2"/>
    <sheet name="Resumen Mensual (2)" sheetId="7" r:id="rId3"/>
    <sheet name="Para Gráficos" sheetId="6" r:id="rId4"/>
    <sheet name="Cotización" sheetId="5" r:id="rId5"/>
    <sheet name="Base de Datos" sheetId="2"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2" i="4" l="1"/>
  <c r="C12" i="4"/>
  <c r="D12" i="4"/>
  <c r="J12" i="4" s="1"/>
  <c r="I12" i="4"/>
  <c r="K12" i="4"/>
  <c r="L12" i="4"/>
  <c r="B13" i="4"/>
  <c r="K13" i="4" s="1"/>
  <c r="C13" i="4"/>
  <c r="D13" i="4"/>
  <c r="H13" i="4" s="1"/>
  <c r="L13" i="4"/>
  <c r="B14" i="4"/>
  <c r="L14" i="4" s="1"/>
  <c r="C14" i="4"/>
  <c r="D14" i="4"/>
  <c r="E14" i="4" s="1"/>
  <c r="F14" i="4"/>
  <c r="G14" i="4" s="1"/>
  <c r="I14" i="4"/>
  <c r="J14" i="4"/>
  <c r="K14" i="4"/>
  <c r="B15" i="4"/>
  <c r="C15" i="4"/>
  <c r="D15" i="4"/>
  <c r="I15" i="4" s="1"/>
  <c r="H15" i="4"/>
  <c r="K15" i="4"/>
  <c r="L15" i="4"/>
  <c r="B16" i="4"/>
  <c r="K16" i="4" s="1"/>
  <c r="C16" i="4"/>
  <c r="D16" i="4"/>
  <c r="F16" i="4" s="1"/>
  <c r="G16" i="4" s="1"/>
  <c r="L16" i="4"/>
  <c r="B17" i="4"/>
  <c r="K17" i="4" s="1"/>
  <c r="C17" i="4"/>
  <c r="D17" i="4"/>
  <c r="E17" i="4" s="1"/>
  <c r="H17" i="4"/>
  <c r="B18" i="4"/>
  <c r="L18" i="4" s="1"/>
  <c r="C18" i="4"/>
  <c r="D18" i="4"/>
  <c r="H18" i="4" s="1"/>
  <c r="K18" i="4"/>
  <c r="B19" i="4"/>
  <c r="K19" i="4" s="1"/>
  <c r="C19" i="4"/>
  <c r="D19" i="4"/>
  <c r="E19" i="4" s="1"/>
  <c r="B20" i="4"/>
  <c r="K20" i="4" s="1"/>
  <c r="C20" i="4"/>
  <c r="D20" i="4"/>
  <c r="J20" i="4" s="1"/>
  <c r="H20" i="4"/>
  <c r="I20" i="4"/>
  <c r="B21" i="4"/>
  <c r="K21" i="4" s="1"/>
  <c r="C21" i="4"/>
  <c r="D21" i="4"/>
  <c r="H21" i="4" s="1"/>
  <c r="E21" i="4"/>
  <c r="B22" i="4"/>
  <c r="L22" i="4" s="1"/>
  <c r="C22" i="4"/>
  <c r="D22" i="4"/>
  <c r="F22" i="4" s="1"/>
  <c r="G22" i="4" s="1"/>
  <c r="E22" i="4"/>
  <c r="H22" i="4"/>
  <c r="K22" i="4"/>
  <c r="B23" i="4"/>
  <c r="K23" i="4" s="1"/>
  <c r="C23" i="4"/>
  <c r="D23" i="4"/>
  <c r="I23" i="4" s="1"/>
  <c r="B24" i="4"/>
  <c r="L24" i="4" s="1"/>
  <c r="C24" i="4"/>
  <c r="D24" i="4"/>
  <c r="F24" i="4" s="1"/>
  <c r="G24" i="4" s="1"/>
  <c r="K24" i="4"/>
  <c r="B25" i="4"/>
  <c r="K25" i="4" s="1"/>
  <c r="C25" i="4"/>
  <c r="D25" i="4"/>
  <c r="E25" i="4" s="1"/>
  <c r="F25" i="4"/>
  <c r="G25" i="4" s="1"/>
  <c r="H25" i="4"/>
  <c r="I25" i="4"/>
  <c r="J25" i="4"/>
  <c r="B26" i="4"/>
  <c r="L26" i="4" s="1"/>
  <c r="C26" i="4"/>
  <c r="D26" i="4"/>
  <c r="H26" i="4" s="1"/>
  <c r="J26" i="4"/>
  <c r="K26" i="4"/>
  <c r="B27" i="4"/>
  <c r="K27" i="4" s="1"/>
  <c r="C27" i="4"/>
  <c r="D27" i="4"/>
  <c r="E27" i="4" s="1"/>
  <c r="B28" i="4"/>
  <c r="L28" i="4" s="1"/>
  <c r="C28" i="4"/>
  <c r="D28" i="4"/>
  <c r="J28" i="4" s="1"/>
  <c r="E28" i="4"/>
  <c r="I28" i="4"/>
  <c r="B29" i="4"/>
  <c r="K29" i="4" s="1"/>
  <c r="C29" i="4"/>
  <c r="D29" i="4"/>
  <c r="H29" i="4" s="1"/>
  <c r="B30" i="4"/>
  <c r="L30" i="4" s="1"/>
  <c r="C30" i="4"/>
  <c r="D30" i="4"/>
  <c r="E30" i="4"/>
  <c r="F30" i="4"/>
  <c r="G30" i="4" s="1"/>
  <c r="H30" i="4"/>
  <c r="I30" i="4"/>
  <c r="J30" i="4"/>
  <c r="B31" i="4"/>
  <c r="L31" i="4" s="1"/>
  <c r="C31" i="4"/>
  <c r="D31" i="4"/>
  <c r="I31" i="4" s="1"/>
  <c r="F31" i="4"/>
  <c r="G31" i="4"/>
  <c r="H31" i="4"/>
  <c r="K31" i="4"/>
  <c r="B32" i="4"/>
  <c r="K32" i="4" s="1"/>
  <c r="C32" i="4"/>
  <c r="D32" i="4"/>
  <c r="F32" i="4" s="1"/>
  <c r="G32" i="4" s="1"/>
  <c r="B6" i="4"/>
  <c r="C6" i="4"/>
  <c r="D6" i="4"/>
  <c r="F6" i="4" s="1"/>
  <c r="G6" i="4" s="1"/>
  <c r="B7" i="4"/>
  <c r="C7" i="4"/>
  <c r="D7" i="4"/>
  <c r="H7" i="4" s="1"/>
  <c r="B8" i="4"/>
  <c r="L8" i="4" s="1"/>
  <c r="C8" i="4"/>
  <c r="D8" i="4"/>
  <c r="E8" i="4"/>
  <c r="B9" i="4"/>
  <c r="C9" i="4"/>
  <c r="D9" i="4"/>
  <c r="E9" i="4"/>
  <c r="B10" i="4"/>
  <c r="K10" i="4" s="1"/>
  <c r="C10" i="4"/>
  <c r="D10" i="4"/>
  <c r="F10" i="4" s="1"/>
  <c r="G10" i="4" s="1"/>
  <c r="B11" i="4"/>
  <c r="K11" i="4" s="1"/>
  <c r="C11" i="4"/>
  <c r="D11" i="4"/>
  <c r="E11" i="4" s="1"/>
  <c r="I11" i="4"/>
  <c r="J11" i="4"/>
  <c r="J5" i="4"/>
  <c r="B5" i="4"/>
  <c r="I5" i="4" s="1"/>
  <c r="C5" i="4"/>
  <c r="D5" i="4"/>
  <c r="A2" i="6" s="1" a="1"/>
  <c r="A2" i="6" s="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E60" i="1"/>
  <c r="AE61" i="1"/>
  <c r="AE62" i="1"/>
  <c r="AE63" i="1"/>
  <c r="AE64" i="1"/>
  <c r="AE65" i="1"/>
  <c r="AE66" i="1"/>
  <c r="AE67" i="1"/>
  <c r="AE68" i="1"/>
  <c r="AE69" i="1"/>
  <c r="AE70" i="1"/>
  <c r="AE71" i="1"/>
  <c r="AE72" i="1"/>
  <c r="AE73" i="1"/>
  <c r="AE74" i="1"/>
  <c r="AE75" i="1"/>
  <c r="AE76" i="1"/>
  <c r="AE77" i="1"/>
  <c r="AE78" i="1"/>
  <c r="AE79" i="1"/>
  <c r="AE80" i="1"/>
  <c r="AE81" i="1"/>
  <c r="AE82" i="1"/>
  <c r="AE83" i="1"/>
  <c r="AE84" i="1"/>
  <c r="AE85" i="1"/>
  <c r="AE86" i="1"/>
  <c r="AE87" i="1"/>
  <c r="AE88" i="1"/>
  <c r="AE89" i="1"/>
  <c r="AE90" i="1"/>
  <c r="AE91" i="1"/>
  <c r="AE92" i="1"/>
  <c r="AE93" i="1"/>
  <c r="AE94" i="1"/>
  <c r="AE95" i="1"/>
  <c r="AE96" i="1"/>
  <c r="AE97" i="1"/>
  <c r="AE98" i="1"/>
  <c r="AE99" i="1"/>
  <c r="AE100" i="1"/>
  <c r="AE101" i="1"/>
  <c r="AE102" i="1"/>
  <c r="AE103" i="1"/>
  <c r="AE104" i="1"/>
  <c r="AE105" i="1"/>
  <c r="AE106" i="1"/>
  <c r="AE107" i="1"/>
  <c r="AE108" i="1"/>
  <c r="AE109" i="1"/>
  <c r="AE110" i="1"/>
  <c r="AE111" i="1"/>
  <c r="AE112" i="1"/>
  <c r="AE113" i="1"/>
  <c r="AE114" i="1"/>
  <c r="AE115" i="1"/>
  <c r="AE116" i="1"/>
  <c r="AE117" i="1"/>
  <c r="AE118" i="1"/>
  <c r="AE119" i="1"/>
  <c r="AE120" i="1"/>
  <c r="AE121" i="1"/>
  <c r="AE122" i="1"/>
  <c r="AE123" i="1"/>
  <c r="AE124" i="1"/>
  <c r="AE125" i="1"/>
  <c r="AE126" i="1"/>
  <c r="AE127" i="1"/>
  <c r="AE128" i="1"/>
  <c r="AE129" i="1"/>
  <c r="AE130" i="1"/>
  <c r="AE131" i="1"/>
  <c r="AE132" i="1"/>
  <c r="AE133" i="1"/>
  <c r="AE134" i="1"/>
  <c r="AE135" i="1"/>
  <c r="AE136" i="1"/>
  <c r="AE137" i="1"/>
  <c r="AE138" i="1"/>
  <c r="AE139" i="1"/>
  <c r="AE140" i="1"/>
  <c r="AE141" i="1"/>
  <c r="AE142" i="1"/>
  <c r="AE143" i="1"/>
  <c r="AE144" i="1"/>
  <c r="AE145" i="1"/>
  <c r="AE146" i="1"/>
  <c r="AE147" i="1"/>
  <c r="AE148" i="1"/>
  <c r="AE149" i="1"/>
  <c r="AE150" i="1"/>
  <c r="AE151" i="1"/>
  <c r="AE152" i="1"/>
  <c r="AE153" i="1"/>
  <c r="AE154" i="1"/>
  <c r="AE155" i="1"/>
  <c r="AE156" i="1"/>
  <c r="AE157"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187" i="1"/>
  <c r="AE188" i="1"/>
  <c r="AE189" i="1"/>
  <c r="AE190" i="1"/>
  <c r="AE191" i="1"/>
  <c r="AE192" i="1"/>
  <c r="AE193" i="1"/>
  <c r="AE194" i="1"/>
  <c r="AE195" i="1"/>
  <c r="AE196" i="1"/>
  <c r="AE197" i="1"/>
  <c r="AE198" i="1"/>
  <c r="AE199" i="1"/>
  <c r="Z4" i="1"/>
  <c r="Z5" i="1"/>
  <c r="Z6" i="1"/>
  <c r="Z7" i="1"/>
  <c r="Z8" i="1"/>
  <c r="Z9" i="1"/>
  <c r="Z10" i="1"/>
  <c r="Z11" i="1"/>
  <c r="Z12" i="1"/>
  <c r="AE12" i="1" s="1"/>
  <c r="Z13" i="1"/>
  <c r="AE13" i="1" s="1"/>
  <c r="Z14" i="1"/>
  <c r="AE14" i="1" s="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3" i="1"/>
  <c r="AG17" i="1"/>
  <c r="AG18" i="1"/>
  <c r="AG19" i="1"/>
  <c r="AG20" i="1"/>
  <c r="AG21" i="1"/>
  <c r="AG22" i="1"/>
  <c r="AG23"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3" i="1"/>
  <c r="AC4" i="1"/>
  <c r="AC5" i="1"/>
  <c r="AC6" i="1"/>
  <c r="AC7" i="1"/>
  <c r="AC8" i="1"/>
  <c r="AC9" i="1"/>
  <c r="AC10" i="1"/>
  <c r="AC11" i="1"/>
  <c r="AE11" i="1" s="1"/>
  <c r="AC13"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3" i="1"/>
  <c r="AB4" i="1"/>
  <c r="AB5" i="1"/>
  <c r="AB6" i="1"/>
  <c r="AF6" i="1" s="1"/>
  <c r="AB7" i="1"/>
  <c r="AB8" i="1"/>
  <c r="AF8" i="1" s="1"/>
  <c r="AB9" i="1"/>
  <c r="AB10" i="1"/>
  <c r="AF10" i="1" s="1"/>
  <c r="AB11" i="1"/>
  <c r="AF11" i="1" s="1"/>
  <c r="AB12" i="1"/>
  <c r="AF12" i="1" s="1"/>
  <c r="AB13" i="1"/>
  <c r="AF13" i="1" s="1"/>
  <c r="AB14" i="1"/>
  <c r="AF14" i="1" s="1"/>
  <c r="AB15" i="1"/>
  <c r="AF15" i="1" s="1"/>
  <c r="AB16" i="1"/>
  <c r="AF16" i="1" s="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3" i="1"/>
  <c r="V4" i="1"/>
  <c r="AD4" i="1" s="1"/>
  <c r="V5" i="1"/>
  <c r="V6" i="1"/>
  <c r="V7" i="1"/>
  <c r="AD7" i="1" s="1"/>
  <c r="V8" i="1"/>
  <c r="AD8" i="1" s="1"/>
  <c r="V9" i="1"/>
  <c r="V10" i="1"/>
  <c r="V11" i="1"/>
  <c r="W11" i="1" s="1"/>
  <c r="V12" i="1"/>
  <c r="W12" i="1" s="1"/>
  <c r="V13" i="1"/>
  <c r="W13" i="1" s="1"/>
  <c r="V14" i="1"/>
  <c r="W14" i="1" s="1"/>
  <c r="V15" i="1"/>
  <c r="W15" i="1" s="1"/>
  <c r="V16" i="1"/>
  <c r="W16" i="1" s="1"/>
  <c r="V17" i="1"/>
  <c r="W17" i="1" s="1"/>
  <c r="V18" i="1"/>
  <c r="W18" i="1" s="1"/>
  <c r="V19" i="1"/>
  <c r="W19" i="1" s="1"/>
  <c r="V20" i="1"/>
  <c r="W20" i="1" s="1"/>
  <c r="V21" i="1"/>
  <c r="W21" i="1" s="1"/>
  <c r="V22" i="1"/>
  <c r="W22" i="1" s="1"/>
  <c r="V23" i="1"/>
  <c r="W23" i="1" s="1"/>
  <c r="V24" i="1"/>
  <c r="W24" i="1" s="1"/>
  <c r="V25" i="1"/>
  <c r="W25" i="1" s="1"/>
  <c r="V26" i="1"/>
  <c r="W26" i="1" s="1"/>
  <c r="V27" i="1"/>
  <c r="W27" i="1" s="1"/>
  <c r="V28" i="1"/>
  <c r="W28" i="1" s="1"/>
  <c r="V29" i="1"/>
  <c r="W29" i="1" s="1"/>
  <c r="V30" i="1"/>
  <c r="W30" i="1" s="1"/>
  <c r="V31" i="1"/>
  <c r="W31" i="1" s="1"/>
  <c r="V32" i="1"/>
  <c r="W32" i="1" s="1"/>
  <c r="V33" i="1"/>
  <c r="W33" i="1" s="1"/>
  <c r="V34" i="1"/>
  <c r="W34" i="1" s="1"/>
  <c r="V35" i="1"/>
  <c r="W35" i="1" s="1"/>
  <c r="V36" i="1"/>
  <c r="W36" i="1" s="1"/>
  <c r="V37" i="1"/>
  <c r="W37" i="1" s="1"/>
  <c r="V38" i="1"/>
  <c r="W38" i="1" s="1"/>
  <c r="V39" i="1"/>
  <c r="W39" i="1" s="1"/>
  <c r="V40" i="1"/>
  <c r="W40" i="1" s="1"/>
  <c r="V41" i="1"/>
  <c r="W41" i="1" s="1"/>
  <c r="V42" i="1"/>
  <c r="W42" i="1" s="1"/>
  <c r="V43" i="1"/>
  <c r="W43" i="1" s="1"/>
  <c r="V44" i="1"/>
  <c r="W44" i="1" s="1"/>
  <c r="V45" i="1"/>
  <c r="W45" i="1" s="1"/>
  <c r="V46" i="1"/>
  <c r="W46" i="1" s="1"/>
  <c r="V47" i="1"/>
  <c r="W47" i="1" s="1"/>
  <c r="V48" i="1"/>
  <c r="W48" i="1" s="1"/>
  <c r="V49" i="1"/>
  <c r="W49" i="1" s="1"/>
  <c r="V50" i="1"/>
  <c r="W50" i="1" s="1"/>
  <c r="V51" i="1"/>
  <c r="W51" i="1" s="1"/>
  <c r="V52" i="1"/>
  <c r="W52" i="1" s="1"/>
  <c r="V53" i="1"/>
  <c r="W53" i="1" s="1"/>
  <c r="V54" i="1"/>
  <c r="W54" i="1" s="1"/>
  <c r="V55" i="1"/>
  <c r="W55" i="1" s="1"/>
  <c r="V56" i="1"/>
  <c r="W56" i="1" s="1"/>
  <c r="V57" i="1"/>
  <c r="W57" i="1" s="1"/>
  <c r="V58" i="1"/>
  <c r="W58" i="1" s="1"/>
  <c r="V59" i="1"/>
  <c r="W59" i="1" s="1"/>
  <c r="V60" i="1"/>
  <c r="W60" i="1" s="1"/>
  <c r="V61" i="1"/>
  <c r="W61" i="1" s="1"/>
  <c r="V62" i="1"/>
  <c r="W62" i="1" s="1"/>
  <c r="V63" i="1"/>
  <c r="W63" i="1" s="1"/>
  <c r="V64" i="1"/>
  <c r="W64" i="1" s="1"/>
  <c r="V65" i="1"/>
  <c r="W65" i="1" s="1"/>
  <c r="V66" i="1"/>
  <c r="W66" i="1" s="1"/>
  <c r="V67" i="1"/>
  <c r="W67" i="1" s="1"/>
  <c r="V68" i="1"/>
  <c r="W68" i="1" s="1"/>
  <c r="V69" i="1"/>
  <c r="W69" i="1" s="1"/>
  <c r="V70" i="1"/>
  <c r="W70" i="1" s="1"/>
  <c r="V71" i="1"/>
  <c r="W71" i="1" s="1"/>
  <c r="V72" i="1"/>
  <c r="W72" i="1" s="1"/>
  <c r="V73" i="1"/>
  <c r="W73" i="1" s="1"/>
  <c r="V74" i="1"/>
  <c r="W74" i="1" s="1"/>
  <c r="V75" i="1"/>
  <c r="W75" i="1" s="1"/>
  <c r="V76" i="1"/>
  <c r="W76" i="1" s="1"/>
  <c r="V77" i="1"/>
  <c r="W77" i="1" s="1"/>
  <c r="V78" i="1"/>
  <c r="W78" i="1" s="1"/>
  <c r="V79" i="1"/>
  <c r="W79" i="1" s="1"/>
  <c r="V80" i="1"/>
  <c r="W80" i="1" s="1"/>
  <c r="V81" i="1"/>
  <c r="W81" i="1" s="1"/>
  <c r="V82" i="1"/>
  <c r="W82" i="1" s="1"/>
  <c r="V83" i="1"/>
  <c r="W83" i="1" s="1"/>
  <c r="V84" i="1"/>
  <c r="W84" i="1" s="1"/>
  <c r="V85" i="1"/>
  <c r="W85" i="1" s="1"/>
  <c r="V86" i="1"/>
  <c r="W86" i="1" s="1"/>
  <c r="V87" i="1"/>
  <c r="W87" i="1" s="1"/>
  <c r="V88" i="1"/>
  <c r="W88" i="1" s="1"/>
  <c r="V89" i="1"/>
  <c r="W89" i="1" s="1"/>
  <c r="V90" i="1"/>
  <c r="W90" i="1" s="1"/>
  <c r="V91" i="1"/>
  <c r="W91" i="1" s="1"/>
  <c r="V92" i="1"/>
  <c r="W92" i="1" s="1"/>
  <c r="V93" i="1"/>
  <c r="W93" i="1" s="1"/>
  <c r="V94" i="1"/>
  <c r="W94" i="1" s="1"/>
  <c r="V95" i="1"/>
  <c r="W95" i="1" s="1"/>
  <c r="V96" i="1"/>
  <c r="W96" i="1" s="1"/>
  <c r="V97" i="1"/>
  <c r="W97" i="1" s="1"/>
  <c r="V98" i="1"/>
  <c r="W98" i="1" s="1"/>
  <c r="V99" i="1"/>
  <c r="W99" i="1" s="1"/>
  <c r="V100" i="1"/>
  <c r="W100" i="1" s="1"/>
  <c r="V101" i="1"/>
  <c r="W101" i="1" s="1"/>
  <c r="V102" i="1"/>
  <c r="W102" i="1" s="1"/>
  <c r="V103" i="1"/>
  <c r="W103" i="1" s="1"/>
  <c r="V104" i="1"/>
  <c r="W104" i="1" s="1"/>
  <c r="V105" i="1"/>
  <c r="W105" i="1" s="1"/>
  <c r="V106" i="1"/>
  <c r="W106" i="1" s="1"/>
  <c r="V107" i="1"/>
  <c r="W107" i="1" s="1"/>
  <c r="V108" i="1"/>
  <c r="W108" i="1" s="1"/>
  <c r="V109" i="1"/>
  <c r="W109" i="1" s="1"/>
  <c r="V110" i="1"/>
  <c r="W110" i="1" s="1"/>
  <c r="V111" i="1"/>
  <c r="W111" i="1" s="1"/>
  <c r="V112" i="1"/>
  <c r="W112" i="1" s="1"/>
  <c r="V113" i="1"/>
  <c r="W113" i="1" s="1"/>
  <c r="V114" i="1"/>
  <c r="W114" i="1" s="1"/>
  <c r="V115" i="1"/>
  <c r="W115" i="1" s="1"/>
  <c r="V116" i="1"/>
  <c r="W116" i="1" s="1"/>
  <c r="V117" i="1"/>
  <c r="W117" i="1" s="1"/>
  <c r="V118" i="1"/>
  <c r="W118" i="1" s="1"/>
  <c r="V119" i="1"/>
  <c r="W119" i="1" s="1"/>
  <c r="V120" i="1"/>
  <c r="W120" i="1" s="1"/>
  <c r="V121" i="1"/>
  <c r="W121" i="1" s="1"/>
  <c r="V122" i="1"/>
  <c r="W122" i="1" s="1"/>
  <c r="V123" i="1"/>
  <c r="W123" i="1" s="1"/>
  <c r="V124" i="1"/>
  <c r="W124" i="1" s="1"/>
  <c r="V125" i="1"/>
  <c r="W125" i="1" s="1"/>
  <c r="V126" i="1"/>
  <c r="W126" i="1" s="1"/>
  <c r="V127" i="1"/>
  <c r="W127" i="1" s="1"/>
  <c r="V128" i="1"/>
  <c r="W128" i="1" s="1"/>
  <c r="V129" i="1"/>
  <c r="W129" i="1" s="1"/>
  <c r="V130" i="1"/>
  <c r="W130" i="1" s="1"/>
  <c r="V131" i="1"/>
  <c r="W131" i="1" s="1"/>
  <c r="V132" i="1"/>
  <c r="W132" i="1" s="1"/>
  <c r="V133" i="1"/>
  <c r="W133" i="1" s="1"/>
  <c r="V134" i="1"/>
  <c r="W134" i="1" s="1"/>
  <c r="V135" i="1"/>
  <c r="W135" i="1" s="1"/>
  <c r="V136" i="1"/>
  <c r="W136" i="1" s="1"/>
  <c r="V137" i="1"/>
  <c r="W137" i="1" s="1"/>
  <c r="V138" i="1"/>
  <c r="W138" i="1" s="1"/>
  <c r="V139" i="1"/>
  <c r="W139" i="1" s="1"/>
  <c r="V140" i="1"/>
  <c r="W140" i="1" s="1"/>
  <c r="V141" i="1"/>
  <c r="W141" i="1" s="1"/>
  <c r="V142" i="1"/>
  <c r="W142" i="1" s="1"/>
  <c r="V143" i="1"/>
  <c r="W143" i="1" s="1"/>
  <c r="V144" i="1"/>
  <c r="W144" i="1" s="1"/>
  <c r="V145" i="1"/>
  <c r="W145" i="1" s="1"/>
  <c r="V146" i="1"/>
  <c r="W146" i="1" s="1"/>
  <c r="V147" i="1"/>
  <c r="W147" i="1" s="1"/>
  <c r="V148" i="1"/>
  <c r="W148" i="1" s="1"/>
  <c r="V149" i="1"/>
  <c r="W149" i="1" s="1"/>
  <c r="V150" i="1"/>
  <c r="W150" i="1" s="1"/>
  <c r="V151" i="1"/>
  <c r="W151" i="1" s="1"/>
  <c r="V152" i="1"/>
  <c r="W152" i="1" s="1"/>
  <c r="V153" i="1"/>
  <c r="W153" i="1" s="1"/>
  <c r="V154" i="1"/>
  <c r="W154" i="1" s="1"/>
  <c r="V155" i="1"/>
  <c r="W155" i="1" s="1"/>
  <c r="V156" i="1"/>
  <c r="W156" i="1" s="1"/>
  <c r="V157" i="1"/>
  <c r="W157" i="1" s="1"/>
  <c r="V158" i="1"/>
  <c r="W158" i="1" s="1"/>
  <c r="V159" i="1"/>
  <c r="W159" i="1" s="1"/>
  <c r="V160" i="1"/>
  <c r="W160" i="1" s="1"/>
  <c r="V161" i="1"/>
  <c r="W161" i="1" s="1"/>
  <c r="V162" i="1"/>
  <c r="W162" i="1" s="1"/>
  <c r="V163" i="1"/>
  <c r="W163" i="1" s="1"/>
  <c r="V164" i="1"/>
  <c r="W164" i="1" s="1"/>
  <c r="V165" i="1"/>
  <c r="W165" i="1" s="1"/>
  <c r="V166" i="1"/>
  <c r="W166" i="1" s="1"/>
  <c r="V167" i="1"/>
  <c r="W167" i="1" s="1"/>
  <c r="V168" i="1"/>
  <c r="W168" i="1" s="1"/>
  <c r="V169" i="1"/>
  <c r="W169" i="1" s="1"/>
  <c r="V170" i="1"/>
  <c r="W170" i="1" s="1"/>
  <c r="V171" i="1"/>
  <c r="W171" i="1" s="1"/>
  <c r="V172" i="1"/>
  <c r="W172" i="1" s="1"/>
  <c r="V173" i="1"/>
  <c r="W173" i="1" s="1"/>
  <c r="V174" i="1"/>
  <c r="W174" i="1" s="1"/>
  <c r="V175" i="1"/>
  <c r="W175" i="1" s="1"/>
  <c r="V176" i="1"/>
  <c r="W176" i="1" s="1"/>
  <c r="V177" i="1"/>
  <c r="W177" i="1" s="1"/>
  <c r="V178" i="1"/>
  <c r="W178" i="1" s="1"/>
  <c r="V179" i="1"/>
  <c r="W179" i="1" s="1"/>
  <c r="V180" i="1"/>
  <c r="W180" i="1" s="1"/>
  <c r="V181" i="1"/>
  <c r="W181" i="1" s="1"/>
  <c r="V182" i="1"/>
  <c r="W182" i="1" s="1"/>
  <c r="V183" i="1"/>
  <c r="W183" i="1" s="1"/>
  <c r="V184" i="1"/>
  <c r="W184" i="1" s="1"/>
  <c r="V185" i="1"/>
  <c r="W185" i="1" s="1"/>
  <c r="V186" i="1"/>
  <c r="W186" i="1" s="1"/>
  <c r="V187" i="1"/>
  <c r="W187" i="1" s="1"/>
  <c r="V188" i="1"/>
  <c r="W188" i="1" s="1"/>
  <c r="V189" i="1"/>
  <c r="W189" i="1" s="1"/>
  <c r="V190" i="1"/>
  <c r="W190" i="1" s="1"/>
  <c r="V191" i="1"/>
  <c r="W191" i="1" s="1"/>
  <c r="V192" i="1"/>
  <c r="W192" i="1" s="1"/>
  <c r="V193" i="1"/>
  <c r="W193" i="1" s="1"/>
  <c r="V194" i="1"/>
  <c r="W194" i="1" s="1"/>
  <c r="V195" i="1"/>
  <c r="W195" i="1" s="1"/>
  <c r="V3" i="1"/>
  <c r="V196" i="1"/>
  <c r="W196" i="1" s="1"/>
  <c r="V197" i="1"/>
  <c r="W197" i="1" s="1"/>
  <c r="V198" i="1"/>
  <c r="W198" i="1" s="1"/>
  <c r="V199" i="1"/>
  <c r="W199" i="1" s="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4" i="1"/>
  <c r="G3" i="1"/>
  <c r="E29" i="4" l="1"/>
  <c r="E24" i="4"/>
  <c r="I26" i="4"/>
  <c r="F7" i="4"/>
  <c r="G7" i="4" s="1"/>
  <c r="H6" i="4"/>
  <c r="L27" i="4"/>
  <c r="F26" i="4"/>
  <c r="G26" i="4" s="1"/>
  <c r="J22" i="4"/>
  <c r="E20" i="4"/>
  <c r="J18" i="4"/>
  <c r="J17" i="4"/>
  <c r="H14" i="4"/>
  <c r="F13" i="4"/>
  <c r="G13" i="4" s="1"/>
  <c r="H12" i="4"/>
  <c r="E7" i="4"/>
  <c r="E32" i="4"/>
  <c r="K28" i="4"/>
  <c r="E26" i="4"/>
  <c r="H23" i="4"/>
  <c r="I22" i="4"/>
  <c r="F21" i="4"/>
  <c r="G21" i="4" s="1"/>
  <c r="I18" i="4"/>
  <c r="I17" i="4"/>
  <c r="E16" i="4"/>
  <c r="F15" i="4"/>
  <c r="G15" i="4" s="1"/>
  <c r="E13" i="4"/>
  <c r="E12" i="4"/>
  <c r="H28" i="4"/>
  <c r="F23" i="4"/>
  <c r="G23" i="4" s="1"/>
  <c r="F18" i="4"/>
  <c r="G18" i="4" s="1"/>
  <c r="F17" i="4"/>
  <c r="G17" i="4" s="1"/>
  <c r="E10" i="4"/>
  <c r="F29" i="4"/>
  <c r="G29" i="4" s="1"/>
  <c r="E18" i="4"/>
  <c r="I9" i="4"/>
  <c r="J6" i="4"/>
  <c r="K6" i="4" s="1"/>
  <c r="L6" i="4"/>
  <c r="K30" i="4"/>
  <c r="L9" i="4"/>
  <c r="J9" i="4"/>
  <c r="K9" i="4" s="1"/>
  <c r="J8" i="4"/>
  <c r="L7" i="4"/>
  <c r="L32" i="4"/>
  <c r="L29" i="4"/>
  <c r="F5" i="4"/>
  <c r="H9" i="4"/>
  <c r="L23" i="4"/>
  <c r="L20" i="4"/>
  <c r="L19" i="4"/>
  <c r="H5" i="4"/>
  <c r="L10" i="4"/>
  <c r="I6" i="4"/>
  <c r="F9" i="4"/>
  <c r="G9" i="4" s="1"/>
  <c r="L21" i="4"/>
  <c r="J27" i="4"/>
  <c r="J19" i="4"/>
  <c r="J32" i="4"/>
  <c r="E31" i="4"/>
  <c r="F28" i="4"/>
  <c r="G28" i="4" s="1"/>
  <c r="I27" i="4"/>
  <c r="J24" i="4"/>
  <c r="E23" i="4"/>
  <c r="F20" i="4"/>
  <c r="G20" i="4" s="1"/>
  <c r="I19" i="4"/>
  <c r="J16" i="4"/>
  <c r="E15" i="4"/>
  <c r="F12" i="4"/>
  <c r="G12" i="4" s="1"/>
  <c r="I32" i="4"/>
  <c r="J29" i="4"/>
  <c r="H27" i="4"/>
  <c r="I24" i="4"/>
  <c r="J21" i="4"/>
  <c r="H19" i="4"/>
  <c r="I16" i="4"/>
  <c r="J13" i="4"/>
  <c r="H32" i="4"/>
  <c r="I29" i="4"/>
  <c r="H24" i="4"/>
  <c r="I21" i="4"/>
  <c r="H16" i="4"/>
  <c r="I13" i="4"/>
  <c r="J31" i="4"/>
  <c r="F27" i="4"/>
  <c r="G27" i="4" s="1"/>
  <c r="L25" i="4"/>
  <c r="J23" i="4"/>
  <c r="F19" i="4"/>
  <c r="G19" i="4" s="1"/>
  <c r="L17" i="4"/>
  <c r="J15" i="4"/>
  <c r="H11" i="4"/>
  <c r="I8" i="4"/>
  <c r="J10" i="4"/>
  <c r="H8" i="4"/>
  <c r="K8" i="4" s="1"/>
  <c r="F11" i="4"/>
  <c r="G11" i="4" s="1"/>
  <c r="I10" i="4"/>
  <c r="J7" i="4"/>
  <c r="K7" i="4" s="1"/>
  <c r="E6" i="4"/>
  <c r="H10" i="4"/>
  <c r="F8" i="4"/>
  <c r="G8" i="4" s="1"/>
  <c r="I7" i="4"/>
  <c r="L11" i="4"/>
  <c r="AD6" i="1"/>
  <c r="L5" i="4"/>
  <c r="D2" i="6" a="1"/>
  <c r="D2" i="6" s="1"/>
  <c r="AD5" i="1"/>
  <c r="A3" i="6" a="1"/>
  <c r="A3" i="6" s="1"/>
  <c r="E6" i="7"/>
  <c r="G5" i="4"/>
  <c r="E5" i="4"/>
  <c r="AF5" i="1"/>
  <c r="AF4" i="1"/>
  <c r="AD3" i="1"/>
  <c r="AE16" i="1"/>
  <c r="AG16" i="1" s="1"/>
  <c r="AD16" i="1"/>
  <c r="AE15" i="1"/>
  <c r="AG15" i="1"/>
  <c r="AD15" i="1"/>
  <c r="AD14" i="1"/>
  <c r="AG14" i="1"/>
  <c r="AD13" i="1"/>
  <c r="AG13" i="1"/>
  <c r="AG12" i="1"/>
  <c r="AD12" i="1"/>
  <c r="AG11" i="1"/>
  <c r="AD11" i="1"/>
  <c r="AD10" i="1"/>
  <c r="AD9" i="1"/>
  <c r="AF9" i="1"/>
  <c r="AF7" i="1"/>
  <c r="AF3" i="1"/>
  <c r="AE10" i="1"/>
  <c r="AE9" i="1"/>
  <c r="AE8" i="1"/>
  <c r="AE7" i="1"/>
  <c r="AE6" i="1"/>
  <c r="AE5" i="1"/>
  <c r="AE4" i="1"/>
  <c r="AE3" i="1"/>
  <c r="W3" i="1"/>
  <c r="W10" i="1"/>
  <c r="W9" i="1"/>
  <c r="W8" i="1"/>
  <c r="W7" i="1"/>
  <c r="W6" i="1"/>
  <c r="W5" i="1"/>
  <c r="W4" i="1"/>
  <c r="B2" i="6" l="1"/>
  <c r="F6" i="7" s="1"/>
  <c r="A6" i="7"/>
  <c r="D3" i="6" a="1"/>
  <c r="D3" i="6" s="1"/>
  <c r="A7" i="7" s="1"/>
  <c r="E2" i="6"/>
  <c r="G2" i="6"/>
  <c r="B6" i="7" s="1"/>
  <c r="F2" i="6"/>
  <c r="C6" i="7" s="1"/>
  <c r="K5" i="4"/>
  <c r="A4" i="6" a="1"/>
  <c r="A4" i="6" s="1"/>
  <c r="C4" i="6" s="1"/>
  <c r="H8" i="7" s="1"/>
  <c r="C3" i="6"/>
  <c r="H7" i="7" s="1"/>
  <c r="C2" i="6"/>
  <c r="H6" i="7" s="1"/>
  <c r="E7" i="7"/>
  <c r="B3" i="6"/>
  <c r="F7" i="7" s="1"/>
  <c r="AG5" i="1"/>
  <c r="AG4" i="1"/>
  <c r="AG6" i="1"/>
  <c r="AG7" i="1"/>
  <c r="AG8" i="1"/>
  <c r="AG9" i="1"/>
  <c r="AG10" i="1"/>
  <c r="AG3" i="1"/>
  <c r="F3" i="6" l="1"/>
  <c r="C7" i="7" s="1"/>
  <c r="G3" i="6"/>
  <c r="B7" i="7" s="1"/>
  <c r="E3" i="6"/>
  <c r="D4" i="6" a="1"/>
  <c r="D4" i="6" s="1"/>
  <c r="E8" i="7"/>
  <c r="A5" i="6" a="1"/>
  <c r="A5" i="6" s="1"/>
  <c r="C5" i="6" s="1"/>
  <c r="H9" i="7" s="1"/>
  <c r="B4" i="6"/>
  <c r="F8" i="7" s="1"/>
  <c r="D5" i="6" l="1" a="1"/>
  <c r="D5" i="6" s="1"/>
  <c r="G4" i="6"/>
  <c r="B8" i="7" s="1"/>
  <c r="E4" i="6"/>
  <c r="F4" i="6"/>
  <c r="C8" i="7" s="1"/>
  <c r="A8" i="7"/>
  <c r="A6" i="6" a="1"/>
  <c r="A6" i="6" s="1"/>
  <c r="E9" i="7"/>
  <c r="B5" i="6"/>
  <c r="F9" i="7" s="1"/>
  <c r="G5" i="6" l="1"/>
  <c r="B9" i="7" s="1"/>
  <c r="G16" i="7" s="1"/>
  <c r="H16" i="7" s="1"/>
  <c r="E5" i="6"/>
  <c r="F5" i="6"/>
  <c r="C9" i="7" s="1"/>
  <c r="A9" i="7"/>
  <c r="D6" i="6" a="1"/>
  <c r="D6" i="6" s="1"/>
  <c r="B6" i="6"/>
  <c r="F10" i="7" s="1"/>
  <c r="F11" i="7" s="1"/>
  <c r="A7" i="6" a="1"/>
  <c r="A7" i="6" s="1"/>
  <c r="C6" i="6"/>
  <c r="H10" i="7" s="1"/>
  <c r="H11" i="7" s="1"/>
  <c r="E10" i="7"/>
  <c r="B11" i="7" l="1"/>
  <c r="D7" i="6" a="1"/>
  <c r="D7" i="6" s="1"/>
  <c r="E6" i="6"/>
  <c r="G6" i="6"/>
  <c r="F6" i="6"/>
  <c r="C10" i="7" s="1"/>
  <c r="G17" i="7" s="1"/>
  <c r="H17" i="7" s="1"/>
  <c r="A10" i="7"/>
  <c r="H19" i="7"/>
  <c r="G20" i="7" s="1"/>
  <c r="C7" i="6"/>
  <c r="B7" i="6"/>
  <c r="A8" i="6" a="1"/>
  <c r="A8" i="6" s="1"/>
  <c r="C11" i="7" l="1"/>
  <c r="A46" i="7" s="1"/>
  <c r="G7" i="6"/>
  <c r="E7" i="6"/>
  <c r="F7" i="6"/>
  <c r="D8" i="6" a="1"/>
  <c r="D8" i="6" s="1"/>
  <c r="C8" i="6"/>
  <c r="B8" i="6"/>
  <c r="A9" i="6" a="1"/>
  <c r="A9" i="6" s="1"/>
  <c r="G19" i="7" l="1"/>
  <c r="G31" i="7" s="1"/>
  <c r="F8" i="6"/>
  <c r="G8" i="6"/>
  <c r="E8" i="6"/>
  <c r="D9" i="6" a="1"/>
  <c r="D9" i="6" s="1"/>
  <c r="C9" i="6"/>
  <c r="B9" i="6"/>
  <c r="A10" i="6" a="1"/>
  <c r="A10" i="6" s="1"/>
  <c r="D10" i="6" l="1" a="1"/>
  <c r="D10" i="6" s="1"/>
  <c r="F9" i="6"/>
  <c r="G9" i="6"/>
  <c r="E9" i="6"/>
  <c r="A11" i="6" a="1"/>
  <c r="A11" i="6" s="1"/>
  <c r="C10" i="6"/>
  <c r="B10" i="6"/>
  <c r="F10" i="6" l="1"/>
  <c r="G10" i="6"/>
  <c r="E10" i="6"/>
  <c r="D11" i="6" a="1"/>
  <c r="D11" i="6" s="1"/>
  <c r="C11" i="6"/>
  <c r="B11" i="6"/>
  <c r="A12" i="6" a="1"/>
  <c r="A12" i="6" s="1"/>
  <c r="D12" i="6" l="1" a="1"/>
  <c r="D12" i="6" s="1"/>
  <c r="F11" i="6"/>
  <c r="G11" i="6"/>
  <c r="E11" i="6"/>
  <c r="C12" i="6"/>
  <c r="B12" i="6"/>
  <c r="A13" i="6" a="1"/>
  <c r="A13" i="6" s="1"/>
  <c r="D13" i="6" l="1" a="1"/>
  <c r="D13" i="6" s="1"/>
  <c r="G12" i="6"/>
  <c r="E12" i="6"/>
  <c r="F12" i="6"/>
  <c r="C13" i="6"/>
  <c r="B13" i="6"/>
  <c r="G13" i="6" l="1"/>
  <c r="E13" i="6"/>
  <c r="F13"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<sst xmlns="http://schemas.openxmlformats.org/spreadsheetml/2006/main" count="68" uniqueCount="54">
  <si>
    <t>LQ</t>
  </si>
  <si>
    <t>Comprador</t>
  </si>
  <si>
    <t>CUIT Comprador</t>
  </si>
  <si>
    <t>Precio/TN</t>
  </si>
  <si>
    <t>Grano</t>
  </si>
  <si>
    <t>Subtotal</t>
  </si>
  <si>
    <t>Importe IVA</t>
  </si>
  <si>
    <t>Fecha</t>
  </si>
  <si>
    <t>Factor</t>
  </si>
  <si>
    <t>Cantidad</t>
  </si>
  <si>
    <t>Precio KG</t>
  </si>
  <si>
    <t>Alic. IVA</t>
  </si>
  <si>
    <t>Total Operación</t>
  </si>
  <si>
    <t>Alic. Comisión</t>
  </si>
  <si>
    <t>Base com</t>
  </si>
  <si>
    <t>Deducciones</t>
  </si>
  <si>
    <t>Pago según condiciones</t>
  </si>
  <si>
    <t>COE</t>
  </si>
  <si>
    <t>Columnas Auxiliares</t>
  </si>
  <si>
    <t>Nros COE</t>
  </si>
  <si>
    <t>No tiene deducciones</t>
  </si>
  <si>
    <t>Tiene deducciones</t>
  </si>
  <si>
    <t>Tipo LQ</t>
  </si>
  <si>
    <t>Pago x KG</t>
  </si>
  <si>
    <t>Pago Retenido</t>
  </si>
  <si>
    <t>% Deducido</t>
  </si>
  <si>
    <t>Deducido x KG</t>
  </si>
  <si>
    <t>a</t>
  </si>
  <si>
    <t>Cant KG</t>
  </si>
  <si>
    <t>Pago Total  x KG</t>
  </si>
  <si>
    <t>Regimen Devolución IVA</t>
  </si>
  <si>
    <t>Resumen Mensual de Liquidaciones Parciales</t>
  </si>
  <si>
    <t>Toneladas</t>
  </si>
  <si>
    <t>Tipo</t>
  </si>
  <si>
    <t>Monto Retenido</t>
  </si>
  <si>
    <t>Pago Neto Final</t>
  </si>
  <si>
    <t>Total c/IVA</t>
  </si>
  <si>
    <t>Acopio</t>
  </si>
  <si>
    <t>Porcentaje Pago</t>
  </si>
  <si>
    <t>Factor restante a cobrar</t>
  </si>
  <si>
    <t>Precio Tn USD</t>
  </si>
  <si>
    <t>Codigos granos</t>
  </si>
  <si>
    <t>Ventas Totales</t>
  </si>
  <si>
    <t>Porc. Ingr</t>
  </si>
  <si>
    <t>Porc. Eg</t>
  </si>
  <si>
    <t>Resumen Mensual de Movimientos</t>
  </si>
  <si>
    <t>Tns</t>
  </si>
  <si>
    <t>Tns vendidas</t>
  </si>
  <si>
    <t>Ventas Totales USD</t>
  </si>
  <si>
    <t>Acopios</t>
  </si>
  <si>
    <t>Por Acopio</t>
  </si>
  <si>
    <t>Cobros totales</t>
  </si>
  <si>
    <t>Por Grano</t>
  </si>
  <si>
    <t>Mayo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</si>
</sst>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 #,##0.00_-;\-&quot;$&quot;\ * #,##0.00_-;_-&quot;$&quot;\ * &quot;-&quot;??_-;_-@_-"/>
    <numFmt numFmtId="164" formatCode="_-[$$-2C0A]\ * #,##0.00_-;\-[$$-2C0A]\ * #,##0.00_-;_-[$$-2C0A]\ * &quot;-&quot;??_-;_-@_-"/>
    <numFmt numFmtId="165" formatCode="_-[$USD]\ * #,##0.00_-;\-[$USD]\ * #,##0.00_-;_-[$USD]\ * &quot;-&quot;??_-;_-@_-"/>
    <numFmt numFmtId="166" formatCode="0.000%"/>
    <numFmt numFmtId="168" formatCode="dd/mm/yyyy"/>
  </numFmts>
  <fonts count="13"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11"/>
      <color theme="0"/>
      <name val="Calibri"/>
      <family val="2"/>
      <scheme val="minor"/>
    </font>
    <font>
      <i/>
      <sz val="20"/>
      <color theme="1"/>
      <name val="Calibri"/>
      <family val="2"/>
      <scheme val="minor"/>
    </font>
    <font>
      <i/>
      <sz val="16"/>
      <color theme="1"/>
      <name val="Calibri"/>
      <family val="2"/>
      <scheme val="minor"/>
    </font>
    <font>
      <sz val="11"/>
      <color rgb="FFFF0000"/>
      <name val="Calibri"/>
      <family val="2"/>
      <scheme val="minor"/>
    </font>
    <font>
      <i/>
      <sz val="12"/>
      <color rgb="FF250957"/>
      <name val="Calibri"/>
      <family val="2"/>
      <scheme val="minor"/>
    </font>
    <font>
      <b/>
      <i/>
      <sz val="16"/>
      <color theme="0"/>
      <name val="Calibri"/>
      <family val="2"/>
      <scheme val="minor"/>
    </font>
    <font>
      <b/>
      <i/>
      <sz val="16"/>
      <color rgb="FF4511A3"/>
      <name val="Calibri"/>
      <family val="2"/>
      <scheme val="minor"/>
    </font>
    <font>
      <b/>
      <i/>
      <sz val="20"/>
      <color rgb="FF250957"/>
      <name val="Calibri"/>
      <family val="2"/>
      <scheme val="minor"/>
    </font>
    <font>
      <sz val="16"/>
      <color theme="1"/>
      <name val="Berlin Sans FB"/>
      <family val="2"/>
    </font>
  </fonts>
  <fills count="10">
    <fill>
      <patternFill patternType="none"/>
    </fill>
    <fill>
      <patternFill patternType="gray125"/>
    </fill>
    <fill>
      <patternFill patternType="solid">
        <fgColor theme="9" tint="0.59999389629810485"/>
        <bgColor indexed="64"/>
      </patternFill>
    </fill>
    <fill>
      <patternFill patternType="solid">
        <fgColor theme="5" tint="-0.499984740745262"/>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4511A3"/>
        <bgColor indexed="64"/>
      </patternFill>
    </fill>
  </fills>
  <borders count="1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double">
        <color rgb="FF250957"/>
      </right>
      <top style="double">
        <color rgb="FF250957"/>
      </top>
      <bottom style="double">
        <color rgb="FF250957"/>
      </bottom>
      <diagonal/>
    </border>
    <border>
      <left/>
      <right/>
      <top style="double">
        <color rgb="FF250957"/>
      </top>
      <bottom style="double">
        <color rgb="FF250957"/>
      </bottom>
      <diagonal/>
    </border>
    <border>
      <left style="double">
        <color rgb="FF250957"/>
      </left>
      <right/>
      <top style="double">
        <color rgb="FF250957"/>
      </top>
      <bottom style="double">
        <color rgb="FF250957"/>
      </bottom>
      <diagonal/>
    </border>
  </borders>
  <cellStyleXfs count="3">
    <xf numFmtId="0" fontId="0" fillId="0" borderId="0"/>
    <xf numFmtId="9" fontId="2" fillId="0" borderId="0" applyFont="0" applyFill="0" applyBorder="0" applyAlignment="0" applyProtection="0"/>
    <xf numFmtId="44" fontId="2" fillId="0" borderId="0" applyFont="0" applyFill="0" applyBorder="0" applyAlignment="0" applyProtection="0"/>
  </cellStyleXfs>
  <cellXfs count="121">
    <xf numFmtId="0" fontId="0" fillId="0" borderId="0" xfId="0"/>
    <xf numFmtId="4" fontId="0" fillId="0" borderId="0" xfId="0" applyNumberFormat="1"/>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0" fillId="0" borderId="0" xfId="0" applyAlignment="1">
      <alignment wrapText="1"/>
    </xf>
    <xf numFmtId="14" fontId="0" fillId="0" borderId="0" xfId="0" applyNumberFormat="1"/>
    <xf numFmtId="2" fontId="0" fillId="0" borderId="0" xfId="0" applyNumberFormat="1"/>
    <xf numFmtId="1" fontId="0" fillId="0" borderId="0" xfId="0" applyNumberFormat="1"/>
    <xf numFmtId="3" fontId="0" fillId="0" borderId="0" xfId="0" applyNumberFormat="1"/>
    <xf numFmtId="1" fontId="1" fillId="2" borderId="2" xfId="0" applyNumberFormat="1" applyFont="1" applyFill="1" applyBorder="1" applyAlignment="1">
      <alignment horizontal="center" vertical="center" wrapText="1"/>
    </xf>
    <xf numFmtId="0" fontId="0" fillId="0" borderId="0" xfId="0" applyAlignment="1">
      <alignment horizontal="center" vertical="center"/>
    </xf>
    <xf numFmtId="3" fontId="0" fillId="0" borderId="0" xfId="0" applyNumberFormat="1" applyAlignment="1">
      <alignment horizontal="center" vertical="center"/>
    </xf>
    <xf numFmtId="4" fontId="0" fillId="0" borderId="0" xfId="0" applyNumberFormat="1" applyAlignment="1">
      <alignment horizontal="center" vertical="center"/>
    </xf>
    <xf numFmtId="0" fontId="1" fillId="2" borderId="4" xfId="0" applyFont="1" applyFill="1" applyBorder="1" applyAlignment="1">
      <alignment horizontal="center" vertical="center" wrapText="1"/>
    </xf>
    <xf numFmtId="0" fontId="0" fillId="0" borderId="7" xfId="0" applyBorder="1"/>
    <xf numFmtId="0" fontId="0" fillId="0" borderId="5" xfId="0" applyBorder="1" applyAlignment="1">
      <alignment horizontal="center"/>
    </xf>
    <xf numFmtId="0" fontId="0" fillId="0" borderId="6" xfId="0" applyBorder="1" applyAlignment="1">
      <alignment horizontal="center"/>
    </xf>
    <xf numFmtId="10" fontId="0" fillId="0" borderId="0" xfId="1" applyNumberFormat="1" applyFont="1"/>
    <xf numFmtId="10" fontId="1" fillId="2" borderId="3" xfId="1" applyNumberFormat="1" applyFont="1" applyFill="1" applyBorder="1" applyAlignment="1">
      <alignment horizontal="center" vertical="center" wrapText="1"/>
    </xf>
    <xf numFmtId="164" fontId="0" fillId="0" borderId="0" xfId="0" applyNumberFormat="1"/>
    <xf numFmtId="164" fontId="0" fillId="0" borderId="0" xfId="0" applyNumberFormat="1" applyAlignment="1">
      <alignment horizontal="center" vertical="center"/>
    </xf>
    <xf numFmtId="10" fontId="3" fillId="0" borderId="0" xfId="1" applyNumberFormat="1" applyFont="1"/>
    <xf numFmtId="14" fontId="0" fillId="0" borderId="0" xfId="0" applyNumberFormat="1" applyAlignment="1">
      <alignment horizontal="center"/>
    </xf>
    <xf numFmtId="0" fontId="0" fillId="0" borderId="0" xfId="0" applyAlignment="1">
      <alignment horizontal="center"/>
    </xf>
    <xf numFmtId="165" fontId="0" fillId="0" borderId="0" xfId="0" applyNumberFormat="1"/>
    <xf numFmtId="0" fontId="0" fillId="5" borderId="0" xfId="0" applyFill="1"/>
    <xf numFmtId="165" fontId="0" fillId="5" borderId="0" xfId="0" applyNumberFormat="1" applyFill="1"/>
    <xf numFmtId="0" fontId="0" fillId="5" borderId="0" xfId="0" applyFill="1" applyAlignment="1">
      <alignment horizontal="center"/>
    </xf>
    <xf numFmtId="0" fontId="0" fillId="6" borderId="8" xfId="0" applyFill="1" applyBorder="1"/>
    <xf numFmtId="0" fontId="0" fillId="6" borderId="0"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14" fontId="0" fillId="5" borderId="0" xfId="0" applyNumberFormat="1" applyFill="1" applyAlignment="1">
      <alignment horizontal="center"/>
    </xf>
    <xf numFmtId="14" fontId="0" fillId="6" borderId="5" xfId="0" applyNumberFormat="1" applyFill="1" applyBorder="1" applyAlignment="1">
      <alignment horizontal="center"/>
    </xf>
    <xf numFmtId="14" fontId="0" fillId="6" borderId="10" xfId="0" applyNumberFormat="1" applyFill="1" applyBorder="1" applyAlignment="1">
      <alignment horizontal="center"/>
    </xf>
    <xf numFmtId="14" fontId="0" fillId="6" borderId="6" xfId="0" applyNumberFormat="1" applyFill="1" applyBorder="1" applyAlignment="1">
      <alignment horizontal="center"/>
    </xf>
    <xf numFmtId="49" fontId="6" fillId="5" borderId="0" xfId="0" applyNumberFormat="1" applyFont="1" applyFill="1" applyAlignment="1">
      <alignment horizontal="center"/>
    </xf>
    <xf numFmtId="9" fontId="0" fillId="6" borderId="11" xfId="1" applyFont="1" applyFill="1" applyBorder="1" applyAlignment="1">
      <alignment horizontal="center"/>
    </xf>
    <xf numFmtId="0" fontId="0" fillId="0" borderId="13" xfId="0" applyBorder="1"/>
    <xf numFmtId="0" fontId="0" fillId="0" borderId="14" xfId="0" applyBorder="1"/>
    <xf numFmtId="0" fontId="0" fillId="6" borderId="0" xfId="0" applyFill="1"/>
    <xf numFmtId="0" fontId="3" fillId="6" borderId="0" xfId="0" applyFont="1" applyFill="1"/>
    <xf numFmtId="166" fontId="3" fillId="6" borderId="0" xfId="1" applyNumberFormat="1" applyFont="1" applyFill="1"/>
    <xf numFmtId="44" fontId="3" fillId="6" borderId="0" xfId="0" applyNumberFormat="1" applyFont="1" applyFill="1"/>
    <xf numFmtId="0" fontId="4" fillId="9" borderId="9" xfId="0" applyFont="1" applyFill="1" applyBorder="1" applyAlignment="1">
      <alignment horizontal="center"/>
    </xf>
    <xf numFmtId="0" fontId="4" fillId="9" borderId="5" xfId="0" applyFont="1" applyFill="1" applyBorder="1" applyAlignment="1">
      <alignment horizontal="center"/>
    </xf>
    <xf numFmtId="0" fontId="7" fillId="6" borderId="0" xfId="0" applyFont="1" applyFill="1"/>
    <xf numFmtId="2" fontId="1" fillId="8" borderId="6" xfId="0" applyNumberFormat="1" applyFont="1" applyFill="1" applyBorder="1"/>
    <xf numFmtId="2" fontId="0" fillId="5" borderId="5" xfId="2" applyNumberFormat="1" applyFont="1" applyFill="1" applyBorder="1" applyAlignment="1">
      <alignment horizontal="center"/>
    </xf>
    <xf numFmtId="165" fontId="0" fillId="5" borderId="9" xfId="2" applyNumberFormat="1" applyFont="1" applyFill="1" applyBorder="1" applyAlignment="1">
      <alignment horizontal="center"/>
    </xf>
    <xf numFmtId="165" fontId="0" fillId="5" borderId="3" xfId="2" applyNumberFormat="1" applyFont="1" applyFill="1" applyBorder="1" applyAlignment="1">
      <alignment horizontal="center"/>
    </xf>
    <xf numFmtId="0" fontId="0" fillId="5" borderId="13" xfId="0" applyFill="1" applyBorder="1"/>
    <xf numFmtId="0" fontId="0" fillId="5" borderId="4" xfId="0" applyFill="1" applyBorder="1"/>
    <xf numFmtId="2" fontId="0" fillId="5" borderId="1" xfId="2" applyNumberFormat="1" applyFont="1" applyFill="1" applyBorder="1" applyAlignment="1">
      <alignment horizontal="center"/>
    </xf>
    <xf numFmtId="165" fontId="1" fillId="8" borderId="4" xfId="0" applyNumberFormat="1" applyFont="1" applyFill="1" applyBorder="1"/>
    <xf numFmtId="0" fontId="0" fillId="0" borderId="0" xfId="0" applyBorder="1" applyAlignment="1"/>
    <xf numFmtId="0" fontId="3" fillId="6" borderId="0" xfId="0" applyFont="1" applyFill="1" applyAlignment="1">
      <alignment horizontal="right"/>
    </xf>
    <xf numFmtId="0" fontId="0" fillId="0" borderId="0" xfId="0" applyNumberFormat="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7" borderId="5" xfId="0" applyFont="1" applyFill="1" applyBorder="1" applyAlignment="1">
      <alignment horizontal="center" vertical="center" wrapText="1"/>
    </xf>
    <xf numFmtId="0" fontId="8" fillId="7" borderId="9" xfId="0" applyFont="1" applyFill="1" applyBorder="1" applyAlignment="1">
      <alignment horizontal="center" vertical="center" wrapText="1"/>
    </xf>
    <xf numFmtId="0" fontId="8" fillId="7" borderId="10" xfId="0" applyFont="1" applyFill="1" applyBorder="1" applyAlignment="1">
      <alignment horizontal="center" vertical="center" wrapText="1"/>
    </xf>
    <xf numFmtId="0" fontId="8" fillId="7" borderId="11" xfId="0" applyFont="1" applyFill="1" applyBorder="1" applyAlignment="1">
      <alignment horizontal="center" vertical="center" wrapText="1"/>
    </xf>
    <xf numFmtId="0" fontId="8" fillId="7" borderId="6" xfId="0" applyFont="1" applyFill="1" applyBorder="1" applyAlignment="1">
      <alignment horizontal="center" vertical="center" wrapText="1"/>
    </xf>
    <xf numFmtId="0" fontId="8" fillId="7" borderId="7" xfId="0" applyFont="1" applyFill="1" applyBorder="1" applyAlignment="1">
      <alignment horizontal="center" vertical="center" wrapText="1"/>
    </xf>
    <xf numFmtId="0" fontId="4" fillId="9" borderId="8" xfId="0" applyFont="1" applyFill="1" applyBorder="1" applyAlignment="1">
      <alignment horizontal="center"/>
    </xf>
    <xf numFmtId="0" fontId="4" fillId="9" borderId="9" xfId="0" applyFont="1" applyFill="1" applyBorder="1" applyAlignment="1">
      <alignment horizontal="center"/>
    </xf>
    <xf numFmtId="165" fontId="0" fillId="5" borderId="0" xfId="2" applyNumberFormat="1" applyFont="1" applyFill="1" applyBorder="1" applyAlignment="1">
      <alignment horizontal="center"/>
    </xf>
    <xf numFmtId="165" fontId="0" fillId="5" borderId="11" xfId="2" applyNumberFormat="1" applyFont="1" applyFill="1" applyBorder="1" applyAlignment="1">
      <alignment horizontal="center"/>
    </xf>
    <xf numFmtId="0" fontId="11" fillId="6" borderId="0" xfId="0" applyFont="1" applyFill="1" applyAlignment="1">
      <alignment horizontal="center"/>
    </xf>
    <xf numFmtId="17" fontId="10" fillId="6" borderId="18" xfId="0" applyNumberFormat="1" applyFont="1" applyFill="1" applyBorder="1" applyAlignment="1">
      <alignment horizontal="center"/>
    </xf>
    <xf numFmtId="17" fontId="10" fillId="6" borderId="17" xfId="0" applyNumberFormat="1" applyFont="1" applyFill="1" applyBorder="1" applyAlignment="1">
      <alignment horizontal="center"/>
    </xf>
    <xf numFmtId="17" fontId="10" fillId="6" borderId="16" xfId="0" applyNumberFormat="1" applyFont="1" applyFill="1" applyBorder="1" applyAlignment="1">
      <alignment horizontal="center"/>
    </xf>
    <xf numFmtId="0" fontId="9" fillId="6" borderId="0" xfId="0" applyFont="1" applyFill="1" applyAlignment="1">
      <alignment horizontal="center"/>
    </xf>
    <xf numFmtId="0" fontId="8" fillId="7" borderId="8" xfId="0" applyFont="1" applyFill="1" applyBorder="1" applyAlignment="1">
      <alignment horizontal="center" vertical="center" wrapText="1"/>
    </xf>
    <xf numFmtId="0" fontId="8" fillId="7" borderId="0" xfId="0" applyFont="1" applyFill="1" applyAlignment="1">
      <alignment horizontal="center" vertical="center" wrapText="1"/>
    </xf>
    <xf numFmtId="0" fontId="8" fillId="7" borderId="12" xfId="0" applyFont="1" applyFill="1" applyBorder="1" applyAlignment="1">
      <alignment horizontal="center" vertical="center" wrapText="1"/>
    </xf>
    <xf numFmtId="0" fontId="12" fillId="6" borderId="5" xfId="0" applyFont="1" applyFill="1" applyBorder="1" applyAlignment="1">
      <alignment horizontal="center"/>
    </xf>
    <xf numFmtId="0" fontId="12" fillId="6" borderId="8" xfId="0" applyFont="1" applyFill="1" applyBorder="1" applyAlignment="1">
      <alignment horizontal="center"/>
    </xf>
    <xf numFmtId="0" fontId="12" fillId="6" borderId="9" xfId="0" applyFont="1" applyFill="1" applyBorder="1" applyAlignment="1">
      <alignment horizontal="center"/>
    </xf>
    <xf numFmtId="0" fontId="12" fillId="6" borderId="6" xfId="0" applyFont="1" applyFill="1" applyBorder="1" applyAlignment="1">
      <alignment horizontal="center"/>
    </xf>
    <xf numFmtId="0" fontId="12" fillId="6" borderId="12" xfId="0" applyFont="1" applyFill="1" applyBorder="1" applyAlignment="1">
      <alignment horizontal="center"/>
    </xf>
    <xf numFmtId="0" fontId="12" fillId="6" borderId="7" xfId="0" applyFont="1" applyFill="1" applyBorder="1" applyAlignment="1">
      <alignment horizontal="center"/>
    </xf>
    <xf numFmtId="0" fontId="4" fillId="9" borderId="5" xfId="0" applyFont="1" applyFill="1" applyBorder="1" applyAlignment="1">
      <alignment horizontal="center"/>
    </xf>
    <xf numFmtId="2" fontId="0" fillId="5" borderId="10" xfId="2" applyNumberFormat="1" applyFont="1" applyFill="1" applyBorder="1" applyAlignment="1">
      <alignment horizontal="center"/>
    </xf>
    <xf numFmtId="2" fontId="0" fillId="5" borderId="0" xfId="2" applyNumberFormat="1" applyFont="1" applyFill="1" applyBorder="1" applyAlignment="1">
      <alignment horizontal="center"/>
    </xf>
    <xf numFmtId="165" fontId="1" fillId="8" borderId="6" xfId="0" applyNumberFormat="1" applyFont="1" applyFill="1" applyBorder="1" applyAlignment="1">
      <alignment horizontal="center"/>
    </xf>
    <xf numFmtId="165" fontId="1" fillId="8" borderId="7" xfId="0" applyNumberFormat="1" applyFont="1" applyFill="1" applyBorder="1" applyAlignment="1">
      <alignment horizontal="center"/>
    </xf>
    <xf numFmtId="2" fontId="0" fillId="5" borderId="6" xfId="2" applyNumberFormat="1" applyFont="1" applyFill="1" applyBorder="1" applyAlignment="1">
      <alignment horizontal="center"/>
    </xf>
    <xf numFmtId="2" fontId="0" fillId="5" borderId="12" xfId="2" applyNumberFormat="1" applyFont="1" applyFill="1" applyBorder="1" applyAlignment="1">
      <alignment horizontal="center"/>
    </xf>
    <xf numFmtId="2" fontId="1" fillId="8" borderId="6" xfId="0" applyNumberFormat="1" applyFont="1" applyFill="1" applyBorder="1" applyAlignment="1">
      <alignment horizontal="center"/>
    </xf>
    <xf numFmtId="2" fontId="1" fillId="8" borderId="7" xfId="0" applyNumberFormat="1" applyFont="1" applyFill="1" applyBorder="1" applyAlignment="1">
      <alignment horizontal="center"/>
    </xf>
    <xf numFmtId="165" fontId="0" fillId="5" borderId="12" xfId="2" applyNumberFormat="1" applyFont="1" applyFill="1" applyBorder="1" applyAlignment="1">
      <alignment horizontal="center"/>
    </xf>
    <xf numFmtId="165" fontId="0" fillId="5" borderId="7" xfId="2" applyNumberFormat="1" applyFont="1" applyFill="1" applyBorder="1" applyAlignment="1">
      <alignment horizontal="center"/>
    </xf>
    <xf numFmtId="2" fontId="0" fillId="0" borderId="0" xfId="2" applyNumberFormat="1" applyFont="1"/>
    <xf numFmtId="168" fontId="0" fillId="0" borderId="0" xfId="0" applyNumberFormat="1"/>
    <xf numFmtId="14" fontId="4" fillId="3" borderId="5" xfId="0" applyNumberFormat="1" applyFont="1" applyFill="1" applyBorder="1" applyAlignment="1">
      <alignment horizontal="center" vertical="center" wrapText="1"/>
    </xf>
    <xf numFmtId="0" fontId="4" fillId="3" borderId="8" xfId="0" applyFont="1" applyFill="1" applyBorder="1" applyAlignment="1">
      <alignment horizontal="center" vertical="center" wrapText="1"/>
    </xf>
    <xf numFmtId="165" fontId="4" fillId="3" borderId="8" xfId="0" applyNumberFormat="1" applyFont="1" applyFill="1" applyBorder="1" applyAlignment="1">
      <alignment horizontal="center" vertical="center" wrapText="1"/>
    </xf>
    <xf numFmtId="0" fontId="4" fillId="3" borderId="9" xfId="0" applyFont="1" applyFill="1" applyBorder="1" applyAlignment="1">
      <alignment horizontal="center" vertical="center" wrapText="1"/>
    </xf>
    <xf numFmtId="165" fontId="0" fillId="6" borderId="0" xfId="2" applyNumberFormat="1" applyFont="1" applyFill="1" applyBorder="1"/>
    <xf numFmtId="165" fontId="0" fillId="6" borderId="8" xfId="2" applyNumberFormat="1" applyFont="1" applyFill="1" applyBorder="1"/>
    <xf numFmtId="9" fontId="0" fillId="6" borderId="9" xfId="1" applyFont="1" applyFill="1" applyBorder="1" applyAlignment="1">
      <alignment horizontal="center"/>
    </xf>
    <xf numFmtId="0" fontId="0" fillId="6" borderId="12" xfId="0" applyFill="1" applyBorder="1" applyAlignment="1">
      <alignment horizontal="center"/>
    </xf>
    <xf numFmtId="165" fontId="0" fillId="6" borderId="12" xfId="2" applyNumberFormat="1" applyFont="1" applyFill="1" applyBorder="1"/>
    <xf numFmtId="9" fontId="0" fillId="6" borderId="12" xfId="1" applyFont="1" applyFill="1" applyBorder="1"/>
    <xf numFmtId="9" fontId="0" fillId="6" borderId="7" xfId="1" applyFont="1" applyFill="1" applyBorder="1" applyAlignment="1">
      <alignment horizontal="center"/>
    </xf>
    <xf numFmtId="0" fontId="0" fillId="6" borderId="13" xfId="0" applyFill="1" applyBorder="1" applyAlignment="1">
      <alignment horizontal="center"/>
    </xf>
    <xf numFmtId="0" fontId="0" fillId="6" borderId="14" xfId="0" applyFill="1" applyBorder="1" applyAlignment="1">
      <alignment horizontal="center"/>
    </xf>
    <xf numFmtId="0" fontId="0" fillId="6" borderId="15" xfId="0" applyFill="1" applyBorder="1" applyAlignment="1">
      <alignment horizontal="center"/>
    </xf>
    <xf numFmtId="165" fontId="0" fillId="6" borderId="13" xfId="2" applyNumberFormat="1" applyFont="1" applyFill="1" applyBorder="1"/>
    <xf numFmtId="165" fontId="0" fillId="6" borderId="14" xfId="2" applyNumberFormat="1" applyFont="1" applyFill="1" applyBorder="1"/>
    <xf numFmtId="165" fontId="0" fillId="6" borderId="15" xfId="2" applyNumberFormat="1" applyFont="1" applyFill="1" applyBorder="1"/>
    <xf numFmtId="9" fontId="0" fillId="6" borderId="13" xfId="1" applyFont="1" applyFill="1" applyBorder="1"/>
    <xf numFmtId="9" fontId="0" fillId="6" borderId="14" xfId="1" applyFont="1" applyFill="1" applyBorder="1"/>
    <xf numFmtId="9" fontId="0" fillId="6" borderId="15" xfId="1" applyFont="1" applyFill="1" applyBorder="1"/>
  </cellXfs>
  <cellStyles count="3">
    <cellStyle name="Moneda" xfId="2" builtinId="4"/>
    <cellStyle name="Normal" xfId="0" builtinId="0"/>
    <cellStyle name="Porcentaje" xfId="1" builtinId="5"/>
  </cellStyles>
  <dxfs count="3">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s-AR"/>
              <a:t>Porcentual</a:t>
            </a:r>
          </a:p>
        </c:rich>
      </c:tx>
      <c:layout>
        <c:manualLayout>
          <c:xMode val="edge"/>
          <c:yMode val="edge"/>
          <c:x val="0.13064220183486236"/>
          <c:y val="8.46002244419094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s-AR"/>
        </a:p>
      </c:txPr>
    </c:title>
    <c:autoTitleDeleted val="0"/>
    <c:plotArea>
      <c:layout>
        <c:manualLayout>
          <c:layoutTarget val="inner"/>
          <c:xMode val="edge"/>
          <c:yMode val="edge"/>
          <c:x val="0.42500046317739687"/>
          <c:y val="2.8413499942941914E-2"/>
          <c:w val="0.49217558814322521"/>
          <c:h val="0.92157563785092234"/>
        </c:manualLayout>
      </c:layout>
      <c:pieChart>
        <c:varyColors val="1"/>
        <c:ser>
          <c:idx val="0"/>
          <c:order val="0"/>
          <c:tx>
            <c:strRef>
              <c:f>'Resumen Mensual (2)'!$B$5</c:f>
              <c:strCache>
                <c:ptCount val="1"/>
                <c:pt idx="0">
                  <c:v>Tns vendidas</c:v>
                </c:pt>
              </c:strCache>
            </c:strRef>
          </c:tx>
          <c:dPt>
            <c:idx val="0"/>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1-9F31-417E-AD93-5B2478CC166B}"/>
              </c:ext>
            </c:extLst>
          </c:dPt>
          <c:dPt>
            <c:idx val="1"/>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3-9F31-417E-AD93-5B2478CC166B}"/>
              </c:ext>
            </c:extLst>
          </c:dPt>
          <c:dPt>
            <c:idx val="2"/>
            <c:bubble3D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extLst>
              <c:ext xmlns:c16="http://schemas.microsoft.com/office/drawing/2014/chart" uri="{C3380CC4-5D6E-409C-BE32-E72D297353CC}">
                <c16:uniqueId val="{00000005-9F31-417E-AD93-5B2478CC166B}"/>
              </c:ext>
            </c:extLst>
          </c:dPt>
          <c:dPt>
            <c:idx val="3"/>
            <c:bubble3D val="0"/>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extLst>
              <c:ext xmlns:c16="http://schemas.microsoft.com/office/drawing/2014/chart" uri="{C3380CC4-5D6E-409C-BE32-E72D297353CC}">
                <c16:uniqueId val="{00000007-9F31-417E-AD93-5B2478CC166B}"/>
              </c:ext>
            </c:extLst>
          </c:dPt>
          <c:dPt>
            <c:idx val="4"/>
            <c:bubble3D val="0"/>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extLst>
              <c:ext xmlns:c16="http://schemas.microsoft.com/office/drawing/2014/chart" uri="{C3380CC4-5D6E-409C-BE32-E72D297353CC}">
                <c16:uniqueId val="{00000009-9F31-417E-AD93-5B2478CC166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AR"/>
              </a:p>
            </c:txPr>
            <c:dLblPos val="inEnd"/>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'Resumen Mensual (2)'!$A$6:$A$10</c:f>
            </c:strRef>
          </c:cat>
          <c:val>
            <c:numRef>
              <c:f>'Resumen Mensual (2)'!$B$6:$B$10</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A-9F31-417E-AD93-5B2478CC166B}"/>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manualLayout>
          <c:xMode val="edge"/>
          <c:yMode val="edge"/>
          <c:x val="2.9300488815044913E-2"/>
          <c:y val="0.27046177531695459"/>
          <c:w val="0.32671988249175277"/>
          <c:h val="0.676534691114140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AR"/>
              <a:t>Porcentual Tn Vendidas</a:t>
            </a:r>
          </a:p>
        </c:rich>
      </c:tx>
      <c:layout>
        <c:manualLayout>
          <c:xMode val="edge"/>
          <c:yMode val="edge"/>
          <c:x val="0.5299925749807064"/>
          <c:y val="4.294302407480607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AR"/>
        </a:p>
      </c:txPr>
    </c:title>
    <c:autoTitleDeleted val="0"/>
    <c:plotArea>
      <c:layout>
        <c:manualLayout>
          <c:layoutTarget val="inner"/>
          <c:xMode val="edge"/>
          <c:yMode val="edge"/>
          <c:x val="2.6318564711996381E-2"/>
          <c:y val="7.4295827392036343E-2"/>
          <c:w val="0.4797689179608467"/>
          <c:h val="0.83221281345448883"/>
        </c:manualLayout>
      </c:layout>
      <c:pie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F05-44C2-B48A-476E14C883A8}"/>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F05-44C2-B48A-476E14C883A8}"/>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F05-44C2-B48A-476E14C883A8}"/>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F05-44C2-B48A-476E14C883A8}"/>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F05-44C2-B48A-476E14C883A8}"/>
              </c:ext>
            </c:extLst>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7F05-44C2-B48A-476E14C883A8}"/>
              </c:ext>
            </c:extLst>
          </c:dPt>
          <c:dPt>
            <c:idx val="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7F05-44C2-B48A-476E14C883A8}"/>
              </c:ext>
            </c:extLst>
          </c:dPt>
          <c:dPt>
            <c:idx val="7"/>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7F05-44C2-B48A-476E14C883A8}"/>
              </c:ext>
            </c:extLst>
          </c:dPt>
          <c:dPt>
            <c:idx val="8"/>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7F05-44C2-B48A-476E14C883A8}"/>
              </c:ext>
            </c:extLst>
          </c:dPt>
          <c:dPt>
            <c:idx val="9"/>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7F05-44C2-B48A-476E14C883A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'Para Gráficos'!$A$2:$A$13</c15:sqref>
                  </c15:fullRef>
                </c:ext>
              </c:extLst>
              <c:f>'Para Gráficos'!$A$2:$A$11</c:f>
            </c:strRef>
          </c:cat>
          <c:val>
            <c:numRef>
              <c:extLst>
                <c:ext xmlns:c15="http://schemas.microsoft.com/office/drawing/2012/chart" uri="{02D57815-91ED-43cb-92C2-25804820EDAC}">
                  <c15:fullRef>
                    <c15:sqref>'Para Gráficos'!$B$2:$B$13</c15:sqref>
                  </c15:fullRef>
                </c:ext>
              </c:extLst>
              <c:f>'Para Gráficos'!$B$2:$B$11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5="http://schemas.microsoft.com/office/drawing/2012/chart" uri="{02D57815-91ED-43cb-92C2-25804820EDAC}">
              <c15:categoryFilterExceptions>
                <c15:categoryFilterException>
                  <c15:sqref>'Para Gráficos'!$B$12</c15:sqref>
                  <c15:bubble3D val="0"/>
                </c15:categoryFilterException>
                <c15:categoryFilterException>
                  <c15:sqref>'Para Gráficos'!$B$13</c15:sqref>
                  <c15:bubble3D val="0"/>
                </c15:categoryFilterException>
              </c15:categoryFilterExceptions>
            </c:ext>
            <c:ext xmlns:c16="http://schemas.microsoft.com/office/drawing/2014/chart" uri="{C3380CC4-5D6E-409C-BE32-E72D297353CC}">
              <c16:uniqueId val="{00000018-7F05-44C2-B48A-476E14C883A8}"/>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0065726182327928"/>
          <c:y val="0.18352122092516968"/>
          <c:w val="0.25331369334465415"/>
          <c:h val="0.7617418045241592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AR"/>
    </a:p>
  </c:txPr>
  <c:printSettings>
    <c:headerFooter/>
    <c:pageMargins b="0" l="0.11811023622047245" r="0.11811023622047245" t="0" header="0.15748031496062992" footer="0.1574803149606299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baseline="0">
                <a:solidFill>
                  <a:schemeClr val="lt1">
                    <a:lumMod val="85000"/>
                  </a:schemeClr>
                </a:solidFill>
                <a:latin typeface="+mn-lt"/>
                <a:ea typeface="+mn-ea"/>
                <a:cs typeface="+mn-cs"/>
              </a:defRPr>
            </a:pPr>
            <a:r>
              <a:rPr lang="en-US" sz="1600"/>
              <a:t>Ventas Totales por Acopio</a:t>
            </a:r>
          </a:p>
        </c:rich>
      </c:tx>
      <c:overlay val="0"/>
      <c:spPr>
        <a:noFill/>
        <a:ln>
          <a:noFill/>
        </a:ln>
        <a:effectLst/>
      </c:spPr>
      <c:txPr>
        <a:bodyPr rot="0" spcFirstLastPara="1" vertOverflow="ellipsis" vert="horz" wrap="square" anchor="ctr" anchorCtr="1"/>
        <a:lstStyle/>
        <a:p>
          <a:pPr>
            <a:defRPr sz="1600" b="1" i="0" u="none" strike="noStrike" kern="1200" cap="none" baseline="0">
              <a:solidFill>
                <a:schemeClr val="lt1">
                  <a:lumMod val="85000"/>
                </a:schemeClr>
              </a:solidFill>
              <a:latin typeface="+mn-lt"/>
              <a:ea typeface="+mn-ea"/>
              <a:cs typeface="+mn-cs"/>
            </a:defRPr>
          </a:pPr>
          <a:endParaRPr lang="es-AR"/>
        </a:p>
      </c:txPr>
    </c:title>
    <c:autoTitleDeleted val="0"/>
    <c:plotArea>
      <c:layout>
        <c:manualLayout>
          <c:layoutTarget val="inner"/>
          <c:xMode val="edge"/>
          <c:yMode val="edge"/>
          <c:x val="0.15605797226166401"/>
          <c:y val="0.27761628754738993"/>
          <c:w val="0.78020337621731706"/>
          <c:h val="0.6714577865266842"/>
        </c:manualLayout>
      </c:layout>
      <c:barChart>
        <c:barDir val="bar"/>
        <c:grouping val="clustered"/>
        <c:varyColors val="0"/>
        <c:ser>
          <c:idx val="0"/>
          <c:order val="0"/>
          <c:tx>
            <c:strRef>
              <c:f>'Para Gráficos'!$F$1</c:f>
              <c:strCache>
                <c:ptCount val="1"/>
                <c:pt idx="0">
                  <c:v>Ventas Totales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'Para Gráficos'!$E$2:$E$6</c:f>
            </c:strRef>
          </c:cat>
          <c:val>
            <c:numRef>
              <c:f>'Para Gráficos'!$F$2:$F$5</c:f>
              <c:numCache>
                <c:formatCode>_-[$USD]\ * #,##0.00_-;\-[$USD]\ * #,##0.00_-;_-[$USD]\ * "-"??_-;_-@_-</c:formatCode>
                <c:ptCount val="4"/>
                <c:pt idx="0">
                  <c:v>0</c:v>
                </c:pt>
                <c:pt idx="1">
                  <c:v>0</c:v>
                </c:pt>
                <c:pt idx="2">
                  <c:v>0</c:v>
                </c:pt>
                <c:pt idx="3">
                  <c:v>0</c:v>
                </c:pt>
              </c:numCache>
            </c:numRef>
          </c:val>
          <c:extLst>
            <c:ext xmlns:c16="http://schemas.microsoft.com/office/drawing/2014/chart" uri="{C3380CC4-5D6E-409C-BE32-E72D297353CC}">
              <c16:uniqueId val="{00000000-53EB-4024-8125-80025136BC7C}"/>
            </c:ext>
          </c:extLst>
        </c:ser>
        <c:dLbls>
          <c:showLegendKey val="0"/>
          <c:showVal val="1"/>
          <c:showCatName val="0"/>
          <c:showSerName val="0"/>
          <c:showPercent val="0"/>
          <c:showBubbleSize val="0"/>
        </c:dLbls>
        <c:gapWidth val="182"/>
        <c:overlap val="-50"/>
        <c:axId val="95307903"/>
        <c:axId val="95306239"/>
      </c:barChart>
      <c:catAx>
        <c:axId val="95307903"/>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95306239"/>
        <c:crosses val="autoZero"/>
        <c:auto val="1"/>
        <c:lblAlgn val="ctr"/>
        <c:lblOffset val="100"/>
        <c:noMultiLvlLbl val="0"/>
      </c:catAx>
      <c:valAx>
        <c:axId val="95306239"/>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_-[$USD]\ * #,##0.00_-;\-[$USD]\ * #,##0.00_-;_-[$USD]\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9530790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60959</xdr:colOff>
      <xdr:row>0</xdr:row>
      <xdr:rowOff>55245</xdr:rowOff>
    </xdr:from>
    <xdr:to>
      <xdr:col>1</xdr:col>
      <xdr:colOff>710564</xdr:colOff>
      <xdr:row>0</xdr:row>
      <xdr:rowOff>579120</xdr:rowOff>
    </xdr:to>
    <xdr:sp macro="[0]!LeerLiquidaciones" textlink="">
      <xdr:nvSpPr>
        <xdr:cNvPr id="2" name="Rectángulo 1">
          <a:extLst>
            <a:ext uri="{FF2B5EF4-FFF2-40B4-BE49-F238E27FC236}">
              <a16:creationId xmlns:a16="http://schemas.microsoft.com/office/drawing/2014/main" id="{D1F0A0BC-5384-27BA-A0F3-06E15DAE0C83}"/>
            </a:ext>
          </a:extLst>
        </xdr:cNvPr>
        <xdr:cNvSpPr/>
      </xdr:nvSpPr>
      <xdr:spPr>
        <a:xfrm>
          <a:off x="60959" y="55245"/>
          <a:ext cx="1449705" cy="5238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i="1"/>
            <a:t>Leer</a:t>
          </a:r>
          <a:r>
            <a:rPr lang="es-AR" sz="1200" b="1" i="1" baseline="0"/>
            <a:t> Liquidaciones Parciales</a:t>
          </a:r>
          <a:endParaRPr lang="es-AR" sz="1200" b="1" i="1"/>
        </a:p>
      </xdr:txBody>
    </xdr:sp>
    <xdr:clientData/>
  </xdr:twoCellAnchor>
  <xdr:twoCellAnchor>
    <xdr:from>
      <xdr:col>1</xdr:col>
      <xdr:colOff>792480</xdr:colOff>
      <xdr:row>0</xdr:row>
      <xdr:rowOff>47625</xdr:rowOff>
    </xdr:from>
    <xdr:to>
      <xdr:col>2</xdr:col>
      <xdr:colOff>1032510</xdr:colOff>
      <xdr:row>0</xdr:row>
      <xdr:rowOff>594360</xdr:rowOff>
    </xdr:to>
    <xdr:sp macro="[0]!Limpiar_Formulario_LQ_Parciales" textlink="">
      <xdr:nvSpPr>
        <xdr:cNvPr id="3" name="Rectángulo 2">
          <a:extLst>
            <a:ext uri="{FF2B5EF4-FFF2-40B4-BE49-F238E27FC236}">
              <a16:creationId xmlns:a16="http://schemas.microsoft.com/office/drawing/2014/main" id="{FDB0ED36-5D55-470C-9C4F-F0060018A58D}"/>
            </a:ext>
          </a:extLst>
        </xdr:cNvPr>
        <xdr:cNvSpPr/>
      </xdr:nvSpPr>
      <xdr:spPr>
        <a:xfrm>
          <a:off x="1592580" y="47625"/>
          <a:ext cx="1466850" cy="546735"/>
        </a:xfrm>
        <a:prstGeom prst="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i="1"/>
            <a:t>Borrar Datos</a:t>
          </a:r>
        </a:p>
      </xdr:txBody>
    </xdr:sp>
    <xdr:clientData/>
  </xdr:twoCellAnchor>
  <xdr:twoCellAnchor>
    <xdr:from>
      <xdr:col>10</xdr:col>
      <xdr:colOff>53340</xdr:colOff>
      <xdr:row>0</xdr:row>
      <xdr:rowOff>60960</xdr:rowOff>
    </xdr:from>
    <xdr:to>
      <xdr:col>11</xdr:col>
      <xdr:colOff>436245</xdr:colOff>
      <xdr:row>0</xdr:row>
      <xdr:rowOff>638175</xdr:rowOff>
    </xdr:to>
    <xdr:sp macro="[0]!PDF_ResumenLiquidacionesParciales" textlink="">
      <xdr:nvSpPr>
        <xdr:cNvPr id="4" name="Rectángulo 3">
          <a:extLst>
            <a:ext uri="{FF2B5EF4-FFF2-40B4-BE49-F238E27FC236}">
              <a16:creationId xmlns:a16="http://schemas.microsoft.com/office/drawing/2014/main" id="{36A66DBA-920E-4187-949D-6620A32F7E24}"/>
            </a:ext>
          </a:extLst>
        </xdr:cNvPr>
        <xdr:cNvSpPr/>
      </xdr:nvSpPr>
      <xdr:spPr>
        <a:xfrm>
          <a:off x="9784080" y="60960"/>
          <a:ext cx="1449705" cy="577215"/>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i="1"/>
            <a:t>Emitir Resumen</a:t>
          </a:r>
        </a:p>
      </xdr:txBody>
    </xdr:sp>
    <xdr:clientData/>
  </xdr:twoCellAnchor>
  <xdr:twoCellAnchor>
    <xdr:from>
      <xdr:col>11</xdr:col>
      <xdr:colOff>502920</xdr:colOff>
      <xdr:row>0</xdr:row>
      <xdr:rowOff>53340</xdr:rowOff>
    </xdr:from>
    <xdr:to>
      <xdr:col>13</xdr:col>
      <xdr:colOff>40005</xdr:colOff>
      <xdr:row>0</xdr:row>
      <xdr:rowOff>630555</xdr:rowOff>
    </xdr:to>
    <xdr:sp macro="[0]!PDF_DetalleLQsRecibidas" textlink="">
      <xdr:nvSpPr>
        <xdr:cNvPr id="5" name="Rectángulo 4">
          <a:extLst>
            <a:ext uri="{FF2B5EF4-FFF2-40B4-BE49-F238E27FC236}">
              <a16:creationId xmlns:a16="http://schemas.microsoft.com/office/drawing/2014/main" id="{293BFF74-FDA1-4FB1-BCCA-AF0DC7645902}"/>
            </a:ext>
          </a:extLst>
        </xdr:cNvPr>
        <xdr:cNvSpPr/>
      </xdr:nvSpPr>
      <xdr:spPr>
        <a:xfrm>
          <a:off x="11300460" y="53340"/>
          <a:ext cx="1449705" cy="577215"/>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i="1"/>
            <a:t>Emitir Detalle de</a:t>
          </a:r>
          <a:r>
            <a:rPr lang="es-AR" sz="1200" b="1" i="1" baseline="0"/>
            <a:t> LQs</a:t>
          </a:r>
          <a:endParaRPr lang="es-AR" sz="1200" b="1" i="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13</xdr:row>
      <xdr:rowOff>7620</xdr:rowOff>
    </xdr:from>
    <xdr:to>
      <xdr:col>5</xdr:col>
      <xdr:colOff>335280</xdr:colOff>
      <xdr:row>26</xdr:row>
      <xdr:rowOff>144780</xdr:rowOff>
    </xdr:to>
    <xdr:graphicFrame macro="">
      <xdr:nvGraphicFramePr>
        <xdr:cNvPr id="4" name="Gráfico 3">
          <a:extLst>
            <a:ext uri="{FF2B5EF4-FFF2-40B4-BE49-F238E27FC236}">
              <a16:creationId xmlns:a16="http://schemas.microsoft.com/office/drawing/2014/main" id="{F31890AF-FD2B-4778-9777-E283F41C9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114300</xdr:colOff>
      <xdr:row>27</xdr:row>
      <xdr:rowOff>22860</xdr:rowOff>
    </xdr:from>
    <xdr:to>
      <xdr:col>5</xdr:col>
      <xdr:colOff>330200</xdr:colOff>
      <xdr:row>43</xdr:row>
      <xdr:rowOff>0</xdr:rowOff>
    </xdr:to>
    <xdr:graphicFrame macro="">
      <xdr:nvGraphicFramePr>
        <xdr:cNvPr id="6" name="Gráfico 5">
          <a:extLst>
            <a:ext uri="{FF2B5EF4-FFF2-40B4-BE49-F238E27FC236}">
              <a16:creationId xmlns:a16="http://schemas.microsoft.com/office/drawing/2014/main" id="{832172B8-928C-4CDD-87C4-900252F680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xdr:row>
      <xdr:rowOff>53340</xdr:rowOff>
    </xdr:from>
    <xdr:to>
      <xdr:col>9</xdr:col>
      <xdr:colOff>0</xdr:colOff>
      <xdr:row>1</xdr:row>
      <xdr:rowOff>2429933</xdr:rowOff>
    </xdr:to>
    <xdr:graphicFrame macro="">
      <xdr:nvGraphicFramePr>
        <xdr:cNvPr id="7" name="Gráfico 6">
          <a:extLst>
            <a:ext uri="{FF2B5EF4-FFF2-40B4-BE49-F238E27FC236}">
              <a16:creationId xmlns:a16="http://schemas.microsoft.com/office/drawing/2014/main" id="{EAF5EE5C-E283-40EA-A409-B07B7AB8C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G199"/>
  <sheetViews>
    <sheetView tabSelected="1" workbookViewId="0">
      <selection activeCell="D10" sqref="D10"/>
    </sheetView>
  </sheetViews>
  <sheetFormatPr baseColWidth="10" defaultColWidth="9.109375" defaultRowHeight="14.4" x14ac:dyDescent="0.3"/>
  <cols>
    <col min="1" max="1" width="11.6640625" customWidth="1"/>
    <col min="2" max="2" width="17.88671875" customWidth="1"/>
    <col min="3" max="3" width="18" customWidth="1"/>
    <col min="4" max="4" width="15.6640625" customWidth="1"/>
    <col min="5" max="5" width="19" style="8" customWidth="1"/>
    <col min="6" max="6" width="16.44140625" style="11" customWidth="1"/>
    <col min="7" max="7" width="9.109375" style="11"/>
    <col min="8" max="8" width="15.5546875" style="11" customWidth="1"/>
    <col min="9" max="9" width="9.109375" style="11"/>
    <col min="10" max="10" width="9.44140625" style="11" bestFit="1" customWidth="1"/>
    <col min="11" max="11" width="15.5546875" style="11" bestFit="1" customWidth="1"/>
    <col min="12" max="12" width="13.33203125" style="11" customWidth="1"/>
    <col min="13" max="13" width="14.5546875" style="11" bestFit="1" customWidth="1"/>
    <col min="14" max="14" width="17.109375" style="11" customWidth="1"/>
    <col min="15" max="15" width="12" style="11" customWidth="1"/>
    <col min="16" max="16" width="13" style="11" bestFit="1" customWidth="1"/>
    <col min="17" max="17" width="14.6640625" style="11" customWidth="1"/>
    <col min="18" max="18" width="15.33203125" style="11" customWidth="1"/>
    <col min="19" max="19" width="14.88671875" customWidth="1"/>
    <col min="20" max="21" width="1.33203125" customWidth="1"/>
    <col min="24" max="24" width="12.44140625" customWidth="1"/>
    <col min="25" max="25" width="9.44140625" bestFit="1" customWidth="1"/>
    <col min="26" max="26" width="9.44140625" customWidth="1"/>
    <col min="27" max="27" width="15.5546875" bestFit="1" customWidth="1"/>
    <col min="28" max="28" width="15.77734375" customWidth="1"/>
    <col min="29" max="29" width="16.33203125" customWidth="1"/>
    <col min="30" max="30" width="9.109375" style="18"/>
    <col min="31" max="31" width="13" bestFit="1" customWidth="1"/>
    <col min="32" max="32" width="12" bestFit="1" customWidth="1"/>
    <col min="33" max="33" width="13" bestFit="1" customWidth="1"/>
  </cols>
  <sheetData>
    <row r="1" spans="1:33" ht="56.4" customHeight="1" x14ac:dyDescent="0.3">
      <c r="S1" s="11"/>
      <c r="V1" t="s">
        <v>18</v>
      </c>
      <c r="AD1" s="22" t="s">
        <v>27</v>
      </c>
    </row>
    <row r="2" spans="1:33" s="5" customFormat="1" ht="28.8" x14ac:dyDescent="0.3">
      <c r="A2" s="2" t="s">
        <v>7</v>
      </c>
      <c r="B2" s="3" t="s">
        <v>0</v>
      </c>
      <c r="C2" s="3" t="s">
        <v>1</v>
      </c>
      <c r="D2" s="3" t="s">
        <v>2</v>
      </c>
      <c r="E2" s="10" t="s">
        <v>17</v>
      </c>
      <c r="F2" s="3" t="s">
        <v>3</v>
      </c>
      <c r="G2" s="3" t="s">
        <v>8</v>
      </c>
      <c r="H2" s="3" t="s">
        <v>4</v>
      </c>
      <c r="I2" s="3" t="s">
        <v>9</v>
      </c>
      <c r="J2" s="3" t="s">
        <v>10</v>
      </c>
      <c r="K2" s="3" t="s">
        <v>5</v>
      </c>
      <c r="L2" s="3" t="s">
        <v>11</v>
      </c>
      <c r="M2" s="3" t="s">
        <v>6</v>
      </c>
      <c r="N2" s="3" t="s">
        <v>12</v>
      </c>
      <c r="O2" s="3" t="s">
        <v>13</v>
      </c>
      <c r="P2" s="3" t="s">
        <v>14</v>
      </c>
      <c r="Q2" s="3" t="s">
        <v>15</v>
      </c>
      <c r="R2" s="4" t="s">
        <v>16</v>
      </c>
      <c r="S2" s="4" t="s">
        <v>30</v>
      </c>
      <c r="V2" s="14" t="s">
        <v>19</v>
      </c>
      <c r="W2" s="14" t="s">
        <v>22</v>
      </c>
      <c r="X2" s="14" t="s">
        <v>4</v>
      </c>
      <c r="Y2" s="14" t="s">
        <v>23</v>
      </c>
      <c r="Z2" s="14" t="s">
        <v>28</v>
      </c>
      <c r="AA2" s="14" t="s">
        <v>5</v>
      </c>
      <c r="AB2" s="14" t="s">
        <v>24</v>
      </c>
      <c r="AC2" s="4" t="s">
        <v>16</v>
      </c>
      <c r="AD2" s="19" t="s">
        <v>25</v>
      </c>
      <c r="AE2" s="19" t="s">
        <v>23</v>
      </c>
      <c r="AF2" s="19" t="s">
        <v>26</v>
      </c>
      <c r="AG2" s="19" t="s">
        <v>29</v>
      </c>
    </row>
    <row r="3" spans="1:33" ht="24" customHeight="1" x14ac:dyDescent="0.3">
      <c r="A3" s="6"/>
      <c r="F3" s="21"/>
      <c r="G3" s="11" t="str">
        <f>IF(A3="",(""),((J3/F3)*100000))</f>
        <v/>
      </c>
      <c r="I3" s="12"/>
      <c r="J3" s="21"/>
      <c r="K3" s="21"/>
      <c r="M3" s="21"/>
      <c r="N3" s="21"/>
      <c r="O3" s="13"/>
      <c r="P3" s="21"/>
      <c r="Q3" s="21"/>
      <c r="R3" s="21"/>
      <c r="S3" s="1">
        <v>446817.74</v>
      </c>
      <c r="V3" t="str">
        <f>IF(E3="","",VALUE(MID(E3,1,4)))</f>
        <v/>
      </c>
      <c r="W3" t="str">
        <f>IF(V3="",(""),(INDEX('Base de Datos'!$A$3:$B$7,(MATCH(V3,'Base de Datos'!$A$3:$A$7,0)),(2))))</f>
        <v/>
      </c>
      <c r="X3" t="str">
        <f>IF(H3="",(""),(H3))</f>
        <v/>
      </c>
      <c r="Y3" s="20" t="str">
        <f>IF(A3="",(""),(R3/I3))</f>
        <v/>
      </c>
      <c r="Z3" s="7" t="str">
        <f>IF(B3="",(""),(I3))</f>
        <v/>
      </c>
      <c r="AA3" s="20" t="str">
        <f>IF(K3="",(""),(K3))</f>
        <v/>
      </c>
      <c r="AB3" s="20" t="str">
        <f>IF(Q3="",(""),(Q3))</f>
        <v/>
      </c>
      <c r="AC3" s="20" t="str">
        <f>IF(R3="",(""),(R3))</f>
        <v/>
      </c>
      <c r="AD3" s="18" t="str">
        <f>IF(A3="","",IF(V3='Base de Datos'!$A$3,AB3/AA3,0))</f>
        <v/>
      </c>
      <c r="AE3" s="20" t="str">
        <f>IF(A3="",(""),(AC3/Z3))</f>
        <v/>
      </c>
      <c r="AF3" s="20" t="str">
        <f>IF(A3="",(""),(IF(AB3="",(0),((AB3/Z3)))))</f>
        <v/>
      </c>
      <c r="AG3" s="20" t="str">
        <f>IF(A3="",(""),(AF3+AE3))</f>
        <v/>
      </c>
    </row>
    <row r="4" spans="1:33" x14ac:dyDescent="0.3">
      <c r="A4" s="6"/>
      <c r="F4" s="21"/>
      <c r="G4" s="11" t="str">
        <f>IF(A4="",(""),((J4/F4)*100000))</f>
        <v/>
      </c>
      <c r="I4" s="12"/>
      <c r="J4" s="21"/>
      <c r="K4" s="21"/>
      <c r="M4" s="21"/>
      <c r="N4" s="21"/>
      <c r="O4" s="13"/>
      <c r="P4" s="21"/>
      <c r="Q4" s="21"/>
      <c r="R4" s="21"/>
      <c r="S4" s="1">
        <v>92650.47</v>
      </c>
      <c r="V4" t="str">
        <f t="shared" ref="V4:V67" si="0">IF(E4="","",VALUE(MID(E4,1,4)))</f>
        <v/>
      </c>
      <c r="W4" t="str">
        <f>IF(V4="",(""),(INDEX('Base de Datos'!$A$3:$B$7,(MATCH(V4,'Base de Datos'!$A$3:$A$7,0)),(2))))</f>
        <v/>
      </c>
      <c r="X4" t="str">
        <f t="shared" ref="X4:X67" si="1">IF(H4="",(""),(H4))</f>
        <v/>
      </c>
      <c r="Y4" s="20" t="str">
        <f t="shared" ref="Y4:Y67" si="2">IF(A4="",(""),(R4/I4))</f>
        <v/>
      </c>
      <c r="Z4" s="7" t="str">
        <f t="shared" ref="Z4:Z67" si="3">IF(B4="",(""),(I4))</f>
        <v/>
      </c>
      <c r="AA4" s="20" t="str">
        <f t="shared" ref="AA4:AA67" si="4">IF(K4="",(""),(K4))</f>
        <v/>
      </c>
      <c r="AB4" s="20" t="str">
        <f t="shared" ref="AB4:AB67" si="5">IF(Q4="",(""),(Q4))</f>
        <v/>
      </c>
      <c r="AC4" s="20" t="str">
        <f t="shared" ref="AC4:AC11" si="6">IF(R4="",(""),(R4))</f>
        <v/>
      </c>
      <c r="AD4" s="18" t="str">
        <f>IF(A4="","",IF(V4='Base de Datos'!$A$3,AB4/AA4,0))</f>
        <v/>
      </c>
      <c r="AE4" s="20" t="str">
        <f t="shared" ref="AE4:AE67" si="7">IF(A4="",(""),(AC4/Z4))</f>
        <v/>
      </c>
      <c r="AF4" s="20" t="str">
        <f t="shared" ref="AF4:AF67" si="8">IF(A4="",(""),(IF(AB4="",(0),((AB4/Z4)))))</f>
        <v/>
      </c>
      <c r="AG4" s="20" t="str">
        <f t="shared" ref="AG4:AG67" si="9">IF(A4="",(""),(AF4+AE4))</f>
        <v/>
      </c>
    </row>
    <row r="5" spans="1:33" x14ac:dyDescent="0.3">
      <c r="A5" s="6"/>
      <c r="F5" s="21"/>
      <c r="G5" s="11" t="str">
        <f t="shared" ref="G5:G68" si="10">IF(A5="",(""),((J5/F5)*100000))</f>
        <v/>
      </c>
      <c r="J5" s="21"/>
      <c r="K5" s="21"/>
      <c r="M5" s="21"/>
      <c r="N5" s="21"/>
      <c r="P5" s="21"/>
      <c r="Q5" s="21"/>
      <c r="R5" s="21"/>
      <c r="S5" s="1">
        <v>0</v>
      </c>
      <c r="V5" t="str">
        <f t="shared" si="0"/>
        <v/>
      </c>
      <c r="W5" t="str">
        <f>IF(V5="",(""),(INDEX('Base de Datos'!$A$3:$B$7,(MATCH(V5,'Base de Datos'!$A$3:$A$7,0)),(2))))</f>
        <v/>
      </c>
      <c r="X5" t="str">
        <f t="shared" si="1"/>
        <v/>
      </c>
      <c r="Y5" s="20" t="str">
        <f t="shared" si="2"/>
        <v/>
      </c>
      <c r="Z5" s="7" t="str">
        <f t="shared" si="3"/>
        <v/>
      </c>
      <c r="AA5" s="20" t="str">
        <f t="shared" si="4"/>
        <v/>
      </c>
      <c r="AB5" s="20" t="str">
        <f t="shared" si="5"/>
        <v/>
      </c>
      <c r="AC5" s="20" t="str">
        <f t="shared" si="6"/>
        <v/>
      </c>
      <c r="AD5" s="18" t="str">
        <f>IF(A5="","",IF(V5='Base de Datos'!$A$3,AB5/AA5,0))</f>
        <v/>
      </c>
      <c r="AE5" s="20" t="str">
        <f t="shared" si="7"/>
        <v/>
      </c>
      <c r="AF5" s="20" t="str">
        <f t="shared" si="8"/>
        <v/>
      </c>
      <c r="AG5" s="20" t="str">
        <f t="shared" si="9"/>
        <v/>
      </c>
    </row>
    <row r="6" spans="1:33" x14ac:dyDescent="0.3">
      <c r="A6" s="6"/>
      <c r="F6" s="21"/>
      <c r="G6" s="11" t="str">
        <f t="shared" si="10"/>
        <v/>
      </c>
      <c r="J6" s="21"/>
      <c r="K6" s="21"/>
      <c r="M6" s="21"/>
      <c r="N6" s="21"/>
      <c r="P6" s="21"/>
      <c r="Q6" s="21"/>
      <c r="R6" s="21"/>
      <c r="S6">
        <v>0</v>
      </c>
      <c r="V6" t="str">
        <f t="shared" si="0"/>
        <v/>
      </c>
      <c r="W6" t="str">
        <f>IF(V6="",(""),(INDEX('Base de Datos'!$A$3:$B$7,(MATCH(V6,'Base de Datos'!$A$3:$A$7,0)),(2))))</f>
        <v/>
      </c>
      <c r="X6" t="str">
        <f t="shared" si="1"/>
        <v/>
      </c>
      <c r="Y6" s="20" t="str">
        <f t="shared" si="2"/>
        <v/>
      </c>
      <c r="Z6" s="7" t="str">
        <f t="shared" si="3"/>
        <v/>
      </c>
      <c r="AA6" s="20" t="str">
        <f t="shared" si="4"/>
        <v/>
      </c>
      <c r="AB6" s="20" t="str">
        <f t="shared" si="5"/>
        <v/>
      </c>
      <c r="AC6" s="20" t="str">
        <f t="shared" si="6"/>
        <v/>
      </c>
      <c r="AD6" s="18" t="str">
        <f>IF(A6="","",IF(V6='Base de Datos'!$A$3,AB6/AA6,0))</f>
        <v/>
      </c>
      <c r="AE6" s="20" t="str">
        <f t="shared" si="7"/>
        <v/>
      </c>
      <c r="AF6" s="20" t="str">
        <f t="shared" si="8"/>
        <v/>
      </c>
      <c r="AG6" s="20" t="str">
        <f t="shared" si="9"/>
        <v/>
      </c>
    </row>
    <row r="7" spans="1:33" x14ac:dyDescent="0.3">
      <c r="A7" s="6"/>
      <c r="F7" s="21"/>
      <c r="G7" s="11" t="str">
        <f t="shared" si="10"/>
        <v/>
      </c>
      <c r="J7" s="21"/>
      <c r="K7" s="21"/>
      <c r="M7" s="21"/>
      <c r="N7" s="21"/>
      <c r="P7" s="21"/>
      <c r="Q7" s="21"/>
      <c r="R7" s="21"/>
      <c r="S7" s="1">
        <v>92650.47</v>
      </c>
      <c r="V7" t="str">
        <f t="shared" si="0"/>
        <v/>
      </c>
      <c r="W7" t="str">
        <f>IF(V7="",(""),(INDEX('Base de Datos'!$A$3:$B$7,(MATCH(V7,'Base de Datos'!$A$3:$A$7,0)),(2))))</f>
        <v/>
      </c>
      <c r="X7" t="str">
        <f t="shared" si="1"/>
        <v/>
      </c>
      <c r="Y7" s="20" t="str">
        <f t="shared" si="2"/>
        <v/>
      </c>
      <c r="Z7" s="7" t="str">
        <f t="shared" si="3"/>
        <v/>
      </c>
      <c r="AA7" s="20" t="str">
        <f t="shared" si="4"/>
        <v/>
      </c>
      <c r="AB7" s="20" t="str">
        <f t="shared" si="5"/>
        <v/>
      </c>
      <c r="AC7" s="20" t="str">
        <f t="shared" si="6"/>
        <v/>
      </c>
      <c r="AD7" s="18" t="str">
        <f>IF(A7="","",IF(V7='Base de Datos'!$A$3,AB7/AA7,0))</f>
        <v/>
      </c>
      <c r="AE7" s="20" t="str">
        <f t="shared" si="7"/>
        <v/>
      </c>
      <c r="AF7" s="20" t="str">
        <f t="shared" si="8"/>
        <v/>
      </c>
      <c r="AG7" s="20" t="str">
        <f t="shared" si="9"/>
        <v/>
      </c>
    </row>
    <row r="8" spans="1:33" x14ac:dyDescent="0.3">
      <c r="F8" s="21"/>
      <c r="G8" s="11" t="str">
        <f t="shared" si="10"/>
        <v/>
      </c>
      <c r="J8" s="21"/>
      <c r="K8" s="21"/>
      <c r="M8" s="21"/>
      <c r="N8" s="21"/>
      <c r="P8" s="21"/>
      <c r="Q8" s="21"/>
      <c r="R8" s="21"/>
      <c r="V8" t="str">
        <f t="shared" si="0"/>
        <v/>
      </c>
      <c r="W8" t="str">
        <f>IF(V8="",(""),(INDEX('Base de Datos'!$A$3:$B$7,(MATCH(V8,'Base de Datos'!$A$3:$A$7,0)),(2))))</f>
        <v/>
      </c>
      <c r="X8" t="str">
        <f t="shared" si="1"/>
        <v/>
      </c>
      <c r="Y8" s="20" t="str">
        <f t="shared" si="2"/>
        <v/>
      </c>
      <c r="Z8" s="7" t="str">
        <f t="shared" si="3"/>
        <v/>
      </c>
      <c r="AA8" s="20" t="str">
        <f t="shared" si="4"/>
        <v/>
      </c>
      <c r="AB8" s="20" t="str">
        <f t="shared" si="5"/>
        <v/>
      </c>
      <c r="AC8" s="20" t="str">
        <f t="shared" si="6"/>
        <v/>
      </c>
      <c r="AD8" s="18" t="str">
        <f>IF(A8="","",IF(V8='Base de Datos'!$A$3,AB8/AA8,0))</f>
        <v/>
      </c>
      <c r="AE8" s="20" t="str">
        <f t="shared" si="7"/>
        <v/>
      </c>
      <c r="AF8" s="20" t="str">
        <f t="shared" si="8"/>
        <v/>
      </c>
      <c r="AG8" s="20" t="str">
        <f t="shared" si="9"/>
        <v/>
      </c>
    </row>
    <row r="9" spans="1:33" x14ac:dyDescent="0.3">
      <c r="A9" s="6"/>
      <c r="F9" s="21"/>
      <c r="G9" s="11" t="str">
        <f t="shared" si="10"/>
        <v/>
      </c>
      <c r="J9" s="21"/>
      <c r="K9" s="21"/>
      <c r="M9" s="21"/>
      <c r="N9" s="21"/>
      <c r="P9" s="21"/>
      <c r="Q9" s="21"/>
      <c r="R9" s="21"/>
      <c r="V9" t="str">
        <f t="shared" si="0"/>
        <v/>
      </c>
      <c r="W9" t="str">
        <f>IF(V9="",(""),(INDEX('Base de Datos'!$A$3:$B$7,(MATCH(V9,'Base de Datos'!$A$3:$A$7,0)),(2))))</f>
        <v/>
      </c>
      <c r="X9" t="str">
        <f t="shared" si="1"/>
        <v/>
      </c>
      <c r="Y9" s="20" t="str">
        <f t="shared" si="2"/>
        <v/>
      </c>
      <c r="Z9" s="7" t="str">
        <f t="shared" si="3"/>
        <v/>
      </c>
      <c r="AA9" s="20" t="str">
        <f t="shared" si="4"/>
        <v/>
      </c>
      <c r="AB9" s="20" t="str">
        <f t="shared" si="5"/>
        <v/>
      </c>
      <c r="AC9" s="20" t="str">
        <f t="shared" si="6"/>
        <v/>
      </c>
      <c r="AD9" s="18" t="str">
        <f>IF(A9="","",IF(V9='Base de Datos'!$A$3,AB9/AA9,0))</f>
        <v/>
      </c>
      <c r="AE9" s="20" t="str">
        <f t="shared" si="7"/>
        <v/>
      </c>
      <c r="AF9" s="20" t="str">
        <f t="shared" si="8"/>
        <v/>
      </c>
      <c r="AG9" s="20" t="str">
        <f t="shared" si="9"/>
        <v/>
      </c>
    </row>
    <row r="10" spans="1:33" x14ac:dyDescent="0.3">
      <c r="A10" s="6"/>
      <c r="F10" s="21"/>
      <c r="G10" s="11" t="str">
        <f t="shared" si="10"/>
        <v/>
      </c>
      <c r="J10" s="21"/>
      <c r="K10" s="21"/>
      <c r="M10" s="21"/>
      <c r="N10" s="21"/>
      <c r="P10" s="21"/>
      <c r="Q10" s="21"/>
      <c r="R10" s="21"/>
      <c r="V10" t="str">
        <f t="shared" si="0"/>
        <v/>
      </c>
      <c r="W10" t="str">
        <f>IF(V10="",(""),(INDEX('Base de Datos'!$A$3:$B$7,(MATCH(V10,'Base de Datos'!$A$3:$A$7,0)),(2))))</f>
        <v/>
      </c>
      <c r="X10" t="str">
        <f t="shared" si="1"/>
        <v/>
      </c>
      <c r="Y10" s="20" t="str">
        <f t="shared" si="2"/>
        <v/>
      </c>
      <c r="Z10" s="7" t="str">
        <f t="shared" si="3"/>
        <v/>
      </c>
      <c r="AA10" s="20" t="str">
        <f t="shared" si="4"/>
        <v/>
      </c>
      <c r="AB10" s="20" t="str">
        <f t="shared" si="5"/>
        <v/>
      </c>
      <c r="AC10" s="20" t="str">
        <f t="shared" si="6"/>
        <v/>
      </c>
      <c r="AD10" s="18" t="str">
        <f>IF(A10="","",IF(V10='Base de Datos'!$A$3,AB10/AA10,0))</f>
        <v/>
      </c>
      <c r="AE10" s="20" t="str">
        <f t="shared" si="7"/>
        <v/>
      </c>
      <c r="AF10" s="20" t="str">
        <f t="shared" si="8"/>
        <v/>
      </c>
      <c r="AG10" s="20" t="str">
        <f t="shared" si="9"/>
        <v/>
      </c>
    </row>
    <row r="11" spans="1:33" x14ac:dyDescent="0.3">
      <c r="F11" s="21"/>
      <c r="G11" s="11" t="str">
        <f t="shared" si="10"/>
        <v/>
      </c>
      <c r="J11" s="21"/>
      <c r="K11" s="21"/>
      <c r="M11" s="21"/>
      <c r="N11" s="21"/>
      <c r="P11" s="21"/>
      <c r="Q11" s="21"/>
      <c r="R11" s="21"/>
      <c r="V11" t="str">
        <f t="shared" si="0"/>
        <v/>
      </c>
      <c r="W11" t="str">
        <f>IF(V11="",(""),(INDEX('Base de Datos'!$A$3:$B$7,(MATCH(V11,'Base de Datos'!$A$3:$A$7,0)),(2))))</f>
        <v/>
      </c>
      <c r="X11" t="str">
        <f t="shared" si="1"/>
        <v/>
      </c>
      <c r="Y11" s="20" t="str">
        <f t="shared" si="2"/>
        <v/>
      </c>
      <c r="Z11" s="7" t="str">
        <f t="shared" si="3"/>
        <v/>
      </c>
      <c r="AA11" s="20" t="str">
        <f t="shared" si="4"/>
        <v/>
      </c>
      <c r="AB11" s="20" t="str">
        <f t="shared" si="5"/>
        <v/>
      </c>
      <c r="AC11" s="20" t="str">
        <f t="shared" si="6"/>
        <v/>
      </c>
      <c r="AD11" s="18" t="str">
        <f>IF(A11="","",IF(V11='Base de Datos'!$A$3,AB11/AA11,0))</f>
        <v/>
      </c>
      <c r="AE11" s="20" t="str">
        <f t="shared" si="7"/>
        <v/>
      </c>
      <c r="AF11" s="20" t="str">
        <f t="shared" si="8"/>
        <v/>
      </c>
      <c r="AG11" s="20" t="str">
        <f t="shared" si="9"/>
        <v/>
      </c>
    </row>
    <row r="12" spans="1:33" x14ac:dyDescent="0.3">
      <c r="F12" s="21"/>
      <c r="G12" s="11" t="str">
        <f t="shared" si="10"/>
        <v/>
      </c>
      <c r="J12" s="21"/>
      <c r="K12" s="21"/>
      <c r="M12" s="21"/>
      <c r="N12" s="21"/>
      <c r="P12" s="21"/>
      <c r="Q12" s="21"/>
      <c r="R12" s="21"/>
      <c r="V12" t="str">
        <f t="shared" si="0"/>
        <v/>
      </c>
      <c r="W12" t="str">
        <f>IF(V12="",(""),(INDEX('Base de Datos'!$A$3:$B$7,(MATCH(V12,'Base de Datos'!$A$3:$A$7,0)),(2))))</f>
        <v/>
      </c>
      <c r="X12" t="str">
        <f t="shared" si="1"/>
        <v/>
      </c>
      <c r="Y12" s="20" t="str">
        <f t="shared" si="2"/>
        <v/>
      </c>
      <c r="Z12" s="7" t="str">
        <f t="shared" si="3"/>
        <v/>
      </c>
      <c r="AA12" s="20" t="str">
        <f t="shared" si="4"/>
        <v/>
      </c>
      <c r="AB12" s="20" t="str">
        <f t="shared" si="5"/>
        <v/>
      </c>
      <c r="AC12" s="20"/>
      <c r="AD12" s="18" t="str">
        <f>IF(A12="","",IF(V12='Base de Datos'!$A$3,AB12/AA12,0))</f>
        <v/>
      </c>
      <c r="AE12" s="20" t="str">
        <f t="shared" si="7"/>
        <v/>
      </c>
      <c r="AF12" s="20" t="str">
        <f t="shared" si="8"/>
        <v/>
      </c>
      <c r="AG12" s="20" t="str">
        <f t="shared" si="9"/>
        <v/>
      </c>
    </row>
    <row r="13" spans="1:33" x14ac:dyDescent="0.3">
      <c r="F13" s="21"/>
      <c r="G13" s="11" t="str">
        <f t="shared" si="10"/>
        <v/>
      </c>
      <c r="J13" s="21"/>
      <c r="K13" s="21"/>
      <c r="M13" s="21"/>
      <c r="N13" s="21"/>
      <c r="P13" s="21"/>
      <c r="Q13" s="21"/>
      <c r="R13" s="21"/>
      <c r="V13" t="str">
        <f t="shared" si="0"/>
        <v/>
      </c>
      <c r="W13" t="str">
        <f>IF(V13="",(""),(INDEX('Base de Datos'!$A$3:$B$7,(MATCH(V13,'Base de Datos'!$A$3:$A$7,0)),(2))))</f>
        <v/>
      </c>
      <c r="X13" t="str">
        <f t="shared" si="1"/>
        <v/>
      </c>
      <c r="Y13" s="20" t="str">
        <f t="shared" si="2"/>
        <v/>
      </c>
      <c r="Z13" s="7" t="str">
        <f t="shared" si="3"/>
        <v/>
      </c>
      <c r="AA13" s="20" t="str">
        <f t="shared" si="4"/>
        <v/>
      </c>
      <c r="AB13" s="20" t="str">
        <f t="shared" si="5"/>
        <v/>
      </c>
      <c r="AC13" s="20" t="str">
        <f>IF(R13="",(""),(R13))</f>
        <v/>
      </c>
      <c r="AD13" s="18" t="str">
        <f>IF(A13="","",IF(V13='Base de Datos'!$A$3,AB13/AA13,0))</f>
        <v/>
      </c>
      <c r="AE13" s="20" t="str">
        <f t="shared" si="7"/>
        <v/>
      </c>
      <c r="AF13" s="20" t="str">
        <f t="shared" si="8"/>
        <v/>
      </c>
      <c r="AG13" s="20" t="str">
        <f t="shared" si="9"/>
        <v/>
      </c>
    </row>
    <row r="14" spans="1:33" x14ac:dyDescent="0.3">
      <c r="F14" s="21"/>
      <c r="G14" s="11" t="str">
        <f t="shared" si="10"/>
        <v/>
      </c>
      <c r="J14" s="21"/>
      <c r="K14" s="21"/>
      <c r="M14" s="21"/>
      <c r="N14" s="21"/>
      <c r="P14" s="21"/>
      <c r="Q14" s="21"/>
      <c r="R14" s="21"/>
      <c r="V14" t="str">
        <f t="shared" si="0"/>
        <v/>
      </c>
      <c r="W14" t="str">
        <f>IF(V14="",(""),(INDEX('Base de Datos'!$A$3:$B$7,(MATCH(V14,'Base de Datos'!$A$3:$A$7,0)),(2))))</f>
        <v/>
      </c>
      <c r="X14" t="str">
        <f t="shared" si="1"/>
        <v/>
      </c>
      <c r="Y14" s="20" t="str">
        <f t="shared" si="2"/>
        <v/>
      </c>
      <c r="Z14" s="7" t="str">
        <f t="shared" si="3"/>
        <v/>
      </c>
      <c r="AA14" s="20" t="str">
        <f t="shared" si="4"/>
        <v/>
      </c>
      <c r="AB14" s="20" t="str">
        <f t="shared" si="5"/>
        <v/>
      </c>
      <c r="AC14" s="20"/>
      <c r="AD14" s="18" t="str">
        <f>IF(A14="","",IF(V14='Base de Datos'!$A$3,AB14/AA14,0))</f>
        <v/>
      </c>
      <c r="AE14" s="20" t="str">
        <f t="shared" si="7"/>
        <v/>
      </c>
      <c r="AF14" s="20" t="str">
        <f t="shared" si="8"/>
        <v/>
      </c>
      <c r="AG14" s="20" t="str">
        <f t="shared" si="9"/>
        <v/>
      </c>
    </row>
    <row r="15" spans="1:33" x14ac:dyDescent="0.3">
      <c r="A15" s="6"/>
      <c r="F15" s="21"/>
      <c r="G15" s="11" t="str">
        <f t="shared" si="10"/>
        <v/>
      </c>
      <c r="J15" s="21"/>
      <c r="K15" s="21"/>
      <c r="M15" s="21"/>
      <c r="N15" s="21"/>
      <c r="P15" s="21"/>
      <c r="Q15" s="21"/>
      <c r="R15" s="21"/>
      <c r="V15" t="str">
        <f t="shared" si="0"/>
        <v/>
      </c>
      <c r="W15" t="str">
        <f>IF(V15="",(""),(INDEX('Base de Datos'!$A$3:$B$7,(MATCH(V15,'Base de Datos'!$A$3:$A$7,0)),(2))))</f>
        <v/>
      </c>
      <c r="X15" t="str">
        <f t="shared" si="1"/>
        <v/>
      </c>
      <c r="Y15" s="20" t="str">
        <f t="shared" si="2"/>
        <v/>
      </c>
      <c r="Z15" s="7" t="str">
        <f t="shared" si="3"/>
        <v/>
      </c>
      <c r="AA15" s="20" t="str">
        <f t="shared" si="4"/>
        <v/>
      </c>
      <c r="AB15" s="20" t="str">
        <f t="shared" si="5"/>
        <v/>
      </c>
      <c r="AC15" s="20" t="str">
        <f t="shared" ref="AC15:AC46" si="11">IF(R15="",(""),(R15))</f>
        <v/>
      </c>
      <c r="AD15" s="18" t="str">
        <f>IF(A15="","",IF(V15='Base de Datos'!$A$3,AB15/AA15,0))</f>
        <v/>
      </c>
      <c r="AE15" s="20" t="str">
        <f t="shared" si="7"/>
        <v/>
      </c>
      <c r="AF15" s="20" t="str">
        <f t="shared" si="8"/>
        <v/>
      </c>
      <c r="AG15" s="20" t="str">
        <f t="shared" si="9"/>
        <v/>
      </c>
    </row>
    <row r="16" spans="1:33" x14ac:dyDescent="0.3">
      <c r="F16" s="21"/>
      <c r="G16" s="11" t="str">
        <f t="shared" si="10"/>
        <v/>
      </c>
      <c r="J16" s="21"/>
      <c r="K16" s="21"/>
      <c r="M16" s="21"/>
      <c r="N16" s="21"/>
      <c r="P16" s="21"/>
      <c r="Q16" s="21"/>
      <c r="R16" s="21"/>
      <c r="V16" t="str">
        <f t="shared" si="0"/>
        <v/>
      </c>
      <c r="W16" t="str">
        <f>IF(V16="",(""),(INDEX('Base de Datos'!$A$3:$B$7,(MATCH(V16,'Base de Datos'!$A$3:$A$7,0)),(2))))</f>
        <v/>
      </c>
      <c r="X16" t="str">
        <f t="shared" si="1"/>
        <v/>
      </c>
      <c r="Y16" s="20" t="str">
        <f t="shared" si="2"/>
        <v/>
      </c>
      <c r="Z16" s="7" t="str">
        <f t="shared" si="3"/>
        <v/>
      </c>
      <c r="AA16" s="20" t="str">
        <f t="shared" si="4"/>
        <v/>
      </c>
      <c r="AB16" s="20" t="str">
        <f t="shared" si="5"/>
        <v/>
      </c>
      <c r="AC16" s="20" t="str">
        <f t="shared" si="11"/>
        <v/>
      </c>
      <c r="AD16" s="18" t="str">
        <f>IF(A16="","",IF(V16='Base de Datos'!$A$3,AB16/AA16,0))</f>
        <v/>
      </c>
      <c r="AE16" s="20" t="str">
        <f t="shared" si="7"/>
        <v/>
      </c>
      <c r="AF16" s="20" t="str">
        <f t="shared" si="8"/>
        <v/>
      </c>
      <c r="AG16" s="20" t="str">
        <f t="shared" si="9"/>
        <v/>
      </c>
    </row>
    <row r="17" spans="6:33" x14ac:dyDescent="0.3">
      <c r="F17" s="21"/>
      <c r="G17" s="11" t="str">
        <f t="shared" si="10"/>
        <v/>
      </c>
      <c r="J17" s="21"/>
      <c r="K17" s="21"/>
      <c r="M17" s="21"/>
      <c r="N17" s="21"/>
      <c r="P17" s="21"/>
      <c r="Q17" s="21"/>
      <c r="R17" s="21"/>
      <c r="V17" t="str">
        <f t="shared" si="0"/>
        <v/>
      </c>
      <c r="W17" t="str">
        <f>IF(V17="",(""),(INDEX('Base de Datos'!$A$3:$B$7,(MATCH(V17,'Base de Datos'!$A$3:$A$7,0)),(2))))</f>
        <v/>
      </c>
      <c r="X17" t="str">
        <f t="shared" si="1"/>
        <v/>
      </c>
      <c r="Y17" s="20" t="str">
        <f t="shared" si="2"/>
        <v/>
      </c>
      <c r="Z17" s="7" t="str">
        <f t="shared" si="3"/>
        <v/>
      </c>
      <c r="AA17" s="20" t="str">
        <f t="shared" si="4"/>
        <v/>
      </c>
      <c r="AB17" s="20" t="str">
        <f t="shared" si="5"/>
        <v/>
      </c>
      <c r="AC17" s="20" t="str">
        <f t="shared" si="11"/>
        <v/>
      </c>
      <c r="AD17" s="18" t="str">
        <f>IF(A17="","",IF(V17='Base de Datos'!$A$3,AB17/AA17,0))</f>
        <v/>
      </c>
      <c r="AE17" s="20" t="str">
        <f t="shared" si="7"/>
        <v/>
      </c>
      <c r="AF17" s="20" t="str">
        <f t="shared" si="8"/>
        <v/>
      </c>
      <c r="AG17" s="20" t="str">
        <f t="shared" si="9"/>
        <v/>
      </c>
    </row>
    <row r="18" spans="6:33" x14ac:dyDescent="0.3">
      <c r="F18" s="21"/>
      <c r="G18" s="11" t="str">
        <f t="shared" si="10"/>
        <v/>
      </c>
      <c r="J18" s="21"/>
      <c r="K18" s="21"/>
      <c r="M18" s="21"/>
      <c r="N18" s="21"/>
      <c r="P18" s="21"/>
      <c r="Q18" s="21"/>
      <c r="R18" s="21"/>
      <c r="V18" t="str">
        <f t="shared" si="0"/>
        <v/>
      </c>
      <c r="W18" t="str">
        <f>IF(V18="",(""),(INDEX('Base de Datos'!$A$3:$B$7,(MATCH(V18,'Base de Datos'!$A$3:$A$7,0)),(2))))</f>
        <v/>
      </c>
      <c r="X18" t="str">
        <f t="shared" si="1"/>
        <v/>
      </c>
      <c r="Y18" s="20" t="str">
        <f t="shared" si="2"/>
        <v/>
      </c>
      <c r="Z18" s="7" t="str">
        <f t="shared" si="3"/>
        <v/>
      </c>
      <c r="AA18" s="20" t="str">
        <f t="shared" si="4"/>
        <v/>
      </c>
      <c r="AB18" s="20" t="str">
        <f t="shared" si="5"/>
        <v/>
      </c>
      <c r="AC18" s="20" t="str">
        <f t="shared" si="11"/>
        <v/>
      </c>
      <c r="AD18" s="18" t="str">
        <f>IF(A18="","",IF(V18='Base de Datos'!$A$3,AB18/AA18,0))</f>
        <v/>
      </c>
      <c r="AE18" s="20" t="str">
        <f t="shared" si="7"/>
        <v/>
      </c>
      <c r="AF18" s="20" t="str">
        <f t="shared" si="8"/>
        <v/>
      </c>
      <c r="AG18" s="20" t="str">
        <f t="shared" si="9"/>
        <v/>
      </c>
    </row>
    <row r="19" spans="6:33" x14ac:dyDescent="0.3">
      <c r="F19" s="21"/>
      <c r="G19" s="11" t="str">
        <f t="shared" si="10"/>
        <v/>
      </c>
      <c r="J19" s="21"/>
      <c r="K19" s="21"/>
      <c r="M19" s="21"/>
      <c r="N19" s="21"/>
      <c r="P19" s="21"/>
      <c r="Q19" s="21"/>
      <c r="R19" s="21"/>
      <c r="V19" t="str">
        <f t="shared" si="0"/>
        <v/>
      </c>
      <c r="W19" t="str">
        <f>IF(V19="",(""),(INDEX('Base de Datos'!$A$3:$B$7,(MATCH(V19,'Base de Datos'!$A$3:$A$7,0)),(2))))</f>
        <v/>
      </c>
      <c r="X19" t="str">
        <f t="shared" si="1"/>
        <v/>
      </c>
      <c r="Y19" s="20" t="str">
        <f t="shared" si="2"/>
        <v/>
      </c>
      <c r="Z19" s="7" t="str">
        <f t="shared" si="3"/>
        <v/>
      </c>
      <c r="AA19" s="20" t="str">
        <f t="shared" si="4"/>
        <v/>
      </c>
      <c r="AB19" s="20" t="str">
        <f t="shared" si="5"/>
        <v/>
      </c>
      <c r="AC19" s="20" t="str">
        <f t="shared" si="11"/>
        <v/>
      </c>
      <c r="AD19" s="18" t="str">
        <f>IF(A19="","",IF(V19='Base de Datos'!$A$3,AB19/AA19,0))</f>
        <v/>
      </c>
      <c r="AE19" s="20" t="str">
        <f t="shared" si="7"/>
        <v/>
      </c>
      <c r="AF19" s="20" t="str">
        <f t="shared" si="8"/>
        <v/>
      </c>
      <c r="AG19" s="20" t="str">
        <f t="shared" si="9"/>
        <v/>
      </c>
    </row>
    <row r="20" spans="6:33" x14ac:dyDescent="0.3">
      <c r="F20" s="21"/>
      <c r="G20" s="11" t="str">
        <f t="shared" si="10"/>
        <v/>
      </c>
      <c r="J20" s="21"/>
      <c r="K20" s="21"/>
      <c r="M20" s="21"/>
      <c r="N20" s="21"/>
      <c r="P20" s="21"/>
      <c r="Q20" s="21"/>
      <c r="R20" s="21"/>
      <c r="V20" t="str">
        <f t="shared" si="0"/>
        <v/>
      </c>
      <c r="W20" t="str">
        <f>IF(V20="",(""),(INDEX('Base de Datos'!$A$3:$B$7,(MATCH(V20,'Base de Datos'!$A$3:$A$7,0)),(2))))</f>
        <v/>
      </c>
      <c r="X20" t="str">
        <f t="shared" si="1"/>
        <v/>
      </c>
      <c r="Y20" s="20" t="str">
        <f t="shared" si="2"/>
        <v/>
      </c>
      <c r="Z20" s="7" t="str">
        <f t="shared" si="3"/>
        <v/>
      </c>
      <c r="AA20" s="20" t="str">
        <f t="shared" si="4"/>
        <v/>
      </c>
      <c r="AB20" s="20" t="str">
        <f t="shared" si="5"/>
        <v/>
      </c>
      <c r="AC20" s="20" t="str">
        <f t="shared" si="11"/>
        <v/>
      </c>
      <c r="AD20" s="18" t="str">
        <f>IF(A20="","",IF(V20='Base de Datos'!$A$3,AB20/AA20,0))</f>
        <v/>
      </c>
      <c r="AE20" s="20" t="str">
        <f t="shared" si="7"/>
        <v/>
      </c>
      <c r="AF20" s="20" t="str">
        <f t="shared" si="8"/>
        <v/>
      </c>
      <c r="AG20" s="20" t="str">
        <f t="shared" si="9"/>
        <v/>
      </c>
    </row>
    <row r="21" spans="6:33" x14ac:dyDescent="0.3">
      <c r="F21" s="21"/>
      <c r="G21" s="11" t="str">
        <f t="shared" si="10"/>
        <v/>
      </c>
      <c r="J21" s="21"/>
      <c r="K21" s="21"/>
      <c r="M21" s="21"/>
      <c r="N21" s="21"/>
      <c r="P21" s="21"/>
      <c r="Q21" s="21"/>
      <c r="R21" s="21"/>
      <c r="V21" t="str">
        <f t="shared" si="0"/>
        <v/>
      </c>
      <c r="W21" t="str">
        <f>IF(V21="",(""),(INDEX('Base de Datos'!$A$3:$B$7,(MATCH(V21,'Base de Datos'!$A$3:$A$7,0)),(2))))</f>
        <v/>
      </c>
      <c r="X21" t="str">
        <f t="shared" si="1"/>
        <v/>
      </c>
      <c r="Y21" s="20" t="str">
        <f t="shared" si="2"/>
        <v/>
      </c>
      <c r="Z21" s="7" t="str">
        <f t="shared" si="3"/>
        <v/>
      </c>
      <c r="AA21" s="20" t="str">
        <f t="shared" si="4"/>
        <v/>
      </c>
      <c r="AB21" s="20" t="str">
        <f t="shared" si="5"/>
        <v/>
      </c>
      <c r="AC21" s="20" t="str">
        <f t="shared" si="11"/>
        <v/>
      </c>
      <c r="AD21" s="18" t="str">
        <f>IF(A21="","",IF(V21='Base de Datos'!$A$3,AB21/AA21,0))</f>
        <v/>
      </c>
      <c r="AE21" s="20" t="str">
        <f t="shared" si="7"/>
        <v/>
      </c>
      <c r="AF21" s="20" t="str">
        <f t="shared" si="8"/>
        <v/>
      </c>
      <c r="AG21" s="20" t="str">
        <f t="shared" si="9"/>
        <v/>
      </c>
    </row>
    <row r="22" spans="6:33" x14ac:dyDescent="0.3">
      <c r="F22" s="21"/>
      <c r="G22" s="11" t="str">
        <f t="shared" si="10"/>
        <v/>
      </c>
      <c r="J22" s="21"/>
      <c r="K22" s="21"/>
      <c r="M22" s="21"/>
      <c r="N22" s="21"/>
      <c r="P22" s="21"/>
      <c r="Q22" s="21"/>
      <c r="R22" s="21"/>
      <c r="V22" t="str">
        <f t="shared" si="0"/>
        <v/>
      </c>
      <c r="W22" t="str">
        <f>IF(V22="",(""),(INDEX('Base de Datos'!$A$3:$B$7,(MATCH(V22,'Base de Datos'!$A$3:$A$7,0)),(2))))</f>
        <v/>
      </c>
      <c r="X22" t="str">
        <f t="shared" si="1"/>
        <v/>
      </c>
      <c r="Y22" s="20" t="str">
        <f t="shared" si="2"/>
        <v/>
      </c>
      <c r="Z22" s="7" t="str">
        <f t="shared" si="3"/>
        <v/>
      </c>
      <c r="AA22" s="20" t="str">
        <f t="shared" si="4"/>
        <v/>
      </c>
      <c r="AB22" s="20" t="str">
        <f t="shared" si="5"/>
        <v/>
      </c>
      <c r="AC22" s="20" t="str">
        <f t="shared" si="11"/>
        <v/>
      </c>
      <c r="AD22" s="18" t="str">
        <f>IF(A22="","",IF(V22='Base de Datos'!$A$3,AB22/AA22,0))</f>
        <v/>
      </c>
      <c r="AE22" s="20" t="str">
        <f t="shared" si="7"/>
        <v/>
      </c>
      <c r="AF22" s="20" t="str">
        <f t="shared" si="8"/>
        <v/>
      </c>
      <c r="AG22" s="20" t="str">
        <f t="shared" si="9"/>
        <v/>
      </c>
    </row>
    <row r="23" spans="6:33" x14ac:dyDescent="0.3">
      <c r="F23" s="21"/>
      <c r="G23" s="11" t="str">
        <f t="shared" si="10"/>
        <v/>
      </c>
      <c r="J23" s="21"/>
      <c r="K23" s="21"/>
      <c r="M23" s="21"/>
      <c r="N23" s="21"/>
      <c r="P23" s="21"/>
      <c r="Q23" s="21"/>
      <c r="R23" s="21"/>
      <c r="V23" t="str">
        <f t="shared" si="0"/>
        <v/>
      </c>
      <c r="W23" t="str">
        <f>IF(V23="",(""),(INDEX('Base de Datos'!$A$3:$B$7,(MATCH(V23,'Base de Datos'!$A$3:$A$7,0)),(2))))</f>
        <v/>
      </c>
      <c r="X23" t="str">
        <f t="shared" si="1"/>
        <v/>
      </c>
      <c r="Y23" s="20" t="str">
        <f t="shared" si="2"/>
        <v/>
      </c>
      <c r="Z23" s="7" t="str">
        <f t="shared" si="3"/>
        <v/>
      </c>
      <c r="AA23" s="20" t="str">
        <f t="shared" si="4"/>
        <v/>
      </c>
      <c r="AB23" s="20" t="str">
        <f t="shared" si="5"/>
        <v/>
      </c>
      <c r="AC23" s="20" t="str">
        <f t="shared" si="11"/>
        <v/>
      </c>
      <c r="AD23" s="18" t="str">
        <f>IF(A23="","",IF(V23='Base de Datos'!$A$3,AB23/AA23,0))</f>
        <v/>
      </c>
      <c r="AE23" s="20" t="str">
        <f t="shared" si="7"/>
        <v/>
      </c>
      <c r="AF23" s="20" t="str">
        <f t="shared" si="8"/>
        <v/>
      </c>
      <c r="AG23" s="20" t="str">
        <f t="shared" si="9"/>
        <v/>
      </c>
    </row>
    <row r="24" spans="6:33" x14ac:dyDescent="0.3">
      <c r="F24" s="21"/>
      <c r="G24" s="11" t="str">
        <f t="shared" si="10"/>
        <v/>
      </c>
      <c r="J24" s="21"/>
      <c r="K24" s="21"/>
      <c r="M24" s="21"/>
      <c r="N24" s="21"/>
      <c r="P24" s="21"/>
      <c r="Q24" s="21"/>
      <c r="R24" s="21"/>
      <c r="V24" t="str">
        <f t="shared" si="0"/>
        <v/>
      </c>
      <c r="W24" t="str">
        <f>IF(V24="",(""),(INDEX('Base de Datos'!$A$3:$B$7,(MATCH(V24,'Base de Datos'!$A$3:$A$7,0)),(2))))</f>
        <v/>
      </c>
      <c r="X24" t="str">
        <f t="shared" si="1"/>
        <v/>
      </c>
      <c r="Y24" s="20" t="str">
        <f t="shared" si="2"/>
        <v/>
      </c>
      <c r="Z24" s="7" t="str">
        <f t="shared" si="3"/>
        <v/>
      </c>
      <c r="AA24" s="20" t="str">
        <f t="shared" si="4"/>
        <v/>
      </c>
      <c r="AB24" s="20" t="str">
        <f t="shared" si="5"/>
        <v/>
      </c>
      <c r="AC24" s="20" t="str">
        <f t="shared" si="11"/>
        <v/>
      </c>
      <c r="AD24" s="18" t="str">
        <f>IF(A24="","",IF(V24='Base de Datos'!$A$3,AB24/AA24,0))</f>
        <v/>
      </c>
      <c r="AE24" s="20" t="str">
        <f t="shared" si="7"/>
        <v/>
      </c>
      <c r="AF24" s="20" t="str">
        <f t="shared" si="8"/>
        <v/>
      </c>
      <c r="AG24" s="20" t="str">
        <f t="shared" si="9"/>
        <v/>
      </c>
    </row>
    <row r="25" spans="6:33" x14ac:dyDescent="0.3">
      <c r="F25" s="21"/>
      <c r="G25" s="11" t="str">
        <f t="shared" si="10"/>
        <v/>
      </c>
      <c r="J25" s="21"/>
      <c r="K25" s="21"/>
      <c r="M25" s="21"/>
      <c r="N25" s="21"/>
      <c r="P25" s="21"/>
      <c r="Q25" s="21"/>
      <c r="R25" s="21"/>
      <c r="V25" t="str">
        <f t="shared" si="0"/>
        <v/>
      </c>
      <c r="W25" t="str">
        <f>IF(V25="",(""),(INDEX('Base de Datos'!$A$3:$B$7,(MATCH(V25,'Base de Datos'!$A$3:$A$7,0)),(2))))</f>
        <v/>
      </c>
      <c r="X25" t="str">
        <f t="shared" si="1"/>
        <v/>
      </c>
      <c r="Y25" s="20" t="str">
        <f t="shared" si="2"/>
        <v/>
      </c>
      <c r="Z25" s="7" t="str">
        <f t="shared" si="3"/>
        <v/>
      </c>
      <c r="AA25" s="20" t="str">
        <f t="shared" si="4"/>
        <v/>
      </c>
      <c r="AB25" s="20" t="str">
        <f t="shared" si="5"/>
        <v/>
      </c>
      <c r="AC25" s="20" t="str">
        <f t="shared" si="11"/>
        <v/>
      </c>
      <c r="AD25" s="18" t="str">
        <f>IF(A25="","",IF(V25='Base de Datos'!$A$3,AB25/AA25,0))</f>
        <v/>
      </c>
      <c r="AE25" s="20" t="str">
        <f t="shared" si="7"/>
        <v/>
      </c>
      <c r="AF25" s="20" t="str">
        <f t="shared" si="8"/>
        <v/>
      </c>
      <c r="AG25" s="20" t="str">
        <f t="shared" si="9"/>
        <v/>
      </c>
    </row>
    <row r="26" spans="6:33" x14ac:dyDescent="0.3">
      <c r="F26" s="21"/>
      <c r="G26" s="11" t="str">
        <f t="shared" si="10"/>
        <v/>
      </c>
      <c r="J26" s="21"/>
      <c r="K26" s="21"/>
      <c r="M26" s="21"/>
      <c r="N26" s="21"/>
      <c r="P26" s="21"/>
      <c r="Q26" s="21"/>
      <c r="R26" s="21"/>
      <c r="V26" t="str">
        <f t="shared" si="0"/>
        <v/>
      </c>
      <c r="W26" t="str">
        <f>IF(V26="",(""),(INDEX('Base de Datos'!$A$3:$B$7,(MATCH(V26,'Base de Datos'!$A$3:$A$7,0)),(2))))</f>
        <v/>
      </c>
      <c r="X26" t="str">
        <f t="shared" si="1"/>
        <v/>
      </c>
      <c r="Y26" s="20" t="str">
        <f t="shared" si="2"/>
        <v/>
      </c>
      <c r="Z26" s="7" t="str">
        <f t="shared" si="3"/>
        <v/>
      </c>
      <c r="AA26" s="20" t="str">
        <f t="shared" si="4"/>
        <v/>
      </c>
      <c r="AB26" s="20" t="str">
        <f t="shared" si="5"/>
        <v/>
      </c>
      <c r="AC26" s="20" t="str">
        <f t="shared" si="11"/>
        <v/>
      </c>
      <c r="AD26" s="18" t="str">
        <f>IF(A26="","",IF(V26='Base de Datos'!$A$3,AB26/AA26,0))</f>
        <v/>
      </c>
      <c r="AE26" s="20" t="str">
        <f t="shared" si="7"/>
        <v/>
      </c>
      <c r="AF26" s="20" t="str">
        <f t="shared" si="8"/>
        <v/>
      </c>
      <c r="AG26" s="20" t="str">
        <f t="shared" si="9"/>
        <v/>
      </c>
    </row>
    <row r="27" spans="6:33" x14ac:dyDescent="0.3">
      <c r="F27" s="21"/>
      <c r="G27" s="11" t="str">
        <f t="shared" si="10"/>
        <v/>
      </c>
      <c r="J27" s="21"/>
      <c r="K27" s="21"/>
      <c r="M27" s="21"/>
      <c r="N27" s="21"/>
      <c r="P27" s="21"/>
      <c r="Q27" s="21"/>
      <c r="R27" s="21"/>
      <c r="V27" t="str">
        <f t="shared" si="0"/>
        <v/>
      </c>
      <c r="W27" t="str">
        <f>IF(V27="",(""),(INDEX('Base de Datos'!$A$3:$B$7,(MATCH(V27,'Base de Datos'!$A$3:$A$7,0)),(2))))</f>
        <v/>
      </c>
      <c r="X27" t="str">
        <f t="shared" si="1"/>
        <v/>
      </c>
      <c r="Y27" s="20" t="str">
        <f t="shared" si="2"/>
        <v/>
      </c>
      <c r="Z27" s="7" t="str">
        <f t="shared" si="3"/>
        <v/>
      </c>
      <c r="AA27" s="20" t="str">
        <f t="shared" si="4"/>
        <v/>
      </c>
      <c r="AB27" s="20" t="str">
        <f t="shared" si="5"/>
        <v/>
      </c>
      <c r="AC27" s="20" t="str">
        <f t="shared" si="11"/>
        <v/>
      </c>
      <c r="AD27" s="18" t="str">
        <f>IF(A27="","",IF(V27='Base de Datos'!$A$3,AB27/AA27,0))</f>
        <v/>
      </c>
      <c r="AE27" s="20" t="str">
        <f t="shared" si="7"/>
        <v/>
      </c>
      <c r="AF27" s="20" t="str">
        <f t="shared" si="8"/>
        <v/>
      </c>
      <c r="AG27" s="20" t="str">
        <f t="shared" si="9"/>
        <v/>
      </c>
    </row>
    <row r="28" spans="6:33" x14ac:dyDescent="0.3">
      <c r="F28" s="21"/>
      <c r="G28" s="11" t="str">
        <f t="shared" si="10"/>
        <v/>
      </c>
      <c r="J28" s="21"/>
      <c r="K28" s="21"/>
      <c r="M28" s="21"/>
      <c r="N28" s="21"/>
      <c r="P28" s="21"/>
      <c r="Q28" s="21"/>
      <c r="R28" s="21"/>
      <c r="V28" t="str">
        <f t="shared" si="0"/>
        <v/>
      </c>
      <c r="W28" t="str">
        <f>IF(V28="",(""),(INDEX('Base de Datos'!$A$3:$B$7,(MATCH(V28,'Base de Datos'!$A$3:$A$7,0)),(2))))</f>
        <v/>
      </c>
      <c r="X28" t="str">
        <f t="shared" si="1"/>
        <v/>
      </c>
      <c r="Y28" s="20" t="str">
        <f t="shared" si="2"/>
        <v/>
      </c>
      <c r="Z28" s="7" t="str">
        <f t="shared" si="3"/>
        <v/>
      </c>
      <c r="AA28" s="20" t="str">
        <f t="shared" si="4"/>
        <v/>
      </c>
      <c r="AB28" s="20" t="str">
        <f t="shared" si="5"/>
        <v/>
      </c>
      <c r="AC28" s="20" t="str">
        <f t="shared" si="11"/>
        <v/>
      </c>
      <c r="AD28" s="18" t="str">
        <f>IF(A28="","",IF(V28='Base de Datos'!$A$3,AB28/AA28,0))</f>
        <v/>
      </c>
      <c r="AE28" s="20" t="str">
        <f t="shared" si="7"/>
        <v/>
      </c>
      <c r="AF28" s="20" t="str">
        <f t="shared" si="8"/>
        <v/>
      </c>
      <c r="AG28" s="20" t="str">
        <f t="shared" si="9"/>
        <v/>
      </c>
    </row>
    <row r="29" spans="6:33" x14ac:dyDescent="0.3">
      <c r="F29" s="21"/>
      <c r="G29" s="11" t="str">
        <f t="shared" si="10"/>
        <v/>
      </c>
      <c r="J29" s="21"/>
      <c r="K29" s="21"/>
      <c r="M29" s="21"/>
      <c r="N29" s="21"/>
      <c r="P29" s="21"/>
      <c r="Q29" s="21"/>
      <c r="R29" s="21"/>
      <c r="V29" t="str">
        <f t="shared" si="0"/>
        <v/>
      </c>
      <c r="W29" t="str">
        <f>IF(V29="",(""),(INDEX('Base de Datos'!$A$3:$B$7,(MATCH(V29,'Base de Datos'!$A$3:$A$7,0)),(2))))</f>
        <v/>
      </c>
      <c r="X29" t="str">
        <f t="shared" si="1"/>
        <v/>
      </c>
      <c r="Y29" s="20" t="str">
        <f t="shared" si="2"/>
        <v/>
      </c>
      <c r="Z29" s="7" t="str">
        <f t="shared" si="3"/>
        <v/>
      </c>
      <c r="AA29" s="20" t="str">
        <f t="shared" si="4"/>
        <v/>
      </c>
      <c r="AB29" s="20" t="str">
        <f t="shared" si="5"/>
        <v/>
      </c>
      <c r="AC29" s="20" t="str">
        <f t="shared" si="11"/>
        <v/>
      </c>
      <c r="AD29" s="18" t="str">
        <f>IF(A29="","",IF(V29='Base de Datos'!$A$3,AB29/AA29,0))</f>
        <v/>
      </c>
      <c r="AE29" s="20" t="str">
        <f t="shared" si="7"/>
        <v/>
      </c>
      <c r="AF29" s="20" t="str">
        <f t="shared" si="8"/>
        <v/>
      </c>
      <c r="AG29" s="20" t="str">
        <f t="shared" si="9"/>
        <v/>
      </c>
    </row>
    <row r="30" spans="6:33" x14ac:dyDescent="0.3">
      <c r="F30" s="21"/>
      <c r="G30" s="11" t="str">
        <f t="shared" si="10"/>
        <v/>
      </c>
      <c r="J30" s="21"/>
      <c r="K30" s="21"/>
      <c r="M30" s="21"/>
      <c r="N30" s="21"/>
      <c r="P30" s="21"/>
      <c r="Q30" s="21"/>
      <c r="R30" s="21"/>
      <c r="V30" t="str">
        <f t="shared" si="0"/>
        <v/>
      </c>
      <c r="W30" t="str">
        <f>IF(V30="",(""),(INDEX('Base de Datos'!$A$3:$B$7,(MATCH(V30,'Base de Datos'!$A$3:$A$7,0)),(2))))</f>
        <v/>
      </c>
      <c r="X30" t="str">
        <f t="shared" si="1"/>
        <v/>
      </c>
      <c r="Y30" s="20" t="str">
        <f t="shared" si="2"/>
        <v/>
      </c>
      <c r="Z30" s="7" t="str">
        <f t="shared" si="3"/>
        <v/>
      </c>
      <c r="AA30" s="20" t="str">
        <f t="shared" si="4"/>
        <v/>
      </c>
      <c r="AB30" s="20" t="str">
        <f t="shared" si="5"/>
        <v/>
      </c>
      <c r="AC30" s="20" t="str">
        <f t="shared" si="11"/>
        <v/>
      </c>
      <c r="AD30" s="18" t="str">
        <f>IF(A30="","",IF(V30='Base de Datos'!$A$3,AB30/AA30,0))</f>
        <v/>
      </c>
      <c r="AE30" s="20" t="str">
        <f t="shared" si="7"/>
        <v/>
      </c>
      <c r="AF30" s="20" t="str">
        <f t="shared" si="8"/>
        <v/>
      </c>
      <c r="AG30" s="20" t="str">
        <f t="shared" si="9"/>
        <v/>
      </c>
    </row>
    <row r="31" spans="6:33" x14ac:dyDescent="0.3">
      <c r="F31" s="21"/>
      <c r="G31" s="11" t="str">
        <f t="shared" si="10"/>
        <v/>
      </c>
      <c r="J31" s="21"/>
      <c r="K31" s="21"/>
      <c r="M31" s="21"/>
      <c r="N31" s="21"/>
      <c r="P31" s="21"/>
      <c r="Q31" s="21"/>
      <c r="R31" s="21"/>
      <c r="V31" t="str">
        <f t="shared" si="0"/>
        <v/>
      </c>
      <c r="W31" t="str">
        <f>IF(V31="",(""),(INDEX('Base de Datos'!$A$3:$B$7,(MATCH(V31,'Base de Datos'!$A$3:$A$7,0)),(2))))</f>
        <v/>
      </c>
      <c r="X31" t="str">
        <f t="shared" si="1"/>
        <v/>
      </c>
      <c r="Y31" s="20" t="str">
        <f t="shared" si="2"/>
        <v/>
      </c>
      <c r="Z31" s="7" t="str">
        <f t="shared" si="3"/>
        <v/>
      </c>
      <c r="AA31" s="20" t="str">
        <f t="shared" si="4"/>
        <v/>
      </c>
      <c r="AB31" s="20" t="str">
        <f t="shared" si="5"/>
        <v/>
      </c>
      <c r="AC31" s="20" t="str">
        <f t="shared" si="11"/>
        <v/>
      </c>
      <c r="AD31" s="18" t="str">
        <f>IF(A31="","",IF(V31='Base de Datos'!$A$3,AB31/AA31,0))</f>
        <v/>
      </c>
      <c r="AE31" s="20" t="str">
        <f t="shared" si="7"/>
        <v/>
      </c>
      <c r="AF31" s="20" t="str">
        <f t="shared" si="8"/>
        <v/>
      </c>
      <c r="AG31" s="20" t="str">
        <f t="shared" si="9"/>
        <v/>
      </c>
    </row>
    <row r="32" spans="6:33" x14ac:dyDescent="0.3">
      <c r="F32" s="21"/>
      <c r="G32" s="11" t="str">
        <f t="shared" si="10"/>
        <v/>
      </c>
      <c r="J32" s="21"/>
      <c r="K32" s="21"/>
      <c r="M32" s="21"/>
      <c r="N32" s="21"/>
      <c r="P32" s="21"/>
      <c r="Q32" s="21"/>
      <c r="R32" s="21"/>
      <c r="V32" t="str">
        <f t="shared" si="0"/>
        <v/>
      </c>
      <c r="W32" t="str">
        <f>IF(V32="",(""),(INDEX('Base de Datos'!$A$3:$B$7,(MATCH(V32,'Base de Datos'!$A$3:$A$7,0)),(2))))</f>
        <v/>
      </c>
      <c r="X32" t="str">
        <f t="shared" si="1"/>
        <v/>
      </c>
      <c r="Y32" s="20" t="str">
        <f t="shared" si="2"/>
        <v/>
      </c>
      <c r="Z32" s="7" t="str">
        <f t="shared" si="3"/>
        <v/>
      </c>
      <c r="AA32" s="20" t="str">
        <f t="shared" si="4"/>
        <v/>
      </c>
      <c r="AB32" s="20" t="str">
        <f t="shared" si="5"/>
        <v/>
      </c>
      <c r="AC32" s="20" t="str">
        <f t="shared" si="11"/>
        <v/>
      </c>
      <c r="AD32" s="18" t="str">
        <f>IF(A32="","",IF(V32='Base de Datos'!$A$3,AB32/AA32,0))</f>
        <v/>
      </c>
      <c r="AE32" s="20" t="str">
        <f t="shared" si="7"/>
        <v/>
      </c>
      <c r="AF32" s="20" t="str">
        <f t="shared" si="8"/>
        <v/>
      </c>
      <c r="AG32" s="20" t="str">
        <f t="shared" si="9"/>
        <v/>
      </c>
    </row>
    <row r="33" spans="6:33" x14ac:dyDescent="0.3">
      <c r="F33" s="21"/>
      <c r="G33" s="11" t="str">
        <f t="shared" si="10"/>
        <v/>
      </c>
      <c r="J33" s="21"/>
      <c r="K33" s="21"/>
      <c r="M33" s="21"/>
      <c r="N33" s="21"/>
      <c r="P33" s="21"/>
      <c r="Q33" s="21"/>
      <c r="R33" s="21"/>
      <c r="V33" t="str">
        <f t="shared" si="0"/>
        <v/>
      </c>
      <c r="W33" t="str">
        <f>IF(V33="",(""),(INDEX('Base de Datos'!$A$3:$B$7,(MATCH(V33,'Base de Datos'!$A$3:$A$7,0)),(2))))</f>
        <v/>
      </c>
      <c r="X33" t="str">
        <f t="shared" si="1"/>
        <v/>
      </c>
      <c r="Y33" s="20" t="str">
        <f t="shared" si="2"/>
        <v/>
      </c>
      <c r="Z33" s="7" t="str">
        <f t="shared" si="3"/>
        <v/>
      </c>
      <c r="AA33" s="20" t="str">
        <f t="shared" si="4"/>
        <v/>
      </c>
      <c r="AB33" s="20" t="str">
        <f t="shared" si="5"/>
        <v/>
      </c>
      <c r="AC33" s="20" t="str">
        <f t="shared" si="11"/>
        <v/>
      </c>
      <c r="AD33" s="18" t="str">
        <f>IF(A33="","",IF(V33='Base de Datos'!$A$3,AB33/AA33,0))</f>
        <v/>
      </c>
      <c r="AE33" s="20" t="str">
        <f t="shared" si="7"/>
        <v/>
      </c>
      <c r="AF33" s="20" t="str">
        <f t="shared" si="8"/>
        <v/>
      </c>
      <c r="AG33" s="20" t="str">
        <f t="shared" si="9"/>
        <v/>
      </c>
    </row>
    <row r="34" spans="6:33" x14ac:dyDescent="0.3">
      <c r="F34" s="21"/>
      <c r="G34" s="11" t="str">
        <f t="shared" si="10"/>
        <v/>
      </c>
      <c r="J34" s="21"/>
      <c r="K34" s="21"/>
      <c r="M34" s="21"/>
      <c r="N34" s="21"/>
      <c r="P34" s="21"/>
      <c r="Q34" s="21"/>
      <c r="R34" s="21"/>
      <c r="V34" t="str">
        <f t="shared" si="0"/>
        <v/>
      </c>
      <c r="W34" t="str">
        <f>IF(V34="",(""),(INDEX('Base de Datos'!$A$3:$B$7,(MATCH(V34,'Base de Datos'!$A$3:$A$7,0)),(2))))</f>
        <v/>
      </c>
      <c r="X34" t="str">
        <f t="shared" si="1"/>
        <v/>
      </c>
      <c r="Y34" s="20" t="str">
        <f t="shared" si="2"/>
        <v/>
      </c>
      <c r="Z34" s="7" t="str">
        <f t="shared" si="3"/>
        <v/>
      </c>
      <c r="AA34" s="20" t="str">
        <f t="shared" si="4"/>
        <v/>
      </c>
      <c r="AB34" s="20" t="str">
        <f t="shared" si="5"/>
        <v/>
      </c>
      <c r="AC34" s="20" t="str">
        <f t="shared" si="11"/>
        <v/>
      </c>
      <c r="AD34" s="18" t="str">
        <f>IF(A34="","",IF(V34='Base de Datos'!$A$3,AB34/AA34,0))</f>
        <v/>
      </c>
      <c r="AE34" s="20" t="str">
        <f t="shared" si="7"/>
        <v/>
      </c>
      <c r="AF34" s="20" t="str">
        <f t="shared" si="8"/>
        <v/>
      </c>
      <c r="AG34" s="20" t="str">
        <f t="shared" si="9"/>
        <v/>
      </c>
    </row>
    <row r="35" spans="6:33" x14ac:dyDescent="0.3">
      <c r="F35" s="21"/>
      <c r="G35" s="11" t="str">
        <f t="shared" si="10"/>
        <v/>
      </c>
      <c r="J35" s="21"/>
      <c r="K35" s="21"/>
      <c r="M35" s="21"/>
      <c r="N35" s="21"/>
      <c r="P35" s="21"/>
      <c r="Q35" s="21"/>
      <c r="R35" s="21"/>
      <c r="V35" t="str">
        <f t="shared" si="0"/>
        <v/>
      </c>
      <c r="W35" t="str">
        <f>IF(V35="",(""),(INDEX('Base de Datos'!$A$3:$B$7,(MATCH(V35,'Base de Datos'!$A$3:$A$7,0)),(2))))</f>
        <v/>
      </c>
      <c r="X35" t="str">
        <f t="shared" si="1"/>
        <v/>
      </c>
      <c r="Y35" s="20" t="str">
        <f t="shared" si="2"/>
        <v/>
      </c>
      <c r="Z35" s="7" t="str">
        <f t="shared" si="3"/>
        <v/>
      </c>
      <c r="AA35" s="20" t="str">
        <f t="shared" si="4"/>
        <v/>
      </c>
      <c r="AB35" s="20" t="str">
        <f t="shared" si="5"/>
        <v/>
      </c>
      <c r="AC35" s="20" t="str">
        <f t="shared" si="11"/>
        <v/>
      </c>
      <c r="AD35" s="18" t="str">
        <f>IF(A35="","",IF(V35='Base de Datos'!$A$3,AB35/AA35,0))</f>
        <v/>
      </c>
      <c r="AE35" s="20" t="str">
        <f t="shared" si="7"/>
        <v/>
      </c>
      <c r="AF35" s="20" t="str">
        <f t="shared" si="8"/>
        <v/>
      </c>
      <c r="AG35" s="20" t="str">
        <f t="shared" si="9"/>
        <v/>
      </c>
    </row>
    <row r="36" spans="6:33" x14ac:dyDescent="0.3">
      <c r="F36" s="21"/>
      <c r="G36" s="11" t="str">
        <f t="shared" si="10"/>
        <v/>
      </c>
      <c r="J36" s="21"/>
      <c r="K36" s="21"/>
      <c r="M36" s="21"/>
      <c r="N36" s="21"/>
      <c r="P36" s="21"/>
      <c r="Q36" s="21"/>
      <c r="R36" s="21"/>
      <c r="V36" t="str">
        <f t="shared" si="0"/>
        <v/>
      </c>
      <c r="W36" t="str">
        <f>IF(V36="",(""),(INDEX('Base de Datos'!$A$3:$B$7,(MATCH(V36,'Base de Datos'!$A$3:$A$7,0)),(2))))</f>
        <v/>
      </c>
      <c r="X36" t="str">
        <f t="shared" si="1"/>
        <v/>
      </c>
      <c r="Y36" s="20" t="str">
        <f t="shared" si="2"/>
        <v/>
      </c>
      <c r="Z36" s="7" t="str">
        <f t="shared" si="3"/>
        <v/>
      </c>
      <c r="AA36" s="20" t="str">
        <f t="shared" si="4"/>
        <v/>
      </c>
      <c r="AB36" s="20" t="str">
        <f t="shared" si="5"/>
        <v/>
      </c>
      <c r="AC36" s="20" t="str">
        <f t="shared" si="11"/>
        <v/>
      </c>
      <c r="AD36" s="18" t="str">
        <f>IF(A36="","",IF(V36='Base de Datos'!$A$3,AB36/AA36,0))</f>
        <v/>
      </c>
      <c r="AE36" s="20" t="str">
        <f t="shared" si="7"/>
        <v/>
      </c>
      <c r="AF36" s="20" t="str">
        <f t="shared" si="8"/>
        <v/>
      </c>
      <c r="AG36" s="20" t="str">
        <f t="shared" si="9"/>
        <v/>
      </c>
    </row>
    <row r="37" spans="6:33" x14ac:dyDescent="0.3">
      <c r="F37" s="21"/>
      <c r="G37" s="11" t="str">
        <f t="shared" si="10"/>
        <v/>
      </c>
      <c r="J37" s="21"/>
      <c r="K37" s="21"/>
      <c r="M37" s="21"/>
      <c r="N37" s="21"/>
      <c r="P37" s="21"/>
      <c r="Q37" s="21"/>
      <c r="R37" s="21"/>
      <c r="V37" t="str">
        <f t="shared" si="0"/>
        <v/>
      </c>
      <c r="W37" t="str">
        <f>IF(V37="",(""),(INDEX('Base de Datos'!$A$3:$B$7,(MATCH(V37,'Base de Datos'!$A$3:$A$7,0)),(2))))</f>
        <v/>
      </c>
      <c r="X37" t="str">
        <f t="shared" si="1"/>
        <v/>
      </c>
      <c r="Y37" s="20" t="str">
        <f t="shared" si="2"/>
        <v/>
      </c>
      <c r="Z37" s="7" t="str">
        <f t="shared" si="3"/>
        <v/>
      </c>
      <c r="AA37" s="20" t="str">
        <f t="shared" si="4"/>
        <v/>
      </c>
      <c r="AB37" s="20" t="str">
        <f t="shared" si="5"/>
        <v/>
      </c>
      <c r="AC37" s="20" t="str">
        <f t="shared" si="11"/>
        <v/>
      </c>
      <c r="AD37" s="18" t="str">
        <f>IF(A37="","",IF(V37='Base de Datos'!$A$3,AB37/AA37,0))</f>
        <v/>
      </c>
      <c r="AE37" s="20" t="str">
        <f t="shared" si="7"/>
        <v/>
      </c>
      <c r="AF37" s="20" t="str">
        <f t="shared" si="8"/>
        <v/>
      </c>
      <c r="AG37" s="20" t="str">
        <f t="shared" si="9"/>
        <v/>
      </c>
    </row>
    <row r="38" spans="6:33" x14ac:dyDescent="0.3">
      <c r="F38" s="21"/>
      <c r="G38" s="11" t="str">
        <f t="shared" si="10"/>
        <v/>
      </c>
      <c r="J38" s="21"/>
      <c r="K38" s="21"/>
      <c r="M38" s="21"/>
      <c r="N38" s="21"/>
      <c r="P38" s="21"/>
      <c r="Q38" s="21"/>
      <c r="R38" s="21"/>
      <c r="V38" t="str">
        <f t="shared" si="0"/>
        <v/>
      </c>
      <c r="W38" t="str">
        <f>IF(V38="",(""),(INDEX('Base de Datos'!$A$3:$B$7,(MATCH(V38,'Base de Datos'!$A$3:$A$7,0)),(2))))</f>
        <v/>
      </c>
      <c r="X38" t="str">
        <f t="shared" si="1"/>
        <v/>
      </c>
      <c r="Y38" s="20" t="str">
        <f t="shared" si="2"/>
        <v/>
      </c>
      <c r="Z38" s="7" t="str">
        <f t="shared" si="3"/>
        <v/>
      </c>
      <c r="AA38" s="20" t="str">
        <f t="shared" si="4"/>
        <v/>
      </c>
      <c r="AB38" s="20" t="str">
        <f t="shared" si="5"/>
        <v/>
      </c>
      <c r="AC38" s="20" t="str">
        <f t="shared" si="11"/>
        <v/>
      </c>
      <c r="AD38" s="18" t="str">
        <f>IF(A38="","",IF(V38='Base de Datos'!$A$3,AB38/AA38,0))</f>
        <v/>
      </c>
      <c r="AE38" s="20" t="str">
        <f t="shared" si="7"/>
        <v/>
      </c>
      <c r="AF38" s="20" t="str">
        <f t="shared" si="8"/>
        <v/>
      </c>
      <c r="AG38" s="20" t="str">
        <f t="shared" si="9"/>
        <v/>
      </c>
    </row>
    <row r="39" spans="6:33" x14ac:dyDescent="0.3">
      <c r="F39" s="21"/>
      <c r="G39" s="11" t="str">
        <f t="shared" si="10"/>
        <v/>
      </c>
      <c r="J39" s="21"/>
      <c r="K39" s="21"/>
      <c r="M39" s="21"/>
      <c r="N39" s="21"/>
      <c r="P39" s="21"/>
      <c r="Q39" s="21"/>
      <c r="R39" s="21"/>
      <c r="V39" t="str">
        <f t="shared" si="0"/>
        <v/>
      </c>
      <c r="W39" t="str">
        <f>IF(V39="",(""),(INDEX('Base de Datos'!$A$3:$B$7,(MATCH(V39,'Base de Datos'!$A$3:$A$7,0)),(2))))</f>
        <v/>
      </c>
      <c r="X39" t="str">
        <f t="shared" si="1"/>
        <v/>
      </c>
      <c r="Y39" s="20" t="str">
        <f t="shared" si="2"/>
        <v/>
      </c>
      <c r="Z39" s="7" t="str">
        <f t="shared" si="3"/>
        <v/>
      </c>
      <c r="AA39" s="20" t="str">
        <f t="shared" si="4"/>
        <v/>
      </c>
      <c r="AB39" s="20" t="str">
        <f t="shared" si="5"/>
        <v/>
      </c>
      <c r="AC39" s="20" t="str">
        <f t="shared" si="11"/>
        <v/>
      </c>
      <c r="AD39" s="18" t="str">
        <f>IF(A39="","",IF(V39='Base de Datos'!$A$3,AB39/AA39,0))</f>
        <v/>
      </c>
      <c r="AE39" s="20" t="str">
        <f t="shared" si="7"/>
        <v/>
      </c>
      <c r="AF39" s="20" t="str">
        <f t="shared" si="8"/>
        <v/>
      </c>
      <c r="AG39" s="20" t="str">
        <f t="shared" si="9"/>
        <v/>
      </c>
    </row>
    <row r="40" spans="6:33" x14ac:dyDescent="0.3">
      <c r="F40" s="21"/>
      <c r="G40" s="11" t="str">
        <f t="shared" si="10"/>
        <v/>
      </c>
      <c r="J40" s="21"/>
      <c r="K40" s="21"/>
      <c r="M40" s="21"/>
      <c r="N40" s="21"/>
      <c r="P40" s="21"/>
      <c r="Q40" s="21"/>
      <c r="R40" s="21"/>
      <c r="V40" t="str">
        <f t="shared" si="0"/>
        <v/>
      </c>
      <c r="W40" t="str">
        <f>IF(V40="",(""),(INDEX('Base de Datos'!$A$3:$B$7,(MATCH(V40,'Base de Datos'!$A$3:$A$7,0)),(2))))</f>
        <v/>
      </c>
      <c r="X40" t="str">
        <f t="shared" si="1"/>
        <v/>
      </c>
      <c r="Y40" s="20" t="str">
        <f t="shared" si="2"/>
        <v/>
      </c>
      <c r="Z40" s="7" t="str">
        <f t="shared" si="3"/>
        <v/>
      </c>
      <c r="AA40" s="20" t="str">
        <f t="shared" si="4"/>
        <v/>
      </c>
      <c r="AB40" s="20" t="str">
        <f t="shared" si="5"/>
        <v/>
      </c>
      <c r="AC40" s="20" t="str">
        <f t="shared" si="11"/>
        <v/>
      </c>
      <c r="AD40" s="18" t="str">
        <f>IF(A40="","",IF(V40='Base de Datos'!$A$3,AB40/AA40,0))</f>
        <v/>
      </c>
      <c r="AE40" s="20" t="str">
        <f t="shared" si="7"/>
        <v/>
      </c>
      <c r="AF40" s="20" t="str">
        <f t="shared" si="8"/>
        <v/>
      </c>
      <c r="AG40" s="20" t="str">
        <f t="shared" si="9"/>
        <v/>
      </c>
    </row>
    <row r="41" spans="6:33" x14ac:dyDescent="0.3">
      <c r="F41" s="21"/>
      <c r="G41" s="11" t="str">
        <f t="shared" si="10"/>
        <v/>
      </c>
      <c r="J41" s="21"/>
      <c r="K41" s="21"/>
      <c r="M41" s="21"/>
      <c r="N41" s="21"/>
      <c r="P41" s="21"/>
      <c r="Q41" s="21"/>
      <c r="R41" s="21"/>
      <c r="V41" t="str">
        <f t="shared" si="0"/>
        <v/>
      </c>
      <c r="W41" t="str">
        <f>IF(V41="",(""),(INDEX('Base de Datos'!$A$3:$B$7,(MATCH(V41,'Base de Datos'!$A$3:$A$7,0)),(2))))</f>
        <v/>
      </c>
      <c r="X41" t="str">
        <f t="shared" si="1"/>
        <v/>
      </c>
      <c r="Y41" s="20" t="str">
        <f t="shared" si="2"/>
        <v/>
      </c>
      <c r="Z41" s="7" t="str">
        <f t="shared" si="3"/>
        <v/>
      </c>
      <c r="AA41" s="20" t="str">
        <f t="shared" si="4"/>
        <v/>
      </c>
      <c r="AB41" s="20" t="str">
        <f t="shared" si="5"/>
        <v/>
      </c>
      <c r="AC41" s="20" t="str">
        <f t="shared" si="11"/>
        <v/>
      </c>
      <c r="AD41" s="18" t="str">
        <f>IF(A41="","",IF(V41='Base de Datos'!$A$3,AB41/AA41,0))</f>
        <v/>
      </c>
      <c r="AE41" s="20" t="str">
        <f t="shared" si="7"/>
        <v/>
      </c>
      <c r="AF41" s="20" t="str">
        <f t="shared" si="8"/>
        <v/>
      </c>
      <c r="AG41" s="20" t="str">
        <f t="shared" si="9"/>
        <v/>
      </c>
    </row>
    <row r="42" spans="6:33" x14ac:dyDescent="0.3">
      <c r="F42" s="21"/>
      <c r="G42" s="11" t="str">
        <f t="shared" si="10"/>
        <v/>
      </c>
      <c r="J42" s="21"/>
      <c r="K42" s="21"/>
      <c r="M42" s="21"/>
      <c r="N42" s="21"/>
      <c r="P42" s="21"/>
      <c r="Q42" s="21"/>
      <c r="R42" s="21"/>
      <c r="V42" t="str">
        <f t="shared" si="0"/>
        <v/>
      </c>
      <c r="W42" t="str">
        <f>IF(V42="",(""),(INDEX('Base de Datos'!$A$3:$B$7,(MATCH(V42,'Base de Datos'!$A$3:$A$7,0)),(2))))</f>
        <v/>
      </c>
      <c r="X42" t="str">
        <f t="shared" si="1"/>
        <v/>
      </c>
      <c r="Y42" s="20" t="str">
        <f t="shared" si="2"/>
        <v/>
      </c>
      <c r="Z42" s="7" t="str">
        <f t="shared" si="3"/>
        <v/>
      </c>
      <c r="AA42" s="20" t="str">
        <f t="shared" si="4"/>
        <v/>
      </c>
      <c r="AB42" s="20" t="str">
        <f t="shared" si="5"/>
        <v/>
      </c>
      <c r="AC42" s="20" t="str">
        <f t="shared" si="11"/>
        <v/>
      </c>
      <c r="AD42" s="18" t="str">
        <f>IF(A42="","",IF(V42='Base de Datos'!$A$3,AB42/AA42,0))</f>
        <v/>
      </c>
      <c r="AE42" s="20" t="str">
        <f t="shared" si="7"/>
        <v/>
      </c>
      <c r="AF42" s="20" t="str">
        <f t="shared" si="8"/>
        <v/>
      </c>
      <c r="AG42" s="20" t="str">
        <f t="shared" si="9"/>
        <v/>
      </c>
    </row>
    <row r="43" spans="6:33" x14ac:dyDescent="0.3">
      <c r="F43" s="21"/>
      <c r="G43" s="11" t="str">
        <f t="shared" si="10"/>
        <v/>
      </c>
      <c r="J43" s="21"/>
      <c r="K43" s="21"/>
      <c r="M43" s="21"/>
      <c r="N43" s="21"/>
      <c r="P43" s="21"/>
      <c r="Q43" s="21"/>
      <c r="R43" s="21"/>
      <c r="V43" t="str">
        <f t="shared" si="0"/>
        <v/>
      </c>
      <c r="W43" t="str">
        <f>IF(V43="",(""),(INDEX('Base de Datos'!$A$3:$B$7,(MATCH(V43,'Base de Datos'!$A$3:$A$7,0)),(2))))</f>
        <v/>
      </c>
      <c r="X43" t="str">
        <f t="shared" si="1"/>
        <v/>
      </c>
      <c r="Y43" s="20" t="str">
        <f t="shared" si="2"/>
        <v/>
      </c>
      <c r="Z43" s="7" t="str">
        <f t="shared" si="3"/>
        <v/>
      </c>
      <c r="AA43" s="20" t="str">
        <f t="shared" si="4"/>
        <v/>
      </c>
      <c r="AB43" s="20" t="str">
        <f t="shared" si="5"/>
        <v/>
      </c>
      <c r="AC43" s="20" t="str">
        <f t="shared" si="11"/>
        <v/>
      </c>
      <c r="AD43" s="18" t="str">
        <f>IF(A43="","",IF(V43='Base de Datos'!$A$3,AB43/AA43,0))</f>
        <v/>
      </c>
      <c r="AE43" s="20" t="str">
        <f t="shared" si="7"/>
        <v/>
      </c>
      <c r="AF43" s="20" t="str">
        <f t="shared" si="8"/>
        <v/>
      </c>
      <c r="AG43" s="20" t="str">
        <f t="shared" si="9"/>
        <v/>
      </c>
    </row>
    <row r="44" spans="6:33" x14ac:dyDescent="0.3">
      <c r="F44" s="21"/>
      <c r="G44" s="11" t="str">
        <f t="shared" si="10"/>
        <v/>
      </c>
      <c r="J44" s="21"/>
      <c r="K44" s="21"/>
      <c r="M44" s="21"/>
      <c r="N44" s="21"/>
      <c r="P44" s="21"/>
      <c r="Q44" s="21"/>
      <c r="R44" s="21"/>
      <c r="V44" t="str">
        <f t="shared" si="0"/>
        <v/>
      </c>
      <c r="W44" t="str">
        <f>IF(V44="",(""),(INDEX('Base de Datos'!$A$3:$B$7,(MATCH(V44,'Base de Datos'!$A$3:$A$7,0)),(2))))</f>
        <v/>
      </c>
      <c r="X44" t="str">
        <f t="shared" si="1"/>
        <v/>
      </c>
      <c r="Y44" s="20" t="str">
        <f t="shared" si="2"/>
        <v/>
      </c>
      <c r="Z44" s="7" t="str">
        <f t="shared" si="3"/>
        <v/>
      </c>
      <c r="AA44" s="20" t="str">
        <f t="shared" si="4"/>
        <v/>
      </c>
      <c r="AB44" s="20" t="str">
        <f t="shared" si="5"/>
        <v/>
      </c>
      <c r="AC44" s="20" t="str">
        <f t="shared" si="11"/>
        <v/>
      </c>
      <c r="AD44" s="18" t="str">
        <f>IF(A44="","",IF(V44='Base de Datos'!$A$3,AB44/AA44,0))</f>
        <v/>
      </c>
      <c r="AE44" s="20" t="str">
        <f t="shared" si="7"/>
        <v/>
      </c>
      <c r="AF44" s="20" t="str">
        <f t="shared" si="8"/>
        <v/>
      </c>
      <c r="AG44" s="20" t="str">
        <f t="shared" si="9"/>
        <v/>
      </c>
    </row>
    <row r="45" spans="6:33" x14ac:dyDescent="0.3">
      <c r="F45" s="21"/>
      <c r="G45" s="11" t="str">
        <f t="shared" si="10"/>
        <v/>
      </c>
      <c r="J45" s="21"/>
      <c r="K45" s="21"/>
      <c r="M45" s="21"/>
      <c r="N45" s="21"/>
      <c r="P45" s="21"/>
      <c r="Q45" s="21"/>
      <c r="R45" s="21"/>
      <c r="V45" t="str">
        <f t="shared" si="0"/>
        <v/>
      </c>
      <c r="W45" t="str">
        <f>IF(V45="",(""),(INDEX('Base de Datos'!$A$3:$B$7,(MATCH(V45,'Base de Datos'!$A$3:$A$7,0)),(2))))</f>
        <v/>
      </c>
      <c r="X45" t="str">
        <f t="shared" si="1"/>
        <v/>
      </c>
      <c r="Y45" s="20" t="str">
        <f t="shared" si="2"/>
        <v/>
      </c>
      <c r="Z45" s="7" t="str">
        <f t="shared" si="3"/>
        <v/>
      </c>
      <c r="AA45" s="20" t="str">
        <f t="shared" si="4"/>
        <v/>
      </c>
      <c r="AB45" s="20" t="str">
        <f t="shared" si="5"/>
        <v/>
      </c>
      <c r="AC45" s="20" t="str">
        <f t="shared" si="11"/>
        <v/>
      </c>
      <c r="AD45" s="18" t="str">
        <f>IF(A45="","",IF(V45='Base de Datos'!$A$3,AB45/AA45,0))</f>
        <v/>
      </c>
      <c r="AE45" s="20" t="str">
        <f t="shared" si="7"/>
        <v/>
      </c>
      <c r="AF45" s="20" t="str">
        <f t="shared" si="8"/>
        <v/>
      </c>
      <c r="AG45" s="20" t="str">
        <f t="shared" si="9"/>
        <v/>
      </c>
    </row>
    <row r="46" spans="6:33" x14ac:dyDescent="0.3">
      <c r="F46" s="21"/>
      <c r="G46" s="11" t="str">
        <f t="shared" si="10"/>
        <v/>
      </c>
      <c r="J46" s="21"/>
      <c r="K46" s="21"/>
      <c r="M46" s="21"/>
      <c r="N46" s="21"/>
      <c r="P46" s="21"/>
      <c r="Q46" s="21"/>
      <c r="R46" s="21"/>
      <c r="V46" t="str">
        <f t="shared" si="0"/>
        <v/>
      </c>
      <c r="W46" t="str">
        <f>IF(V46="",(""),(INDEX('Base de Datos'!$A$3:$B$7,(MATCH(V46,'Base de Datos'!$A$3:$A$7,0)),(2))))</f>
        <v/>
      </c>
      <c r="X46" t="str">
        <f t="shared" si="1"/>
        <v/>
      </c>
      <c r="Y46" s="20" t="str">
        <f t="shared" si="2"/>
        <v/>
      </c>
      <c r="Z46" s="7" t="str">
        <f t="shared" si="3"/>
        <v/>
      </c>
      <c r="AA46" s="20" t="str">
        <f t="shared" si="4"/>
        <v/>
      </c>
      <c r="AB46" s="20" t="str">
        <f t="shared" si="5"/>
        <v/>
      </c>
      <c r="AC46" s="20" t="str">
        <f t="shared" si="11"/>
        <v/>
      </c>
      <c r="AD46" s="18" t="str">
        <f>IF(A46="","",IF(V46='Base de Datos'!$A$3,AB46/AA46,0))</f>
        <v/>
      </c>
      <c r="AE46" s="20" t="str">
        <f t="shared" si="7"/>
        <v/>
      </c>
      <c r="AF46" s="20" t="str">
        <f t="shared" si="8"/>
        <v/>
      </c>
      <c r="AG46" s="20" t="str">
        <f t="shared" si="9"/>
        <v/>
      </c>
    </row>
    <row r="47" spans="6:33" x14ac:dyDescent="0.3">
      <c r="F47" s="21"/>
      <c r="G47" s="11" t="str">
        <f t="shared" si="10"/>
        <v/>
      </c>
      <c r="J47" s="21"/>
      <c r="K47" s="21"/>
      <c r="M47" s="21"/>
      <c r="N47" s="21"/>
      <c r="P47" s="21"/>
      <c r="Q47" s="21"/>
      <c r="R47" s="21"/>
      <c r="V47" t="str">
        <f t="shared" si="0"/>
        <v/>
      </c>
      <c r="W47" t="str">
        <f>IF(V47="",(""),(INDEX('Base de Datos'!$A$3:$B$7,(MATCH(V47,'Base de Datos'!$A$3:$A$7,0)),(2))))</f>
        <v/>
      </c>
      <c r="X47" t="str">
        <f t="shared" si="1"/>
        <v/>
      </c>
      <c r="Y47" s="20" t="str">
        <f t="shared" si="2"/>
        <v/>
      </c>
      <c r="Z47" s="7" t="str">
        <f t="shared" si="3"/>
        <v/>
      </c>
      <c r="AA47" s="20" t="str">
        <f t="shared" si="4"/>
        <v/>
      </c>
      <c r="AB47" s="20" t="str">
        <f t="shared" si="5"/>
        <v/>
      </c>
      <c r="AC47" s="20" t="str">
        <f t="shared" ref="AC47:AC67" si="12">IF(R47="",(""),(R47))</f>
        <v/>
      </c>
      <c r="AD47" s="18" t="str">
        <f>IF(A47="","",IF(V47='Base de Datos'!$A$3,AB47/AA47,0))</f>
        <v/>
      </c>
      <c r="AE47" s="20" t="str">
        <f t="shared" si="7"/>
        <v/>
      </c>
      <c r="AF47" s="20" t="str">
        <f t="shared" si="8"/>
        <v/>
      </c>
      <c r="AG47" s="20" t="str">
        <f t="shared" si="9"/>
        <v/>
      </c>
    </row>
    <row r="48" spans="6:33" x14ac:dyDescent="0.3">
      <c r="F48" s="21"/>
      <c r="G48" s="11" t="str">
        <f t="shared" si="10"/>
        <v/>
      </c>
      <c r="J48" s="21"/>
      <c r="K48" s="21"/>
      <c r="M48" s="21"/>
      <c r="N48" s="21"/>
      <c r="P48" s="21"/>
      <c r="Q48" s="21"/>
      <c r="R48" s="21"/>
      <c r="V48" t="str">
        <f t="shared" si="0"/>
        <v/>
      </c>
      <c r="W48" t="str">
        <f>IF(V48="",(""),(INDEX('Base de Datos'!$A$3:$B$7,(MATCH(V48,'Base de Datos'!$A$3:$A$7,0)),(2))))</f>
        <v/>
      </c>
      <c r="X48" t="str">
        <f t="shared" si="1"/>
        <v/>
      </c>
      <c r="Y48" s="20" t="str">
        <f t="shared" si="2"/>
        <v/>
      </c>
      <c r="Z48" s="7" t="str">
        <f t="shared" si="3"/>
        <v/>
      </c>
      <c r="AA48" s="20" t="str">
        <f t="shared" si="4"/>
        <v/>
      </c>
      <c r="AB48" s="20" t="str">
        <f t="shared" si="5"/>
        <v/>
      </c>
      <c r="AC48" s="20" t="str">
        <f t="shared" si="12"/>
        <v/>
      </c>
      <c r="AD48" s="18" t="str">
        <f>IF(A48="","",IF(V48='Base de Datos'!$A$3,AB48/AA48,0))</f>
        <v/>
      </c>
      <c r="AE48" s="20" t="str">
        <f t="shared" si="7"/>
        <v/>
      </c>
      <c r="AF48" s="20" t="str">
        <f t="shared" si="8"/>
        <v/>
      </c>
      <c r="AG48" s="20" t="str">
        <f t="shared" si="9"/>
        <v/>
      </c>
    </row>
    <row r="49" spans="6:33" x14ac:dyDescent="0.3">
      <c r="F49" s="21"/>
      <c r="G49" s="11" t="str">
        <f t="shared" si="10"/>
        <v/>
      </c>
      <c r="J49" s="21"/>
      <c r="K49" s="21"/>
      <c r="M49" s="21"/>
      <c r="N49" s="21"/>
      <c r="P49" s="21"/>
      <c r="Q49" s="21"/>
      <c r="R49" s="21"/>
      <c r="V49" t="str">
        <f t="shared" si="0"/>
        <v/>
      </c>
      <c r="W49" t="str">
        <f>IF(V49="",(""),(INDEX('Base de Datos'!$A$3:$B$7,(MATCH(V49,'Base de Datos'!$A$3:$A$7,0)),(2))))</f>
        <v/>
      </c>
      <c r="X49" t="str">
        <f t="shared" si="1"/>
        <v/>
      </c>
      <c r="Y49" s="20" t="str">
        <f t="shared" si="2"/>
        <v/>
      </c>
      <c r="Z49" s="7" t="str">
        <f t="shared" si="3"/>
        <v/>
      </c>
      <c r="AA49" s="20" t="str">
        <f t="shared" si="4"/>
        <v/>
      </c>
      <c r="AB49" s="20" t="str">
        <f t="shared" si="5"/>
        <v/>
      </c>
      <c r="AC49" s="20" t="str">
        <f t="shared" si="12"/>
        <v/>
      </c>
      <c r="AD49" s="18" t="str">
        <f>IF(A49="","",IF(V49='Base de Datos'!$A$3,AB49/AA49,0))</f>
        <v/>
      </c>
      <c r="AE49" s="20" t="str">
        <f t="shared" si="7"/>
        <v/>
      </c>
      <c r="AF49" s="20" t="str">
        <f t="shared" si="8"/>
        <v/>
      </c>
      <c r="AG49" s="20" t="str">
        <f t="shared" si="9"/>
        <v/>
      </c>
    </row>
    <row r="50" spans="6:33" x14ac:dyDescent="0.3">
      <c r="F50" s="21"/>
      <c r="G50" s="11" t="str">
        <f t="shared" si="10"/>
        <v/>
      </c>
      <c r="J50" s="21"/>
      <c r="K50" s="21"/>
      <c r="M50" s="21"/>
      <c r="N50" s="21"/>
      <c r="P50" s="21"/>
      <c r="Q50" s="21"/>
      <c r="R50" s="21"/>
      <c r="V50" t="str">
        <f t="shared" si="0"/>
        <v/>
      </c>
      <c r="W50" t="str">
        <f>IF(V50="",(""),(INDEX('Base de Datos'!$A$3:$B$7,(MATCH(V50,'Base de Datos'!$A$3:$A$7,0)),(2))))</f>
        <v/>
      </c>
      <c r="X50" t="str">
        <f t="shared" si="1"/>
        <v/>
      </c>
      <c r="Y50" s="20" t="str">
        <f t="shared" si="2"/>
        <v/>
      </c>
      <c r="Z50" s="7" t="str">
        <f t="shared" si="3"/>
        <v/>
      </c>
      <c r="AA50" s="20" t="str">
        <f t="shared" si="4"/>
        <v/>
      </c>
      <c r="AB50" s="20" t="str">
        <f t="shared" si="5"/>
        <v/>
      </c>
      <c r="AC50" s="20" t="str">
        <f t="shared" si="12"/>
        <v/>
      </c>
      <c r="AD50" s="18" t="str">
        <f>IF(A50="","",IF(V50='Base de Datos'!$A$3,AB50/AA50,0))</f>
        <v/>
      </c>
      <c r="AE50" s="20" t="str">
        <f t="shared" si="7"/>
        <v/>
      </c>
      <c r="AF50" s="20" t="str">
        <f t="shared" si="8"/>
        <v/>
      </c>
      <c r="AG50" s="20" t="str">
        <f t="shared" si="9"/>
        <v/>
      </c>
    </row>
    <row r="51" spans="6:33" x14ac:dyDescent="0.3">
      <c r="F51" s="21"/>
      <c r="G51" s="11" t="str">
        <f t="shared" si="10"/>
        <v/>
      </c>
      <c r="J51" s="21"/>
      <c r="K51" s="21"/>
      <c r="M51" s="21"/>
      <c r="N51" s="21"/>
      <c r="P51" s="21"/>
      <c r="Q51" s="21"/>
      <c r="R51" s="21"/>
      <c r="V51" t="str">
        <f t="shared" si="0"/>
        <v/>
      </c>
      <c r="W51" t="str">
        <f>IF(V51="",(""),(INDEX('Base de Datos'!$A$3:$B$7,(MATCH(V51,'Base de Datos'!$A$3:$A$7,0)),(2))))</f>
        <v/>
      </c>
      <c r="X51" t="str">
        <f t="shared" si="1"/>
        <v/>
      </c>
      <c r="Y51" s="20" t="str">
        <f t="shared" si="2"/>
        <v/>
      </c>
      <c r="Z51" s="7" t="str">
        <f t="shared" si="3"/>
        <v/>
      </c>
      <c r="AA51" s="20" t="str">
        <f t="shared" si="4"/>
        <v/>
      </c>
      <c r="AB51" s="20" t="str">
        <f t="shared" si="5"/>
        <v/>
      </c>
      <c r="AC51" s="20" t="str">
        <f t="shared" si="12"/>
        <v/>
      </c>
      <c r="AD51" s="18" t="str">
        <f>IF(A51="","",IF(V51='Base de Datos'!$A$3,AB51/AA51,0))</f>
        <v/>
      </c>
      <c r="AE51" s="20" t="str">
        <f t="shared" si="7"/>
        <v/>
      </c>
      <c r="AF51" s="20" t="str">
        <f t="shared" si="8"/>
        <v/>
      </c>
      <c r="AG51" s="20" t="str">
        <f t="shared" si="9"/>
        <v/>
      </c>
    </row>
    <row r="52" spans="6:33" x14ac:dyDescent="0.3">
      <c r="F52" s="21"/>
      <c r="G52" s="11" t="str">
        <f t="shared" si="10"/>
        <v/>
      </c>
      <c r="J52" s="21"/>
      <c r="K52" s="21"/>
      <c r="M52" s="21"/>
      <c r="N52" s="21"/>
      <c r="P52" s="21"/>
      <c r="Q52" s="21"/>
      <c r="R52" s="21"/>
      <c r="V52" t="str">
        <f t="shared" si="0"/>
        <v/>
      </c>
      <c r="W52" t="str">
        <f>IF(V52="",(""),(INDEX('Base de Datos'!$A$3:$B$7,(MATCH(V52,'Base de Datos'!$A$3:$A$7,0)),(2))))</f>
        <v/>
      </c>
      <c r="X52" t="str">
        <f t="shared" si="1"/>
        <v/>
      </c>
      <c r="Y52" s="20" t="str">
        <f t="shared" si="2"/>
        <v/>
      </c>
      <c r="Z52" s="7" t="str">
        <f t="shared" si="3"/>
        <v/>
      </c>
      <c r="AA52" s="20" t="str">
        <f t="shared" si="4"/>
        <v/>
      </c>
      <c r="AB52" s="20" t="str">
        <f t="shared" si="5"/>
        <v/>
      </c>
      <c r="AC52" s="20" t="str">
        <f t="shared" si="12"/>
        <v/>
      </c>
      <c r="AD52" s="18" t="str">
        <f>IF(A52="","",IF(V52='Base de Datos'!$A$3,AB52/AA52,0))</f>
        <v/>
      </c>
      <c r="AE52" s="20" t="str">
        <f t="shared" si="7"/>
        <v/>
      </c>
      <c r="AF52" s="20" t="str">
        <f t="shared" si="8"/>
        <v/>
      </c>
      <c r="AG52" s="20" t="str">
        <f t="shared" si="9"/>
        <v/>
      </c>
    </row>
    <row r="53" spans="6:33" x14ac:dyDescent="0.3">
      <c r="F53" s="21"/>
      <c r="G53" s="11" t="str">
        <f t="shared" si="10"/>
        <v/>
      </c>
      <c r="J53" s="21"/>
      <c r="K53" s="21"/>
      <c r="M53" s="21"/>
      <c r="N53" s="21"/>
      <c r="P53" s="21"/>
      <c r="Q53" s="21"/>
      <c r="R53" s="21"/>
      <c r="V53" t="str">
        <f t="shared" si="0"/>
        <v/>
      </c>
      <c r="W53" t="str">
        <f>IF(V53="",(""),(INDEX('Base de Datos'!$A$3:$B$7,(MATCH(V53,'Base de Datos'!$A$3:$A$7,0)),(2))))</f>
        <v/>
      </c>
      <c r="X53" t="str">
        <f t="shared" si="1"/>
        <v/>
      </c>
      <c r="Y53" s="20" t="str">
        <f t="shared" si="2"/>
        <v/>
      </c>
      <c r="Z53" s="7" t="str">
        <f t="shared" si="3"/>
        <v/>
      </c>
      <c r="AA53" s="20" t="str">
        <f t="shared" si="4"/>
        <v/>
      </c>
      <c r="AB53" s="20" t="str">
        <f t="shared" si="5"/>
        <v/>
      </c>
      <c r="AC53" s="20" t="str">
        <f t="shared" si="12"/>
        <v/>
      </c>
      <c r="AD53" s="18" t="str">
        <f>IF(A53="","",IF(V53='Base de Datos'!$A$3,AB53/AA53,0))</f>
        <v/>
      </c>
      <c r="AE53" s="20" t="str">
        <f t="shared" si="7"/>
        <v/>
      </c>
      <c r="AF53" s="20" t="str">
        <f t="shared" si="8"/>
        <v/>
      </c>
      <c r="AG53" s="20" t="str">
        <f t="shared" si="9"/>
        <v/>
      </c>
    </row>
    <row r="54" spans="6:33" x14ac:dyDescent="0.3">
      <c r="F54" s="21"/>
      <c r="G54" s="11" t="str">
        <f t="shared" si="10"/>
        <v/>
      </c>
      <c r="J54" s="21"/>
      <c r="K54" s="21"/>
      <c r="M54" s="21"/>
      <c r="N54" s="21"/>
      <c r="P54" s="21"/>
      <c r="Q54" s="21"/>
      <c r="R54" s="21"/>
      <c r="V54" t="str">
        <f t="shared" si="0"/>
        <v/>
      </c>
      <c r="W54" t="str">
        <f>IF(V54="",(""),(INDEX('Base de Datos'!$A$3:$B$7,(MATCH(V54,'Base de Datos'!$A$3:$A$7,0)),(2))))</f>
        <v/>
      </c>
      <c r="X54" t="str">
        <f t="shared" si="1"/>
        <v/>
      </c>
      <c r="Y54" s="20" t="str">
        <f t="shared" si="2"/>
        <v/>
      </c>
      <c r="Z54" s="7" t="str">
        <f t="shared" si="3"/>
        <v/>
      </c>
      <c r="AA54" s="20" t="str">
        <f t="shared" si="4"/>
        <v/>
      </c>
      <c r="AB54" s="20" t="str">
        <f t="shared" si="5"/>
        <v/>
      </c>
      <c r="AC54" s="20" t="str">
        <f t="shared" si="12"/>
        <v/>
      </c>
      <c r="AD54" s="18" t="str">
        <f>IF(A54="","",IF(V54='Base de Datos'!$A$3,AB54/AA54,0))</f>
        <v/>
      </c>
      <c r="AE54" s="20" t="str">
        <f t="shared" si="7"/>
        <v/>
      </c>
      <c r="AF54" s="20" t="str">
        <f t="shared" si="8"/>
        <v/>
      </c>
      <c r="AG54" s="20" t="str">
        <f t="shared" si="9"/>
        <v/>
      </c>
    </row>
    <row r="55" spans="6:33" x14ac:dyDescent="0.3">
      <c r="F55" s="21"/>
      <c r="G55" s="11" t="str">
        <f t="shared" si="10"/>
        <v/>
      </c>
      <c r="J55" s="21"/>
      <c r="K55" s="21"/>
      <c r="M55" s="21"/>
      <c r="N55" s="21"/>
      <c r="P55" s="21"/>
      <c r="Q55" s="21"/>
      <c r="R55" s="21"/>
      <c r="V55" t="str">
        <f t="shared" si="0"/>
        <v/>
      </c>
      <c r="W55" t="str">
        <f>IF(V55="",(""),(INDEX('Base de Datos'!$A$3:$B$7,(MATCH(V55,'Base de Datos'!$A$3:$A$7,0)),(2))))</f>
        <v/>
      </c>
      <c r="X55" t="str">
        <f t="shared" si="1"/>
        <v/>
      </c>
      <c r="Y55" s="20" t="str">
        <f t="shared" si="2"/>
        <v/>
      </c>
      <c r="Z55" s="7" t="str">
        <f t="shared" si="3"/>
        <v/>
      </c>
      <c r="AA55" s="20" t="str">
        <f t="shared" si="4"/>
        <v/>
      </c>
      <c r="AB55" s="20" t="str">
        <f t="shared" si="5"/>
        <v/>
      </c>
      <c r="AC55" s="20" t="str">
        <f t="shared" si="12"/>
        <v/>
      </c>
      <c r="AD55" s="18" t="str">
        <f>IF(A55="","",IF(V55='Base de Datos'!$A$3,AB55/AA55,0))</f>
        <v/>
      </c>
      <c r="AE55" s="20" t="str">
        <f t="shared" si="7"/>
        <v/>
      </c>
      <c r="AF55" s="20" t="str">
        <f t="shared" si="8"/>
        <v/>
      </c>
      <c r="AG55" s="20" t="str">
        <f t="shared" si="9"/>
        <v/>
      </c>
    </row>
    <row r="56" spans="6:33" x14ac:dyDescent="0.3">
      <c r="F56" s="21"/>
      <c r="G56" s="11" t="str">
        <f t="shared" si="10"/>
        <v/>
      </c>
      <c r="J56" s="21"/>
      <c r="K56" s="21"/>
      <c r="M56" s="21"/>
      <c r="N56" s="21"/>
      <c r="P56" s="21"/>
      <c r="Q56" s="21"/>
      <c r="R56" s="21"/>
      <c r="V56" t="str">
        <f t="shared" si="0"/>
        <v/>
      </c>
      <c r="W56" t="str">
        <f>IF(V56="",(""),(INDEX('Base de Datos'!$A$3:$B$7,(MATCH(V56,'Base de Datos'!$A$3:$A$7,0)),(2))))</f>
        <v/>
      </c>
      <c r="X56" t="str">
        <f t="shared" si="1"/>
        <v/>
      </c>
      <c r="Y56" s="20" t="str">
        <f t="shared" si="2"/>
        <v/>
      </c>
      <c r="Z56" s="7" t="str">
        <f t="shared" si="3"/>
        <v/>
      </c>
      <c r="AA56" s="20" t="str">
        <f t="shared" si="4"/>
        <v/>
      </c>
      <c r="AB56" s="20" t="str">
        <f t="shared" si="5"/>
        <v/>
      </c>
      <c r="AC56" s="20" t="str">
        <f t="shared" si="12"/>
        <v/>
      </c>
      <c r="AD56" s="18" t="str">
        <f>IF(A56="","",IF(V56='Base de Datos'!$A$3,AB56/AA56,0))</f>
        <v/>
      </c>
      <c r="AE56" s="20" t="str">
        <f t="shared" si="7"/>
        <v/>
      </c>
      <c r="AF56" s="20" t="str">
        <f t="shared" si="8"/>
        <v/>
      </c>
      <c r="AG56" s="20" t="str">
        <f t="shared" si="9"/>
        <v/>
      </c>
    </row>
    <row r="57" spans="6:33" x14ac:dyDescent="0.3">
      <c r="F57" s="21"/>
      <c r="G57" s="11" t="str">
        <f t="shared" si="10"/>
        <v/>
      </c>
      <c r="J57" s="21"/>
      <c r="K57" s="21"/>
      <c r="M57" s="21"/>
      <c r="N57" s="21"/>
      <c r="P57" s="21"/>
      <c r="Q57" s="21"/>
      <c r="R57" s="21"/>
      <c r="V57" t="str">
        <f t="shared" si="0"/>
        <v/>
      </c>
      <c r="W57" t="str">
        <f>IF(V57="",(""),(INDEX('Base de Datos'!$A$3:$B$7,(MATCH(V57,'Base de Datos'!$A$3:$A$7,0)),(2))))</f>
        <v/>
      </c>
      <c r="X57" t="str">
        <f t="shared" si="1"/>
        <v/>
      </c>
      <c r="Y57" s="20" t="str">
        <f t="shared" si="2"/>
        <v/>
      </c>
      <c r="Z57" s="7" t="str">
        <f t="shared" si="3"/>
        <v/>
      </c>
      <c r="AA57" s="20" t="str">
        <f t="shared" si="4"/>
        <v/>
      </c>
      <c r="AB57" s="20" t="str">
        <f t="shared" si="5"/>
        <v/>
      </c>
      <c r="AC57" s="20" t="str">
        <f t="shared" si="12"/>
        <v/>
      </c>
      <c r="AD57" s="18" t="str">
        <f>IF(A57="","",IF(V57='Base de Datos'!$A$3,AB57/AA57,0))</f>
        <v/>
      </c>
      <c r="AE57" s="20" t="str">
        <f t="shared" si="7"/>
        <v/>
      </c>
      <c r="AF57" s="20" t="str">
        <f t="shared" si="8"/>
        <v/>
      </c>
      <c r="AG57" s="20" t="str">
        <f t="shared" si="9"/>
        <v/>
      </c>
    </row>
    <row r="58" spans="6:33" x14ac:dyDescent="0.3">
      <c r="F58" s="21"/>
      <c r="G58" s="11" t="str">
        <f t="shared" si="10"/>
        <v/>
      </c>
      <c r="J58" s="21"/>
      <c r="K58" s="21"/>
      <c r="M58" s="21"/>
      <c r="N58" s="21"/>
      <c r="P58" s="21"/>
      <c r="Q58" s="21"/>
      <c r="R58" s="21"/>
      <c r="V58" t="str">
        <f t="shared" si="0"/>
        <v/>
      </c>
      <c r="W58" t="str">
        <f>IF(V58="",(""),(INDEX('Base de Datos'!$A$3:$B$7,(MATCH(V58,'Base de Datos'!$A$3:$A$7,0)),(2))))</f>
        <v/>
      </c>
      <c r="X58" t="str">
        <f t="shared" si="1"/>
        <v/>
      </c>
      <c r="Y58" s="20" t="str">
        <f t="shared" si="2"/>
        <v/>
      </c>
      <c r="Z58" s="7" t="str">
        <f t="shared" si="3"/>
        <v/>
      </c>
      <c r="AA58" s="20" t="str">
        <f t="shared" si="4"/>
        <v/>
      </c>
      <c r="AB58" s="20" t="str">
        <f t="shared" si="5"/>
        <v/>
      </c>
      <c r="AC58" s="20" t="str">
        <f t="shared" si="12"/>
        <v/>
      </c>
      <c r="AD58" s="18" t="str">
        <f>IF(A58="","",IF(V58='Base de Datos'!$A$3,AB58/AA58,0))</f>
        <v/>
      </c>
      <c r="AE58" s="20" t="str">
        <f t="shared" si="7"/>
        <v/>
      </c>
      <c r="AF58" s="20" t="str">
        <f t="shared" si="8"/>
        <v/>
      </c>
      <c r="AG58" s="20" t="str">
        <f t="shared" si="9"/>
        <v/>
      </c>
    </row>
    <row r="59" spans="6:33" x14ac:dyDescent="0.3">
      <c r="F59" s="21"/>
      <c r="G59" s="11" t="str">
        <f t="shared" si="10"/>
        <v/>
      </c>
      <c r="J59" s="21"/>
      <c r="K59" s="21"/>
      <c r="M59" s="21"/>
      <c r="N59" s="21"/>
      <c r="P59" s="21"/>
      <c r="Q59" s="21"/>
      <c r="R59" s="21"/>
      <c r="V59" t="str">
        <f t="shared" si="0"/>
        <v/>
      </c>
      <c r="W59" t="str">
        <f>IF(V59="",(""),(INDEX('Base de Datos'!$A$3:$B$7,(MATCH(V59,'Base de Datos'!$A$3:$A$7,0)),(2))))</f>
        <v/>
      </c>
      <c r="X59" t="str">
        <f t="shared" si="1"/>
        <v/>
      </c>
      <c r="Y59" s="20" t="str">
        <f t="shared" si="2"/>
        <v/>
      </c>
      <c r="Z59" s="7" t="str">
        <f t="shared" si="3"/>
        <v/>
      </c>
      <c r="AA59" s="20" t="str">
        <f t="shared" si="4"/>
        <v/>
      </c>
      <c r="AB59" s="20" t="str">
        <f t="shared" si="5"/>
        <v/>
      </c>
      <c r="AC59" s="20" t="str">
        <f t="shared" si="12"/>
        <v/>
      </c>
      <c r="AD59" s="18" t="str">
        <f>IF(A59="","",IF(V59='Base de Datos'!$A$3,AB59/AA59,0))</f>
        <v/>
      </c>
      <c r="AE59" s="20" t="str">
        <f t="shared" si="7"/>
        <v/>
      </c>
      <c r="AF59" s="20" t="str">
        <f t="shared" si="8"/>
        <v/>
      </c>
      <c r="AG59" s="20" t="str">
        <f t="shared" si="9"/>
        <v/>
      </c>
    </row>
    <row r="60" spans="6:33" x14ac:dyDescent="0.3">
      <c r="F60" s="21"/>
      <c r="G60" s="11" t="str">
        <f t="shared" si="10"/>
        <v/>
      </c>
      <c r="J60" s="21"/>
      <c r="K60" s="21"/>
      <c r="M60" s="21"/>
      <c r="N60" s="21"/>
      <c r="P60" s="21"/>
      <c r="Q60" s="21"/>
      <c r="R60" s="21"/>
      <c r="V60" t="str">
        <f t="shared" si="0"/>
        <v/>
      </c>
      <c r="W60" t="str">
        <f>IF(V60="",(""),(INDEX('Base de Datos'!$A$3:$B$7,(MATCH(V60,'Base de Datos'!$A$3:$A$7,0)),(2))))</f>
        <v/>
      </c>
      <c r="X60" t="str">
        <f t="shared" si="1"/>
        <v/>
      </c>
      <c r="Y60" s="20" t="str">
        <f t="shared" si="2"/>
        <v/>
      </c>
      <c r="Z60" s="7" t="str">
        <f t="shared" si="3"/>
        <v/>
      </c>
      <c r="AA60" s="20" t="str">
        <f t="shared" si="4"/>
        <v/>
      </c>
      <c r="AB60" s="20" t="str">
        <f t="shared" si="5"/>
        <v/>
      </c>
      <c r="AC60" s="20" t="str">
        <f t="shared" si="12"/>
        <v/>
      </c>
      <c r="AD60" s="18" t="str">
        <f>IF(A60="","",IF(V60='Base de Datos'!$A$3,AB60/AA60,0))</f>
        <v/>
      </c>
      <c r="AE60" s="20" t="str">
        <f t="shared" si="7"/>
        <v/>
      </c>
      <c r="AF60" s="20" t="str">
        <f t="shared" si="8"/>
        <v/>
      </c>
      <c r="AG60" s="20" t="str">
        <f t="shared" si="9"/>
        <v/>
      </c>
    </row>
    <row r="61" spans="6:33" x14ac:dyDescent="0.3">
      <c r="F61" s="21"/>
      <c r="G61" s="11" t="str">
        <f t="shared" si="10"/>
        <v/>
      </c>
      <c r="J61" s="21"/>
      <c r="K61" s="21"/>
      <c r="M61" s="21"/>
      <c r="N61" s="21"/>
      <c r="P61" s="21"/>
      <c r="Q61" s="21"/>
      <c r="R61" s="21"/>
      <c r="V61" t="str">
        <f t="shared" si="0"/>
        <v/>
      </c>
      <c r="W61" t="str">
        <f>IF(V61="",(""),(INDEX('Base de Datos'!$A$3:$B$7,(MATCH(V61,'Base de Datos'!$A$3:$A$7,0)),(2))))</f>
        <v/>
      </c>
      <c r="X61" t="str">
        <f t="shared" si="1"/>
        <v/>
      </c>
      <c r="Y61" s="20" t="str">
        <f t="shared" si="2"/>
        <v/>
      </c>
      <c r="Z61" s="7" t="str">
        <f t="shared" si="3"/>
        <v/>
      </c>
      <c r="AA61" s="20" t="str">
        <f t="shared" si="4"/>
        <v/>
      </c>
      <c r="AB61" s="20" t="str">
        <f t="shared" si="5"/>
        <v/>
      </c>
      <c r="AC61" s="20" t="str">
        <f t="shared" si="12"/>
        <v/>
      </c>
      <c r="AD61" s="18" t="str">
        <f>IF(A61="","",IF(V61='Base de Datos'!$A$3,AB61/AA61,0))</f>
        <v/>
      </c>
      <c r="AE61" s="20" t="str">
        <f t="shared" si="7"/>
        <v/>
      </c>
      <c r="AF61" s="20" t="str">
        <f t="shared" si="8"/>
        <v/>
      </c>
      <c r="AG61" s="20" t="str">
        <f t="shared" si="9"/>
        <v/>
      </c>
    </row>
    <row r="62" spans="6:33" x14ac:dyDescent="0.3">
      <c r="F62" s="21"/>
      <c r="G62" s="11" t="str">
        <f t="shared" si="10"/>
        <v/>
      </c>
      <c r="J62" s="21"/>
      <c r="K62" s="21"/>
      <c r="M62" s="21"/>
      <c r="N62" s="21"/>
      <c r="P62" s="21"/>
      <c r="Q62" s="21"/>
      <c r="R62" s="21"/>
      <c r="V62" t="str">
        <f t="shared" si="0"/>
        <v/>
      </c>
      <c r="W62" t="str">
        <f>IF(V62="",(""),(INDEX('Base de Datos'!$A$3:$B$7,(MATCH(V62,'Base de Datos'!$A$3:$A$7,0)),(2))))</f>
        <v/>
      </c>
      <c r="X62" t="str">
        <f t="shared" si="1"/>
        <v/>
      </c>
      <c r="Y62" s="20" t="str">
        <f t="shared" si="2"/>
        <v/>
      </c>
      <c r="Z62" s="7" t="str">
        <f t="shared" si="3"/>
        <v/>
      </c>
      <c r="AA62" s="20" t="str">
        <f t="shared" si="4"/>
        <v/>
      </c>
      <c r="AB62" s="20" t="str">
        <f t="shared" si="5"/>
        <v/>
      </c>
      <c r="AC62" s="20" t="str">
        <f t="shared" si="12"/>
        <v/>
      </c>
      <c r="AD62" s="18" t="str">
        <f>IF(A62="","",IF(V62='Base de Datos'!$A$3,AB62/AA62,0))</f>
        <v/>
      </c>
      <c r="AE62" s="20" t="str">
        <f t="shared" si="7"/>
        <v/>
      </c>
      <c r="AF62" s="20" t="str">
        <f t="shared" si="8"/>
        <v/>
      </c>
      <c r="AG62" s="20" t="str">
        <f t="shared" si="9"/>
        <v/>
      </c>
    </row>
    <row r="63" spans="6:33" x14ac:dyDescent="0.3">
      <c r="F63" s="21"/>
      <c r="G63" s="11" t="str">
        <f t="shared" si="10"/>
        <v/>
      </c>
      <c r="J63" s="21"/>
      <c r="K63" s="21"/>
      <c r="M63" s="21"/>
      <c r="N63" s="21"/>
      <c r="P63" s="21"/>
      <c r="Q63" s="21"/>
      <c r="R63" s="21"/>
      <c r="V63" t="str">
        <f t="shared" si="0"/>
        <v/>
      </c>
      <c r="W63" t="str">
        <f>IF(V63="",(""),(INDEX('Base de Datos'!$A$3:$B$7,(MATCH(V63,'Base de Datos'!$A$3:$A$7,0)),(2))))</f>
        <v/>
      </c>
      <c r="X63" t="str">
        <f t="shared" si="1"/>
        <v/>
      </c>
      <c r="Y63" s="20" t="str">
        <f t="shared" si="2"/>
        <v/>
      </c>
      <c r="Z63" s="7" t="str">
        <f t="shared" si="3"/>
        <v/>
      </c>
      <c r="AA63" s="20" t="str">
        <f t="shared" si="4"/>
        <v/>
      </c>
      <c r="AB63" s="20" t="str">
        <f t="shared" si="5"/>
        <v/>
      </c>
      <c r="AC63" s="20" t="str">
        <f t="shared" si="12"/>
        <v/>
      </c>
      <c r="AD63" s="18" t="str">
        <f>IF(A63="","",IF(V63='Base de Datos'!$A$3,AB63/AA63,0))</f>
        <v/>
      </c>
      <c r="AE63" s="20" t="str">
        <f t="shared" si="7"/>
        <v/>
      </c>
      <c r="AF63" s="20" t="str">
        <f t="shared" si="8"/>
        <v/>
      </c>
      <c r="AG63" s="20" t="str">
        <f t="shared" si="9"/>
        <v/>
      </c>
    </row>
    <row r="64" spans="6:33" x14ac:dyDescent="0.3">
      <c r="F64" s="21"/>
      <c r="G64" s="11" t="str">
        <f t="shared" si="10"/>
        <v/>
      </c>
      <c r="J64" s="21"/>
      <c r="K64" s="21"/>
      <c r="M64" s="21"/>
      <c r="N64" s="21"/>
      <c r="P64" s="21"/>
      <c r="Q64" s="21"/>
      <c r="R64" s="21"/>
      <c r="V64" t="str">
        <f t="shared" si="0"/>
        <v/>
      </c>
      <c r="W64" t="str">
        <f>IF(V64="",(""),(INDEX('Base de Datos'!$A$3:$B$7,(MATCH(V64,'Base de Datos'!$A$3:$A$7,0)),(2))))</f>
        <v/>
      </c>
      <c r="X64" t="str">
        <f t="shared" si="1"/>
        <v/>
      </c>
      <c r="Y64" s="20" t="str">
        <f t="shared" si="2"/>
        <v/>
      </c>
      <c r="Z64" s="7" t="str">
        <f t="shared" si="3"/>
        <v/>
      </c>
      <c r="AA64" s="20" t="str">
        <f t="shared" si="4"/>
        <v/>
      </c>
      <c r="AB64" s="20" t="str">
        <f t="shared" si="5"/>
        <v/>
      </c>
      <c r="AC64" s="20" t="str">
        <f t="shared" si="12"/>
        <v/>
      </c>
      <c r="AD64" s="18" t="str">
        <f>IF(A64="","",IF(V64='Base de Datos'!$A$3,AB64/AA64,0))</f>
        <v/>
      </c>
      <c r="AE64" s="20" t="str">
        <f t="shared" si="7"/>
        <v/>
      </c>
      <c r="AF64" s="20" t="str">
        <f t="shared" si="8"/>
        <v/>
      </c>
      <c r="AG64" s="20" t="str">
        <f t="shared" si="9"/>
        <v/>
      </c>
    </row>
    <row r="65" spans="6:33" x14ac:dyDescent="0.3">
      <c r="F65" s="21"/>
      <c r="G65" s="11" t="str">
        <f t="shared" si="10"/>
        <v/>
      </c>
      <c r="J65" s="21"/>
      <c r="K65" s="21"/>
      <c r="M65" s="21"/>
      <c r="N65" s="21"/>
      <c r="P65" s="21"/>
      <c r="Q65" s="21"/>
      <c r="R65" s="21"/>
      <c r="V65" t="str">
        <f t="shared" si="0"/>
        <v/>
      </c>
      <c r="W65" t="str">
        <f>IF(V65="",(""),(INDEX('Base de Datos'!$A$3:$B$7,(MATCH(V65,'Base de Datos'!$A$3:$A$7,0)),(2))))</f>
        <v/>
      </c>
      <c r="X65" t="str">
        <f t="shared" si="1"/>
        <v/>
      </c>
      <c r="Y65" s="20" t="str">
        <f t="shared" si="2"/>
        <v/>
      </c>
      <c r="Z65" s="7" t="str">
        <f t="shared" si="3"/>
        <v/>
      </c>
      <c r="AA65" s="20" t="str">
        <f t="shared" si="4"/>
        <v/>
      </c>
      <c r="AB65" s="20" t="str">
        <f t="shared" si="5"/>
        <v/>
      </c>
      <c r="AC65" s="20" t="str">
        <f t="shared" si="12"/>
        <v/>
      </c>
      <c r="AD65" s="18" t="str">
        <f>IF(A65="","",IF(V65='Base de Datos'!$A$3,AB65/AA65,0))</f>
        <v/>
      </c>
      <c r="AE65" s="20" t="str">
        <f t="shared" si="7"/>
        <v/>
      </c>
      <c r="AF65" s="20" t="str">
        <f t="shared" si="8"/>
        <v/>
      </c>
      <c r="AG65" s="20" t="str">
        <f t="shared" si="9"/>
        <v/>
      </c>
    </row>
    <row r="66" spans="6:33" x14ac:dyDescent="0.3">
      <c r="F66" s="21"/>
      <c r="G66" s="11" t="str">
        <f t="shared" si="10"/>
        <v/>
      </c>
      <c r="J66" s="21"/>
      <c r="K66" s="21"/>
      <c r="M66" s="21"/>
      <c r="N66" s="21"/>
      <c r="P66" s="21"/>
      <c r="Q66" s="21"/>
      <c r="R66" s="21"/>
      <c r="V66" t="str">
        <f t="shared" si="0"/>
        <v/>
      </c>
      <c r="W66" t="str">
        <f>IF(V66="",(""),(INDEX('Base de Datos'!$A$3:$B$7,(MATCH(V66,'Base de Datos'!$A$3:$A$7,0)),(2))))</f>
        <v/>
      </c>
      <c r="X66" t="str">
        <f t="shared" si="1"/>
        <v/>
      </c>
      <c r="Y66" s="20" t="str">
        <f t="shared" si="2"/>
        <v/>
      </c>
      <c r="Z66" s="7" t="str">
        <f t="shared" si="3"/>
        <v/>
      </c>
      <c r="AA66" s="20" t="str">
        <f t="shared" si="4"/>
        <v/>
      </c>
      <c r="AB66" s="20" t="str">
        <f t="shared" si="5"/>
        <v/>
      </c>
      <c r="AC66" s="20" t="str">
        <f t="shared" si="12"/>
        <v/>
      </c>
      <c r="AD66" s="18" t="str">
        <f>IF(A66="","",IF(V66='Base de Datos'!$A$3,AB66/AA66,0))</f>
        <v/>
      </c>
      <c r="AE66" s="20" t="str">
        <f t="shared" si="7"/>
        <v/>
      </c>
      <c r="AF66" s="20" t="str">
        <f t="shared" si="8"/>
        <v/>
      </c>
      <c r="AG66" s="20" t="str">
        <f t="shared" si="9"/>
        <v/>
      </c>
    </row>
    <row r="67" spans="6:33" x14ac:dyDescent="0.3">
      <c r="F67" s="21"/>
      <c r="G67" s="11" t="str">
        <f t="shared" si="10"/>
        <v/>
      </c>
      <c r="J67" s="21"/>
      <c r="K67" s="21"/>
      <c r="M67" s="21"/>
      <c r="N67" s="21"/>
      <c r="P67" s="21"/>
      <c r="Q67" s="21"/>
      <c r="R67" s="21"/>
      <c r="V67" t="str">
        <f t="shared" si="0"/>
        <v/>
      </c>
      <c r="W67" t="str">
        <f>IF(V67="",(""),(INDEX('Base de Datos'!$A$3:$B$7,(MATCH(V67,'Base de Datos'!$A$3:$A$7,0)),(2))))</f>
        <v/>
      </c>
      <c r="X67" t="str">
        <f t="shared" si="1"/>
        <v/>
      </c>
      <c r="Y67" s="20" t="str">
        <f t="shared" si="2"/>
        <v/>
      </c>
      <c r="Z67" s="7" t="str">
        <f t="shared" si="3"/>
        <v/>
      </c>
      <c r="AA67" s="20" t="str">
        <f t="shared" si="4"/>
        <v/>
      </c>
      <c r="AB67" s="20" t="str">
        <f t="shared" si="5"/>
        <v/>
      </c>
      <c r="AC67" s="20" t="str">
        <f t="shared" si="12"/>
        <v/>
      </c>
      <c r="AD67" s="18" t="str">
        <f>IF(A67="","",IF(V67='Base de Datos'!$A$3,AB67/AA67,0))</f>
        <v/>
      </c>
      <c r="AE67" s="20" t="str">
        <f t="shared" si="7"/>
        <v/>
      </c>
      <c r="AF67" s="20" t="str">
        <f t="shared" si="8"/>
        <v/>
      </c>
      <c r="AG67" s="20" t="str">
        <f t="shared" si="9"/>
        <v/>
      </c>
    </row>
    <row r="68" spans="6:33" x14ac:dyDescent="0.3">
      <c r="F68" s="21"/>
      <c r="G68" s="11" t="str">
        <f t="shared" si="10"/>
        <v/>
      </c>
      <c r="J68" s="21"/>
      <c r="K68" s="21"/>
      <c r="M68" s="21"/>
      <c r="N68" s="21"/>
      <c r="P68" s="21"/>
      <c r="Q68" s="21"/>
      <c r="R68" s="21"/>
      <c r="V68" t="str">
        <f t="shared" ref="V68:V131" si="13">IF(E68="","",VALUE(MID(E68,1,4)))</f>
        <v/>
      </c>
      <c r="W68" t="str">
        <f>IF(V68="",(""),(INDEX('Base de Datos'!$A$3:$B$7,(MATCH(V68,'Base de Datos'!$A$3:$A$7,0)),(2))))</f>
        <v/>
      </c>
      <c r="X68" t="str">
        <f t="shared" ref="X68:X131" si="14">IF(H68="",(""),(H68))</f>
        <v/>
      </c>
      <c r="Y68" s="20" t="str">
        <f t="shared" ref="Y68:Y131" si="15">IF(A68="",(""),(R68/I68))</f>
        <v/>
      </c>
      <c r="Z68" s="7" t="str">
        <f t="shared" ref="Z68:Z131" si="16">IF(B68="",(""),(I68))</f>
        <v/>
      </c>
      <c r="AA68" s="20" t="str">
        <f t="shared" ref="AA68:AA131" si="17">IF(K68="",(""),(K68))</f>
        <v/>
      </c>
      <c r="AB68" s="20" t="str">
        <f t="shared" ref="AB68:AB131" si="18">IF(Q68="",(""),(Q68))</f>
        <v/>
      </c>
      <c r="AC68" s="20" t="str">
        <f t="shared" ref="AC68:AC131" si="19">IF(R68="",(""),(R68))</f>
        <v/>
      </c>
      <c r="AD68" s="18" t="str">
        <f>IF(A68="","",IF(V68='Base de Datos'!$A$3,AB68/AA68,0))</f>
        <v/>
      </c>
      <c r="AE68" s="20" t="str">
        <f t="shared" ref="AE68:AE131" si="20">IF(A68="",(""),(AC68/Z68))</f>
        <v/>
      </c>
      <c r="AF68" s="20" t="str">
        <f t="shared" ref="AF68:AF131" si="21">IF(A68="",(""),(IF(AB68="",(0),((AB68/Z68)))))</f>
        <v/>
      </c>
      <c r="AG68" s="20" t="str">
        <f t="shared" ref="AG68:AG131" si="22">IF(A68="",(""),(AF68+AE68))</f>
        <v/>
      </c>
    </row>
    <row r="69" spans="6:33" x14ac:dyDescent="0.3">
      <c r="F69" s="21"/>
      <c r="G69" s="11" t="str">
        <f t="shared" ref="G69:G115" si="23">IF(A69="",(""),((J69/F69)*100000))</f>
        <v/>
      </c>
      <c r="J69" s="21"/>
      <c r="K69" s="21"/>
      <c r="M69" s="21"/>
      <c r="N69" s="21"/>
      <c r="P69" s="21"/>
      <c r="Q69" s="21"/>
      <c r="R69" s="21"/>
      <c r="V69" t="str">
        <f t="shared" si="13"/>
        <v/>
      </c>
      <c r="W69" t="str">
        <f>IF(V69="",(""),(INDEX('Base de Datos'!$A$3:$B$7,(MATCH(V69,'Base de Datos'!$A$3:$A$7,0)),(2))))</f>
        <v/>
      </c>
      <c r="X69" t="str">
        <f t="shared" si="14"/>
        <v/>
      </c>
      <c r="Y69" s="20" t="str">
        <f t="shared" si="15"/>
        <v/>
      </c>
      <c r="Z69" s="7" t="str">
        <f t="shared" si="16"/>
        <v/>
      </c>
      <c r="AA69" s="20" t="str">
        <f t="shared" si="17"/>
        <v/>
      </c>
      <c r="AB69" s="20" t="str">
        <f t="shared" si="18"/>
        <v/>
      </c>
      <c r="AC69" s="20" t="str">
        <f t="shared" si="19"/>
        <v/>
      </c>
      <c r="AD69" s="18" t="str">
        <f>IF(A69="","",IF(V69='Base de Datos'!$A$3,AB69/AA69,0))</f>
        <v/>
      </c>
      <c r="AE69" s="20" t="str">
        <f t="shared" si="20"/>
        <v/>
      </c>
      <c r="AF69" s="20" t="str">
        <f t="shared" si="21"/>
        <v/>
      </c>
      <c r="AG69" s="20" t="str">
        <f t="shared" si="22"/>
        <v/>
      </c>
    </row>
    <row r="70" spans="6:33" x14ac:dyDescent="0.3">
      <c r="F70" s="21"/>
      <c r="G70" s="11" t="str">
        <f t="shared" si="23"/>
        <v/>
      </c>
      <c r="J70" s="21"/>
      <c r="K70" s="21"/>
      <c r="M70" s="21"/>
      <c r="N70" s="21"/>
      <c r="P70" s="21"/>
      <c r="Q70" s="21"/>
      <c r="R70" s="21"/>
      <c r="V70" t="str">
        <f t="shared" si="13"/>
        <v/>
      </c>
      <c r="W70" t="str">
        <f>IF(V70="",(""),(INDEX('Base de Datos'!$A$3:$B$7,(MATCH(V70,'Base de Datos'!$A$3:$A$7,0)),(2))))</f>
        <v/>
      </c>
      <c r="X70" t="str">
        <f t="shared" si="14"/>
        <v/>
      </c>
      <c r="Y70" s="20" t="str">
        <f t="shared" si="15"/>
        <v/>
      </c>
      <c r="Z70" s="7" t="str">
        <f t="shared" si="16"/>
        <v/>
      </c>
      <c r="AA70" s="20" t="str">
        <f t="shared" si="17"/>
        <v/>
      </c>
      <c r="AB70" s="20" t="str">
        <f t="shared" si="18"/>
        <v/>
      </c>
      <c r="AC70" s="20" t="str">
        <f t="shared" si="19"/>
        <v/>
      </c>
      <c r="AD70" s="18" t="str">
        <f>IF(A70="","",IF(V70='Base de Datos'!$A$3,AB70/AA70,0))</f>
        <v/>
      </c>
      <c r="AE70" s="20" t="str">
        <f t="shared" si="20"/>
        <v/>
      </c>
      <c r="AF70" s="20" t="str">
        <f t="shared" si="21"/>
        <v/>
      </c>
      <c r="AG70" s="20" t="str">
        <f t="shared" si="22"/>
        <v/>
      </c>
    </row>
    <row r="71" spans="6:33" x14ac:dyDescent="0.3">
      <c r="F71" s="21"/>
      <c r="G71" s="11" t="str">
        <f t="shared" si="23"/>
        <v/>
      </c>
      <c r="J71" s="21"/>
      <c r="K71" s="21"/>
      <c r="M71" s="21"/>
      <c r="N71" s="21"/>
      <c r="P71" s="21"/>
      <c r="Q71" s="21"/>
      <c r="R71" s="21"/>
      <c r="V71" t="str">
        <f t="shared" si="13"/>
        <v/>
      </c>
      <c r="W71" t="str">
        <f>IF(V71="",(""),(INDEX('Base de Datos'!$A$3:$B$7,(MATCH(V71,'Base de Datos'!$A$3:$A$7,0)),(2))))</f>
        <v/>
      </c>
      <c r="X71" t="str">
        <f t="shared" si="14"/>
        <v/>
      </c>
      <c r="Y71" s="20" t="str">
        <f t="shared" si="15"/>
        <v/>
      </c>
      <c r="Z71" s="7" t="str">
        <f t="shared" si="16"/>
        <v/>
      </c>
      <c r="AA71" s="20" t="str">
        <f t="shared" si="17"/>
        <v/>
      </c>
      <c r="AB71" s="20" t="str">
        <f t="shared" si="18"/>
        <v/>
      </c>
      <c r="AC71" s="20" t="str">
        <f t="shared" si="19"/>
        <v/>
      </c>
      <c r="AD71" s="18" t="str">
        <f>IF(A71="","",IF(V71='Base de Datos'!$A$3,AB71/AA71,0))</f>
        <v/>
      </c>
      <c r="AE71" s="20" t="str">
        <f t="shared" si="20"/>
        <v/>
      </c>
      <c r="AF71" s="20" t="str">
        <f t="shared" si="21"/>
        <v/>
      </c>
      <c r="AG71" s="20" t="str">
        <f t="shared" si="22"/>
        <v/>
      </c>
    </row>
    <row r="72" spans="6:33" x14ac:dyDescent="0.3">
      <c r="F72" s="21"/>
      <c r="G72" s="11" t="str">
        <f t="shared" si="23"/>
        <v/>
      </c>
      <c r="J72" s="21"/>
      <c r="K72" s="21"/>
      <c r="M72" s="21"/>
      <c r="N72" s="21"/>
      <c r="P72" s="21"/>
      <c r="Q72" s="21"/>
      <c r="R72" s="21"/>
      <c r="V72" t="str">
        <f t="shared" si="13"/>
        <v/>
      </c>
      <c r="W72" t="str">
        <f>IF(V72="",(""),(INDEX('Base de Datos'!$A$3:$B$7,(MATCH(V72,'Base de Datos'!$A$3:$A$7,0)),(2))))</f>
        <v/>
      </c>
      <c r="X72" t="str">
        <f t="shared" si="14"/>
        <v/>
      </c>
      <c r="Y72" s="20" t="str">
        <f t="shared" si="15"/>
        <v/>
      </c>
      <c r="Z72" s="7" t="str">
        <f t="shared" si="16"/>
        <v/>
      </c>
      <c r="AA72" s="20" t="str">
        <f t="shared" si="17"/>
        <v/>
      </c>
      <c r="AB72" s="20" t="str">
        <f t="shared" si="18"/>
        <v/>
      </c>
      <c r="AC72" s="20" t="str">
        <f t="shared" si="19"/>
        <v/>
      </c>
      <c r="AD72" s="18" t="str">
        <f>IF(A72="","",IF(V72='Base de Datos'!$A$3,AB72/AA72,0))</f>
        <v/>
      </c>
      <c r="AE72" s="20" t="str">
        <f t="shared" si="20"/>
        <v/>
      </c>
      <c r="AF72" s="20" t="str">
        <f t="shared" si="21"/>
        <v/>
      </c>
      <c r="AG72" s="20" t="str">
        <f t="shared" si="22"/>
        <v/>
      </c>
    </row>
    <row r="73" spans="6:33" x14ac:dyDescent="0.3">
      <c r="F73" s="21"/>
      <c r="G73" s="11" t="str">
        <f t="shared" si="23"/>
        <v/>
      </c>
      <c r="J73" s="21"/>
      <c r="K73" s="21"/>
      <c r="M73" s="21"/>
      <c r="N73" s="21"/>
      <c r="P73" s="21"/>
      <c r="Q73" s="21"/>
      <c r="R73" s="21"/>
      <c r="V73" t="str">
        <f t="shared" si="13"/>
        <v/>
      </c>
      <c r="W73" t="str">
        <f>IF(V73="",(""),(INDEX('Base de Datos'!$A$3:$B$7,(MATCH(V73,'Base de Datos'!$A$3:$A$7,0)),(2))))</f>
        <v/>
      </c>
      <c r="X73" t="str">
        <f t="shared" si="14"/>
        <v/>
      </c>
      <c r="Y73" s="20" t="str">
        <f t="shared" si="15"/>
        <v/>
      </c>
      <c r="Z73" s="7" t="str">
        <f t="shared" si="16"/>
        <v/>
      </c>
      <c r="AA73" s="20" t="str">
        <f t="shared" si="17"/>
        <v/>
      </c>
      <c r="AB73" s="20" t="str">
        <f t="shared" si="18"/>
        <v/>
      </c>
      <c r="AC73" s="20" t="str">
        <f t="shared" si="19"/>
        <v/>
      </c>
      <c r="AD73" s="18" t="str">
        <f>IF(A73="","",IF(V73='Base de Datos'!$A$3,AB73/AA73,0))</f>
        <v/>
      </c>
      <c r="AE73" s="20" t="str">
        <f t="shared" si="20"/>
        <v/>
      </c>
      <c r="AF73" s="20" t="str">
        <f t="shared" si="21"/>
        <v/>
      </c>
      <c r="AG73" s="20" t="str">
        <f t="shared" si="22"/>
        <v/>
      </c>
    </row>
    <row r="74" spans="6:33" x14ac:dyDescent="0.3">
      <c r="F74" s="21"/>
      <c r="G74" s="11" t="str">
        <f t="shared" si="23"/>
        <v/>
      </c>
      <c r="J74" s="21"/>
      <c r="K74" s="21"/>
      <c r="M74" s="21"/>
      <c r="N74" s="21"/>
      <c r="P74" s="21"/>
      <c r="Q74" s="21"/>
      <c r="R74" s="21"/>
      <c r="V74" t="str">
        <f t="shared" si="13"/>
        <v/>
      </c>
      <c r="W74" t="str">
        <f>IF(V74="",(""),(INDEX('Base de Datos'!$A$3:$B$7,(MATCH(V74,'Base de Datos'!$A$3:$A$7,0)),(2))))</f>
        <v/>
      </c>
      <c r="X74" t="str">
        <f t="shared" si="14"/>
        <v/>
      </c>
      <c r="Y74" s="20" t="str">
        <f t="shared" si="15"/>
        <v/>
      </c>
      <c r="Z74" s="7" t="str">
        <f t="shared" si="16"/>
        <v/>
      </c>
      <c r="AA74" s="20" t="str">
        <f t="shared" si="17"/>
        <v/>
      </c>
      <c r="AB74" s="20" t="str">
        <f t="shared" si="18"/>
        <v/>
      </c>
      <c r="AC74" s="20" t="str">
        <f t="shared" si="19"/>
        <v/>
      </c>
      <c r="AD74" s="18" t="str">
        <f>IF(A74="","",IF(V74='Base de Datos'!$A$3,AB74/AA74,0))</f>
        <v/>
      </c>
      <c r="AE74" s="20" t="str">
        <f t="shared" si="20"/>
        <v/>
      </c>
      <c r="AF74" s="20" t="str">
        <f t="shared" si="21"/>
        <v/>
      </c>
      <c r="AG74" s="20" t="str">
        <f t="shared" si="22"/>
        <v/>
      </c>
    </row>
    <row r="75" spans="6:33" x14ac:dyDescent="0.3">
      <c r="F75" s="21"/>
      <c r="G75" s="11" t="str">
        <f t="shared" si="23"/>
        <v/>
      </c>
      <c r="J75" s="21"/>
      <c r="K75" s="21"/>
      <c r="M75" s="21"/>
      <c r="N75" s="21"/>
      <c r="P75" s="21"/>
      <c r="Q75" s="21"/>
      <c r="R75" s="21"/>
      <c r="V75" t="str">
        <f t="shared" si="13"/>
        <v/>
      </c>
      <c r="W75" t="str">
        <f>IF(V75="",(""),(INDEX('Base de Datos'!$A$3:$B$7,(MATCH(V75,'Base de Datos'!$A$3:$A$7,0)),(2))))</f>
        <v/>
      </c>
      <c r="X75" t="str">
        <f t="shared" si="14"/>
        <v/>
      </c>
      <c r="Y75" s="20" t="str">
        <f t="shared" si="15"/>
        <v/>
      </c>
      <c r="Z75" s="7" t="str">
        <f t="shared" si="16"/>
        <v/>
      </c>
      <c r="AA75" s="20" t="str">
        <f t="shared" si="17"/>
        <v/>
      </c>
      <c r="AB75" s="20" t="str">
        <f t="shared" si="18"/>
        <v/>
      </c>
      <c r="AC75" s="20" t="str">
        <f t="shared" si="19"/>
        <v/>
      </c>
      <c r="AD75" s="18" t="str">
        <f>IF(A75="","",IF(V75='Base de Datos'!$A$3,AB75/AA75,0))</f>
        <v/>
      </c>
      <c r="AE75" s="20" t="str">
        <f t="shared" si="20"/>
        <v/>
      </c>
      <c r="AF75" s="20" t="str">
        <f t="shared" si="21"/>
        <v/>
      </c>
      <c r="AG75" s="20" t="str">
        <f t="shared" si="22"/>
        <v/>
      </c>
    </row>
    <row r="76" spans="6:33" x14ac:dyDescent="0.3">
      <c r="F76" s="21"/>
      <c r="G76" s="11" t="str">
        <f t="shared" si="23"/>
        <v/>
      </c>
      <c r="J76" s="21"/>
      <c r="K76" s="21"/>
      <c r="M76" s="21"/>
      <c r="N76" s="21"/>
      <c r="P76" s="21"/>
      <c r="Q76" s="21"/>
      <c r="R76" s="21"/>
      <c r="V76" t="str">
        <f t="shared" si="13"/>
        <v/>
      </c>
      <c r="W76" t="str">
        <f>IF(V76="",(""),(INDEX('Base de Datos'!$A$3:$B$7,(MATCH(V76,'Base de Datos'!$A$3:$A$7,0)),(2))))</f>
        <v/>
      </c>
      <c r="X76" t="str">
        <f t="shared" si="14"/>
        <v/>
      </c>
      <c r="Y76" s="20" t="str">
        <f t="shared" si="15"/>
        <v/>
      </c>
      <c r="Z76" s="7" t="str">
        <f t="shared" si="16"/>
        <v/>
      </c>
      <c r="AA76" s="20" t="str">
        <f t="shared" si="17"/>
        <v/>
      </c>
      <c r="AB76" s="20" t="str">
        <f t="shared" si="18"/>
        <v/>
      </c>
      <c r="AC76" s="20" t="str">
        <f t="shared" si="19"/>
        <v/>
      </c>
      <c r="AD76" s="18" t="str">
        <f>IF(A76="","",IF(V76='Base de Datos'!$A$3,AB76/AA76,0))</f>
        <v/>
      </c>
      <c r="AE76" s="20" t="str">
        <f t="shared" si="20"/>
        <v/>
      </c>
      <c r="AF76" s="20" t="str">
        <f t="shared" si="21"/>
        <v/>
      </c>
      <c r="AG76" s="20" t="str">
        <f t="shared" si="22"/>
        <v/>
      </c>
    </row>
    <row r="77" spans="6:33" x14ac:dyDescent="0.3">
      <c r="F77" s="21"/>
      <c r="G77" s="11" t="str">
        <f t="shared" si="23"/>
        <v/>
      </c>
      <c r="J77" s="21"/>
      <c r="K77" s="21"/>
      <c r="M77" s="21"/>
      <c r="N77" s="21"/>
      <c r="P77" s="21"/>
      <c r="Q77" s="21"/>
      <c r="R77" s="21"/>
      <c r="V77" t="str">
        <f t="shared" si="13"/>
        <v/>
      </c>
      <c r="W77" t="str">
        <f>IF(V77="",(""),(INDEX('Base de Datos'!$A$3:$B$7,(MATCH(V77,'Base de Datos'!$A$3:$A$7,0)),(2))))</f>
        <v/>
      </c>
      <c r="X77" t="str">
        <f t="shared" si="14"/>
        <v/>
      </c>
      <c r="Y77" s="20" t="str">
        <f t="shared" si="15"/>
        <v/>
      </c>
      <c r="Z77" s="7" t="str">
        <f t="shared" si="16"/>
        <v/>
      </c>
      <c r="AA77" s="20" t="str">
        <f t="shared" si="17"/>
        <v/>
      </c>
      <c r="AB77" s="20" t="str">
        <f t="shared" si="18"/>
        <v/>
      </c>
      <c r="AC77" s="20" t="str">
        <f t="shared" si="19"/>
        <v/>
      </c>
      <c r="AD77" s="18" t="str">
        <f>IF(A77="","",IF(V77='Base de Datos'!$A$3,AB77/AA77,0))</f>
        <v/>
      </c>
      <c r="AE77" s="20" t="str">
        <f t="shared" si="20"/>
        <v/>
      </c>
      <c r="AF77" s="20" t="str">
        <f t="shared" si="21"/>
        <v/>
      </c>
      <c r="AG77" s="20" t="str">
        <f t="shared" si="22"/>
        <v/>
      </c>
    </row>
    <row r="78" spans="6:33" x14ac:dyDescent="0.3">
      <c r="F78" s="21"/>
      <c r="G78" s="11" t="str">
        <f t="shared" si="23"/>
        <v/>
      </c>
      <c r="J78" s="21"/>
      <c r="K78" s="21"/>
      <c r="M78" s="21"/>
      <c r="N78" s="21"/>
      <c r="P78" s="21"/>
      <c r="Q78" s="21"/>
      <c r="R78" s="21"/>
      <c r="V78" t="str">
        <f t="shared" si="13"/>
        <v/>
      </c>
      <c r="W78" t="str">
        <f>IF(V78="",(""),(INDEX('Base de Datos'!$A$3:$B$7,(MATCH(V78,'Base de Datos'!$A$3:$A$7,0)),(2))))</f>
        <v/>
      </c>
      <c r="X78" t="str">
        <f t="shared" si="14"/>
        <v/>
      </c>
      <c r="Y78" s="20" t="str">
        <f t="shared" si="15"/>
        <v/>
      </c>
      <c r="Z78" s="7" t="str">
        <f t="shared" si="16"/>
        <v/>
      </c>
      <c r="AA78" s="20" t="str">
        <f t="shared" si="17"/>
        <v/>
      </c>
      <c r="AB78" s="20" t="str">
        <f t="shared" si="18"/>
        <v/>
      </c>
      <c r="AC78" s="20" t="str">
        <f t="shared" si="19"/>
        <v/>
      </c>
      <c r="AD78" s="18" t="str">
        <f>IF(A78="","",IF(V78='Base de Datos'!$A$3,AB78/AA78,0))</f>
        <v/>
      </c>
      <c r="AE78" s="20" t="str">
        <f t="shared" si="20"/>
        <v/>
      </c>
      <c r="AF78" s="20" t="str">
        <f t="shared" si="21"/>
        <v/>
      </c>
      <c r="AG78" s="20" t="str">
        <f t="shared" si="22"/>
        <v/>
      </c>
    </row>
    <row r="79" spans="6:33" x14ac:dyDescent="0.3">
      <c r="F79" s="21"/>
      <c r="G79" s="11" t="str">
        <f t="shared" si="23"/>
        <v/>
      </c>
      <c r="J79" s="21"/>
      <c r="K79" s="21"/>
      <c r="M79" s="21"/>
      <c r="N79" s="21"/>
      <c r="P79" s="21"/>
      <c r="Q79" s="21"/>
      <c r="R79" s="21"/>
      <c r="V79" t="str">
        <f t="shared" si="13"/>
        <v/>
      </c>
      <c r="W79" t="str">
        <f>IF(V79="",(""),(INDEX('Base de Datos'!$A$3:$B$7,(MATCH(V79,'Base de Datos'!$A$3:$A$7,0)),(2))))</f>
        <v/>
      </c>
      <c r="X79" t="str">
        <f t="shared" si="14"/>
        <v/>
      </c>
      <c r="Y79" s="20" t="str">
        <f t="shared" si="15"/>
        <v/>
      </c>
      <c r="Z79" s="7" t="str">
        <f t="shared" si="16"/>
        <v/>
      </c>
      <c r="AA79" s="20" t="str">
        <f t="shared" si="17"/>
        <v/>
      </c>
      <c r="AB79" s="20" t="str">
        <f t="shared" si="18"/>
        <v/>
      </c>
      <c r="AC79" s="20" t="str">
        <f t="shared" si="19"/>
        <v/>
      </c>
      <c r="AD79" s="18" t="str">
        <f>IF(A79="","",IF(V79='Base de Datos'!$A$3,AB79/AA79,0))</f>
        <v/>
      </c>
      <c r="AE79" s="20" t="str">
        <f t="shared" si="20"/>
        <v/>
      </c>
      <c r="AF79" s="20" t="str">
        <f t="shared" si="21"/>
        <v/>
      </c>
      <c r="AG79" s="20" t="str">
        <f t="shared" si="22"/>
        <v/>
      </c>
    </row>
    <row r="80" spans="6:33" x14ac:dyDescent="0.3">
      <c r="F80" s="21"/>
      <c r="G80" s="11" t="str">
        <f t="shared" si="23"/>
        <v/>
      </c>
      <c r="J80" s="21"/>
      <c r="K80" s="21"/>
      <c r="M80" s="21"/>
      <c r="N80" s="21"/>
      <c r="P80" s="21"/>
      <c r="Q80" s="21"/>
      <c r="R80" s="21"/>
      <c r="V80" t="str">
        <f t="shared" si="13"/>
        <v/>
      </c>
      <c r="W80" t="str">
        <f>IF(V80="",(""),(INDEX('Base de Datos'!$A$3:$B$7,(MATCH(V80,'Base de Datos'!$A$3:$A$7,0)),(2))))</f>
        <v/>
      </c>
      <c r="X80" t="str">
        <f t="shared" si="14"/>
        <v/>
      </c>
      <c r="Y80" s="20" t="str">
        <f t="shared" si="15"/>
        <v/>
      </c>
      <c r="Z80" s="7" t="str">
        <f t="shared" si="16"/>
        <v/>
      </c>
      <c r="AA80" s="20" t="str">
        <f t="shared" si="17"/>
        <v/>
      </c>
      <c r="AB80" s="20" t="str">
        <f t="shared" si="18"/>
        <v/>
      </c>
      <c r="AC80" s="20" t="str">
        <f t="shared" si="19"/>
        <v/>
      </c>
      <c r="AD80" s="18" t="str">
        <f>IF(A80="","",IF(V80='Base de Datos'!$A$3,AB80/AA80,0))</f>
        <v/>
      </c>
      <c r="AE80" s="20" t="str">
        <f t="shared" si="20"/>
        <v/>
      </c>
      <c r="AF80" s="20" t="str">
        <f t="shared" si="21"/>
        <v/>
      </c>
      <c r="AG80" s="20" t="str">
        <f t="shared" si="22"/>
        <v/>
      </c>
    </row>
    <row r="81" spans="6:33" x14ac:dyDescent="0.3">
      <c r="F81" s="21"/>
      <c r="G81" s="11" t="str">
        <f t="shared" si="23"/>
        <v/>
      </c>
      <c r="J81" s="21"/>
      <c r="K81" s="21"/>
      <c r="M81" s="21"/>
      <c r="N81" s="21"/>
      <c r="P81" s="21"/>
      <c r="Q81" s="21"/>
      <c r="R81" s="21"/>
      <c r="V81" t="str">
        <f t="shared" si="13"/>
        <v/>
      </c>
      <c r="W81" t="str">
        <f>IF(V81="",(""),(INDEX('Base de Datos'!$A$3:$B$7,(MATCH(V81,'Base de Datos'!$A$3:$A$7,0)),(2))))</f>
        <v/>
      </c>
      <c r="X81" t="str">
        <f t="shared" si="14"/>
        <v/>
      </c>
      <c r="Y81" s="20" t="str">
        <f t="shared" si="15"/>
        <v/>
      </c>
      <c r="Z81" s="7" t="str">
        <f t="shared" si="16"/>
        <v/>
      </c>
      <c r="AA81" s="20" t="str">
        <f t="shared" si="17"/>
        <v/>
      </c>
      <c r="AB81" s="20" t="str">
        <f t="shared" si="18"/>
        <v/>
      </c>
      <c r="AC81" s="20" t="str">
        <f t="shared" si="19"/>
        <v/>
      </c>
      <c r="AD81" s="18" t="str">
        <f>IF(A81="","",IF(V81='Base de Datos'!$A$3,AB81/AA81,0))</f>
        <v/>
      </c>
      <c r="AE81" s="20" t="str">
        <f t="shared" si="20"/>
        <v/>
      </c>
      <c r="AF81" s="20" t="str">
        <f t="shared" si="21"/>
        <v/>
      </c>
      <c r="AG81" s="20" t="str">
        <f t="shared" si="22"/>
        <v/>
      </c>
    </row>
    <row r="82" spans="6:33" x14ac:dyDescent="0.3">
      <c r="F82" s="21"/>
      <c r="G82" s="11" t="str">
        <f t="shared" si="23"/>
        <v/>
      </c>
      <c r="J82" s="21"/>
      <c r="K82" s="21"/>
      <c r="M82" s="21"/>
      <c r="N82" s="21"/>
      <c r="P82" s="21"/>
      <c r="Q82" s="21"/>
      <c r="R82" s="21"/>
      <c r="V82" t="str">
        <f t="shared" si="13"/>
        <v/>
      </c>
      <c r="W82" t="str">
        <f>IF(V82="",(""),(INDEX('Base de Datos'!$A$3:$B$7,(MATCH(V82,'Base de Datos'!$A$3:$A$7,0)),(2))))</f>
        <v/>
      </c>
      <c r="X82" t="str">
        <f t="shared" si="14"/>
        <v/>
      </c>
      <c r="Y82" s="20" t="str">
        <f t="shared" si="15"/>
        <v/>
      </c>
      <c r="Z82" s="7" t="str">
        <f t="shared" si="16"/>
        <v/>
      </c>
      <c r="AA82" s="20" t="str">
        <f t="shared" si="17"/>
        <v/>
      </c>
      <c r="AB82" s="20" t="str">
        <f t="shared" si="18"/>
        <v/>
      </c>
      <c r="AC82" s="20" t="str">
        <f t="shared" si="19"/>
        <v/>
      </c>
      <c r="AD82" s="18" t="str">
        <f>IF(A82="","",IF(V82='Base de Datos'!$A$3,AB82/AA82,0))</f>
        <v/>
      </c>
      <c r="AE82" s="20" t="str">
        <f t="shared" si="20"/>
        <v/>
      </c>
      <c r="AF82" s="20" t="str">
        <f t="shared" si="21"/>
        <v/>
      </c>
      <c r="AG82" s="20" t="str">
        <f t="shared" si="22"/>
        <v/>
      </c>
    </row>
    <row r="83" spans="6:33" x14ac:dyDescent="0.3">
      <c r="F83" s="21"/>
      <c r="G83" s="11" t="str">
        <f t="shared" si="23"/>
        <v/>
      </c>
      <c r="J83" s="21"/>
      <c r="K83" s="21"/>
      <c r="M83" s="21"/>
      <c r="N83" s="21"/>
      <c r="P83" s="21"/>
      <c r="Q83" s="21"/>
      <c r="R83" s="21"/>
      <c r="V83" t="str">
        <f t="shared" si="13"/>
        <v/>
      </c>
      <c r="W83" t="str">
        <f>IF(V83="",(""),(INDEX('Base de Datos'!$A$3:$B$7,(MATCH(V83,'Base de Datos'!$A$3:$A$7,0)),(2))))</f>
        <v/>
      </c>
      <c r="X83" t="str">
        <f t="shared" si="14"/>
        <v/>
      </c>
      <c r="Y83" s="20" t="str">
        <f t="shared" si="15"/>
        <v/>
      </c>
      <c r="Z83" s="7" t="str">
        <f t="shared" si="16"/>
        <v/>
      </c>
      <c r="AA83" s="20" t="str">
        <f t="shared" si="17"/>
        <v/>
      </c>
      <c r="AB83" s="20" t="str">
        <f t="shared" si="18"/>
        <v/>
      </c>
      <c r="AC83" s="20" t="str">
        <f t="shared" si="19"/>
        <v/>
      </c>
      <c r="AD83" s="18" t="str">
        <f>IF(A83="","",IF(V83='Base de Datos'!$A$3,AB83/AA83,0))</f>
        <v/>
      </c>
      <c r="AE83" s="20" t="str">
        <f t="shared" si="20"/>
        <v/>
      </c>
      <c r="AF83" s="20" t="str">
        <f t="shared" si="21"/>
        <v/>
      </c>
      <c r="AG83" s="20" t="str">
        <f t="shared" si="22"/>
        <v/>
      </c>
    </row>
    <row r="84" spans="6:33" x14ac:dyDescent="0.3">
      <c r="F84" s="21"/>
      <c r="G84" s="11" t="str">
        <f t="shared" si="23"/>
        <v/>
      </c>
      <c r="J84" s="21"/>
      <c r="K84" s="21"/>
      <c r="M84" s="21"/>
      <c r="N84" s="21"/>
      <c r="P84" s="21"/>
      <c r="Q84" s="21"/>
      <c r="R84" s="21"/>
      <c r="V84" t="str">
        <f t="shared" si="13"/>
        <v/>
      </c>
      <c r="W84" t="str">
        <f>IF(V84="",(""),(INDEX('Base de Datos'!$A$3:$B$7,(MATCH(V84,'Base de Datos'!$A$3:$A$7,0)),(2))))</f>
        <v/>
      </c>
      <c r="X84" t="str">
        <f t="shared" si="14"/>
        <v/>
      </c>
      <c r="Y84" s="20" t="str">
        <f t="shared" si="15"/>
        <v/>
      </c>
      <c r="Z84" s="7" t="str">
        <f t="shared" si="16"/>
        <v/>
      </c>
      <c r="AA84" s="20" t="str">
        <f t="shared" si="17"/>
        <v/>
      </c>
      <c r="AB84" s="20" t="str">
        <f t="shared" si="18"/>
        <v/>
      </c>
      <c r="AC84" s="20" t="str">
        <f t="shared" si="19"/>
        <v/>
      </c>
      <c r="AD84" s="18" t="str">
        <f>IF(A84="","",IF(V84='Base de Datos'!$A$3,AB84/AA84,0))</f>
        <v/>
      </c>
      <c r="AE84" s="20" t="str">
        <f t="shared" si="20"/>
        <v/>
      </c>
      <c r="AF84" s="20" t="str">
        <f t="shared" si="21"/>
        <v/>
      </c>
      <c r="AG84" s="20" t="str">
        <f t="shared" si="22"/>
        <v/>
      </c>
    </row>
    <row r="85" spans="6:33" x14ac:dyDescent="0.3">
      <c r="F85" s="21"/>
      <c r="G85" s="11" t="str">
        <f t="shared" si="23"/>
        <v/>
      </c>
      <c r="J85" s="21"/>
      <c r="K85" s="21"/>
      <c r="M85" s="21"/>
      <c r="N85" s="21"/>
      <c r="P85" s="21"/>
      <c r="Q85" s="21"/>
      <c r="R85" s="21"/>
      <c r="V85" t="str">
        <f t="shared" si="13"/>
        <v/>
      </c>
      <c r="W85" t="str">
        <f>IF(V85="",(""),(INDEX('Base de Datos'!$A$3:$B$7,(MATCH(V85,'Base de Datos'!$A$3:$A$7,0)),(2))))</f>
        <v/>
      </c>
      <c r="X85" t="str">
        <f t="shared" si="14"/>
        <v/>
      </c>
      <c r="Y85" s="20" t="str">
        <f t="shared" si="15"/>
        <v/>
      </c>
      <c r="Z85" s="7" t="str">
        <f t="shared" si="16"/>
        <v/>
      </c>
      <c r="AA85" s="20" t="str">
        <f t="shared" si="17"/>
        <v/>
      </c>
      <c r="AB85" s="20" t="str">
        <f t="shared" si="18"/>
        <v/>
      </c>
      <c r="AC85" s="20" t="str">
        <f t="shared" si="19"/>
        <v/>
      </c>
      <c r="AD85" s="18" t="str">
        <f>IF(A85="","",IF(V85='Base de Datos'!$A$3,AB85/AA85,0))</f>
        <v/>
      </c>
      <c r="AE85" s="20" t="str">
        <f t="shared" si="20"/>
        <v/>
      </c>
      <c r="AF85" s="20" t="str">
        <f t="shared" si="21"/>
        <v/>
      </c>
      <c r="AG85" s="20" t="str">
        <f t="shared" si="22"/>
        <v/>
      </c>
    </row>
    <row r="86" spans="6:33" x14ac:dyDescent="0.3">
      <c r="F86" s="21"/>
      <c r="G86" s="11" t="str">
        <f t="shared" si="23"/>
        <v/>
      </c>
      <c r="J86" s="21"/>
      <c r="K86" s="21"/>
      <c r="M86" s="21"/>
      <c r="N86" s="21"/>
      <c r="P86" s="21"/>
      <c r="Q86" s="21"/>
      <c r="R86" s="21"/>
      <c r="V86" t="str">
        <f t="shared" si="13"/>
        <v/>
      </c>
      <c r="W86" t="str">
        <f>IF(V86="",(""),(INDEX('Base de Datos'!$A$3:$B$7,(MATCH(V86,'Base de Datos'!$A$3:$A$7,0)),(2))))</f>
        <v/>
      </c>
      <c r="X86" t="str">
        <f t="shared" si="14"/>
        <v/>
      </c>
      <c r="Y86" s="20" t="str">
        <f t="shared" si="15"/>
        <v/>
      </c>
      <c r="Z86" s="7" t="str">
        <f t="shared" si="16"/>
        <v/>
      </c>
      <c r="AA86" s="20" t="str">
        <f t="shared" si="17"/>
        <v/>
      </c>
      <c r="AB86" s="20" t="str">
        <f t="shared" si="18"/>
        <v/>
      </c>
      <c r="AC86" s="20" t="str">
        <f t="shared" si="19"/>
        <v/>
      </c>
      <c r="AD86" s="18" t="str">
        <f>IF(A86="","",IF(V86='Base de Datos'!$A$3,AB86/AA86,0))</f>
        <v/>
      </c>
      <c r="AE86" s="20" t="str">
        <f t="shared" si="20"/>
        <v/>
      </c>
      <c r="AF86" s="20" t="str">
        <f t="shared" si="21"/>
        <v/>
      </c>
      <c r="AG86" s="20" t="str">
        <f t="shared" si="22"/>
        <v/>
      </c>
    </row>
    <row r="87" spans="6:33" x14ac:dyDescent="0.3">
      <c r="F87" s="21"/>
      <c r="G87" s="11" t="str">
        <f t="shared" si="23"/>
        <v/>
      </c>
      <c r="J87" s="21"/>
      <c r="K87" s="21"/>
      <c r="M87" s="21"/>
      <c r="N87" s="21"/>
      <c r="P87" s="21"/>
      <c r="Q87" s="21"/>
      <c r="R87" s="21"/>
      <c r="V87" t="str">
        <f t="shared" si="13"/>
        <v/>
      </c>
      <c r="W87" t="str">
        <f>IF(V87="",(""),(INDEX('Base de Datos'!$A$3:$B$7,(MATCH(V87,'Base de Datos'!$A$3:$A$7,0)),(2))))</f>
        <v/>
      </c>
      <c r="X87" t="str">
        <f t="shared" si="14"/>
        <v/>
      </c>
      <c r="Y87" s="20" t="str">
        <f t="shared" si="15"/>
        <v/>
      </c>
      <c r="Z87" s="7" t="str">
        <f t="shared" si="16"/>
        <v/>
      </c>
      <c r="AA87" s="20" t="str">
        <f t="shared" si="17"/>
        <v/>
      </c>
      <c r="AB87" s="20" t="str">
        <f t="shared" si="18"/>
        <v/>
      </c>
      <c r="AC87" s="20" t="str">
        <f t="shared" si="19"/>
        <v/>
      </c>
      <c r="AD87" s="18" t="str">
        <f>IF(A87="","",IF(V87='Base de Datos'!$A$3,AB87/AA87,0))</f>
        <v/>
      </c>
      <c r="AE87" s="20" t="str">
        <f t="shared" si="20"/>
        <v/>
      </c>
      <c r="AF87" s="20" t="str">
        <f t="shared" si="21"/>
        <v/>
      </c>
      <c r="AG87" s="20" t="str">
        <f t="shared" si="22"/>
        <v/>
      </c>
    </row>
    <row r="88" spans="6:33" x14ac:dyDescent="0.3">
      <c r="F88" s="21"/>
      <c r="G88" s="11" t="str">
        <f t="shared" si="23"/>
        <v/>
      </c>
      <c r="J88" s="21"/>
      <c r="K88" s="21"/>
      <c r="M88" s="21"/>
      <c r="N88" s="21"/>
      <c r="P88" s="21"/>
      <c r="Q88" s="21"/>
      <c r="R88" s="21"/>
      <c r="V88" t="str">
        <f t="shared" si="13"/>
        <v/>
      </c>
      <c r="W88" t="str">
        <f>IF(V88="",(""),(INDEX('Base de Datos'!$A$3:$B$7,(MATCH(V88,'Base de Datos'!$A$3:$A$7,0)),(2))))</f>
        <v/>
      </c>
      <c r="X88" t="str">
        <f t="shared" si="14"/>
        <v/>
      </c>
      <c r="Y88" s="20" t="str">
        <f t="shared" si="15"/>
        <v/>
      </c>
      <c r="Z88" s="7" t="str">
        <f t="shared" si="16"/>
        <v/>
      </c>
      <c r="AA88" s="20" t="str">
        <f t="shared" si="17"/>
        <v/>
      </c>
      <c r="AB88" s="20" t="str">
        <f t="shared" si="18"/>
        <v/>
      </c>
      <c r="AC88" s="20" t="str">
        <f t="shared" si="19"/>
        <v/>
      </c>
      <c r="AD88" s="18" t="str">
        <f>IF(A88="","",IF(V88='Base de Datos'!$A$3,AB88/AA88,0))</f>
        <v/>
      </c>
      <c r="AE88" s="20" t="str">
        <f t="shared" si="20"/>
        <v/>
      </c>
      <c r="AF88" s="20" t="str">
        <f t="shared" si="21"/>
        <v/>
      </c>
      <c r="AG88" s="20" t="str">
        <f t="shared" si="22"/>
        <v/>
      </c>
    </row>
    <row r="89" spans="6:33" x14ac:dyDescent="0.3">
      <c r="F89" s="21"/>
      <c r="G89" s="11" t="str">
        <f t="shared" si="23"/>
        <v/>
      </c>
      <c r="J89" s="21"/>
      <c r="K89" s="21"/>
      <c r="M89" s="21"/>
      <c r="N89" s="21"/>
      <c r="P89" s="21"/>
      <c r="Q89" s="21"/>
      <c r="R89" s="21"/>
      <c r="V89" t="str">
        <f t="shared" si="13"/>
        <v/>
      </c>
      <c r="W89" t="str">
        <f>IF(V89="",(""),(INDEX('Base de Datos'!$A$3:$B$7,(MATCH(V89,'Base de Datos'!$A$3:$A$7,0)),(2))))</f>
        <v/>
      </c>
      <c r="X89" t="str">
        <f t="shared" si="14"/>
        <v/>
      </c>
      <c r="Y89" s="20" t="str">
        <f t="shared" si="15"/>
        <v/>
      </c>
      <c r="Z89" s="7" t="str">
        <f t="shared" si="16"/>
        <v/>
      </c>
      <c r="AA89" s="20" t="str">
        <f t="shared" si="17"/>
        <v/>
      </c>
      <c r="AB89" s="20" t="str">
        <f t="shared" si="18"/>
        <v/>
      </c>
      <c r="AC89" s="20" t="str">
        <f t="shared" si="19"/>
        <v/>
      </c>
      <c r="AD89" s="18" t="str">
        <f>IF(A89="","",IF(V89='Base de Datos'!$A$3,AB89/AA89,0))</f>
        <v/>
      </c>
      <c r="AE89" s="20" t="str">
        <f t="shared" si="20"/>
        <v/>
      </c>
      <c r="AF89" s="20" t="str">
        <f t="shared" si="21"/>
        <v/>
      </c>
      <c r="AG89" s="20" t="str">
        <f t="shared" si="22"/>
        <v/>
      </c>
    </row>
    <row r="90" spans="6:33" x14ac:dyDescent="0.3">
      <c r="F90" s="21"/>
      <c r="G90" s="11" t="str">
        <f t="shared" si="23"/>
        <v/>
      </c>
      <c r="J90" s="21"/>
      <c r="K90" s="21"/>
      <c r="M90" s="21"/>
      <c r="N90" s="21"/>
      <c r="P90" s="21"/>
      <c r="Q90" s="21"/>
      <c r="R90" s="21"/>
      <c r="V90" t="str">
        <f t="shared" si="13"/>
        <v/>
      </c>
      <c r="W90" t="str">
        <f>IF(V90="",(""),(INDEX('Base de Datos'!$A$3:$B$7,(MATCH(V90,'Base de Datos'!$A$3:$A$7,0)),(2))))</f>
        <v/>
      </c>
      <c r="X90" t="str">
        <f t="shared" si="14"/>
        <v/>
      </c>
      <c r="Y90" s="20" t="str">
        <f t="shared" si="15"/>
        <v/>
      </c>
      <c r="Z90" s="7" t="str">
        <f t="shared" si="16"/>
        <v/>
      </c>
      <c r="AA90" s="20" t="str">
        <f t="shared" si="17"/>
        <v/>
      </c>
      <c r="AB90" s="20" t="str">
        <f t="shared" si="18"/>
        <v/>
      </c>
      <c r="AC90" s="20" t="str">
        <f t="shared" si="19"/>
        <v/>
      </c>
      <c r="AD90" s="18" t="str">
        <f>IF(A90="","",IF(V90='Base de Datos'!$A$3,AB90/AA90,0))</f>
        <v/>
      </c>
      <c r="AE90" s="20" t="str">
        <f t="shared" si="20"/>
        <v/>
      </c>
      <c r="AF90" s="20" t="str">
        <f t="shared" si="21"/>
        <v/>
      </c>
      <c r="AG90" s="20" t="str">
        <f t="shared" si="22"/>
        <v/>
      </c>
    </row>
    <row r="91" spans="6:33" x14ac:dyDescent="0.3">
      <c r="F91" s="21"/>
      <c r="G91" s="11" t="str">
        <f t="shared" si="23"/>
        <v/>
      </c>
      <c r="J91" s="21"/>
      <c r="K91" s="21"/>
      <c r="M91" s="21"/>
      <c r="N91" s="21"/>
      <c r="P91" s="21"/>
      <c r="Q91" s="21"/>
      <c r="R91" s="21"/>
      <c r="V91" t="str">
        <f t="shared" si="13"/>
        <v/>
      </c>
      <c r="W91" t="str">
        <f>IF(V91="",(""),(INDEX('Base de Datos'!$A$3:$B$7,(MATCH(V91,'Base de Datos'!$A$3:$A$7,0)),(2))))</f>
        <v/>
      </c>
      <c r="X91" t="str">
        <f t="shared" si="14"/>
        <v/>
      </c>
      <c r="Y91" s="20" t="str">
        <f t="shared" si="15"/>
        <v/>
      </c>
      <c r="Z91" s="7" t="str">
        <f t="shared" si="16"/>
        <v/>
      </c>
      <c r="AA91" s="20" t="str">
        <f t="shared" si="17"/>
        <v/>
      </c>
      <c r="AB91" s="20" t="str">
        <f t="shared" si="18"/>
        <v/>
      </c>
      <c r="AC91" s="20" t="str">
        <f t="shared" si="19"/>
        <v/>
      </c>
      <c r="AD91" s="18" t="str">
        <f>IF(A91="","",IF(V91='Base de Datos'!$A$3,AB91/AA91,0))</f>
        <v/>
      </c>
      <c r="AE91" s="20" t="str">
        <f t="shared" si="20"/>
        <v/>
      </c>
      <c r="AF91" s="20" t="str">
        <f t="shared" si="21"/>
        <v/>
      </c>
      <c r="AG91" s="20" t="str">
        <f t="shared" si="22"/>
        <v/>
      </c>
    </row>
    <row r="92" spans="6:33" x14ac:dyDescent="0.3">
      <c r="F92" s="21"/>
      <c r="G92" s="11" t="str">
        <f t="shared" si="23"/>
        <v/>
      </c>
      <c r="J92" s="21"/>
      <c r="K92" s="21"/>
      <c r="M92" s="21"/>
      <c r="N92" s="21"/>
      <c r="P92" s="21"/>
      <c r="Q92" s="21"/>
      <c r="R92" s="21"/>
      <c r="V92" t="str">
        <f t="shared" si="13"/>
        <v/>
      </c>
      <c r="W92" t="str">
        <f>IF(V92="",(""),(INDEX('Base de Datos'!$A$3:$B$7,(MATCH(V92,'Base de Datos'!$A$3:$A$7,0)),(2))))</f>
        <v/>
      </c>
      <c r="X92" t="str">
        <f t="shared" si="14"/>
        <v/>
      </c>
      <c r="Y92" s="20" t="str">
        <f t="shared" si="15"/>
        <v/>
      </c>
      <c r="Z92" s="7" t="str">
        <f t="shared" si="16"/>
        <v/>
      </c>
      <c r="AA92" s="20" t="str">
        <f t="shared" si="17"/>
        <v/>
      </c>
      <c r="AB92" s="20" t="str">
        <f t="shared" si="18"/>
        <v/>
      </c>
      <c r="AC92" s="20" t="str">
        <f t="shared" si="19"/>
        <v/>
      </c>
      <c r="AD92" s="18" t="str">
        <f>IF(A92="","",IF(V92='Base de Datos'!$A$3,AB92/AA92,0))</f>
        <v/>
      </c>
      <c r="AE92" s="20" t="str">
        <f t="shared" si="20"/>
        <v/>
      </c>
      <c r="AF92" s="20" t="str">
        <f t="shared" si="21"/>
        <v/>
      </c>
      <c r="AG92" s="20" t="str">
        <f t="shared" si="22"/>
        <v/>
      </c>
    </row>
    <row r="93" spans="6:33" x14ac:dyDescent="0.3">
      <c r="F93" s="21"/>
      <c r="G93" s="11" t="str">
        <f t="shared" si="23"/>
        <v/>
      </c>
      <c r="J93" s="21"/>
      <c r="K93" s="21"/>
      <c r="M93" s="21"/>
      <c r="N93" s="21"/>
      <c r="P93" s="21"/>
      <c r="Q93" s="21"/>
      <c r="R93" s="21"/>
      <c r="V93" t="str">
        <f t="shared" si="13"/>
        <v/>
      </c>
      <c r="W93" t="str">
        <f>IF(V93="",(""),(INDEX('Base de Datos'!$A$3:$B$7,(MATCH(V93,'Base de Datos'!$A$3:$A$7,0)),(2))))</f>
        <v/>
      </c>
      <c r="X93" t="str">
        <f t="shared" si="14"/>
        <v/>
      </c>
      <c r="Y93" s="20" t="str">
        <f t="shared" si="15"/>
        <v/>
      </c>
      <c r="Z93" s="7" t="str">
        <f t="shared" si="16"/>
        <v/>
      </c>
      <c r="AA93" s="20" t="str">
        <f t="shared" si="17"/>
        <v/>
      </c>
      <c r="AB93" s="20" t="str">
        <f t="shared" si="18"/>
        <v/>
      </c>
      <c r="AC93" s="20" t="str">
        <f t="shared" si="19"/>
        <v/>
      </c>
      <c r="AD93" s="18" t="str">
        <f>IF(A93="","",IF(V93='Base de Datos'!$A$3,AB93/AA93,0))</f>
        <v/>
      </c>
      <c r="AE93" s="20" t="str">
        <f t="shared" si="20"/>
        <v/>
      </c>
      <c r="AF93" s="20" t="str">
        <f t="shared" si="21"/>
        <v/>
      </c>
      <c r="AG93" s="20" t="str">
        <f t="shared" si="22"/>
        <v/>
      </c>
    </row>
    <row r="94" spans="6:33" x14ac:dyDescent="0.3">
      <c r="F94" s="21"/>
      <c r="G94" s="11" t="str">
        <f t="shared" si="23"/>
        <v/>
      </c>
      <c r="J94" s="21"/>
      <c r="K94" s="21"/>
      <c r="M94" s="21"/>
      <c r="N94" s="21"/>
      <c r="P94" s="21"/>
      <c r="Q94" s="21"/>
      <c r="R94" s="21"/>
      <c r="V94" t="str">
        <f t="shared" si="13"/>
        <v/>
      </c>
      <c r="W94" t="str">
        <f>IF(V94="",(""),(INDEX('Base de Datos'!$A$3:$B$7,(MATCH(V94,'Base de Datos'!$A$3:$A$7,0)),(2))))</f>
        <v/>
      </c>
      <c r="X94" t="str">
        <f t="shared" si="14"/>
        <v/>
      </c>
      <c r="Y94" s="20" t="str">
        <f t="shared" si="15"/>
        <v/>
      </c>
      <c r="Z94" s="7" t="str">
        <f t="shared" si="16"/>
        <v/>
      </c>
      <c r="AA94" s="20" t="str">
        <f t="shared" si="17"/>
        <v/>
      </c>
      <c r="AB94" s="20" t="str">
        <f t="shared" si="18"/>
        <v/>
      </c>
      <c r="AC94" s="20" t="str">
        <f t="shared" si="19"/>
        <v/>
      </c>
      <c r="AD94" s="18" t="str">
        <f>IF(A94="","",IF(V94='Base de Datos'!$A$3,AB94/AA94,0))</f>
        <v/>
      </c>
      <c r="AE94" s="20" t="str">
        <f t="shared" si="20"/>
        <v/>
      </c>
      <c r="AF94" s="20" t="str">
        <f t="shared" si="21"/>
        <v/>
      </c>
      <c r="AG94" s="20" t="str">
        <f t="shared" si="22"/>
        <v/>
      </c>
    </row>
    <row r="95" spans="6:33" x14ac:dyDescent="0.3">
      <c r="F95" s="21"/>
      <c r="G95" s="11" t="str">
        <f t="shared" si="23"/>
        <v/>
      </c>
      <c r="J95" s="21"/>
      <c r="K95" s="21"/>
      <c r="M95" s="21"/>
      <c r="N95" s="21"/>
      <c r="P95" s="21"/>
      <c r="Q95" s="21"/>
      <c r="R95" s="21"/>
      <c r="V95" t="str">
        <f t="shared" si="13"/>
        <v/>
      </c>
      <c r="W95" t="str">
        <f>IF(V95="",(""),(INDEX('Base de Datos'!$A$3:$B$7,(MATCH(V95,'Base de Datos'!$A$3:$A$7,0)),(2))))</f>
        <v/>
      </c>
      <c r="X95" t="str">
        <f t="shared" si="14"/>
        <v/>
      </c>
      <c r="Y95" s="20" t="str">
        <f t="shared" si="15"/>
        <v/>
      </c>
      <c r="Z95" s="7" t="str">
        <f t="shared" si="16"/>
        <v/>
      </c>
      <c r="AA95" s="20" t="str">
        <f t="shared" si="17"/>
        <v/>
      </c>
      <c r="AB95" s="20" t="str">
        <f t="shared" si="18"/>
        <v/>
      </c>
      <c r="AC95" s="20" t="str">
        <f t="shared" si="19"/>
        <v/>
      </c>
      <c r="AD95" s="18" t="str">
        <f>IF(A95="","",IF(V95='Base de Datos'!$A$3,AB95/AA95,0))</f>
        <v/>
      </c>
      <c r="AE95" s="20" t="str">
        <f t="shared" si="20"/>
        <v/>
      </c>
      <c r="AF95" s="20" t="str">
        <f t="shared" si="21"/>
        <v/>
      </c>
      <c r="AG95" s="20" t="str">
        <f t="shared" si="22"/>
        <v/>
      </c>
    </row>
    <row r="96" spans="6:33" x14ac:dyDescent="0.3">
      <c r="F96" s="21"/>
      <c r="G96" s="11" t="str">
        <f t="shared" si="23"/>
        <v/>
      </c>
      <c r="J96" s="21"/>
      <c r="K96" s="21"/>
      <c r="M96" s="21"/>
      <c r="N96" s="21"/>
      <c r="P96" s="21"/>
      <c r="Q96" s="21"/>
      <c r="R96" s="21"/>
      <c r="V96" t="str">
        <f t="shared" si="13"/>
        <v/>
      </c>
      <c r="W96" t="str">
        <f>IF(V96="",(""),(INDEX('Base de Datos'!$A$3:$B$7,(MATCH(V96,'Base de Datos'!$A$3:$A$7,0)),(2))))</f>
        <v/>
      </c>
      <c r="X96" t="str">
        <f t="shared" si="14"/>
        <v/>
      </c>
      <c r="Y96" s="20" t="str">
        <f t="shared" si="15"/>
        <v/>
      </c>
      <c r="Z96" s="7" t="str">
        <f t="shared" si="16"/>
        <v/>
      </c>
      <c r="AA96" s="20" t="str">
        <f t="shared" si="17"/>
        <v/>
      </c>
      <c r="AB96" s="20" t="str">
        <f t="shared" si="18"/>
        <v/>
      </c>
      <c r="AC96" s="20" t="str">
        <f t="shared" si="19"/>
        <v/>
      </c>
      <c r="AD96" s="18" t="str">
        <f>IF(A96="","",IF(V96='Base de Datos'!$A$3,AB96/AA96,0))</f>
        <v/>
      </c>
      <c r="AE96" s="20" t="str">
        <f t="shared" si="20"/>
        <v/>
      </c>
      <c r="AF96" s="20" t="str">
        <f t="shared" si="21"/>
        <v/>
      </c>
      <c r="AG96" s="20" t="str">
        <f t="shared" si="22"/>
        <v/>
      </c>
    </row>
    <row r="97" spans="6:33" x14ac:dyDescent="0.3">
      <c r="F97" s="21"/>
      <c r="G97" s="11" t="str">
        <f t="shared" si="23"/>
        <v/>
      </c>
      <c r="J97" s="21"/>
      <c r="K97" s="21"/>
      <c r="M97" s="21"/>
      <c r="N97" s="21"/>
      <c r="P97" s="21"/>
      <c r="Q97" s="21"/>
      <c r="R97" s="21"/>
      <c r="V97" t="str">
        <f t="shared" si="13"/>
        <v/>
      </c>
      <c r="W97" t="str">
        <f>IF(V97="",(""),(INDEX('Base de Datos'!$A$3:$B$7,(MATCH(V97,'Base de Datos'!$A$3:$A$7,0)),(2))))</f>
        <v/>
      </c>
      <c r="X97" t="str">
        <f t="shared" si="14"/>
        <v/>
      </c>
      <c r="Y97" s="20" t="str">
        <f t="shared" si="15"/>
        <v/>
      </c>
      <c r="Z97" s="7" t="str">
        <f t="shared" si="16"/>
        <v/>
      </c>
      <c r="AA97" s="20" t="str">
        <f t="shared" si="17"/>
        <v/>
      </c>
      <c r="AB97" s="20" t="str">
        <f t="shared" si="18"/>
        <v/>
      </c>
      <c r="AC97" s="20" t="str">
        <f t="shared" si="19"/>
        <v/>
      </c>
      <c r="AD97" s="18" t="str">
        <f>IF(A97="","",IF(V97='Base de Datos'!$A$3,AB97/AA97,0))</f>
        <v/>
      </c>
      <c r="AE97" s="20" t="str">
        <f t="shared" si="20"/>
        <v/>
      </c>
      <c r="AF97" s="20" t="str">
        <f t="shared" si="21"/>
        <v/>
      </c>
      <c r="AG97" s="20" t="str">
        <f t="shared" si="22"/>
        <v/>
      </c>
    </row>
    <row r="98" spans="6:33" x14ac:dyDescent="0.3">
      <c r="F98" s="21"/>
      <c r="G98" s="11" t="str">
        <f t="shared" si="23"/>
        <v/>
      </c>
      <c r="J98" s="21"/>
      <c r="K98" s="21"/>
      <c r="M98" s="21"/>
      <c r="N98" s="21"/>
      <c r="P98" s="21"/>
      <c r="Q98" s="21"/>
      <c r="R98" s="21"/>
      <c r="V98" t="str">
        <f t="shared" si="13"/>
        <v/>
      </c>
      <c r="W98" t="str">
        <f>IF(V98="",(""),(INDEX('Base de Datos'!$A$3:$B$7,(MATCH(V98,'Base de Datos'!$A$3:$A$7,0)),(2))))</f>
        <v/>
      </c>
      <c r="X98" t="str">
        <f t="shared" si="14"/>
        <v/>
      </c>
      <c r="Y98" s="20" t="str">
        <f t="shared" si="15"/>
        <v/>
      </c>
      <c r="Z98" s="7" t="str">
        <f t="shared" si="16"/>
        <v/>
      </c>
      <c r="AA98" s="20" t="str">
        <f t="shared" si="17"/>
        <v/>
      </c>
      <c r="AB98" s="20" t="str">
        <f t="shared" si="18"/>
        <v/>
      </c>
      <c r="AC98" s="20" t="str">
        <f t="shared" si="19"/>
        <v/>
      </c>
      <c r="AD98" s="18" t="str">
        <f>IF(A98="","",IF(V98='Base de Datos'!$A$3,AB98/AA98,0))</f>
        <v/>
      </c>
      <c r="AE98" s="20" t="str">
        <f t="shared" si="20"/>
        <v/>
      </c>
      <c r="AF98" s="20" t="str">
        <f t="shared" si="21"/>
        <v/>
      </c>
      <c r="AG98" s="20" t="str">
        <f t="shared" si="22"/>
        <v/>
      </c>
    </row>
    <row r="99" spans="6:33" x14ac:dyDescent="0.3">
      <c r="F99" s="21"/>
      <c r="G99" s="11" t="str">
        <f t="shared" si="23"/>
        <v/>
      </c>
      <c r="J99" s="21"/>
      <c r="K99" s="21"/>
      <c r="M99" s="21"/>
      <c r="N99" s="21"/>
      <c r="P99" s="21"/>
      <c r="Q99" s="21"/>
      <c r="R99" s="21"/>
      <c r="V99" t="str">
        <f t="shared" si="13"/>
        <v/>
      </c>
      <c r="W99" t="str">
        <f>IF(V99="",(""),(INDEX('Base de Datos'!$A$3:$B$7,(MATCH(V99,'Base de Datos'!$A$3:$A$7,0)),(2))))</f>
        <v/>
      </c>
      <c r="X99" t="str">
        <f t="shared" si="14"/>
        <v/>
      </c>
      <c r="Y99" s="20" t="str">
        <f t="shared" si="15"/>
        <v/>
      </c>
      <c r="Z99" s="7" t="str">
        <f t="shared" si="16"/>
        <v/>
      </c>
      <c r="AA99" s="20" t="str">
        <f t="shared" si="17"/>
        <v/>
      </c>
      <c r="AB99" s="20" t="str">
        <f t="shared" si="18"/>
        <v/>
      </c>
      <c r="AC99" s="20" t="str">
        <f t="shared" si="19"/>
        <v/>
      </c>
      <c r="AD99" s="18" t="str">
        <f>IF(A99="","",IF(V99='Base de Datos'!$A$3,AB99/AA99,0))</f>
        <v/>
      </c>
      <c r="AE99" s="20" t="str">
        <f t="shared" si="20"/>
        <v/>
      </c>
      <c r="AF99" s="20" t="str">
        <f t="shared" si="21"/>
        <v/>
      </c>
      <c r="AG99" s="20" t="str">
        <f t="shared" si="22"/>
        <v/>
      </c>
    </row>
    <row r="100" spans="6:33" x14ac:dyDescent="0.3">
      <c r="F100" s="21"/>
      <c r="G100" s="11" t="str">
        <f t="shared" si="23"/>
        <v/>
      </c>
      <c r="J100" s="21"/>
      <c r="K100" s="21"/>
      <c r="M100" s="21"/>
      <c r="N100" s="21"/>
      <c r="P100" s="21"/>
      <c r="Q100" s="21"/>
      <c r="R100" s="21"/>
      <c r="V100" t="str">
        <f t="shared" si="13"/>
        <v/>
      </c>
      <c r="W100" t="str">
        <f>IF(V100="",(""),(INDEX('Base de Datos'!$A$3:$B$7,(MATCH(V100,'Base de Datos'!$A$3:$A$7,0)),(2))))</f>
        <v/>
      </c>
      <c r="X100" t="str">
        <f t="shared" si="14"/>
        <v/>
      </c>
      <c r="Y100" s="20" t="str">
        <f t="shared" si="15"/>
        <v/>
      </c>
      <c r="Z100" s="7" t="str">
        <f t="shared" si="16"/>
        <v/>
      </c>
      <c r="AA100" s="20" t="str">
        <f t="shared" si="17"/>
        <v/>
      </c>
      <c r="AB100" s="20" t="str">
        <f t="shared" si="18"/>
        <v/>
      </c>
      <c r="AC100" s="20" t="str">
        <f t="shared" si="19"/>
        <v/>
      </c>
      <c r="AD100" s="18" t="str">
        <f>IF(A100="","",IF(V100='Base de Datos'!$A$3,AB100/AA100,0))</f>
        <v/>
      </c>
      <c r="AE100" s="20" t="str">
        <f t="shared" si="20"/>
        <v/>
      </c>
      <c r="AF100" s="20" t="str">
        <f t="shared" si="21"/>
        <v/>
      </c>
      <c r="AG100" s="20" t="str">
        <f t="shared" si="22"/>
        <v/>
      </c>
    </row>
    <row r="101" spans="6:33" x14ac:dyDescent="0.3">
      <c r="F101" s="21"/>
      <c r="G101" s="11" t="str">
        <f t="shared" si="23"/>
        <v/>
      </c>
      <c r="J101" s="21"/>
      <c r="K101" s="21"/>
      <c r="M101" s="21"/>
      <c r="N101" s="21"/>
      <c r="P101" s="21"/>
      <c r="Q101" s="21"/>
      <c r="R101" s="21"/>
      <c r="V101" t="str">
        <f t="shared" si="13"/>
        <v/>
      </c>
      <c r="W101" t="str">
        <f>IF(V101="",(""),(INDEX('Base de Datos'!$A$3:$B$7,(MATCH(V101,'Base de Datos'!$A$3:$A$7,0)),(2))))</f>
        <v/>
      </c>
      <c r="X101" t="str">
        <f t="shared" si="14"/>
        <v/>
      </c>
      <c r="Y101" s="20" t="str">
        <f t="shared" si="15"/>
        <v/>
      </c>
      <c r="Z101" s="7" t="str">
        <f t="shared" si="16"/>
        <v/>
      </c>
      <c r="AA101" s="20" t="str">
        <f t="shared" si="17"/>
        <v/>
      </c>
      <c r="AB101" s="20" t="str">
        <f t="shared" si="18"/>
        <v/>
      </c>
      <c r="AC101" s="20" t="str">
        <f t="shared" si="19"/>
        <v/>
      </c>
      <c r="AD101" s="18" t="str">
        <f>IF(A101="","",IF(V101='Base de Datos'!$A$3,AB101/AA101,0))</f>
        <v/>
      </c>
      <c r="AE101" s="20" t="str">
        <f t="shared" si="20"/>
        <v/>
      </c>
      <c r="AF101" s="20" t="str">
        <f t="shared" si="21"/>
        <v/>
      </c>
      <c r="AG101" s="20" t="str">
        <f t="shared" si="22"/>
        <v/>
      </c>
    </row>
    <row r="102" spans="6:33" x14ac:dyDescent="0.3">
      <c r="F102" s="21"/>
      <c r="G102" s="11" t="str">
        <f t="shared" si="23"/>
        <v/>
      </c>
      <c r="J102" s="21"/>
      <c r="K102" s="21"/>
      <c r="M102" s="21"/>
      <c r="N102" s="21"/>
      <c r="P102" s="21"/>
      <c r="Q102" s="21"/>
      <c r="R102" s="21"/>
      <c r="V102" t="str">
        <f t="shared" si="13"/>
        <v/>
      </c>
      <c r="W102" t="str">
        <f>IF(V102="",(""),(INDEX('Base de Datos'!$A$3:$B$7,(MATCH(V102,'Base de Datos'!$A$3:$A$7,0)),(2))))</f>
        <v/>
      </c>
      <c r="X102" t="str">
        <f t="shared" si="14"/>
        <v/>
      </c>
      <c r="Y102" s="20" t="str">
        <f t="shared" si="15"/>
        <v/>
      </c>
      <c r="Z102" s="7" t="str">
        <f t="shared" si="16"/>
        <v/>
      </c>
      <c r="AA102" s="20" t="str">
        <f t="shared" si="17"/>
        <v/>
      </c>
      <c r="AB102" s="20" t="str">
        <f t="shared" si="18"/>
        <v/>
      </c>
      <c r="AC102" s="20" t="str">
        <f t="shared" si="19"/>
        <v/>
      </c>
      <c r="AD102" s="18" t="str">
        <f>IF(A102="","",IF(V102='Base de Datos'!$A$3,AB102/AA102,0))</f>
        <v/>
      </c>
      <c r="AE102" s="20" t="str">
        <f t="shared" si="20"/>
        <v/>
      </c>
      <c r="AF102" s="20" t="str">
        <f t="shared" si="21"/>
        <v/>
      </c>
      <c r="AG102" s="20" t="str">
        <f t="shared" si="22"/>
        <v/>
      </c>
    </row>
    <row r="103" spans="6:33" x14ac:dyDescent="0.3">
      <c r="F103" s="21"/>
      <c r="G103" s="11" t="str">
        <f t="shared" si="23"/>
        <v/>
      </c>
      <c r="J103" s="21"/>
      <c r="K103" s="21"/>
      <c r="M103" s="21"/>
      <c r="N103" s="21"/>
      <c r="P103" s="21"/>
      <c r="Q103" s="21"/>
      <c r="R103" s="21"/>
      <c r="V103" t="str">
        <f t="shared" si="13"/>
        <v/>
      </c>
      <c r="W103" t="str">
        <f>IF(V103="",(""),(INDEX('Base de Datos'!$A$3:$B$7,(MATCH(V103,'Base de Datos'!$A$3:$A$7,0)),(2))))</f>
        <v/>
      </c>
      <c r="X103" t="str">
        <f t="shared" si="14"/>
        <v/>
      </c>
      <c r="Y103" s="20" t="str">
        <f t="shared" si="15"/>
        <v/>
      </c>
      <c r="Z103" s="7" t="str">
        <f t="shared" si="16"/>
        <v/>
      </c>
      <c r="AA103" s="20" t="str">
        <f t="shared" si="17"/>
        <v/>
      </c>
      <c r="AB103" s="20" t="str">
        <f t="shared" si="18"/>
        <v/>
      </c>
      <c r="AC103" s="20" t="str">
        <f t="shared" si="19"/>
        <v/>
      </c>
      <c r="AD103" s="18" t="str">
        <f>IF(A103="","",IF(V103='Base de Datos'!$A$3,AB103/AA103,0))</f>
        <v/>
      </c>
      <c r="AE103" s="20" t="str">
        <f t="shared" si="20"/>
        <v/>
      </c>
      <c r="AF103" s="20" t="str">
        <f t="shared" si="21"/>
        <v/>
      </c>
      <c r="AG103" s="20" t="str">
        <f t="shared" si="22"/>
        <v/>
      </c>
    </row>
    <row r="104" spans="6:33" x14ac:dyDescent="0.3">
      <c r="F104" s="21"/>
      <c r="G104" s="11" t="str">
        <f t="shared" si="23"/>
        <v/>
      </c>
      <c r="J104" s="21"/>
      <c r="K104" s="21"/>
      <c r="M104" s="21"/>
      <c r="N104" s="21"/>
      <c r="P104" s="21"/>
      <c r="Q104" s="21"/>
      <c r="R104" s="21"/>
      <c r="V104" t="str">
        <f t="shared" si="13"/>
        <v/>
      </c>
      <c r="W104" t="str">
        <f>IF(V104="",(""),(INDEX('Base de Datos'!$A$3:$B$7,(MATCH(V104,'Base de Datos'!$A$3:$A$7,0)),(2))))</f>
        <v/>
      </c>
      <c r="X104" t="str">
        <f t="shared" si="14"/>
        <v/>
      </c>
      <c r="Y104" s="20" t="str">
        <f t="shared" si="15"/>
        <v/>
      </c>
      <c r="Z104" s="7" t="str">
        <f t="shared" si="16"/>
        <v/>
      </c>
      <c r="AA104" s="20" t="str">
        <f t="shared" si="17"/>
        <v/>
      </c>
      <c r="AB104" s="20" t="str">
        <f t="shared" si="18"/>
        <v/>
      </c>
      <c r="AC104" s="20" t="str">
        <f t="shared" si="19"/>
        <v/>
      </c>
      <c r="AD104" s="18" t="str">
        <f>IF(A104="","",IF(V104='Base de Datos'!$A$3,AB104/AA104,0))</f>
        <v/>
      </c>
      <c r="AE104" s="20" t="str">
        <f t="shared" si="20"/>
        <v/>
      </c>
      <c r="AF104" s="20" t="str">
        <f t="shared" si="21"/>
        <v/>
      </c>
      <c r="AG104" s="20" t="str">
        <f t="shared" si="22"/>
        <v/>
      </c>
    </row>
    <row r="105" spans="6:33" x14ac:dyDescent="0.3">
      <c r="F105" s="21"/>
      <c r="G105" s="11" t="str">
        <f t="shared" si="23"/>
        <v/>
      </c>
      <c r="J105" s="21"/>
      <c r="K105" s="21"/>
      <c r="M105" s="21"/>
      <c r="N105" s="21"/>
      <c r="P105" s="21"/>
      <c r="Q105" s="21"/>
      <c r="R105" s="21"/>
      <c r="V105" t="str">
        <f t="shared" si="13"/>
        <v/>
      </c>
      <c r="W105" t="str">
        <f>IF(V105="",(""),(INDEX('Base de Datos'!$A$3:$B$7,(MATCH(V105,'Base de Datos'!$A$3:$A$7,0)),(2))))</f>
        <v/>
      </c>
      <c r="X105" t="str">
        <f t="shared" si="14"/>
        <v/>
      </c>
      <c r="Y105" s="20" t="str">
        <f t="shared" si="15"/>
        <v/>
      </c>
      <c r="Z105" s="7" t="str">
        <f t="shared" si="16"/>
        <v/>
      </c>
      <c r="AA105" s="20" t="str">
        <f t="shared" si="17"/>
        <v/>
      </c>
      <c r="AB105" s="20" t="str">
        <f t="shared" si="18"/>
        <v/>
      </c>
      <c r="AC105" s="20" t="str">
        <f t="shared" si="19"/>
        <v/>
      </c>
      <c r="AD105" s="18" t="str">
        <f>IF(A105="","",IF(V105='Base de Datos'!$A$3,AB105/AA105,0))</f>
        <v/>
      </c>
      <c r="AE105" s="20" t="str">
        <f t="shared" si="20"/>
        <v/>
      </c>
      <c r="AF105" s="20" t="str">
        <f t="shared" si="21"/>
        <v/>
      </c>
      <c r="AG105" s="20" t="str">
        <f t="shared" si="22"/>
        <v/>
      </c>
    </row>
    <row r="106" spans="6:33" x14ac:dyDescent="0.3">
      <c r="F106" s="21"/>
      <c r="G106" s="11" t="str">
        <f t="shared" si="23"/>
        <v/>
      </c>
      <c r="J106" s="21"/>
      <c r="K106" s="21"/>
      <c r="M106" s="21"/>
      <c r="N106" s="21"/>
      <c r="P106" s="21"/>
      <c r="Q106" s="21"/>
      <c r="R106" s="21"/>
      <c r="V106" t="str">
        <f t="shared" si="13"/>
        <v/>
      </c>
      <c r="W106" t="str">
        <f>IF(V106="",(""),(INDEX('Base de Datos'!$A$3:$B$7,(MATCH(V106,'Base de Datos'!$A$3:$A$7,0)),(2))))</f>
        <v/>
      </c>
      <c r="X106" t="str">
        <f t="shared" si="14"/>
        <v/>
      </c>
      <c r="Y106" s="20" t="str">
        <f t="shared" si="15"/>
        <v/>
      </c>
      <c r="Z106" s="7" t="str">
        <f t="shared" si="16"/>
        <v/>
      </c>
      <c r="AA106" s="20" t="str">
        <f t="shared" si="17"/>
        <v/>
      </c>
      <c r="AB106" s="20" t="str">
        <f t="shared" si="18"/>
        <v/>
      </c>
      <c r="AC106" s="20" t="str">
        <f t="shared" si="19"/>
        <v/>
      </c>
      <c r="AD106" s="18" t="str">
        <f>IF(A106="","",IF(V106='Base de Datos'!$A$3,AB106/AA106,0))</f>
        <v/>
      </c>
      <c r="AE106" s="20" t="str">
        <f t="shared" si="20"/>
        <v/>
      </c>
      <c r="AF106" s="20" t="str">
        <f t="shared" si="21"/>
        <v/>
      </c>
      <c r="AG106" s="20" t="str">
        <f t="shared" si="22"/>
        <v/>
      </c>
    </row>
    <row r="107" spans="6:33" x14ac:dyDescent="0.3">
      <c r="F107" s="21"/>
      <c r="G107" s="11" t="str">
        <f t="shared" si="23"/>
        <v/>
      </c>
      <c r="J107" s="21"/>
      <c r="K107" s="21"/>
      <c r="M107" s="21"/>
      <c r="N107" s="21"/>
      <c r="P107" s="21"/>
      <c r="Q107" s="21"/>
      <c r="R107" s="21"/>
      <c r="V107" t="str">
        <f t="shared" si="13"/>
        <v/>
      </c>
      <c r="W107" t="str">
        <f>IF(V107="",(""),(INDEX('Base de Datos'!$A$3:$B$7,(MATCH(V107,'Base de Datos'!$A$3:$A$7,0)),(2))))</f>
        <v/>
      </c>
      <c r="X107" t="str">
        <f t="shared" si="14"/>
        <v/>
      </c>
      <c r="Y107" s="20" t="str">
        <f t="shared" si="15"/>
        <v/>
      </c>
      <c r="Z107" s="7" t="str">
        <f t="shared" si="16"/>
        <v/>
      </c>
      <c r="AA107" s="20" t="str">
        <f t="shared" si="17"/>
        <v/>
      </c>
      <c r="AB107" s="20" t="str">
        <f t="shared" si="18"/>
        <v/>
      </c>
      <c r="AC107" s="20" t="str">
        <f t="shared" si="19"/>
        <v/>
      </c>
      <c r="AD107" s="18" t="str">
        <f>IF(A107="","",IF(V107='Base de Datos'!$A$3,AB107/AA107,0))</f>
        <v/>
      </c>
      <c r="AE107" s="20" t="str">
        <f t="shared" si="20"/>
        <v/>
      </c>
      <c r="AF107" s="20" t="str">
        <f t="shared" si="21"/>
        <v/>
      </c>
      <c r="AG107" s="20" t="str">
        <f t="shared" si="22"/>
        <v/>
      </c>
    </row>
    <row r="108" spans="6:33" x14ac:dyDescent="0.3">
      <c r="F108" s="21"/>
      <c r="G108" s="11" t="str">
        <f t="shared" si="23"/>
        <v/>
      </c>
      <c r="J108" s="21"/>
      <c r="K108" s="21"/>
      <c r="M108" s="21"/>
      <c r="N108" s="21"/>
      <c r="P108" s="21"/>
      <c r="Q108" s="21"/>
      <c r="R108" s="21"/>
      <c r="V108" t="str">
        <f t="shared" si="13"/>
        <v/>
      </c>
      <c r="W108" t="str">
        <f>IF(V108="",(""),(INDEX('Base de Datos'!$A$3:$B$7,(MATCH(V108,'Base de Datos'!$A$3:$A$7,0)),(2))))</f>
        <v/>
      </c>
      <c r="X108" t="str">
        <f t="shared" si="14"/>
        <v/>
      </c>
      <c r="Y108" s="20" t="str">
        <f t="shared" si="15"/>
        <v/>
      </c>
      <c r="Z108" s="7" t="str">
        <f t="shared" si="16"/>
        <v/>
      </c>
      <c r="AA108" s="20" t="str">
        <f t="shared" si="17"/>
        <v/>
      </c>
      <c r="AB108" s="20" t="str">
        <f t="shared" si="18"/>
        <v/>
      </c>
      <c r="AC108" s="20" t="str">
        <f t="shared" si="19"/>
        <v/>
      </c>
      <c r="AD108" s="18" t="str">
        <f>IF(A108="","",IF(V108='Base de Datos'!$A$3,AB108/AA108,0))</f>
        <v/>
      </c>
      <c r="AE108" s="20" t="str">
        <f t="shared" si="20"/>
        <v/>
      </c>
      <c r="AF108" s="20" t="str">
        <f t="shared" si="21"/>
        <v/>
      </c>
      <c r="AG108" s="20" t="str">
        <f t="shared" si="22"/>
        <v/>
      </c>
    </row>
    <row r="109" spans="6:33" x14ac:dyDescent="0.3">
      <c r="F109" s="21"/>
      <c r="G109" s="11" t="str">
        <f t="shared" si="23"/>
        <v/>
      </c>
      <c r="J109" s="21"/>
      <c r="K109" s="21"/>
      <c r="M109" s="21"/>
      <c r="N109" s="21"/>
      <c r="P109" s="21"/>
      <c r="Q109" s="21"/>
      <c r="R109" s="21"/>
      <c r="V109" t="str">
        <f t="shared" si="13"/>
        <v/>
      </c>
      <c r="W109" t="str">
        <f>IF(V109="",(""),(INDEX('Base de Datos'!$A$3:$B$7,(MATCH(V109,'Base de Datos'!$A$3:$A$7,0)),(2))))</f>
        <v/>
      </c>
      <c r="X109" t="str">
        <f t="shared" si="14"/>
        <v/>
      </c>
      <c r="Y109" s="20" t="str">
        <f t="shared" si="15"/>
        <v/>
      </c>
      <c r="Z109" s="7" t="str">
        <f t="shared" si="16"/>
        <v/>
      </c>
      <c r="AA109" s="20" t="str">
        <f t="shared" si="17"/>
        <v/>
      </c>
      <c r="AB109" s="20" t="str">
        <f t="shared" si="18"/>
        <v/>
      </c>
      <c r="AC109" s="20" t="str">
        <f t="shared" si="19"/>
        <v/>
      </c>
      <c r="AD109" s="18" t="str">
        <f>IF(A109="","",IF(V109='Base de Datos'!$A$3,AB109/AA109,0))</f>
        <v/>
      </c>
      <c r="AE109" s="20" t="str">
        <f t="shared" si="20"/>
        <v/>
      </c>
      <c r="AF109" s="20" t="str">
        <f t="shared" si="21"/>
        <v/>
      </c>
      <c r="AG109" s="20" t="str">
        <f t="shared" si="22"/>
        <v/>
      </c>
    </row>
    <row r="110" spans="6:33" x14ac:dyDescent="0.3">
      <c r="F110" s="21"/>
      <c r="G110" s="11" t="str">
        <f t="shared" si="23"/>
        <v/>
      </c>
      <c r="J110" s="21"/>
      <c r="K110" s="21"/>
      <c r="M110" s="21"/>
      <c r="N110" s="21"/>
      <c r="P110" s="21"/>
      <c r="Q110" s="21"/>
      <c r="R110" s="21"/>
      <c r="V110" t="str">
        <f t="shared" si="13"/>
        <v/>
      </c>
      <c r="W110" t="str">
        <f>IF(V110="",(""),(INDEX('Base de Datos'!$A$3:$B$7,(MATCH(V110,'Base de Datos'!$A$3:$A$7,0)),(2))))</f>
        <v/>
      </c>
      <c r="X110" t="str">
        <f t="shared" si="14"/>
        <v/>
      </c>
      <c r="Y110" s="20" t="str">
        <f t="shared" si="15"/>
        <v/>
      </c>
      <c r="Z110" s="7" t="str">
        <f t="shared" si="16"/>
        <v/>
      </c>
      <c r="AA110" s="20" t="str">
        <f t="shared" si="17"/>
        <v/>
      </c>
      <c r="AB110" s="20" t="str">
        <f t="shared" si="18"/>
        <v/>
      </c>
      <c r="AC110" s="20" t="str">
        <f t="shared" si="19"/>
        <v/>
      </c>
      <c r="AD110" s="18" t="str">
        <f>IF(A110="","",IF(V110='Base de Datos'!$A$3,AB110/AA110,0))</f>
        <v/>
      </c>
      <c r="AE110" s="20" t="str">
        <f t="shared" si="20"/>
        <v/>
      </c>
      <c r="AF110" s="20" t="str">
        <f t="shared" si="21"/>
        <v/>
      </c>
      <c r="AG110" s="20" t="str">
        <f t="shared" si="22"/>
        <v/>
      </c>
    </row>
    <row r="111" spans="6:33" x14ac:dyDescent="0.3">
      <c r="F111" s="21"/>
      <c r="G111" s="11" t="str">
        <f t="shared" si="23"/>
        <v/>
      </c>
      <c r="J111" s="21"/>
      <c r="K111" s="21"/>
      <c r="M111" s="21"/>
      <c r="N111" s="21"/>
      <c r="P111" s="21"/>
      <c r="Q111" s="21"/>
      <c r="R111" s="21"/>
      <c r="V111" t="str">
        <f t="shared" si="13"/>
        <v/>
      </c>
      <c r="W111" t="str">
        <f>IF(V111="",(""),(INDEX('Base de Datos'!$A$3:$B$7,(MATCH(V111,'Base de Datos'!$A$3:$A$7,0)),(2))))</f>
        <v/>
      </c>
      <c r="X111" t="str">
        <f t="shared" si="14"/>
        <v/>
      </c>
      <c r="Y111" s="20" t="str">
        <f t="shared" si="15"/>
        <v/>
      </c>
      <c r="Z111" s="7" t="str">
        <f t="shared" si="16"/>
        <v/>
      </c>
      <c r="AA111" s="20" t="str">
        <f t="shared" si="17"/>
        <v/>
      </c>
      <c r="AB111" s="20" t="str">
        <f t="shared" si="18"/>
        <v/>
      </c>
      <c r="AC111" s="20" t="str">
        <f t="shared" si="19"/>
        <v/>
      </c>
      <c r="AD111" s="18" t="str">
        <f>IF(A111="","",IF(V111='Base de Datos'!$A$3,AB111/AA111,0))</f>
        <v/>
      </c>
      <c r="AE111" s="20" t="str">
        <f t="shared" si="20"/>
        <v/>
      </c>
      <c r="AF111" s="20" t="str">
        <f t="shared" si="21"/>
        <v/>
      </c>
      <c r="AG111" s="20" t="str">
        <f t="shared" si="22"/>
        <v/>
      </c>
    </row>
    <row r="112" spans="6:33" x14ac:dyDescent="0.3">
      <c r="F112" s="21"/>
      <c r="G112" s="11" t="str">
        <f t="shared" si="23"/>
        <v/>
      </c>
      <c r="J112" s="21"/>
      <c r="K112" s="21"/>
      <c r="M112" s="21"/>
      <c r="N112" s="21"/>
      <c r="P112" s="21"/>
      <c r="Q112" s="21"/>
      <c r="R112" s="21"/>
      <c r="V112" t="str">
        <f t="shared" si="13"/>
        <v/>
      </c>
      <c r="W112" t="str">
        <f>IF(V112="",(""),(INDEX('Base de Datos'!$A$3:$B$7,(MATCH(V112,'Base de Datos'!$A$3:$A$7,0)),(2))))</f>
        <v/>
      </c>
      <c r="X112" t="str">
        <f t="shared" si="14"/>
        <v/>
      </c>
      <c r="Y112" s="20" t="str">
        <f t="shared" si="15"/>
        <v/>
      </c>
      <c r="Z112" s="7" t="str">
        <f t="shared" si="16"/>
        <v/>
      </c>
      <c r="AA112" s="20" t="str">
        <f t="shared" si="17"/>
        <v/>
      </c>
      <c r="AB112" s="20" t="str">
        <f t="shared" si="18"/>
        <v/>
      </c>
      <c r="AC112" s="20" t="str">
        <f t="shared" si="19"/>
        <v/>
      </c>
      <c r="AD112" s="18" t="str">
        <f>IF(A112="","",IF(V112='Base de Datos'!$A$3,AB112/AA112,0))</f>
        <v/>
      </c>
      <c r="AE112" s="20" t="str">
        <f t="shared" si="20"/>
        <v/>
      </c>
      <c r="AF112" s="20" t="str">
        <f t="shared" si="21"/>
        <v/>
      </c>
      <c r="AG112" s="20" t="str">
        <f t="shared" si="22"/>
        <v/>
      </c>
    </row>
    <row r="113" spans="6:33" x14ac:dyDescent="0.3">
      <c r="F113" s="21"/>
      <c r="G113" s="11" t="str">
        <f t="shared" si="23"/>
        <v/>
      </c>
      <c r="J113" s="21"/>
      <c r="K113" s="21"/>
      <c r="M113" s="21"/>
      <c r="N113" s="21"/>
      <c r="P113" s="21"/>
      <c r="Q113" s="21"/>
      <c r="R113" s="21"/>
      <c r="V113" t="str">
        <f t="shared" si="13"/>
        <v/>
      </c>
      <c r="W113" t="str">
        <f>IF(V113="",(""),(INDEX('Base de Datos'!$A$3:$B$7,(MATCH(V113,'Base de Datos'!$A$3:$A$7,0)),(2))))</f>
        <v/>
      </c>
      <c r="X113" t="str">
        <f t="shared" si="14"/>
        <v/>
      </c>
      <c r="Y113" s="20" t="str">
        <f t="shared" si="15"/>
        <v/>
      </c>
      <c r="Z113" s="7" t="str">
        <f t="shared" si="16"/>
        <v/>
      </c>
      <c r="AA113" s="20" t="str">
        <f t="shared" si="17"/>
        <v/>
      </c>
      <c r="AB113" s="20" t="str">
        <f t="shared" si="18"/>
        <v/>
      </c>
      <c r="AC113" s="20" t="str">
        <f t="shared" si="19"/>
        <v/>
      </c>
      <c r="AD113" s="18" t="str">
        <f>IF(A113="","",IF(V113='Base de Datos'!$A$3,AB113/AA113,0))</f>
        <v/>
      </c>
      <c r="AE113" s="20" t="str">
        <f t="shared" si="20"/>
        <v/>
      </c>
      <c r="AF113" s="20" t="str">
        <f t="shared" si="21"/>
        <v/>
      </c>
      <c r="AG113" s="20" t="str">
        <f t="shared" si="22"/>
        <v/>
      </c>
    </row>
    <row r="114" spans="6:33" x14ac:dyDescent="0.3">
      <c r="G114" s="11" t="str">
        <f t="shared" si="23"/>
        <v/>
      </c>
      <c r="M114" s="21"/>
      <c r="N114" s="21"/>
      <c r="P114" s="21"/>
      <c r="Q114" s="21"/>
      <c r="R114" s="21"/>
      <c r="V114" t="str">
        <f t="shared" si="13"/>
        <v/>
      </c>
      <c r="W114" t="str">
        <f>IF(V114="",(""),(INDEX('Base de Datos'!$A$3:$B$7,(MATCH(V114,'Base de Datos'!$A$3:$A$7,0)),(2))))</f>
        <v/>
      </c>
      <c r="X114" t="str">
        <f t="shared" si="14"/>
        <v/>
      </c>
      <c r="Y114" s="20" t="str">
        <f t="shared" si="15"/>
        <v/>
      </c>
      <c r="Z114" s="7" t="str">
        <f t="shared" si="16"/>
        <v/>
      </c>
      <c r="AA114" s="20" t="str">
        <f t="shared" si="17"/>
        <v/>
      </c>
      <c r="AB114" s="20" t="str">
        <f t="shared" si="18"/>
        <v/>
      </c>
      <c r="AC114" s="20" t="str">
        <f t="shared" si="19"/>
        <v/>
      </c>
      <c r="AD114" s="18" t="str">
        <f>IF(A114="","",IF(V114='Base de Datos'!$A$3,AB114/AA114,0))</f>
        <v/>
      </c>
      <c r="AE114" s="20" t="str">
        <f t="shared" si="20"/>
        <v/>
      </c>
      <c r="AF114" s="20" t="str">
        <f t="shared" si="21"/>
        <v/>
      </c>
      <c r="AG114" s="20" t="str">
        <f t="shared" si="22"/>
        <v/>
      </c>
    </row>
    <row r="115" spans="6:33" x14ac:dyDescent="0.3">
      <c r="G115" s="11" t="str">
        <f t="shared" si="23"/>
        <v/>
      </c>
      <c r="M115" s="21"/>
      <c r="N115" s="21"/>
      <c r="P115" s="21"/>
      <c r="Q115" s="21"/>
      <c r="R115" s="21"/>
      <c r="V115" t="str">
        <f t="shared" si="13"/>
        <v/>
      </c>
      <c r="W115" t="str">
        <f>IF(V115="",(""),(INDEX('Base de Datos'!$A$3:$B$7,(MATCH(V115,'Base de Datos'!$A$3:$A$7,0)),(2))))</f>
        <v/>
      </c>
      <c r="X115" t="str">
        <f t="shared" si="14"/>
        <v/>
      </c>
      <c r="Y115" s="20" t="str">
        <f t="shared" si="15"/>
        <v/>
      </c>
      <c r="Z115" s="7" t="str">
        <f t="shared" si="16"/>
        <v/>
      </c>
      <c r="AA115" s="20" t="str">
        <f t="shared" si="17"/>
        <v/>
      </c>
      <c r="AB115" s="20" t="str">
        <f t="shared" si="18"/>
        <v/>
      </c>
      <c r="AC115" s="20" t="str">
        <f t="shared" si="19"/>
        <v/>
      </c>
      <c r="AD115" s="18" t="str">
        <f>IF(A115="","",IF(V115='Base de Datos'!$A$3,AB115/AA115,0))</f>
        <v/>
      </c>
      <c r="AE115" s="20" t="str">
        <f t="shared" si="20"/>
        <v/>
      </c>
      <c r="AF115" s="20" t="str">
        <f t="shared" si="21"/>
        <v/>
      </c>
      <c r="AG115" s="20" t="str">
        <f t="shared" si="22"/>
        <v/>
      </c>
    </row>
    <row r="116" spans="6:33" x14ac:dyDescent="0.3">
      <c r="V116" t="str">
        <f t="shared" si="13"/>
        <v/>
      </c>
      <c r="W116" t="str">
        <f>IF(V116="",(""),(INDEX('Base de Datos'!$A$3:$B$7,(MATCH(V116,'Base de Datos'!$A$3:$A$7,0)),(2))))</f>
        <v/>
      </c>
      <c r="X116" t="str">
        <f t="shared" si="14"/>
        <v/>
      </c>
      <c r="Y116" s="20" t="str">
        <f t="shared" si="15"/>
        <v/>
      </c>
      <c r="Z116" s="7" t="str">
        <f t="shared" si="16"/>
        <v/>
      </c>
      <c r="AA116" s="20" t="str">
        <f t="shared" si="17"/>
        <v/>
      </c>
      <c r="AB116" s="20" t="str">
        <f t="shared" si="18"/>
        <v/>
      </c>
      <c r="AC116" s="20" t="str">
        <f t="shared" si="19"/>
        <v/>
      </c>
      <c r="AD116" s="18" t="str">
        <f>IF(A116="","",IF(V116='Base de Datos'!$A$3,AB116/AA116,0))</f>
        <v/>
      </c>
      <c r="AE116" s="20" t="str">
        <f t="shared" si="20"/>
        <v/>
      </c>
      <c r="AF116" s="20" t="str">
        <f t="shared" si="21"/>
        <v/>
      </c>
      <c r="AG116" s="20" t="str">
        <f t="shared" si="22"/>
        <v/>
      </c>
    </row>
    <row r="117" spans="6:33" x14ac:dyDescent="0.3">
      <c r="V117" t="str">
        <f t="shared" si="13"/>
        <v/>
      </c>
      <c r="W117" t="str">
        <f>IF(V117="",(""),(INDEX('Base de Datos'!$A$3:$B$7,(MATCH(V117,'Base de Datos'!$A$3:$A$7,0)),(2))))</f>
        <v/>
      </c>
      <c r="X117" t="str">
        <f t="shared" si="14"/>
        <v/>
      </c>
      <c r="Y117" s="20" t="str">
        <f t="shared" si="15"/>
        <v/>
      </c>
      <c r="Z117" s="7" t="str">
        <f t="shared" si="16"/>
        <v/>
      </c>
      <c r="AA117" s="20" t="str">
        <f t="shared" si="17"/>
        <v/>
      </c>
      <c r="AB117" s="20" t="str">
        <f t="shared" si="18"/>
        <v/>
      </c>
      <c r="AC117" s="20" t="str">
        <f t="shared" si="19"/>
        <v/>
      </c>
      <c r="AD117" s="18" t="str">
        <f>IF(A117="","",IF(V117='Base de Datos'!$A$3,AB117/AA117,0))</f>
        <v/>
      </c>
      <c r="AE117" s="20" t="str">
        <f t="shared" si="20"/>
        <v/>
      </c>
      <c r="AF117" s="20" t="str">
        <f t="shared" si="21"/>
        <v/>
      </c>
      <c r="AG117" s="20" t="str">
        <f t="shared" si="22"/>
        <v/>
      </c>
    </row>
    <row r="118" spans="6:33" x14ac:dyDescent="0.3">
      <c r="V118" t="str">
        <f t="shared" si="13"/>
        <v/>
      </c>
      <c r="W118" t="str">
        <f>IF(V118="",(""),(INDEX('Base de Datos'!$A$3:$B$7,(MATCH(V118,'Base de Datos'!$A$3:$A$7,0)),(2))))</f>
        <v/>
      </c>
      <c r="X118" t="str">
        <f t="shared" si="14"/>
        <v/>
      </c>
      <c r="Y118" s="20" t="str">
        <f t="shared" si="15"/>
        <v/>
      </c>
      <c r="Z118" s="7" t="str">
        <f t="shared" si="16"/>
        <v/>
      </c>
      <c r="AA118" s="20" t="str">
        <f t="shared" si="17"/>
        <v/>
      </c>
      <c r="AB118" s="20" t="str">
        <f t="shared" si="18"/>
        <v/>
      </c>
      <c r="AC118" s="20" t="str">
        <f t="shared" si="19"/>
        <v/>
      </c>
      <c r="AD118" s="18" t="str">
        <f>IF(A118="","",IF(V118='Base de Datos'!$A$3,AB118/AA118,0))</f>
        <v/>
      </c>
      <c r="AE118" s="20" t="str">
        <f t="shared" si="20"/>
        <v/>
      </c>
      <c r="AF118" s="20" t="str">
        <f t="shared" si="21"/>
        <v/>
      </c>
      <c r="AG118" s="20" t="str">
        <f t="shared" si="22"/>
        <v/>
      </c>
    </row>
    <row r="119" spans="6:33" x14ac:dyDescent="0.3">
      <c r="V119" t="str">
        <f t="shared" si="13"/>
        <v/>
      </c>
      <c r="W119" t="str">
        <f>IF(V119="",(""),(INDEX('Base de Datos'!$A$3:$B$7,(MATCH(V119,'Base de Datos'!$A$3:$A$7,0)),(2))))</f>
        <v/>
      </c>
      <c r="X119" t="str">
        <f t="shared" si="14"/>
        <v/>
      </c>
      <c r="Y119" s="20" t="str">
        <f t="shared" si="15"/>
        <v/>
      </c>
      <c r="Z119" s="7" t="str">
        <f t="shared" si="16"/>
        <v/>
      </c>
      <c r="AA119" s="20" t="str">
        <f t="shared" si="17"/>
        <v/>
      </c>
      <c r="AB119" s="20" t="str">
        <f t="shared" si="18"/>
        <v/>
      </c>
      <c r="AC119" s="20" t="str">
        <f t="shared" si="19"/>
        <v/>
      </c>
      <c r="AD119" s="18" t="str">
        <f>IF(A119="","",IF(V119='Base de Datos'!$A$3,AB119/AA119,0))</f>
        <v/>
      </c>
      <c r="AE119" s="20" t="str">
        <f t="shared" si="20"/>
        <v/>
      </c>
      <c r="AF119" s="20" t="str">
        <f t="shared" si="21"/>
        <v/>
      </c>
      <c r="AG119" s="20" t="str">
        <f t="shared" si="22"/>
        <v/>
      </c>
    </row>
    <row r="120" spans="6:33" x14ac:dyDescent="0.3">
      <c r="V120" t="str">
        <f t="shared" si="13"/>
        <v/>
      </c>
      <c r="W120" t="str">
        <f>IF(V120="",(""),(INDEX('Base de Datos'!$A$3:$B$7,(MATCH(V120,'Base de Datos'!$A$3:$A$7,0)),(2))))</f>
        <v/>
      </c>
      <c r="X120" t="str">
        <f t="shared" si="14"/>
        <v/>
      </c>
      <c r="Y120" s="20" t="str">
        <f t="shared" si="15"/>
        <v/>
      </c>
      <c r="Z120" s="7" t="str">
        <f t="shared" si="16"/>
        <v/>
      </c>
      <c r="AA120" s="20" t="str">
        <f t="shared" si="17"/>
        <v/>
      </c>
      <c r="AB120" s="20" t="str">
        <f t="shared" si="18"/>
        <v/>
      </c>
      <c r="AC120" s="20" t="str">
        <f t="shared" si="19"/>
        <v/>
      </c>
      <c r="AD120" s="18" t="str">
        <f>IF(A120="","",IF(V120='Base de Datos'!$A$3,AB120/AA120,0))</f>
        <v/>
      </c>
      <c r="AE120" s="20" t="str">
        <f t="shared" si="20"/>
        <v/>
      </c>
      <c r="AF120" s="20" t="str">
        <f t="shared" si="21"/>
        <v/>
      </c>
      <c r="AG120" s="20" t="str">
        <f t="shared" si="22"/>
        <v/>
      </c>
    </row>
    <row r="121" spans="6:33" x14ac:dyDescent="0.3">
      <c r="V121" t="str">
        <f t="shared" si="13"/>
        <v/>
      </c>
      <c r="W121" t="str">
        <f>IF(V121="",(""),(INDEX('Base de Datos'!$A$3:$B$7,(MATCH(V121,'Base de Datos'!$A$3:$A$7,0)),(2))))</f>
        <v/>
      </c>
      <c r="X121" t="str">
        <f t="shared" si="14"/>
        <v/>
      </c>
      <c r="Y121" s="20" t="str">
        <f t="shared" si="15"/>
        <v/>
      </c>
      <c r="Z121" s="7" t="str">
        <f t="shared" si="16"/>
        <v/>
      </c>
      <c r="AA121" s="20" t="str">
        <f t="shared" si="17"/>
        <v/>
      </c>
      <c r="AB121" s="20" t="str">
        <f t="shared" si="18"/>
        <v/>
      </c>
      <c r="AC121" s="20" t="str">
        <f t="shared" si="19"/>
        <v/>
      </c>
      <c r="AD121" s="18" t="str">
        <f>IF(A121="","",IF(V121='Base de Datos'!$A$3,AB121/AA121,0))</f>
        <v/>
      </c>
      <c r="AE121" s="20" t="str">
        <f t="shared" si="20"/>
        <v/>
      </c>
      <c r="AF121" s="20" t="str">
        <f t="shared" si="21"/>
        <v/>
      </c>
      <c r="AG121" s="20" t="str">
        <f t="shared" si="22"/>
        <v/>
      </c>
    </row>
    <row r="122" spans="6:33" x14ac:dyDescent="0.3">
      <c r="V122" t="str">
        <f t="shared" si="13"/>
        <v/>
      </c>
      <c r="W122" t="str">
        <f>IF(V122="",(""),(INDEX('Base de Datos'!$A$3:$B$7,(MATCH(V122,'Base de Datos'!$A$3:$A$7,0)),(2))))</f>
        <v/>
      </c>
      <c r="X122" t="str">
        <f t="shared" si="14"/>
        <v/>
      </c>
      <c r="Y122" s="20" t="str">
        <f t="shared" si="15"/>
        <v/>
      </c>
      <c r="Z122" s="7" t="str">
        <f t="shared" si="16"/>
        <v/>
      </c>
      <c r="AA122" s="20" t="str">
        <f t="shared" si="17"/>
        <v/>
      </c>
      <c r="AB122" s="20" t="str">
        <f t="shared" si="18"/>
        <v/>
      </c>
      <c r="AC122" s="20" t="str">
        <f t="shared" si="19"/>
        <v/>
      </c>
      <c r="AD122" s="18" t="str">
        <f>IF(A122="","",IF(V122='Base de Datos'!$A$3,AB122/AA122,0))</f>
        <v/>
      </c>
      <c r="AE122" s="20" t="str">
        <f t="shared" si="20"/>
        <v/>
      </c>
      <c r="AF122" s="20" t="str">
        <f t="shared" si="21"/>
        <v/>
      </c>
      <c r="AG122" s="20" t="str">
        <f t="shared" si="22"/>
        <v/>
      </c>
    </row>
    <row r="123" spans="6:33" x14ac:dyDescent="0.3">
      <c r="V123" t="str">
        <f t="shared" si="13"/>
        <v/>
      </c>
      <c r="W123" t="str">
        <f>IF(V123="",(""),(INDEX('Base de Datos'!$A$3:$B$7,(MATCH(V123,'Base de Datos'!$A$3:$A$7,0)),(2))))</f>
        <v/>
      </c>
      <c r="X123" t="str">
        <f t="shared" si="14"/>
        <v/>
      </c>
      <c r="Y123" s="20" t="str">
        <f t="shared" si="15"/>
        <v/>
      </c>
      <c r="Z123" s="7" t="str">
        <f t="shared" si="16"/>
        <v/>
      </c>
      <c r="AA123" s="20" t="str">
        <f t="shared" si="17"/>
        <v/>
      </c>
      <c r="AB123" s="20" t="str">
        <f t="shared" si="18"/>
        <v/>
      </c>
      <c r="AC123" s="20" t="str">
        <f t="shared" si="19"/>
        <v/>
      </c>
      <c r="AD123" s="18" t="str">
        <f>IF(A123="","",IF(V123='Base de Datos'!$A$3,AB123/AA123,0))</f>
        <v/>
      </c>
      <c r="AE123" s="20" t="str">
        <f t="shared" si="20"/>
        <v/>
      </c>
      <c r="AF123" s="20" t="str">
        <f t="shared" si="21"/>
        <v/>
      </c>
      <c r="AG123" s="20" t="str">
        <f t="shared" si="22"/>
        <v/>
      </c>
    </row>
    <row r="124" spans="6:33" x14ac:dyDescent="0.3">
      <c r="V124" t="str">
        <f t="shared" si="13"/>
        <v/>
      </c>
      <c r="W124" t="str">
        <f>IF(V124="",(""),(INDEX('Base de Datos'!$A$3:$B$7,(MATCH(V124,'Base de Datos'!$A$3:$A$7,0)),(2))))</f>
        <v/>
      </c>
      <c r="X124" t="str">
        <f t="shared" si="14"/>
        <v/>
      </c>
      <c r="Y124" s="20" t="str">
        <f t="shared" si="15"/>
        <v/>
      </c>
      <c r="Z124" s="7" t="str">
        <f t="shared" si="16"/>
        <v/>
      </c>
      <c r="AA124" s="20" t="str">
        <f t="shared" si="17"/>
        <v/>
      </c>
      <c r="AB124" s="20" t="str">
        <f t="shared" si="18"/>
        <v/>
      </c>
      <c r="AC124" s="20" t="str">
        <f t="shared" si="19"/>
        <v/>
      </c>
      <c r="AD124" s="18" t="str">
        <f>IF(A124="","",IF(V124='Base de Datos'!$A$3,AB124/AA124,0))</f>
        <v/>
      </c>
      <c r="AE124" s="20" t="str">
        <f t="shared" si="20"/>
        <v/>
      </c>
      <c r="AF124" s="20" t="str">
        <f t="shared" si="21"/>
        <v/>
      </c>
      <c r="AG124" s="20" t="str">
        <f t="shared" si="22"/>
        <v/>
      </c>
    </row>
    <row r="125" spans="6:33" x14ac:dyDescent="0.3">
      <c r="V125" t="str">
        <f t="shared" si="13"/>
        <v/>
      </c>
      <c r="W125" t="str">
        <f>IF(V125="",(""),(INDEX('Base de Datos'!$A$3:$B$7,(MATCH(V125,'Base de Datos'!$A$3:$A$7,0)),(2))))</f>
        <v/>
      </c>
      <c r="X125" t="str">
        <f t="shared" si="14"/>
        <v/>
      </c>
      <c r="Y125" s="20" t="str">
        <f t="shared" si="15"/>
        <v/>
      </c>
      <c r="Z125" s="7" t="str">
        <f t="shared" si="16"/>
        <v/>
      </c>
      <c r="AA125" s="20" t="str">
        <f t="shared" si="17"/>
        <v/>
      </c>
      <c r="AB125" s="20" t="str">
        <f t="shared" si="18"/>
        <v/>
      </c>
      <c r="AC125" s="20" t="str">
        <f t="shared" si="19"/>
        <v/>
      </c>
      <c r="AD125" s="18" t="str">
        <f>IF(A125="","",IF(V125='Base de Datos'!$A$3,AB125/AA125,0))</f>
        <v/>
      </c>
      <c r="AE125" s="20" t="str">
        <f t="shared" si="20"/>
        <v/>
      </c>
      <c r="AF125" s="20" t="str">
        <f t="shared" si="21"/>
        <v/>
      </c>
      <c r="AG125" s="20" t="str">
        <f t="shared" si="22"/>
        <v/>
      </c>
    </row>
    <row r="126" spans="6:33" x14ac:dyDescent="0.3">
      <c r="V126" t="str">
        <f t="shared" si="13"/>
        <v/>
      </c>
      <c r="W126" t="str">
        <f>IF(V126="",(""),(INDEX('Base de Datos'!$A$3:$B$7,(MATCH(V126,'Base de Datos'!$A$3:$A$7,0)),(2))))</f>
        <v/>
      </c>
      <c r="X126" t="str">
        <f t="shared" si="14"/>
        <v/>
      </c>
      <c r="Y126" s="20" t="str">
        <f t="shared" si="15"/>
        <v/>
      </c>
      <c r="Z126" s="7" t="str">
        <f t="shared" si="16"/>
        <v/>
      </c>
      <c r="AA126" s="20" t="str">
        <f t="shared" si="17"/>
        <v/>
      </c>
      <c r="AB126" s="20" t="str">
        <f t="shared" si="18"/>
        <v/>
      </c>
      <c r="AC126" s="20" t="str">
        <f t="shared" si="19"/>
        <v/>
      </c>
      <c r="AD126" s="18" t="str">
        <f>IF(A126="","",IF(V126='Base de Datos'!$A$3,AB126/AA126,0))</f>
        <v/>
      </c>
      <c r="AE126" s="20" t="str">
        <f t="shared" si="20"/>
        <v/>
      </c>
      <c r="AF126" s="20" t="str">
        <f t="shared" si="21"/>
        <v/>
      </c>
      <c r="AG126" s="20" t="str">
        <f t="shared" si="22"/>
        <v/>
      </c>
    </row>
    <row r="127" spans="6:33" x14ac:dyDescent="0.3">
      <c r="V127" t="str">
        <f t="shared" si="13"/>
        <v/>
      </c>
      <c r="W127" t="str">
        <f>IF(V127="",(""),(INDEX('Base de Datos'!$A$3:$B$7,(MATCH(V127,'Base de Datos'!$A$3:$A$7,0)),(2))))</f>
        <v/>
      </c>
      <c r="X127" t="str">
        <f t="shared" si="14"/>
        <v/>
      </c>
      <c r="Y127" s="20" t="str">
        <f t="shared" si="15"/>
        <v/>
      </c>
      <c r="Z127" s="7" t="str">
        <f t="shared" si="16"/>
        <v/>
      </c>
      <c r="AA127" s="20" t="str">
        <f t="shared" si="17"/>
        <v/>
      </c>
      <c r="AB127" s="20" t="str">
        <f t="shared" si="18"/>
        <v/>
      </c>
      <c r="AC127" s="20" t="str">
        <f t="shared" si="19"/>
        <v/>
      </c>
      <c r="AD127" s="18" t="str">
        <f>IF(A127="","",IF(V127='Base de Datos'!$A$3,AB127/AA127,0))</f>
        <v/>
      </c>
      <c r="AE127" s="20" t="str">
        <f t="shared" si="20"/>
        <v/>
      </c>
      <c r="AF127" s="20" t="str">
        <f t="shared" si="21"/>
        <v/>
      </c>
      <c r="AG127" s="20" t="str">
        <f t="shared" si="22"/>
        <v/>
      </c>
    </row>
    <row r="128" spans="6:33" x14ac:dyDescent="0.3">
      <c r="V128" t="str">
        <f t="shared" si="13"/>
        <v/>
      </c>
      <c r="W128" t="str">
        <f>IF(V128="",(""),(INDEX('Base de Datos'!$A$3:$B$7,(MATCH(V128,'Base de Datos'!$A$3:$A$7,0)),(2))))</f>
        <v/>
      </c>
      <c r="X128" t="str">
        <f t="shared" si="14"/>
        <v/>
      </c>
      <c r="Y128" s="20" t="str">
        <f t="shared" si="15"/>
        <v/>
      </c>
      <c r="Z128" s="7" t="str">
        <f t="shared" si="16"/>
        <v/>
      </c>
      <c r="AA128" s="20" t="str">
        <f t="shared" si="17"/>
        <v/>
      </c>
      <c r="AB128" s="20" t="str">
        <f t="shared" si="18"/>
        <v/>
      </c>
      <c r="AC128" s="20" t="str">
        <f t="shared" si="19"/>
        <v/>
      </c>
      <c r="AD128" s="18" t="str">
        <f>IF(A128="","",IF(V128='Base de Datos'!$A$3,AB128/AA128,0))</f>
        <v/>
      </c>
      <c r="AE128" s="20" t="str">
        <f t="shared" si="20"/>
        <v/>
      </c>
      <c r="AF128" s="20" t="str">
        <f t="shared" si="21"/>
        <v/>
      </c>
      <c r="AG128" s="20" t="str">
        <f t="shared" si="22"/>
        <v/>
      </c>
    </row>
    <row r="129" spans="22:33" x14ac:dyDescent="0.3">
      <c r="V129" t="str">
        <f t="shared" si="13"/>
        <v/>
      </c>
      <c r="W129" t="str">
        <f>IF(V129="",(""),(INDEX('Base de Datos'!$A$3:$B$7,(MATCH(V129,'Base de Datos'!$A$3:$A$7,0)),(2))))</f>
        <v/>
      </c>
      <c r="X129" t="str">
        <f t="shared" si="14"/>
        <v/>
      </c>
      <c r="Y129" s="20" t="str">
        <f t="shared" si="15"/>
        <v/>
      </c>
      <c r="Z129" s="7" t="str">
        <f t="shared" si="16"/>
        <v/>
      </c>
      <c r="AA129" s="20" t="str">
        <f t="shared" si="17"/>
        <v/>
      </c>
      <c r="AB129" s="20" t="str">
        <f t="shared" si="18"/>
        <v/>
      </c>
      <c r="AC129" s="20" t="str">
        <f t="shared" si="19"/>
        <v/>
      </c>
      <c r="AD129" s="18" t="str">
        <f>IF(A129="","",IF(V129='Base de Datos'!$A$3,AB129/AA129,0))</f>
        <v/>
      </c>
      <c r="AE129" s="20" t="str">
        <f t="shared" si="20"/>
        <v/>
      </c>
      <c r="AF129" s="20" t="str">
        <f t="shared" si="21"/>
        <v/>
      </c>
      <c r="AG129" s="20" t="str">
        <f t="shared" si="22"/>
        <v/>
      </c>
    </row>
    <row r="130" spans="22:33" x14ac:dyDescent="0.3">
      <c r="V130" t="str">
        <f t="shared" si="13"/>
        <v/>
      </c>
      <c r="W130" t="str">
        <f>IF(V130="",(""),(INDEX('Base de Datos'!$A$3:$B$7,(MATCH(V130,'Base de Datos'!$A$3:$A$7,0)),(2))))</f>
        <v/>
      </c>
      <c r="X130" t="str">
        <f t="shared" si="14"/>
        <v/>
      </c>
      <c r="Y130" s="20" t="str">
        <f t="shared" si="15"/>
        <v/>
      </c>
      <c r="Z130" s="7" t="str">
        <f t="shared" si="16"/>
        <v/>
      </c>
      <c r="AA130" s="20" t="str">
        <f t="shared" si="17"/>
        <v/>
      </c>
      <c r="AB130" s="20" t="str">
        <f t="shared" si="18"/>
        <v/>
      </c>
      <c r="AC130" s="20" t="str">
        <f t="shared" si="19"/>
        <v/>
      </c>
      <c r="AD130" s="18" t="str">
        <f>IF(A130="","",IF(V130='Base de Datos'!$A$3,AB130/AA130,0))</f>
        <v/>
      </c>
      <c r="AE130" s="20" t="str">
        <f t="shared" si="20"/>
        <v/>
      </c>
      <c r="AF130" s="20" t="str">
        <f t="shared" si="21"/>
        <v/>
      </c>
      <c r="AG130" s="20" t="str">
        <f t="shared" si="22"/>
        <v/>
      </c>
    </row>
    <row r="131" spans="22:33" x14ac:dyDescent="0.3">
      <c r="V131" t="str">
        <f t="shared" si="13"/>
        <v/>
      </c>
      <c r="W131" t="str">
        <f>IF(V131="",(""),(INDEX('Base de Datos'!$A$3:$B$7,(MATCH(V131,'Base de Datos'!$A$3:$A$7,0)),(2))))</f>
        <v/>
      </c>
      <c r="X131" t="str">
        <f t="shared" si="14"/>
        <v/>
      </c>
      <c r="Y131" s="20" t="str">
        <f t="shared" si="15"/>
        <v/>
      </c>
      <c r="Z131" s="7" t="str">
        <f t="shared" si="16"/>
        <v/>
      </c>
      <c r="AA131" s="20" t="str">
        <f t="shared" si="17"/>
        <v/>
      </c>
      <c r="AB131" s="20" t="str">
        <f t="shared" si="18"/>
        <v/>
      </c>
      <c r="AC131" s="20" t="str">
        <f t="shared" si="19"/>
        <v/>
      </c>
      <c r="AD131" s="18" t="str">
        <f>IF(A131="","",IF(V131='Base de Datos'!$A$3,AB131/AA131,0))</f>
        <v/>
      </c>
      <c r="AE131" s="20" t="str">
        <f t="shared" si="20"/>
        <v/>
      </c>
      <c r="AF131" s="20" t="str">
        <f t="shared" si="21"/>
        <v/>
      </c>
      <c r="AG131" s="20" t="str">
        <f t="shared" si="22"/>
        <v/>
      </c>
    </row>
    <row r="132" spans="22:33" x14ac:dyDescent="0.3">
      <c r="V132" t="str">
        <f t="shared" ref="V132:V195" si="24">IF(E132="","",VALUE(MID(E132,1,4)))</f>
        <v/>
      </c>
      <c r="W132" t="str">
        <f>IF(V132="",(""),(INDEX('Base de Datos'!$A$3:$B$7,(MATCH(V132,'Base de Datos'!$A$3:$A$7,0)),(2))))</f>
        <v/>
      </c>
      <c r="X132" t="str">
        <f t="shared" ref="X132:X195" si="25">IF(H132="",(""),(H132))</f>
        <v/>
      </c>
      <c r="Y132" s="20" t="str">
        <f t="shared" ref="Y132:Y195" si="26">IF(A132="",(""),(R132/I132))</f>
        <v/>
      </c>
      <c r="Z132" s="7" t="str">
        <f t="shared" ref="Z132:Z195" si="27">IF(B132="",(""),(I132))</f>
        <v/>
      </c>
      <c r="AA132" s="20" t="str">
        <f t="shared" ref="AA132:AA195" si="28">IF(K132="",(""),(K132))</f>
        <v/>
      </c>
      <c r="AB132" s="20" t="str">
        <f t="shared" ref="AB132:AB195" si="29">IF(Q132="",(""),(Q132))</f>
        <v/>
      </c>
      <c r="AC132" s="20" t="str">
        <f t="shared" ref="AC132:AC195" si="30">IF(R132="",(""),(R132))</f>
        <v/>
      </c>
      <c r="AD132" s="18" t="str">
        <f>IF(A132="","",IF(V132='Base de Datos'!$A$3,AB132/AA132,0))</f>
        <v/>
      </c>
      <c r="AE132" s="20" t="str">
        <f t="shared" ref="AE132:AE195" si="31">IF(A132="",(""),(AC132/Z132))</f>
        <v/>
      </c>
      <c r="AF132" s="20" t="str">
        <f t="shared" ref="AF132:AF195" si="32">IF(A132="",(""),(IF(AB132="",(0),((AB132/Z132)))))</f>
        <v/>
      </c>
      <c r="AG132" s="20" t="str">
        <f t="shared" ref="AG132:AG195" si="33">IF(A132="",(""),(AF132+AE132))</f>
        <v/>
      </c>
    </row>
    <row r="133" spans="22:33" x14ac:dyDescent="0.3">
      <c r="V133" t="str">
        <f t="shared" si="24"/>
        <v/>
      </c>
      <c r="W133" t="str">
        <f>IF(V133="",(""),(INDEX('Base de Datos'!$A$3:$B$7,(MATCH(V133,'Base de Datos'!$A$3:$A$7,0)),(2))))</f>
        <v/>
      </c>
      <c r="X133" t="str">
        <f t="shared" si="25"/>
        <v/>
      </c>
      <c r="Y133" s="20" t="str">
        <f t="shared" si="26"/>
        <v/>
      </c>
      <c r="Z133" s="7" t="str">
        <f t="shared" si="27"/>
        <v/>
      </c>
      <c r="AA133" s="20" t="str">
        <f t="shared" si="28"/>
        <v/>
      </c>
      <c r="AB133" s="20" t="str">
        <f t="shared" si="29"/>
        <v/>
      </c>
      <c r="AC133" s="20" t="str">
        <f t="shared" si="30"/>
        <v/>
      </c>
      <c r="AD133" s="18" t="str">
        <f>IF(A133="","",IF(V133='Base de Datos'!$A$3,AB133/AA133,0))</f>
        <v/>
      </c>
      <c r="AE133" s="20" t="str">
        <f t="shared" si="31"/>
        <v/>
      </c>
      <c r="AF133" s="20" t="str">
        <f t="shared" si="32"/>
        <v/>
      </c>
      <c r="AG133" s="20" t="str">
        <f t="shared" si="33"/>
        <v/>
      </c>
    </row>
    <row r="134" spans="22:33" x14ac:dyDescent="0.3">
      <c r="V134" t="str">
        <f t="shared" si="24"/>
        <v/>
      </c>
      <c r="W134" t="str">
        <f>IF(V134="",(""),(INDEX('Base de Datos'!$A$3:$B$7,(MATCH(V134,'Base de Datos'!$A$3:$A$7,0)),(2))))</f>
        <v/>
      </c>
      <c r="X134" t="str">
        <f t="shared" si="25"/>
        <v/>
      </c>
      <c r="Y134" s="20" t="str">
        <f t="shared" si="26"/>
        <v/>
      </c>
      <c r="Z134" s="7" t="str">
        <f t="shared" si="27"/>
        <v/>
      </c>
      <c r="AA134" s="20" t="str">
        <f t="shared" si="28"/>
        <v/>
      </c>
      <c r="AB134" s="20" t="str">
        <f t="shared" si="29"/>
        <v/>
      </c>
      <c r="AC134" s="20" t="str">
        <f t="shared" si="30"/>
        <v/>
      </c>
      <c r="AD134" s="18" t="str">
        <f>IF(A134="","",IF(V134='Base de Datos'!$A$3,AB134/AA134,0))</f>
        <v/>
      </c>
      <c r="AE134" s="20" t="str">
        <f t="shared" si="31"/>
        <v/>
      </c>
      <c r="AF134" s="20" t="str">
        <f t="shared" si="32"/>
        <v/>
      </c>
      <c r="AG134" s="20" t="str">
        <f t="shared" si="33"/>
        <v/>
      </c>
    </row>
    <row r="135" spans="22:33" x14ac:dyDescent="0.3">
      <c r="V135" t="str">
        <f t="shared" si="24"/>
        <v/>
      </c>
      <c r="W135" t="str">
        <f>IF(V135="",(""),(INDEX('Base de Datos'!$A$3:$B$7,(MATCH(V135,'Base de Datos'!$A$3:$A$7,0)),(2))))</f>
        <v/>
      </c>
      <c r="X135" t="str">
        <f t="shared" si="25"/>
        <v/>
      </c>
      <c r="Y135" s="20" t="str">
        <f t="shared" si="26"/>
        <v/>
      </c>
      <c r="Z135" s="7" t="str">
        <f t="shared" si="27"/>
        <v/>
      </c>
      <c r="AA135" s="20" t="str">
        <f t="shared" si="28"/>
        <v/>
      </c>
      <c r="AB135" s="20" t="str">
        <f t="shared" si="29"/>
        <v/>
      </c>
      <c r="AC135" s="20" t="str">
        <f t="shared" si="30"/>
        <v/>
      </c>
      <c r="AD135" s="18" t="str">
        <f>IF(A135="","",IF(V135='Base de Datos'!$A$3,AB135/AA135,0))</f>
        <v/>
      </c>
      <c r="AE135" s="20" t="str">
        <f t="shared" si="31"/>
        <v/>
      </c>
      <c r="AF135" s="20" t="str">
        <f t="shared" si="32"/>
        <v/>
      </c>
      <c r="AG135" s="20" t="str">
        <f t="shared" si="33"/>
        <v/>
      </c>
    </row>
    <row r="136" spans="22:33" x14ac:dyDescent="0.3">
      <c r="V136" t="str">
        <f t="shared" si="24"/>
        <v/>
      </c>
      <c r="W136" t="str">
        <f>IF(V136="",(""),(INDEX('Base de Datos'!$A$3:$B$7,(MATCH(V136,'Base de Datos'!$A$3:$A$7,0)),(2))))</f>
        <v/>
      </c>
      <c r="X136" t="str">
        <f t="shared" si="25"/>
        <v/>
      </c>
      <c r="Y136" s="20" t="str">
        <f t="shared" si="26"/>
        <v/>
      </c>
      <c r="Z136" s="7" t="str">
        <f t="shared" si="27"/>
        <v/>
      </c>
      <c r="AA136" s="20" t="str">
        <f t="shared" si="28"/>
        <v/>
      </c>
      <c r="AB136" s="20" t="str">
        <f t="shared" si="29"/>
        <v/>
      </c>
      <c r="AC136" s="20" t="str">
        <f t="shared" si="30"/>
        <v/>
      </c>
      <c r="AD136" s="18" t="str">
        <f>IF(A136="","",IF(V136='Base de Datos'!$A$3,AB136/AA136,0))</f>
        <v/>
      </c>
      <c r="AE136" s="20" t="str">
        <f t="shared" si="31"/>
        <v/>
      </c>
      <c r="AF136" s="20" t="str">
        <f t="shared" si="32"/>
        <v/>
      </c>
      <c r="AG136" s="20" t="str">
        <f t="shared" si="33"/>
        <v/>
      </c>
    </row>
    <row r="137" spans="22:33" x14ac:dyDescent="0.3">
      <c r="V137" t="str">
        <f t="shared" si="24"/>
        <v/>
      </c>
      <c r="W137" t="str">
        <f>IF(V137="",(""),(INDEX('Base de Datos'!$A$3:$B$7,(MATCH(V137,'Base de Datos'!$A$3:$A$7,0)),(2))))</f>
        <v/>
      </c>
      <c r="X137" t="str">
        <f t="shared" si="25"/>
        <v/>
      </c>
      <c r="Y137" s="20" t="str">
        <f t="shared" si="26"/>
        <v/>
      </c>
      <c r="Z137" s="7" t="str">
        <f t="shared" si="27"/>
        <v/>
      </c>
      <c r="AA137" s="20" t="str">
        <f t="shared" si="28"/>
        <v/>
      </c>
      <c r="AB137" s="20" t="str">
        <f t="shared" si="29"/>
        <v/>
      </c>
      <c r="AC137" s="20" t="str">
        <f t="shared" si="30"/>
        <v/>
      </c>
      <c r="AD137" s="18" t="str">
        <f>IF(A137="","",IF(V137='Base de Datos'!$A$3,AB137/AA137,0))</f>
        <v/>
      </c>
      <c r="AE137" s="20" t="str">
        <f t="shared" si="31"/>
        <v/>
      </c>
      <c r="AF137" s="20" t="str">
        <f t="shared" si="32"/>
        <v/>
      </c>
      <c r="AG137" s="20" t="str">
        <f t="shared" si="33"/>
        <v/>
      </c>
    </row>
    <row r="138" spans="22:33" x14ac:dyDescent="0.3">
      <c r="V138" t="str">
        <f t="shared" si="24"/>
        <v/>
      </c>
      <c r="W138" t="str">
        <f>IF(V138="",(""),(INDEX('Base de Datos'!$A$3:$B$7,(MATCH(V138,'Base de Datos'!$A$3:$A$7,0)),(2))))</f>
        <v/>
      </c>
      <c r="X138" t="str">
        <f t="shared" si="25"/>
        <v/>
      </c>
      <c r="Y138" s="20" t="str">
        <f t="shared" si="26"/>
        <v/>
      </c>
      <c r="Z138" s="7" t="str">
        <f t="shared" si="27"/>
        <v/>
      </c>
      <c r="AA138" s="20" t="str">
        <f t="shared" si="28"/>
        <v/>
      </c>
      <c r="AB138" s="20" t="str">
        <f t="shared" si="29"/>
        <v/>
      </c>
      <c r="AC138" s="20" t="str">
        <f t="shared" si="30"/>
        <v/>
      </c>
      <c r="AD138" s="18" t="str">
        <f>IF(A138="","",IF(V138='Base de Datos'!$A$3,AB138/AA138,0))</f>
        <v/>
      </c>
      <c r="AE138" s="20" t="str">
        <f t="shared" si="31"/>
        <v/>
      </c>
      <c r="AF138" s="20" t="str">
        <f t="shared" si="32"/>
        <v/>
      </c>
      <c r="AG138" s="20" t="str">
        <f t="shared" si="33"/>
        <v/>
      </c>
    </row>
    <row r="139" spans="22:33" x14ac:dyDescent="0.3">
      <c r="V139" t="str">
        <f t="shared" si="24"/>
        <v/>
      </c>
      <c r="W139" t="str">
        <f>IF(V139="",(""),(INDEX('Base de Datos'!$A$3:$B$7,(MATCH(V139,'Base de Datos'!$A$3:$A$7,0)),(2))))</f>
        <v/>
      </c>
      <c r="X139" t="str">
        <f t="shared" si="25"/>
        <v/>
      </c>
      <c r="Y139" s="20" t="str">
        <f t="shared" si="26"/>
        <v/>
      </c>
      <c r="Z139" s="7" t="str">
        <f t="shared" si="27"/>
        <v/>
      </c>
      <c r="AA139" s="20" t="str">
        <f t="shared" si="28"/>
        <v/>
      </c>
      <c r="AB139" s="20" t="str">
        <f t="shared" si="29"/>
        <v/>
      </c>
      <c r="AC139" s="20" t="str">
        <f t="shared" si="30"/>
        <v/>
      </c>
      <c r="AD139" s="18" t="str">
        <f>IF(A139="","",IF(V139='Base de Datos'!$A$3,AB139/AA139,0))</f>
        <v/>
      </c>
      <c r="AE139" s="20" t="str">
        <f t="shared" si="31"/>
        <v/>
      </c>
      <c r="AF139" s="20" t="str">
        <f t="shared" si="32"/>
        <v/>
      </c>
      <c r="AG139" s="20" t="str">
        <f t="shared" si="33"/>
        <v/>
      </c>
    </row>
    <row r="140" spans="22:33" x14ac:dyDescent="0.3">
      <c r="V140" t="str">
        <f t="shared" si="24"/>
        <v/>
      </c>
      <c r="W140" t="str">
        <f>IF(V140="",(""),(INDEX('Base de Datos'!$A$3:$B$7,(MATCH(V140,'Base de Datos'!$A$3:$A$7,0)),(2))))</f>
        <v/>
      </c>
      <c r="X140" t="str">
        <f t="shared" si="25"/>
        <v/>
      </c>
      <c r="Y140" s="20" t="str">
        <f t="shared" si="26"/>
        <v/>
      </c>
      <c r="Z140" s="7" t="str">
        <f t="shared" si="27"/>
        <v/>
      </c>
      <c r="AA140" s="20" t="str">
        <f t="shared" si="28"/>
        <v/>
      </c>
      <c r="AB140" s="20" t="str">
        <f t="shared" si="29"/>
        <v/>
      </c>
      <c r="AC140" s="20" t="str">
        <f t="shared" si="30"/>
        <v/>
      </c>
      <c r="AD140" s="18" t="str">
        <f>IF(A140="","",IF(V140='Base de Datos'!$A$3,AB140/AA140,0))</f>
        <v/>
      </c>
      <c r="AE140" s="20" t="str">
        <f t="shared" si="31"/>
        <v/>
      </c>
      <c r="AF140" s="20" t="str">
        <f t="shared" si="32"/>
        <v/>
      </c>
      <c r="AG140" s="20" t="str">
        <f t="shared" si="33"/>
        <v/>
      </c>
    </row>
    <row r="141" spans="22:33" x14ac:dyDescent="0.3">
      <c r="V141" t="str">
        <f t="shared" si="24"/>
        <v/>
      </c>
      <c r="W141" t="str">
        <f>IF(V141="",(""),(INDEX('Base de Datos'!$A$3:$B$7,(MATCH(V141,'Base de Datos'!$A$3:$A$7,0)),(2))))</f>
        <v/>
      </c>
      <c r="X141" t="str">
        <f t="shared" si="25"/>
        <v/>
      </c>
      <c r="Y141" s="20" t="str">
        <f t="shared" si="26"/>
        <v/>
      </c>
      <c r="Z141" s="7" t="str">
        <f t="shared" si="27"/>
        <v/>
      </c>
      <c r="AA141" s="20" t="str">
        <f t="shared" si="28"/>
        <v/>
      </c>
      <c r="AB141" s="20" t="str">
        <f t="shared" si="29"/>
        <v/>
      </c>
      <c r="AC141" s="20" t="str">
        <f t="shared" si="30"/>
        <v/>
      </c>
      <c r="AD141" s="18" t="str">
        <f>IF(A141="","",IF(V141='Base de Datos'!$A$3,AB141/AA141,0))</f>
        <v/>
      </c>
      <c r="AE141" s="20" t="str">
        <f t="shared" si="31"/>
        <v/>
      </c>
      <c r="AF141" s="20" t="str">
        <f t="shared" si="32"/>
        <v/>
      </c>
      <c r="AG141" s="20" t="str">
        <f t="shared" si="33"/>
        <v/>
      </c>
    </row>
    <row r="142" spans="22:33" x14ac:dyDescent="0.3">
      <c r="V142" t="str">
        <f t="shared" si="24"/>
        <v/>
      </c>
      <c r="W142" t="str">
        <f>IF(V142="",(""),(INDEX('Base de Datos'!$A$3:$B$7,(MATCH(V142,'Base de Datos'!$A$3:$A$7,0)),(2))))</f>
        <v/>
      </c>
      <c r="X142" t="str">
        <f t="shared" si="25"/>
        <v/>
      </c>
      <c r="Y142" s="20" t="str">
        <f t="shared" si="26"/>
        <v/>
      </c>
      <c r="Z142" s="7" t="str">
        <f t="shared" si="27"/>
        <v/>
      </c>
      <c r="AA142" s="20" t="str">
        <f t="shared" si="28"/>
        <v/>
      </c>
      <c r="AB142" s="20" t="str">
        <f t="shared" si="29"/>
        <v/>
      </c>
      <c r="AC142" s="20" t="str">
        <f t="shared" si="30"/>
        <v/>
      </c>
      <c r="AD142" s="18" t="str">
        <f>IF(A142="","",IF(V142='Base de Datos'!$A$3,AB142/AA142,0))</f>
        <v/>
      </c>
      <c r="AE142" s="20" t="str">
        <f t="shared" si="31"/>
        <v/>
      </c>
      <c r="AF142" s="20" t="str">
        <f t="shared" si="32"/>
        <v/>
      </c>
      <c r="AG142" s="20" t="str">
        <f t="shared" si="33"/>
        <v/>
      </c>
    </row>
    <row r="143" spans="22:33" x14ac:dyDescent="0.3">
      <c r="V143" t="str">
        <f t="shared" si="24"/>
        <v/>
      </c>
      <c r="W143" t="str">
        <f>IF(V143="",(""),(INDEX('Base de Datos'!$A$3:$B$7,(MATCH(V143,'Base de Datos'!$A$3:$A$7,0)),(2))))</f>
        <v/>
      </c>
      <c r="X143" t="str">
        <f t="shared" si="25"/>
        <v/>
      </c>
      <c r="Y143" s="20" t="str">
        <f t="shared" si="26"/>
        <v/>
      </c>
      <c r="Z143" s="7" t="str">
        <f t="shared" si="27"/>
        <v/>
      </c>
      <c r="AA143" s="20" t="str">
        <f t="shared" si="28"/>
        <v/>
      </c>
      <c r="AB143" s="20" t="str">
        <f t="shared" si="29"/>
        <v/>
      </c>
      <c r="AC143" s="20" t="str">
        <f t="shared" si="30"/>
        <v/>
      </c>
      <c r="AD143" s="18" t="str">
        <f>IF(A143="","",IF(V143='Base de Datos'!$A$3,AB143/AA143,0))</f>
        <v/>
      </c>
      <c r="AE143" s="20" t="str">
        <f t="shared" si="31"/>
        <v/>
      </c>
      <c r="AF143" s="20" t="str">
        <f t="shared" si="32"/>
        <v/>
      </c>
      <c r="AG143" s="20" t="str">
        <f t="shared" si="33"/>
        <v/>
      </c>
    </row>
    <row r="144" spans="22:33" x14ac:dyDescent="0.3">
      <c r="V144" t="str">
        <f t="shared" si="24"/>
        <v/>
      </c>
      <c r="W144" t="str">
        <f>IF(V144="",(""),(INDEX('Base de Datos'!$A$3:$B$7,(MATCH(V144,'Base de Datos'!$A$3:$A$7,0)),(2))))</f>
        <v/>
      </c>
      <c r="X144" t="str">
        <f t="shared" si="25"/>
        <v/>
      </c>
      <c r="Y144" s="20" t="str">
        <f t="shared" si="26"/>
        <v/>
      </c>
      <c r="Z144" s="7" t="str">
        <f t="shared" si="27"/>
        <v/>
      </c>
      <c r="AA144" s="20" t="str">
        <f t="shared" si="28"/>
        <v/>
      </c>
      <c r="AB144" s="20" t="str">
        <f t="shared" si="29"/>
        <v/>
      </c>
      <c r="AC144" s="20" t="str">
        <f t="shared" si="30"/>
        <v/>
      </c>
      <c r="AD144" s="18" t="str">
        <f>IF(A144="","",IF(V144='Base de Datos'!$A$3,AB144/AA144,0))</f>
        <v/>
      </c>
      <c r="AE144" s="20" t="str">
        <f t="shared" si="31"/>
        <v/>
      </c>
      <c r="AF144" s="20" t="str">
        <f t="shared" si="32"/>
        <v/>
      </c>
      <c r="AG144" s="20" t="str">
        <f t="shared" si="33"/>
        <v/>
      </c>
    </row>
    <row r="145" spans="22:33" x14ac:dyDescent="0.3">
      <c r="V145" t="str">
        <f t="shared" si="24"/>
        <v/>
      </c>
      <c r="W145" t="str">
        <f>IF(V145="",(""),(INDEX('Base de Datos'!$A$3:$B$7,(MATCH(V145,'Base de Datos'!$A$3:$A$7,0)),(2))))</f>
        <v/>
      </c>
      <c r="X145" t="str">
        <f t="shared" si="25"/>
        <v/>
      </c>
      <c r="Y145" s="20" t="str">
        <f t="shared" si="26"/>
        <v/>
      </c>
      <c r="Z145" s="7" t="str">
        <f t="shared" si="27"/>
        <v/>
      </c>
      <c r="AA145" s="20" t="str">
        <f t="shared" si="28"/>
        <v/>
      </c>
      <c r="AB145" s="20" t="str">
        <f t="shared" si="29"/>
        <v/>
      </c>
      <c r="AC145" s="20" t="str">
        <f t="shared" si="30"/>
        <v/>
      </c>
      <c r="AD145" s="18" t="str">
        <f>IF(A145="","",IF(V145='Base de Datos'!$A$3,AB145/AA145,0))</f>
        <v/>
      </c>
      <c r="AE145" s="20" t="str">
        <f t="shared" si="31"/>
        <v/>
      </c>
      <c r="AF145" s="20" t="str">
        <f t="shared" si="32"/>
        <v/>
      </c>
      <c r="AG145" s="20" t="str">
        <f t="shared" si="33"/>
        <v/>
      </c>
    </row>
    <row r="146" spans="22:33" x14ac:dyDescent="0.3">
      <c r="V146" t="str">
        <f t="shared" si="24"/>
        <v/>
      </c>
      <c r="W146" t="str">
        <f>IF(V146="",(""),(INDEX('Base de Datos'!$A$3:$B$7,(MATCH(V146,'Base de Datos'!$A$3:$A$7,0)),(2))))</f>
        <v/>
      </c>
      <c r="X146" t="str">
        <f t="shared" si="25"/>
        <v/>
      </c>
      <c r="Y146" s="20" t="str">
        <f t="shared" si="26"/>
        <v/>
      </c>
      <c r="Z146" s="7" t="str">
        <f t="shared" si="27"/>
        <v/>
      </c>
      <c r="AA146" s="20" t="str">
        <f t="shared" si="28"/>
        <v/>
      </c>
      <c r="AB146" s="20" t="str">
        <f t="shared" si="29"/>
        <v/>
      </c>
      <c r="AC146" s="20" t="str">
        <f t="shared" si="30"/>
        <v/>
      </c>
      <c r="AD146" s="18" t="str">
        <f>IF(A146="","",IF(V146='Base de Datos'!$A$3,AB146/AA146,0))</f>
        <v/>
      </c>
      <c r="AE146" s="20" t="str">
        <f t="shared" si="31"/>
        <v/>
      </c>
      <c r="AF146" s="20" t="str">
        <f t="shared" si="32"/>
        <v/>
      </c>
      <c r="AG146" s="20" t="str">
        <f t="shared" si="33"/>
        <v/>
      </c>
    </row>
    <row r="147" spans="22:33" x14ac:dyDescent="0.3">
      <c r="V147" t="str">
        <f t="shared" si="24"/>
        <v/>
      </c>
      <c r="W147" t="str">
        <f>IF(V147="",(""),(INDEX('Base de Datos'!$A$3:$B$7,(MATCH(V147,'Base de Datos'!$A$3:$A$7,0)),(2))))</f>
        <v/>
      </c>
      <c r="X147" t="str">
        <f t="shared" si="25"/>
        <v/>
      </c>
      <c r="Y147" s="20" t="str">
        <f t="shared" si="26"/>
        <v/>
      </c>
      <c r="Z147" s="7" t="str">
        <f t="shared" si="27"/>
        <v/>
      </c>
      <c r="AA147" s="20" t="str">
        <f t="shared" si="28"/>
        <v/>
      </c>
      <c r="AB147" s="20" t="str">
        <f t="shared" si="29"/>
        <v/>
      </c>
      <c r="AC147" s="20" t="str">
        <f t="shared" si="30"/>
        <v/>
      </c>
      <c r="AD147" s="18" t="str">
        <f>IF(A147="","",IF(V147='Base de Datos'!$A$3,AB147/AA147,0))</f>
        <v/>
      </c>
      <c r="AE147" s="20" t="str">
        <f t="shared" si="31"/>
        <v/>
      </c>
      <c r="AF147" s="20" t="str">
        <f t="shared" si="32"/>
        <v/>
      </c>
      <c r="AG147" s="20" t="str">
        <f t="shared" si="33"/>
        <v/>
      </c>
    </row>
    <row r="148" spans="22:33" x14ac:dyDescent="0.3">
      <c r="V148" t="str">
        <f t="shared" si="24"/>
        <v/>
      </c>
      <c r="W148" t="str">
        <f>IF(V148="",(""),(INDEX('Base de Datos'!$A$3:$B$7,(MATCH(V148,'Base de Datos'!$A$3:$A$7,0)),(2))))</f>
        <v/>
      </c>
      <c r="X148" t="str">
        <f t="shared" si="25"/>
        <v/>
      </c>
      <c r="Y148" s="20" t="str">
        <f t="shared" si="26"/>
        <v/>
      </c>
      <c r="Z148" s="7" t="str">
        <f t="shared" si="27"/>
        <v/>
      </c>
      <c r="AA148" s="20" t="str">
        <f t="shared" si="28"/>
        <v/>
      </c>
      <c r="AB148" s="20" t="str">
        <f t="shared" si="29"/>
        <v/>
      </c>
      <c r="AC148" s="20" t="str">
        <f t="shared" si="30"/>
        <v/>
      </c>
      <c r="AD148" s="18" t="str">
        <f>IF(A148="","",IF(V148='Base de Datos'!$A$3,AB148/AA148,0))</f>
        <v/>
      </c>
      <c r="AE148" s="20" t="str">
        <f t="shared" si="31"/>
        <v/>
      </c>
      <c r="AF148" s="20" t="str">
        <f t="shared" si="32"/>
        <v/>
      </c>
      <c r="AG148" s="20" t="str">
        <f t="shared" si="33"/>
        <v/>
      </c>
    </row>
    <row r="149" spans="22:33" x14ac:dyDescent="0.3">
      <c r="V149" t="str">
        <f t="shared" si="24"/>
        <v/>
      </c>
      <c r="W149" t="str">
        <f>IF(V149="",(""),(INDEX('Base de Datos'!$A$3:$B$7,(MATCH(V149,'Base de Datos'!$A$3:$A$7,0)),(2))))</f>
        <v/>
      </c>
      <c r="X149" t="str">
        <f t="shared" si="25"/>
        <v/>
      </c>
      <c r="Y149" s="20" t="str">
        <f t="shared" si="26"/>
        <v/>
      </c>
      <c r="Z149" s="7" t="str">
        <f t="shared" si="27"/>
        <v/>
      </c>
      <c r="AA149" s="20" t="str">
        <f t="shared" si="28"/>
        <v/>
      </c>
      <c r="AB149" s="20" t="str">
        <f t="shared" si="29"/>
        <v/>
      </c>
      <c r="AC149" s="20" t="str">
        <f t="shared" si="30"/>
        <v/>
      </c>
      <c r="AD149" s="18" t="str">
        <f>IF(A149="","",IF(V149='Base de Datos'!$A$3,AB149/AA149,0))</f>
        <v/>
      </c>
      <c r="AE149" s="20" t="str">
        <f t="shared" si="31"/>
        <v/>
      </c>
      <c r="AF149" s="20" t="str">
        <f t="shared" si="32"/>
        <v/>
      </c>
      <c r="AG149" s="20" t="str">
        <f t="shared" si="33"/>
        <v/>
      </c>
    </row>
    <row r="150" spans="22:33" x14ac:dyDescent="0.3">
      <c r="V150" t="str">
        <f t="shared" si="24"/>
        <v/>
      </c>
      <c r="W150" t="str">
        <f>IF(V150="",(""),(INDEX('Base de Datos'!$A$3:$B$7,(MATCH(V150,'Base de Datos'!$A$3:$A$7,0)),(2))))</f>
        <v/>
      </c>
      <c r="X150" t="str">
        <f t="shared" si="25"/>
        <v/>
      </c>
      <c r="Y150" s="20" t="str">
        <f t="shared" si="26"/>
        <v/>
      </c>
      <c r="Z150" s="7" t="str">
        <f t="shared" si="27"/>
        <v/>
      </c>
      <c r="AA150" s="20" t="str">
        <f t="shared" si="28"/>
        <v/>
      </c>
      <c r="AB150" s="20" t="str">
        <f t="shared" si="29"/>
        <v/>
      </c>
      <c r="AC150" s="20" t="str">
        <f t="shared" si="30"/>
        <v/>
      </c>
      <c r="AD150" s="18" t="str">
        <f>IF(A150="","",IF(V150='Base de Datos'!$A$3,AB150/AA150,0))</f>
        <v/>
      </c>
      <c r="AE150" s="20" t="str">
        <f t="shared" si="31"/>
        <v/>
      </c>
      <c r="AF150" s="20" t="str">
        <f t="shared" si="32"/>
        <v/>
      </c>
      <c r="AG150" s="20" t="str">
        <f t="shared" si="33"/>
        <v/>
      </c>
    </row>
    <row r="151" spans="22:33" x14ac:dyDescent="0.3">
      <c r="V151" t="str">
        <f t="shared" si="24"/>
        <v/>
      </c>
      <c r="W151" t="str">
        <f>IF(V151="",(""),(INDEX('Base de Datos'!$A$3:$B$7,(MATCH(V151,'Base de Datos'!$A$3:$A$7,0)),(2))))</f>
        <v/>
      </c>
      <c r="X151" t="str">
        <f t="shared" si="25"/>
        <v/>
      </c>
      <c r="Y151" s="20" t="str">
        <f t="shared" si="26"/>
        <v/>
      </c>
      <c r="Z151" s="7" t="str">
        <f t="shared" si="27"/>
        <v/>
      </c>
      <c r="AA151" s="20" t="str">
        <f t="shared" si="28"/>
        <v/>
      </c>
      <c r="AB151" s="20" t="str">
        <f t="shared" si="29"/>
        <v/>
      </c>
      <c r="AC151" s="20" t="str">
        <f t="shared" si="30"/>
        <v/>
      </c>
      <c r="AD151" s="18" t="str">
        <f>IF(A151="","",IF(V151='Base de Datos'!$A$3,AB151/AA151,0))</f>
        <v/>
      </c>
      <c r="AE151" s="20" t="str">
        <f t="shared" si="31"/>
        <v/>
      </c>
      <c r="AF151" s="20" t="str">
        <f t="shared" si="32"/>
        <v/>
      </c>
      <c r="AG151" s="20" t="str">
        <f t="shared" si="33"/>
        <v/>
      </c>
    </row>
    <row r="152" spans="22:33" x14ac:dyDescent="0.3">
      <c r="V152" t="str">
        <f t="shared" si="24"/>
        <v/>
      </c>
      <c r="W152" t="str">
        <f>IF(V152="",(""),(INDEX('Base de Datos'!$A$3:$B$7,(MATCH(V152,'Base de Datos'!$A$3:$A$7,0)),(2))))</f>
        <v/>
      </c>
      <c r="X152" t="str">
        <f t="shared" si="25"/>
        <v/>
      </c>
      <c r="Y152" s="20" t="str">
        <f t="shared" si="26"/>
        <v/>
      </c>
      <c r="Z152" s="7" t="str">
        <f t="shared" si="27"/>
        <v/>
      </c>
      <c r="AA152" s="20" t="str">
        <f t="shared" si="28"/>
        <v/>
      </c>
      <c r="AB152" s="20" t="str">
        <f t="shared" si="29"/>
        <v/>
      </c>
      <c r="AC152" s="20" t="str">
        <f t="shared" si="30"/>
        <v/>
      </c>
      <c r="AD152" s="18" t="str">
        <f>IF(A152="","",IF(V152='Base de Datos'!$A$3,AB152/AA152,0))</f>
        <v/>
      </c>
      <c r="AE152" s="20" t="str">
        <f t="shared" si="31"/>
        <v/>
      </c>
      <c r="AF152" s="20" t="str">
        <f t="shared" si="32"/>
        <v/>
      </c>
      <c r="AG152" s="20" t="str">
        <f t="shared" si="33"/>
        <v/>
      </c>
    </row>
    <row r="153" spans="22:33" x14ac:dyDescent="0.3">
      <c r="V153" t="str">
        <f t="shared" si="24"/>
        <v/>
      </c>
      <c r="W153" t="str">
        <f>IF(V153="",(""),(INDEX('Base de Datos'!$A$3:$B$7,(MATCH(V153,'Base de Datos'!$A$3:$A$7,0)),(2))))</f>
        <v/>
      </c>
      <c r="X153" t="str">
        <f t="shared" si="25"/>
        <v/>
      </c>
      <c r="Y153" s="20" t="str">
        <f t="shared" si="26"/>
        <v/>
      </c>
      <c r="Z153" s="7" t="str">
        <f t="shared" si="27"/>
        <v/>
      </c>
      <c r="AA153" s="20" t="str">
        <f t="shared" si="28"/>
        <v/>
      </c>
      <c r="AB153" s="20" t="str">
        <f t="shared" si="29"/>
        <v/>
      </c>
      <c r="AC153" s="20" t="str">
        <f t="shared" si="30"/>
        <v/>
      </c>
      <c r="AD153" s="18" t="str">
        <f>IF(A153="","",IF(V153='Base de Datos'!$A$3,AB153/AA153,0))</f>
        <v/>
      </c>
      <c r="AE153" s="20" t="str">
        <f t="shared" si="31"/>
        <v/>
      </c>
      <c r="AF153" s="20" t="str">
        <f t="shared" si="32"/>
        <v/>
      </c>
      <c r="AG153" s="20" t="str">
        <f t="shared" si="33"/>
        <v/>
      </c>
    </row>
    <row r="154" spans="22:33" x14ac:dyDescent="0.3">
      <c r="V154" t="str">
        <f t="shared" si="24"/>
        <v/>
      </c>
      <c r="W154" t="str">
        <f>IF(V154="",(""),(INDEX('Base de Datos'!$A$3:$B$7,(MATCH(V154,'Base de Datos'!$A$3:$A$7,0)),(2))))</f>
        <v/>
      </c>
      <c r="X154" t="str">
        <f t="shared" si="25"/>
        <v/>
      </c>
      <c r="Y154" s="20" t="str">
        <f t="shared" si="26"/>
        <v/>
      </c>
      <c r="Z154" s="7" t="str">
        <f t="shared" si="27"/>
        <v/>
      </c>
      <c r="AA154" s="20" t="str">
        <f t="shared" si="28"/>
        <v/>
      </c>
      <c r="AB154" s="20" t="str">
        <f t="shared" si="29"/>
        <v/>
      </c>
      <c r="AC154" s="20" t="str">
        <f t="shared" si="30"/>
        <v/>
      </c>
      <c r="AD154" s="18" t="str">
        <f>IF(A154="","",IF(V154='Base de Datos'!$A$3,AB154/AA154,0))</f>
        <v/>
      </c>
      <c r="AE154" s="20" t="str">
        <f t="shared" si="31"/>
        <v/>
      </c>
      <c r="AF154" s="20" t="str">
        <f t="shared" si="32"/>
        <v/>
      </c>
      <c r="AG154" s="20" t="str">
        <f t="shared" si="33"/>
        <v/>
      </c>
    </row>
    <row r="155" spans="22:33" x14ac:dyDescent="0.3">
      <c r="V155" t="str">
        <f t="shared" si="24"/>
        <v/>
      </c>
      <c r="W155" t="str">
        <f>IF(V155="",(""),(INDEX('Base de Datos'!$A$3:$B$7,(MATCH(V155,'Base de Datos'!$A$3:$A$7,0)),(2))))</f>
        <v/>
      </c>
      <c r="X155" t="str">
        <f t="shared" si="25"/>
        <v/>
      </c>
      <c r="Y155" s="20" t="str">
        <f t="shared" si="26"/>
        <v/>
      </c>
      <c r="Z155" s="7" t="str">
        <f t="shared" si="27"/>
        <v/>
      </c>
      <c r="AA155" s="20" t="str">
        <f t="shared" si="28"/>
        <v/>
      </c>
      <c r="AB155" s="20" t="str">
        <f t="shared" si="29"/>
        <v/>
      </c>
      <c r="AC155" s="20" t="str">
        <f t="shared" si="30"/>
        <v/>
      </c>
      <c r="AD155" s="18" t="str">
        <f>IF(A155="","",IF(V155='Base de Datos'!$A$3,AB155/AA155,0))</f>
        <v/>
      </c>
      <c r="AE155" s="20" t="str">
        <f t="shared" si="31"/>
        <v/>
      </c>
      <c r="AF155" s="20" t="str">
        <f t="shared" si="32"/>
        <v/>
      </c>
      <c r="AG155" s="20" t="str">
        <f t="shared" si="33"/>
        <v/>
      </c>
    </row>
    <row r="156" spans="22:33" x14ac:dyDescent="0.3">
      <c r="V156" t="str">
        <f t="shared" si="24"/>
        <v/>
      </c>
      <c r="W156" t="str">
        <f>IF(V156="",(""),(INDEX('Base de Datos'!$A$3:$B$7,(MATCH(V156,'Base de Datos'!$A$3:$A$7,0)),(2))))</f>
        <v/>
      </c>
      <c r="X156" t="str">
        <f t="shared" si="25"/>
        <v/>
      </c>
      <c r="Y156" s="20" t="str">
        <f t="shared" si="26"/>
        <v/>
      </c>
      <c r="Z156" s="7" t="str">
        <f t="shared" si="27"/>
        <v/>
      </c>
      <c r="AA156" s="20" t="str">
        <f t="shared" si="28"/>
        <v/>
      </c>
      <c r="AB156" s="20" t="str">
        <f t="shared" si="29"/>
        <v/>
      </c>
      <c r="AC156" s="20" t="str">
        <f t="shared" si="30"/>
        <v/>
      </c>
      <c r="AD156" s="18" t="str">
        <f>IF(A156="","",IF(V156='Base de Datos'!$A$3,AB156/AA156,0))</f>
        <v/>
      </c>
      <c r="AE156" s="20" t="str">
        <f t="shared" si="31"/>
        <v/>
      </c>
      <c r="AF156" s="20" t="str">
        <f t="shared" si="32"/>
        <v/>
      </c>
      <c r="AG156" s="20" t="str">
        <f t="shared" si="33"/>
        <v/>
      </c>
    </row>
    <row r="157" spans="22:33" x14ac:dyDescent="0.3">
      <c r="V157" t="str">
        <f t="shared" si="24"/>
        <v/>
      </c>
      <c r="W157" t="str">
        <f>IF(V157="",(""),(INDEX('Base de Datos'!$A$3:$B$7,(MATCH(V157,'Base de Datos'!$A$3:$A$7,0)),(2))))</f>
        <v/>
      </c>
      <c r="X157" t="str">
        <f t="shared" si="25"/>
        <v/>
      </c>
      <c r="Y157" s="20" t="str">
        <f t="shared" si="26"/>
        <v/>
      </c>
      <c r="Z157" s="7" t="str">
        <f t="shared" si="27"/>
        <v/>
      </c>
      <c r="AA157" s="20" t="str">
        <f t="shared" si="28"/>
        <v/>
      </c>
      <c r="AB157" s="20" t="str">
        <f t="shared" si="29"/>
        <v/>
      </c>
      <c r="AC157" s="20" t="str">
        <f t="shared" si="30"/>
        <v/>
      </c>
      <c r="AD157" s="18" t="str">
        <f>IF(A157="","",IF(V157='Base de Datos'!$A$3,AB157/AA157,0))</f>
        <v/>
      </c>
      <c r="AE157" s="20" t="str">
        <f t="shared" si="31"/>
        <v/>
      </c>
      <c r="AF157" s="20" t="str">
        <f t="shared" si="32"/>
        <v/>
      </c>
      <c r="AG157" s="20" t="str">
        <f t="shared" si="33"/>
        <v/>
      </c>
    </row>
    <row r="158" spans="22:33" x14ac:dyDescent="0.3">
      <c r="V158" t="str">
        <f t="shared" si="24"/>
        <v/>
      </c>
      <c r="W158" t="str">
        <f>IF(V158="",(""),(INDEX('Base de Datos'!$A$3:$B$7,(MATCH(V158,'Base de Datos'!$A$3:$A$7,0)),(2))))</f>
        <v/>
      </c>
      <c r="X158" t="str">
        <f t="shared" si="25"/>
        <v/>
      </c>
      <c r="Y158" s="20" t="str">
        <f t="shared" si="26"/>
        <v/>
      </c>
      <c r="Z158" s="7" t="str">
        <f t="shared" si="27"/>
        <v/>
      </c>
      <c r="AA158" s="20" t="str">
        <f t="shared" si="28"/>
        <v/>
      </c>
      <c r="AB158" s="20" t="str">
        <f t="shared" si="29"/>
        <v/>
      </c>
      <c r="AC158" s="20" t="str">
        <f t="shared" si="30"/>
        <v/>
      </c>
      <c r="AD158" s="18" t="str">
        <f>IF(A158="","",IF(V158='Base de Datos'!$A$3,AB158/AA158,0))</f>
        <v/>
      </c>
      <c r="AE158" s="20" t="str">
        <f t="shared" si="31"/>
        <v/>
      </c>
      <c r="AF158" s="20" t="str">
        <f t="shared" si="32"/>
        <v/>
      </c>
      <c r="AG158" s="20" t="str">
        <f t="shared" si="33"/>
        <v/>
      </c>
    </row>
    <row r="159" spans="22:33" x14ac:dyDescent="0.3">
      <c r="V159" t="str">
        <f t="shared" si="24"/>
        <v/>
      </c>
      <c r="W159" t="str">
        <f>IF(V159="",(""),(INDEX('Base de Datos'!$A$3:$B$7,(MATCH(V159,'Base de Datos'!$A$3:$A$7,0)),(2))))</f>
        <v/>
      </c>
      <c r="X159" t="str">
        <f t="shared" si="25"/>
        <v/>
      </c>
      <c r="Y159" s="20" t="str">
        <f t="shared" si="26"/>
        <v/>
      </c>
      <c r="Z159" s="7" t="str">
        <f t="shared" si="27"/>
        <v/>
      </c>
      <c r="AA159" s="20" t="str">
        <f t="shared" si="28"/>
        <v/>
      </c>
      <c r="AB159" s="20" t="str">
        <f t="shared" si="29"/>
        <v/>
      </c>
      <c r="AC159" s="20" t="str">
        <f t="shared" si="30"/>
        <v/>
      </c>
      <c r="AD159" s="18" t="str">
        <f>IF(A159="","",IF(V159='Base de Datos'!$A$3,AB159/AA159,0))</f>
        <v/>
      </c>
      <c r="AE159" s="20" t="str">
        <f t="shared" si="31"/>
        <v/>
      </c>
      <c r="AF159" s="20" t="str">
        <f t="shared" si="32"/>
        <v/>
      </c>
      <c r="AG159" s="20" t="str">
        <f t="shared" si="33"/>
        <v/>
      </c>
    </row>
    <row r="160" spans="22:33" x14ac:dyDescent="0.3">
      <c r="V160" t="str">
        <f t="shared" si="24"/>
        <v/>
      </c>
      <c r="W160" t="str">
        <f>IF(V160="",(""),(INDEX('Base de Datos'!$A$3:$B$7,(MATCH(V160,'Base de Datos'!$A$3:$A$7,0)),(2))))</f>
        <v/>
      </c>
      <c r="X160" t="str">
        <f t="shared" si="25"/>
        <v/>
      </c>
      <c r="Y160" s="20" t="str">
        <f t="shared" si="26"/>
        <v/>
      </c>
      <c r="Z160" s="7" t="str">
        <f t="shared" si="27"/>
        <v/>
      </c>
      <c r="AA160" s="20" t="str">
        <f t="shared" si="28"/>
        <v/>
      </c>
      <c r="AB160" s="20" t="str">
        <f t="shared" si="29"/>
        <v/>
      </c>
      <c r="AC160" s="20" t="str">
        <f t="shared" si="30"/>
        <v/>
      </c>
      <c r="AD160" s="18" t="str">
        <f>IF(A160="","",IF(V160='Base de Datos'!$A$3,AB160/AA160,0))</f>
        <v/>
      </c>
      <c r="AE160" s="20" t="str">
        <f t="shared" si="31"/>
        <v/>
      </c>
      <c r="AF160" s="20" t="str">
        <f t="shared" si="32"/>
        <v/>
      </c>
      <c r="AG160" t="str">
        <f t="shared" si="33"/>
        <v/>
      </c>
    </row>
    <row r="161" spans="22:33" x14ac:dyDescent="0.3">
      <c r="V161" t="str">
        <f t="shared" si="24"/>
        <v/>
      </c>
      <c r="W161" t="str">
        <f>IF(V161="",(""),(INDEX('Base de Datos'!$A$3:$B$7,(MATCH(V161,'Base de Datos'!$A$3:$A$7,0)),(2))))</f>
        <v/>
      </c>
      <c r="X161" t="str">
        <f t="shared" si="25"/>
        <v/>
      </c>
      <c r="Y161" s="20" t="str">
        <f t="shared" si="26"/>
        <v/>
      </c>
      <c r="Z161" s="7" t="str">
        <f t="shared" si="27"/>
        <v/>
      </c>
      <c r="AA161" s="20" t="str">
        <f t="shared" si="28"/>
        <v/>
      </c>
      <c r="AB161" s="20" t="str">
        <f t="shared" si="29"/>
        <v/>
      </c>
      <c r="AC161" s="20" t="str">
        <f t="shared" si="30"/>
        <v/>
      </c>
      <c r="AD161" s="18" t="str">
        <f>IF(A161="","",IF(V161='Base de Datos'!$A$3,AB161/AA161,0))</f>
        <v/>
      </c>
      <c r="AE161" s="20" t="str">
        <f t="shared" si="31"/>
        <v/>
      </c>
      <c r="AF161" s="20" t="str">
        <f t="shared" si="32"/>
        <v/>
      </c>
      <c r="AG161" t="str">
        <f t="shared" si="33"/>
        <v/>
      </c>
    </row>
    <row r="162" spans="22:33" x14ac:dyDescent="0.3">
      <c r="V162" t="str">
        <f t="shared" si="24"/>
        <v/>
      </c>
      <c r="W162" t="str">
        <f>IF(V162="",(""),(INDEX('Base de Datos'!$A$3:$B$7,(MATCH(V162,'Base de Datos'!$A$3:$A$7,0)),(2))))</f>
        <v/>
      </c>
      <c r="X162" t="str">
        <f t="shared" si="25"/>
        <v/>
      </c>
      <c r="Y162" s="20" t="str">
        <f t="shared" si="26"/>
        <v/>
      </c>
      <c r="Z162" s="7" t="str">
        <f t="shared" si="27"/>
        <v/>
      </c>
      <c r="AA162" s="20" t="str">
        <f t="shared" si="28"/>
        <v/>
      </c>
      <c r="AB162" s="20" t="str">
        <f t="shared" si="29"/>
        <v/>
      </c>
      <c r="AC162" s="20" t="str">
        <f t="shared" si="30"/>
        <v/>
      </c>
      <c r="AD162" s="18" t="str">
        <f>IF(A162="","",IF(V162='Base de Datos'!$A$3,AB162/AA162,0))</f>
        <v/>
      </c>
      <c r="AE162" s="20" t="str">
        <f t="shared" si="31"/>
        <v/>
      </c>
      <c r="AF162" s="20" t="str">
        <f t="shared" si="32"/>
        <v/>
      </c>
      <c r="AG162" t="str">
        <f t="shared" si="33"/>
        <v/>
      </c>
    </row>
    <row r="163" spans="22:33" x14ac:dyDescent="0.3">
      <c r="V163" t="str">
        <f t="shared" si="24"/>
        <v/>
      </c>
      <c r="W163" t="str">
        <f>IF(V163="",(""),(INDEX('Base de Datos'!$A$3:$B$7,(MATCH(V163,'Base de Datos'!$A$3:$A$7,0)),(2))))</f>
        <v/>
      </c>
      <c r="X163" t="str">
        <f t="shared" si="25"/>
        <v/>
      </c>
      <c r="Y163" s="20" t="str">
        <f t="shared" si="26"/>
        <v/>
      </c>
      <c r="Z163" s="7" t="str">
        <f t="shared" si="27"/>
        <v/>
      </c>
      <c r="AA163" s="20" t="str">
        <f t="shared" si="28"/>
        <v/>
      </c>
      <c r="AB163" s="20" t="str">
        <f t="shared" si="29"/>
        <v/>
      </c>
      <c r="AC163" s="20" t="str">
        <f t="shared" si="30"/>
        <v/>
      </c>
      <c r="AD163" s="18" t="str">
        <f>IF(A163="","",IF(V163='Base de Datos'!$A$3,AB163/AA163,0))</f>
        <v/>
      </c>
      <c r="AE163" s="20" t="str">
        <f t="shared" si="31"/>
        <v/>
      </c>
      <c r="AF163" s="20" t="str">
        <f t="shared" si="32"/>
        <v/>
      </c>
      <c r="AG163" t="str">
        <f t="shared" si="33"/>
        <v/>
      </c>
    </row>
    <row r="164" spans="22:33" x14ac:dyDescent="0.3">
      <c r="V164" t="str">
        <f t="shared" si="24"/>
        <v/>
      </c>
      <c r="W164" t="str">
        <f>IF(V164="",(""),(INDEX('Base de Datos'!$A$3:$B$7,(MATCH(V164,'Base de Datos'!$A$3:$A$7,0)),(2))))</f>
        <v/>
      </c>
      <c r="X164" t="str">
        <f t="shared" si="25"/>
        <v/>
      </c>
      <c r="Y164" s="20" t="str">
        <f t="shared" si="26"/>
        <v/>
      </c>
      <c r="Z164" s="7" t="str">
        <f t="shared" si="27"/>
        <v/>
      </c>
      <c r="AA164" s="20" t="str">
        <f t="shared" si="28"/>
        <v/>
      </c>
      <c r="AB164" s="20" t="str">
        <f t="shared" si="29"/>
        <v/>
      </c>
      <c r="AC164" s="20" t="str">
        <f t="shared" si="30"/>
        <v/>
      </c>
      <c r="AD164" s="18" t="str">
        <f>IF(A164="","",IF(V164='Base de Datos'!$A$3,AB164/AA164,0))</f>
        <v/>
      </c>
      <c r="AE164" s="20" t="str">
        <f t="shared" si="31"/>
        <v/>
      </c>
      <c r="AF164" s="20" t="str">
        <f t="shared" si="32"/>
        <v/>
      </c>
      <c r="AG164" t="str">
        <f t="shared" si="33"/>
        <v/>
      </c>
    </row>
    <row r="165" spans="22:33" x14ac:dyDescent="0.3">
      <c r="V165" t="str">
        <f t="shared" si="24"/>
        <v/>
      </c>
      <c r="W165" t="str">
        <f>IF(V165="",(""),(INDEX('Base de Datos'!$A$3:$B$7,(MATCH(V165,'Base de Datos'!$A$3:$A$7,0)),(2))))</f>
        <v/>
      </c>
      <c r="X165" t="str">
        <f t="shared" si="25"/>
        <v/>
      </c>
      <c r="Y165" s="20" t="str">
        <f t="shared" si="26"/>
        <v/>
      </c>
      <c r="Z165" s="7" t="str">
        <f t="shared" si="27"/>
        <v/>
      </c>
      <c r="AA165" s="20" t="str">
        <f t="shared" si="28"/>
        <v/>
      </c>
      <c r="AB165" s="20" t="str">
        <f t="shared" si="29"/>
        <v/>
      </c>
      <c r="AC165" s="20" t="str">
        <f t="shared" si="30"/>
        <v/>
      </c>
      <c r="AD165" s="18" t="str">
        <f>IF(A165="","",IF(V165='Base de Datos'!$A$3,AB165/AA165,0))</f>
        <v/>
      </c>
      <c r="AE165" s="20" t="str">
        <f t="shared" si="31"/>
        <v/>
      </c>
      <c r="AF165" s="20" t="str">
        <f t="shared" si="32"/>
        <v/>
      </c>
      <c r="AG165" t="str">
        <f t="shared" si="33"/>
        <v/>
      </c>
    </row>
    <row r="166" spans="22:33" x14ac:dyDescent="0.3">
      <c r="V166" t="str">
        <f t="shared" si="24"/>
        <v/>
      </c>
      <c r="W166" t="str">
        <f>IF(V166="",(""),(INDEX('Base de Datos'!$A$3:$B$7,(MATCH(V166,'Base de Datos'!$A$3:$A$7,0)),(2))))</f>
        <v/>
      </c>
      <c r="X166" t="str">
        <f t="shared" si="25"/>
        <v/>
      </c>
      <c r="Y166" s="20" t="str">
        <f t="shared" si="26"/>
        <v/>
      </c>
      <c r="Z166" s="7" t="str">
        <f t="shared" si="27"/>
        <v/>
      </c>
      <c r="AA166" s="20" t="str">
        <f t="shared" si="28"/>
        <v/>
      </c>
      <c r="AB166" s="20" t="str">
        <f t="shared" si="29"/>
        <v/>
      </c>
      <c r="AC166" s="20" t="str">
        <f t="shared" si="30"/>
        <v/>
      </c>
      <c r="AD166" s="18" t="str">
        <f>IF(A166="","",IF(V166='Base de Datos'!$A$3,AB166/AA166,0))</f>
        <v/>
      </c>
      <c r="AE166" s="20" t="str">
        <f t="shared" si="31"/>
        <v/>
      </c>
      <c r="AF166" s="20" t="str">
        <f t="shared" si="32"/>
        <v/>
      </c>
      <c r="AG166" t="str">
        <f t="shared" si="33"/>
        <v/>
      </c>
    </row>
    <row r="167" spans="22:33" x14ac:dyDescent="0.3">
      <c r="V167" t="str">
        <f t="shared" si="24"/>
        <v/>
      </c>
      <c r="W167" t="str">
        <f>IF(V167="",(""),(INDEX('Base de Datos'!$A$3:$B$7,(MATCH(V167,'Base de Datos'!$A$3:$A$7,0)),(2))))</f>
        <v/>
      </c>
      <c r="X167" t="str">
        <f t="shared" si="25"/>
        <v/>
      </c>
      <c r="Y167" s="20" t="str">
        <f t="shared" si="26"/>
        <v/>
      </c>
      <c r="Z167" s="7" t="str">
        <f t="shared" si="27"/>
        <v/>
      </c>
      <c r="AA167" s="20" t="str">
        <f t="shared" si="28"/>
        <v/>
      </c>
      <c r="AB167" s="20" t="str">
        <f t="shared" si="29"/>
        <v/>
      </c>
      <c r="AC167" s="20" t="str">
        <f t="shared" si="30"/>
        <v/>
      </c>
      <c r="AD167" s="18" t="str">
        <f>IF(A167="","",IF(V167='Base de Datos'!$A$3,AB167/AA167,0))</f>
        <v/>
      </c>
      <c r="AE167" s="20" t="str">
        <f t="shared" si="31"/>
        <v/>
      </c>
      <c r="AF167" s="20" t="str">
        <f t="shared" si="32"/>
        <v/>
      </c>
      <c r="AG167" t="str">
        <f t="shared" si="33"/>
        <v/>
      </c>
    </row>
    <row r="168" spans="22:33" x14ac:dyDescent="0.3">
      <c r="V168" t="str">
        <f t="shared" si="24"/>
        <v/>
      </c>
      <c r="W168" t="str">
        <f>IF(V168="",(""),(INDEX('Base de Datos'!$A$3:$B$7,(MATCH(V168,'Base de Datos'!$A$3:$A$7,0)),(2))))</f>
        <v/>
      </c>
      <c r="X168" t="str">
        <f t="shared" si="25"/>
        <v/>
      </c>
      <c r="Y168" s="20" t="str">
        <f t="shared" si="26"/>
        <v/>
      </c>
      <c r="Z168" s="7" t="str">
        <f t="shared" si="27"/>
        <v/>
      </c>
      <c r="AA168" s="20" t="str">
        <f t="shared" si="28"/>
        <v/>
      </c>
      <c r="AB168" s="20" t="str">
        <f t="shared" si="29"/>
        <v/>
      </c>
      <c r="AC168" s="20" t="str">
        <f t="shared" si="30"/>
        <v/>
      </c>
      <c r="AD168" s="18" t="str">
        <f>IF(A168="","",IF(V168='Base de Datos'!$A$3,AB168/AA168,0))</f>
        <v/>
      </c>
      <c r="AE168" s="20" t="str">
        <f t="shared" si="31"/>
        <v/>
      </c>
      <c r="AF168" s="20" t="str">
        <f t="shared" si="32"/>
        <v/>
      </c>
      <c r="AG168" t="str">
        <f t="shared" si="33"/>
        <v/>
      </c>
    </row>
    <row r="169" spans="22:33" x14ac:dyDescent="0.3">
      <c r="V169" t="str">
        <f t="shared" si="24"/>
        <v/>
      </c>
      <c r="W169" t="str">
        <f>IF(V169="",(""),(INDEX('Base de Datos'!$A$3:$B$7,(MATCH(V169,'Base de Datos'!$A$3:$A$7,0)),(2))))</f>
        <v/>
      </c>
      <c r="X169" t="str">
        <f t="shared" si="25"/>
        <v/>
      </c>
      <c r="Y169" s="20" t="str">
        <f t="shared" si="26"/>
        <v/>
      </c>
      <c r="Z169" s="7" t="str">
        <f t="shared" si="27"/>
        <v/>
      </c>
      <c r="AA169" s="20" t="str">
        <f t="shared" si="28"/>
        <v/>
      </c>
      <c r="AB169" s="20" t="str">
        <f t="shared" si="29"/>
        <v/>
      </c>
      <c r="AC169" s="20" t="str">
        <f t="shared" si="30"/>
        <v/>
      </c>
      <c r="AD169" s="18" t="str">
        <f>IF(A169="","",IF(V169='Base de Datos'!$A$3,AB169/AA169,0))</f>
        <v/>
      </c>
      <c r="AE169" s="20" t="str">
        <f t="shared" si="31"/>
        <v/>
      </c>
      <c r="AF169" s="20" t="str">
        <f t="shared" si="32"/>
        <v/>
      </c>
      <c r="AG169" t="str">
        <f t="shared" si="33"/>
        <v/>
      </c>
    </row>
    <row r="170" spans="22:33" x14ac:dyDescent="0.3">
      <c r="V170" t="str">
        <f t="shared" si="24"/>
        <v/>
      </c>
      <c r="W170" t="str">
        <f>IF(V170="",(""),(INDEX('Base de Datos'!$A$3:$B$7,(MATCH(V170,'Base de Datos'!$A$3:$A$7,0)),(2))))</f>
        <v/>
      </c>
      <c r="X170" t="str">
        <f t="shared" si="25"/>
        <v/>
      </c>
      <c r="Y170" s="20" t="str">
        <f t="shared" si="26"/>
        <v/>
      </c>
      <c r="Z170" s="7" t="str">
        <f t="shared" si="27"/>
        <v/>
      </c>
      <c r="AA170" s="20" t="str">
        <f t="shared" si="28"/>
        <v/>
      </c>
      <c r="AB170" s="20" t="str">
        <f t="shared" si="29"/>
        <v/>
      </c>
      <c r="AC170" s="20" t="str">
        <f t="shared" si="30"/>
        <v/>
      </c>
      <c r="AD170" s="18" t="str">
        <f>IF(A170="","",IF(V170='Base de Datos'!$A$3,AB170/AA170,0))</f>
        <v/>
      </c>
      <c r="AE170" s="20" t="str">
        <f t="shared" si="31"/>
        <v/>
      </c>
      <c r="AF170" s="20" t="str">
        <f t="shared" si="32"/>
        <v/>
      </c>
      <c r="AG170" t="str">
        <f t="shared" si="33"/>
        <v/>
      </c>
    </row>
    <row r="171" spans="22:33" x14ac:dyDescent="0.3">
      <c r="V171" t="str">
        <f t="shared" si="24"/>
        <v/>
      </c>
      <c r="W171" t="str">
        <f>IF(V171="",(""),(INDEX('Base de Datos'!$A$3:$B$7,(MATCH(V171,'Base de Datos'!$A$3:$A$7,0)),(2))))</f>
        <v/>
      </c>
      <c r="X171" t="str">
        <f t="shared" si="25"/>
        <v/>
      </c>
      <c r="Y171" s="20" t="str">
        <f t="shared" si="26"/>
        <v/>
      </c>
      <c r="Z171" s="7" t="str">
        <f t="shared" si="27"/>
        <v/>
      </c>
      <c r="AA171" s="20" t="str">
        <f t="shared" si="28"/>
        <v/>
      </c>
      <c r="AB171" s="20" t="str">
        <f t="shared" si="29"/>
        <v/>
      </c>
      <c r="AC171" s="20" t="str">
        <f t="shared" si="30"/>
        <v/>
      </c>
      <c r="AD171" s="18" t="str">
        <f>IF(A171="","",IF(V171='Base de Datos'!$A$3,AB171/AA171,0))</f>
        <v/>
      </c>
      <c r="AE171" s="20" t="str">
        <f t="shared" si="31"/>
        <v/>
      </c>
      <c r="AF171" s="20" t="str">
        <f t="shared" si="32"/>
        <v/>
      </c>
      <c r="AG171" t="str">
        <f t="shared" si="33"/>
        <v/>
      </c>
    </row>
    <row r="172" spans="22:33" x14ac:dyDescent="0.3">
      <c r="V172" t="str">
        <f t="shared" si="24"/>
        <v/>
      </c>
      <c r="W172" t="str">
        <f>IF(V172="",(""),(INDEX('Base de Datos'!$A$3:$B$7,(MATCH(V172,'Base de Datos'!$A$3:$A$7,0)),(2))))</f>
        <v/>
      </c>
      <c r="X172" t="str">
        <f t="shared" si="25"/>
        <v/>
      </c>
      <c r="Y172" s="20" t="str">
        <f t="shared" si="26"/>
        <v/>
      </c>
      <c r="Z172" s="7" t="str">
        <f t="shared" si="27"/>
        <v/>
      </c>
      <c r="AA172" s="20" t="str">
        <f t="shared" si="28"/>
        <v/>
      </c>
      <c r="AB172" s="20" t="str">
        <f t="shared" si="29"/>
        <v/>
      </c>
      <c r="AC172" s="20" t="str">
        <f t="shared" si="30"/>
        <v/>
      </c>
      <c r="AD172" s="18" t="str">
        <f>IF(A172="","",IF(V172='Base de Datos'!$A$3,AB172/AA172,0))</f>
        <v/>
      </c>
      <c r="AE172" s="20" t="str">
        <f t="shared" si="31"/>
        <v/>
      </c>
      <c r="AF172" s="20" t="str">
        <f t="shared" si="32"/>
        <v/>
      </c>
      <c r="AG172" t="str">
        <f t="shared" si="33"/>
        <v/>
      </c>
    </row>
    <row r="173" spans="22:33" x14ac:dyDescent="0.3">
      <c r="V173" t="str">
        <f t="shared" si="24"/>
        <v/>
      </c>
      <c r="W173" t="str">
        <f>IF(V173="",(""),(INDEX('Base de Datos'!$A$3:$B$7,(MATCH(V173,'Base de Datos'!$A$3:$A$7,0)),(2))))</f>
        <v/>
      </c>
      <c r="X173" t="str">
        <f t="shared" si="25"/>
        <v/>
      </c>
      <c r="Y173" s="20" t="str">
        <f t="shared" si="26"/>
        <v/>
      </c>
      <c r="Z173" s="7" t="str">
        <f t="shared" si="27"/>
        <v/>
      </c>
      <c r="AA173" s="20" t="str">
        <f t="shared" si="28"/>
        <v/>
      </c>
      <c r="AB173" s="20" t="str">
        <f t="shared" si="29"/>
        <v/>
      </c>
      <c r="AC173" s="20" t="str">
        <f t="shared" si="30"/>
        <v/>
      </c>
      <c r="AD173" s="18" t="str">
        <f>IF(A173="","",IF(V173='Base de Datos'!$A$3,AB173/AA173,0))</f>
        <v/>
      </c>
      <c r="AE173" s="20" t="str">
        <f t="shared" si="31"/>
        <v/>
      </c>
      <c r="AF173" s="20" t="str">
        <f t="shared" si="32"/>
        <v/>
      </c>
      <c r="AG173" t="str">
        <f t="shared" si="33"/>
        <v/>
      </c>
    </row>
    <row r="174" spans="22:33" x14ac:dyDescent="0.3">
      <c r="V174" t="str">
        <f t="shared" si="24"/>
        <v/>
      </c>
      <c r="W174" t="str">
        <f>IF(V174="",(""),(INDEX('Base de Datos'!$A$3:$B$7,(MATCH(V174,'Base de Datos'!$A$3:$A$7,0)),(2))))</f>
        <v/>
      </c>
      <c r="X174" t="str">
        <f t="shared" si="25"/>
        <v/>
      </c>
      <c r="Y174" s="20" t="str">
        <f t="shared" si="26"/>
        <v/>
      </c>
      <c r="Z174" s="7" t="str">
        <f t="shared" si="27"/>
        <v/>
      </c>
      <c r="AA174" s="20" t="str">
        <f t="shared" si="28"/>
        <v/>
      </c>
      <c r="AB174" s="20" t="str">
        <f t="shared" si="29"/>
        <v/>
      </c>
      <c r="AC174" s="20" t="str">
        <f t="shared" si="30"/>
        <v/>
      </c>
      <c r="AD174" s="18" t="str">
        <f>IF(A174="","",IF(V174='Base de Datos'!$A$3,AB174/AA174,0))</f>
        <v/>
      </c>
      <c r="AE174" s="20" t="str">
        <f t="shared" si="31"/>
        <v/>
      </c>
      <c r="AF174" s="20" t="str">
        <f t="shared" si="32"/>
        <v/>
      </c>
      <c r="AG174" t="str">
        <f t="shared" si="33"/>
        <v/>
      </c>
    </row>
    <row r="175" spans="22:33" x14ac:dyDescent="0.3">
      <c r="V175" t="str">
        <f t="shared" si="24"/>
        <v/>
      </c>
      <c r="W175" t="str">
        <f>IF(V175="",(""),(INDEX('Base de Datos'!$A$3:$B$7,(MATCH(V175,'Base de Datos'!$A$3:$A$7,0)),(2))))</f>
        <v/>
      </c>
      <c r="X175" t="str">
        <f t="shared" si="25"/>
        <v/>
      </c>
      <c r="Y175" s="20" t="str">
        <f t="shared" si="26"/>
        <v/>
      </c>
      <c r="Z175" s="7" t="str">
        <f t="shared" si="27"/>
        <v/>
      </c>
      <c r="AA175" s="20" t="str">
        <f t="shared" si="28"/>
        <v/>
      </c>
      <c r="AB175" s="20" t="str">
        <f t="shared" si="29"/>
        <v/>
      </c>
      <c r="AC175" s="20" t="str">
        <f t="shared" si="30"/>
        <v/>
      </c>
      <c r="AD175" s="18" t="str">
        <f>IF(A175="","",IF(V175='Base de Datos'!$A$3,AB175/AA175,0))</f>
        <v/>
      </c>
      <c r="AE175" s="20" t="str">
        <f t="shared" si="31"/>
        <v/>
      </c>
      <c r="AF175" s="20" t="str">
        <f t="shared" si="32"/>
        <v/>
      </c>
      <c r="AG175" t="str">
        <f t="shared" si="33"/>
        <v/>
      </c>
    </row>
    <row r="176" spans="22:33" x14ac:dyDescent="0.3">
      <c r="V176" t="str">
        <f t="shared" si="24"/>
        <v/>
      </c>
      <c r="W176" t="str">
        <f>IF(V176="",(""),(INDEX('Base de Datos'!$A$3:$B$7,(MATCH(V176,'Base de Datos'!$A$3:$A$7,0)),(2))))</f>
        <v/>
      </c>
      <c r="X176" t="str">
        <f t="shared" si="25"/>
        <v/>
      </c>
      <c r="Y176" s="20" t="str">
        <f t="shared" si="26"/>
        <v/>
      </c>
      <c r="Z176" s="7" t="str">
        <f t="shared" si="27"/>
        <v/>
      </c>
      <c r="AA176" s="20" t="str">
        <f t="shared" si="28"/>
        <v/>
      </c>
      <c r="AB176" s="20" t="str">
        <f t="shared" si="29"/>
        <v/>
      </c>
      <c r="AC176" s="20" t="str">
        <f t="shared" si="30"/>
        <v/>
      </c>
      <c r="AD176" s="18" t="str">
        <f>IF(A176="","",IF(V176='Base de Datos'!$A$3,AB176/AA176,0))</f>
        <v/>
      </c>
      <c r="AE176" s="20" t="str">
        <f t="shared" si="31"/>
        <v/>
      </c>
      <c r="AF176" s="20" t="str">
        <f t="shared" si="32"/>
        <v/>
      </c>
      <c r="AG176" t="str">
        <f t="shared" si="33"/>
        <v/>
      </c>
    </row>
    <row r="177" spans="22:33" x14ac:dyDescent="0.3">
      <c r="V177" t="str">
        <f t="shared" si="24"/>
        <v/>
      </c>
      <c r="W177" t="str">
        <f>IF(V177="",(""),(INDEX('Base de Datos'!$A$3:$B$7,(MATCH(V177,'Base de Datos'!$A$3:$A$7,0)),(2))))</f>
        <v/>
      </c>
      <c r="X177" t="str">
        <f t="shared" si="25"/>
        <v/>
      </c>
      <c r="Y177" s="20" t="str">
        <f t="shared" si="26"/>
        <v/>
      </c>
      <c r="Z177" s="7" t="str">
        <f t="shared" si="27"/>
        <v/>
      </c>
      <c r="AA177" s="20" t="str">
        <f t="shared" si="28"/>
        <v/>
      </c>
      <c r="AB177" s="20" t="str">
        <f t="shared" si="29"/>
        <v/>
      </c>
      <c r="AC177" s="20" t="str">
        <f t="shared" si="30"/>
        <v/>
      </c>
      <c r="AD177" s="18" t="str">
        <f>IF(A177="","",IF(V177='Base de Datos'!$A$3,AB177/AA177,0))</f>
        <v/>
      </c>
      <c r="AE177" s="20" t="str">
        <f t="shared" si="31"/>
        <v/>
      </c>
      <c r="AF177" s="20" t="str">
        <f t="shared" si="32"/>
        <v/>
      </c>
      <c r="AG177" t="str">
        <f t="shared" si="33"/>
        <v/>
      </c>
    </row>
    <row r="178" spans="22:33" x14ac:dyDescent="0.3">
      <c r="V178" t="str">
        <f t="shared" si="24"/>
        <v/>
      </c>
      <c r="W178" t="str">
        <f>IF(V178="",(""),(INDEX('Base de Datos'!$A$3:$B$7,(MATCH(V178,'Base de Datos'!$A$3:$A$7,0)),(2))))</f>
        <v/>
      </c>
      <c r="X178" t="str">
        <f t="shared" si="25"/>
        <v/>
      </c>
      <c r="Y178" s="20" t="str">
        <f t="shared" si="26"/>
        <v/>
      </c>
      <c r="Z178" s="7" t="str">
        <f t="shared" si="27"/>
        <v/>
      </c>
      <c r="AA178" s="20" t="str">
        <f t="shared" si="28"/>
        <v/>
      </c>
      <c r="AB178" s="20" t="str">
        <f t="shared" si="29"/>
        <v/>
      </c>
      <c r="AC178" s="20" t="str">
        <f t="shared" si="30"/>
        <v/>
      </c>
      <c r="AD178" s="18" t="str">
        <f>IF(A178="","",IF(V178='Base de Datos'!$A$3,AB178/AA178,0))</f>
        <v/>
      </c>
      <c r="AE178" s="20" t="str">
        <f t="shared" si="31"/>
        <v/>
      </c>
      <c r="AF178" s="20" t="str">
        <f t="shared" si="32"/>
        <v/>
      </c>
      <c r="AG178" t="str">
        <f t="shared" si="33"/>
        <v/>
      </c>
    </row>
    <row r="179" spans="22:33" x14ac:dyDescent="0.3">
      <c r="V179" t="str">
        <f t="shared" si="24"/>
        <v/>
      </c>
      <c r="W179" t="str">
        <f>IF(V179="",(""),(INDEX('Base de Datos'!$A$3:$B$7,(MATCH(V179,'Base de Datos'!$A$3:$A$7,0)),(2))))</f>
        <v/>
      </c>
      <c r="X179" t="str">
        <f t="shared" si="25"/>
        <v/>
      </c>
      <c r="Y179" s="20" t="str">
        <f t="shared" si="26"/>
        <v/>
      </c>
      <c r="Z179" s="7" t="str">
        <f t="shared" si="27"/>
        <v/>
      </c>
      <c r="AA179" s="20" t="str">
        <f t="shared" si="28"/>
        <v/>
      </c>
      <c r="AB179" s="20" t="str">
        <f t="shared" si="29"/>
        <v/>
      </c>
      <c r="AC179" s="20" t="str">
        <f t="shared" si="30"/>
        <v/>
      </c>
      <c r="AD179" s="18" t="str">
        <f>IF(A179="","",IF(V179='Base de Datos'!$A$3,AB179/AA179,0))</f>
        <v/>
      </c>
      <c r="AE179" s="20" t="str">
        <f t="shared" si="31"/>
        <v/>
      </c>
      <c r="AF179" s="20" t="str">
        <f t="shared" si="32"/>
        <v/>
      </c>
      <c r="AG179" t="str">
        <f t="shared" si="33"/>
        <v/>
      </c>
    </row>
    <row r="180" spans="22:33" x14ac:dyDescent="0.3">
      <c r="V180" t="str">
        <f t="shared" si="24"/>
        <v/>
      </c>
      <c r="W180" t="str">
        <f>IF(V180="",(""),(INDEX('Base de Datos'!$A$3:$B$7,(MATCH(V180,'Base de Datos'!$A$3:$A$7,0)),(2))))</f>
        <v/>
      </c>
      <c r="X180" t="str">
        <f t="shared" si="25"/>
        <v/>
      </c>
      <c r="Y180" s="20" t="str">
        <f t="shared" si="26"/>
        <v/>
      </c>
      <c r="Z180" s="7" t="str">
        <f t="shared" si="27"/>
        <v/>
      </c>
      <c r="AA180" s="20" t="str">
        <f t="shared" si="28"/>
        <v/>
      </c>
      <c r="AB180" s="20" t="str">
        <f t="shared" si="29"/>
        <v/>
      </c>
      <c r="AC180" s="20" t="str">
        <f t="shared" si="30"/>
        <v/>
      </c>
      <c r="AD180" s="18" t="str">
        <f>IF(A180="","",IF(V180='Base de Datos'!$A$3,AB180/AA180,0))</f>
        <v/>
      </c>
      <c r="AE180" s="20" t="str">
        <f t="shared" si="31"/>
        <v/>
      </c>
      <c r="AF180" s="20" t="str">
        <f t="shared" si="32"/>
        <v/>
      </c>
      <c r="AG180" t="str">
        <f t="shared" si="33"/>
        <v/>
      </c>
    </row>
    <row r="181" spans="22:33" x14ac:dyDescent="0.3">
      <c r="V181" t="str">
        <f t="shared" si="24"/>
        <v/>
      </c>
      <c r="W181" t="str">
        <f>IF(V181="",(""),(INDEX('Base de Datos'!$A$3:$B$7,(MATCH(V181,'Base de Datos'!$A$3:$A$7,0)),(2))))</f>
        <v/>
      </c>
      <c r="X181" t="str">
        <f t="shared" si="25"/>
        <v/>
      </c>
      <c r="Y181" s="20" t="str">
        <f t="shared" si="26"/>
        <v/>
      </c>
      <c r="Z181" s="7" t="str">
        <f t="shared" si="27"/>
        <v/>
      </c>
      <c r="AA181" s="20" t="str">
        <f t="shared" si="28"/>
        <v/>
      </c>
      <c r="AB181" s="20" t="str">
        <f t="shared" si="29"/>
        <v/>
      </c>
      <c r="AC181" s="20" t="str">
        <f t="shared" si="30"/>
        <v/>
      </c>
      <c r="AD181" s="18" t="str">
        <f>IF(A181="","",IF(V181='Base de Datos'!$A$3,AB181/AA181,0))</f>
        <v/>
      </c>
      <c r="AE181" s="20" t="str">
        <f t="shared" si="31"/>
        <v/>
      </c>
      <c r="AF181" s="20" t="str">
        <f t="shared" si="32"/>
        <v/>
      </c>
      <c r="AG181" t="str">
        <f t="shared" si="33"/>
        <v/>
      </c>
    </row>
    <row r="182" spans="22:33" x14ac:dyDescent="0.3">
      <c r="V182" t="str">
        <f t="shared" si="24"/>
        <v/>
      </c>
      <c r="W182" t="str">
        <f>IF(V182="",(""),(INDEX('Base de Datos'!$A$3:$B$7,(MATCH(V182,'Base de Datos'!$A$3:$A$7,0)),(2))))</f>
        <v/>
      </c>
      <c r="X182" t="str">
        <f t="shared" si="25"/>
        <v/>
      </c>
      <c r="Y182" s="20" t="str">
        <f t="shared" si="26"/>
        <v/>
      </c>
      <c r="Z182" s="7" t="str">
        <f t="shared" si="27"/>
        <v/>
      </c>
      <c r="AA182" s="20" t="str">
        <f t="shared" si="28"/>
        <v/>
      </c>
      <c r="AB182" s="20" t="str">
        <f t="shared" si="29"/>
        <v/>
      </c>
      <c r="AC182" s="20" t="str">
        <f t="shared" si="30"/>
        <v/>
      </c>
      <c r="AD182" s="18" t="str">
        <f>IF(A182="","",IF(V182='Base de Datos'!$A$3,AB182/AA182,0))</f>
        <v/>
      </c>
      <c r="AE182" s="20" t="str">
        <f t="shared" si="31"/>
        <v/>
      </c>
      <c r="AF182" s="20" t="str">
        <f t="shared" si="32"/>
        <v/>
      </c>
      <c r="AG182" t="str">
        <f t="shared" si="33"/>
        <v/>
      </c>
    </row>
    <row r="183" spans="22:33" x14ac:dyDescent="0.3">
      <c r="V183" t="str">
        <f t="shared" si="24"/>
        <v/>
      </c>
      <c r="W183" t="str">
        <f>IF(V183="",(""),(INDEX('Base de Datos'!$A$3:$B$7,(MATCH(V183,'Base de Datos'!$A$3:$A$7,0)),(2))))</f>
        <v/>
      </c>
      <c r="X183" t="str">
        <f t="shared" si="25"/>
        <v/>
      </c>
      <c r="Y183" s="20" t="str">
        <f t="shared" si="26"/>
        <v/>
      </c>
      <c r="Z183" s="7" t="str">
        <f t="shared" si="27"/>
        <v/>
      </c>
      <c r="AA183" s="20" t="str">
        <f t="shared" si="28"/>
        <v/>
      </c>
      <c r="AB183" s="20" t="str">
        <f t="shared" si="29"/>
        <v/>
      </c>
      <c r="AC183" s="20" t="str">
        <f t="shared" si="30"/>
        <v/>
      </c>
      <c r="AD183" s="18" t="str">
        <f>IF(A183="","",IF(V183='Base de Datos'!$A$3,AB183/AA183,0))</f>
        <v/>
      </c>
      <c r="AE183" s="20" t="str">
        <f t="shared" si="31"/>
        <v/>
      </c>
      <c r="AF183" s="20" t="str">
        <f t="shared" si="32"/>
        <v/>
      </c>
      <c r="AG183" t="str">
        <f t="shared" si="33"/>
        <v/>
      </c>
    </row>
    <row r="184" spans="22:33" x14ac:dyDescent="0.3">
      <c r="V184" t="str">
        <f t="shared" si="24"/>
        <v/>
      </c>
      <c r="W184" t="str">
        <f>IF(V184="",(""),(INDEX('Base de Datos'!$A$3:$B$7,(MATCH(V184,'Base de Datos'!$A$3:$A$7,0)),(2))))</f>
        <v/>
      </c>
      <c r="X184" t="str">
        <f t="shared" si="25"/>
        <v/>
      </c>
      <c r="Y184" s="20" t="str">
        <f t="shared" si="26"/>
        <v/>
      </c>
      <c r="Z184" s="7" t="str">
        <f t="shared" si="27"/>
        <v/>
      </c>
      <c r="AA184" s="20" t="str">
        <f t="shared" si="28"/>
        <v/>
      </c>
      <c r="AB184" s="20" t="str">
        <f t="shared" si="29"/>
        <v/>
      </c>
      <c r="AC184" s="20" t="str">
        <f t="shared" si="30"/>
        <v/>
      </c>
      <c r="AD184" s="18" t="str">
        <f>IF(A184="","",IF(V184='Base de Datos'!$A$3,AB184/AA184,0))</f>
        <v/>
      </c>
      <c r="AE184" s="20" t="str">
        <f t="shared" si="31"/>
        <v/>
      </c>
      <c r="AF184" s="20" t="str">
        <f t="shared" si="32"/>
        <v/>
      </c>
      <c r="AG184" t="str">
        <f t="shared" si="33"/>
        <v/>
      </c>
    </row>
    <row r="185" spans="22:33" x14ac:dyDescent="0.3">
      <c r="V185" t="str">
        <f t="shared" si="24"/>
        <v/>
      </c>
      <c r="W185" t="str">
        <f>IF(V185="",(""),(INDEX('Base de Datos'!$A$3:$B$7,(MATCH(V185,'Base de Datos'!$A$3:$A$7,0)),(2))))</f>
        <v/>
      </c>
      <c r="X185" t="str">
        <f t="shared" si="25"/>
        <v/>
      </c>
      <c r="Y185" s="20" t="str">
        <f t="shared" si="26"/>
        <v/>
      </c>
      <c r="Z185" s="7" t="str">
        <f t="shared" si="27"/>
        <v/>
      </c>
      <c r="AA185" s="20" t="str">
        <f t="shared" si="28"/>
        <v/>
      </c>
      <c r="AB185" s="20" t="str">
        <f t="shared" si="29"/>
        <v/>
      </c>
      <c r="AC185" s="20" t="str">
        <f t="shared" si="30"/>
        <v/>
      </c>
      <c r="AD185" s="18" t="str">
        <f>IF(A185="","",IF(V185='Base de Datos'!$A$3,AB185/AA185,0))</f>
        <v/>
      </c>
      <c r="AE185" s="20" t="str">
        <f t="shared" si="31"/>
        <v/>
      </c>
      <c r="AF185" s="20" t="str">
        <f t="shared" si="32"/>
        <v/>
      </c>
      <c r="AG185" t="str">
        <f t="shared" si="33"/>
        <v/>
      </c>
    </row>
    <row r="186" spans="22:33" x14ac:dyDescent="0.3">
      <c r="V186" t="str">
        <f t="shared" si="24"/>
        <v/>
      </c>
      <c r="W186" t="str">
        <f>IF(V186="",(""),(INDEX('Base de Datos'!$A$3:$B$7,(MATCH(V186,'Base de Datos'!$A$3:$A$7,0)),(2))))</f>
        <v/>
      </c>
      <c r="X186" t="str">
        <f t="shared" si="25"/>
        <v/>
      </c>
      <c r="Y186" s="20" t="str">
        <f t="shared" si="26"/>
        <v/>
      </c>
      <c r="Z186" s="7" t="str">
        <f t="shared" si="27"/>
        <v/>
      </c>
      <c r="AA186" s="20" t="str">
        <f t="shared" si="28"/>
        <v/>
      </c>
      <c r="AB186" s="20" t="str">
        <f t="shared" si="29"/>
        <v/>
      </c>
      <c r="AC186" s="20" t="str">
        <f t="shared" si="30"/>
        <v/>
      </c>
      <c r="AD186" s="18" t="str">
        <f>IF(A186="","",IF(V186='Base de Datos'!$A$3,AB186/AA186,0))</f>
        <v/>
      </c>
      <c r="AE186" s="20" t="str">
        <f t="shared" si="31"/>
        <v/>
      </c>
      <c r="AF186" s="20" t="str">
        <f t="shared" si="32"/>
        <v/>
      </c>
      <c r="AG186" t="str">
        <f t="shared" si="33"/>
        <v/>
      </c>
    </row>
    <row r="187" spans="22:33" x14ac:dyDescent="0.3">
      <c r="V187" t="str">
        <f t="shared" si="24"/>
        <v/>
      </c>
      <c r="W187" t="str">
        <f>IF(V187="",(""),(INDEX('Base de Datos'!$A$3:$B$7,(MATCH(V187,'Base de Datos'!$A$3:$A$7,0)),(2))))</f>
        <v/>
      </c>
      <c r="X187" t="str">
        <f t="shared" si="25"/>
        <v/>
      </c>
      <c r="Y187" s="20" t="str">
        <f t="shared" si="26"/>
        <v/>
      </c>
      <c r="Z187" s="7" t="str">
        <f t="shared" si="27"/>
        <v/>
      </c>
      <c r="AA187" s="20" t="str">
        <f t="shared" si="28"/>
        <v/>
      </c>
      <c r="AB187" s="20" t="str">
        <f t="shared" si="29"/>
        <v/>
      </c>
      <c r="AC187" s="20" t="str">
        <f t="shared" si="30"/>
        <v/>
      </c>
      <c r="AD187" s="18" t="str">
        <f>IF(A187="","",IF(V187='Base de Datos'!$A$3,AB187/AA187,0))</f>
        <v/>
      </c>
      <c r="AE187" s="20" t="str">
        <f t="shared" si="31"/>
        <v/>
      </c>
      <c r="AF187" s="20" t="str">
        <f t="shared" si="32"/>
        <v/>
      </c>
      <c r="AG187" t="str">
        <f t="shared" si="33"/>
        <v/>
      </c>
    </row>
    <row r="188" spans="22:33" x14ac:dyDescent="0.3">
      <c r="V188" t="str">
        <f t="shared" si="24"/>
        <v/>
      </c>
      <c r="W188" t="str">
        <f>IF(V188="",(""),(INDEX('Base de Datos'!$A$3:$B$7,(MATCH(V188,'Base de Datos'!$A$3:$A$7,0)),(2))))</f>
        <v/>
      </c>
      <c r="X188" t="str">
        <f t="shared" si="25"/>
        <v/>
      </c>
      <c r="Y188" s="20" t="str">
        <f t="shared" si="26"/>
        <v/>
      </c>
      <c r="Z188" s="7" t="str">
        <f t="shared" si="27"/>
        <v/>
      </c>
      <c r="AA188" s="20" t="str">
        <f t="shared" si="28"/>
        <v/>
      </c>
      <c r="AB188" s="20" t="str">
        <f t="shared" si="29"/>
        <v/>
      </c>
      <c r="AC188" s="20" t="str">
        <f t="shared" si="30"/>
        <v/>
      </c>
      <c r="AD188" s="18" t="str">
        <f>IF(A188="","",IF(V188='Base de Datos'!$A$3,AB188/AA188,0))</f>
        <v/>
      </c>
      <c r="AE188" s="20" t="str">
        <f t="shared" si="31"/>
        <v/>
      </c>
      <c r="AF188" s="20" t="str">
        <f t="shared" si="32"/>
        <v/>
      </c>
      <c r="AG188" t="str">
        <f t="shared" si="33"/>
        <v/>
      </c>
    </row>
    <row r="189" spans="22:33" x14ac:dyDescent="0.3">
      <c r="V189" t="str">
        <f t="shared" si="24"/>
        <v/>
      </c>
      <c r="W189" t="str">
        <f>IF(V189="",(""),(INDEX('Base de Datos'!$A$3:$B$7,(MATCH(V189,'Base de Datos'!$A$3:$A$7,0)),(2))))</f>
        <v/>
      </c>
      <c r="X189" t="str">
        <f t="shared" si="25"/>
        <v/>
      </c>
      <c r="Y189" s="20" t="str">
        <f t="shared" si="26"/>
        <v/>
      </c>
      <c r="Z189" s="7" t="str">
        <f t="shared" si="27"/>
        <v/>
      </c>
      <c r="AA189" s="20" t="str">
        <f t="shared" si="28"/>
        <v/>
      </c>
      <c r="AB189" s="20" t="str">
        <f t="shared" si="29"/>
        <v/>
      </c>
      <c r="AC189" s="20" t="str">
        <f t="shared" si="30"/>
        <v/>
      </c>
      <c r="AD189" s="18" t="str">
        <f>IF(A189="","",IF(V189='Base de Datos'!$A$3,AB189/AA189,0))</f>
        <v/>
      </c>
      <c r="AE189" s="20" t="str">
        <f t="shared" si="31"/>
        <v/>
      </c>
      <c r="AF189" s="20" t="str">
        <f t="shared" si="32"/>
        <v/>
      </c>
      <c r="AG189" t="str">
        <f t="shared" si="33"/>
        <v/>
      </c>
    </row>
    <row r="190" spans="22:33" x14ac:dyDescent="0.3">
      <c r="V190" t="str">
        <f t="shared" si="24"/>
        <v/>
      </c>
      <c r="W190" t="str">
        <f>IF(V190="",(""),(INDEX('Base de Datos'!$A$3:$B$7,(MATCH(V190,'Base de Datos'!$A$3:$A$7,0)),(2))))</f>
        <v/>
      </c>
      <c r="X190" t="str">
        <f t="shared" si="25"/>
        <v/>
      </c>
      <c r="Y190" s="20" t="str">
        <f t="shared" si="26"/>
        <v/>
      </c>
      <c r="Z190" s="7" t="str">
        <f t="shared" si="27"/>
        <v/>
      </c>
      <c r="AA190" s="20" t="str">
        <f t="shared" si="28"/>
        <v/>
      </c>
      <c r="AB190" s="20" t="str">
        <f t="shared" si="29"/>
        <v/>
      </c>
      <c r="AC190" s="20" t="str">
        <f t="shared" si="30"/>
        <v/>
      </c>
      <c r="AD190" s="18" t="str">
        <f>IF(A190="","",IF(V190='Base de Datos'!$A$3,AB190/AA190,0))</f>
        <v/>
      </c>
      <c r="AE190" s="20" t="str">
        <f t="shared" si="31"/>
        <v/>
      </c>
      <c r="AF190" s="20" t="str">
        <f t="shared" si="32"/>
        <v/>
      </c>
      <c r="AG190" t="str">
        <f t="shared" si="33"/>
        <v/>
      </c>
    </row>
    <row r="191" spans="22:33" x14ac:dyDescent="0.3">
      <c r="V191" t="str">
        <f t="shared" si="24"/>
        <v/>
      </c>
      <c r="W191" t="str">
        <f>IF(V191="",(""),(INDEX('Base de Datos'!$A$3:$B$7,(MATCH(V191,'Base de Datos'!$A$3:$A$7,0)),(2))))</f>
        <v/>
      </c>
      <c r="X191" t="str">
        <f t="shared" si="25"/>
        <v/>
      </c>
      <c r="Y191" s="20" t="str">
        <f t="shared" si="26"/>
        <v/>
      </c>
      <c r="Z191" s="7" t="str">
        <f t="shared" si="27"/>
        <v/>
      </c>
      <c r="AA191" s="20" t="str">
        <f t="shared" si="28"/>
        <v/>
      </c>
      <c r="AB191" s="20" t="str">
        <f t="shared" si="29"/>
        <v/>
      </c>
      <c r="AC191" s="20" t="str">
        <f t="shared" si="30"/>
        <v/>
      </c>
      <c r="AD191" s="18" t="str">
        <f>IF(A191="","",IF(V191='Base de Datos'!$A$3,AB191/AA191,0))</f>
        <v/>
      </c>
      <c r="AE191" s="20" t="str">
        <f t="shared" si="31"/>
        <v/>
      </c>
      <c r="AF191" s="20" t="str">
        <f t="shared" si="32"/>
        <v/>
      </c>
      <c r="AG191" t="str">
        <f t="shared" si="33"/>
        <v/>
      </c>
    </row>
    <row r="192" spans="22:33" x14ac:dyDescent="0.3">
      <c r="V192" t="str">
        <f t="shared" si="24"/>
        <v/>
      </c>
      <c r="W192" t="str">
        <f>IF(V192="",(""),(INDEX('Base de Datos'!$A$3:$B$7,(MATCH(V192,'Base de Datos'!$A$3:$A$7,0)),(2))))</f>
        <v/>
      </c>
      <c r="X192" t="str">
        <f t="shared" si="25"/>
        <v/>
      </c>
      <c r="Y192" s="20" t="str">
        <f t="shared" si="26"/>
        <v/>
      </c>
      <c r="Z192" s="7" t="str">
        <f t="shared" si="27"/>
        <v/>
      </c>
      <c r="AA192" s="20" t="str">
        <f t="shared" si="28"/>
        <v/>
      </c>
      <c r="AB192" s="20" t="str">
        <f t="shared" si="29"/>
        <v/>
      </c>
      <c r="AC192" s="20" t="str">
        <f t="shared" si="30"/>
        <v/>
      </c>
      <c r="AD192" s="18" t="str">
        <f>IF(A192="","",IF(V192='Base de Datos'!$A$3,AB192/AA192,0))</f>
        <v/>
      </c>
      <c r="AE192" s="20" t="str">
        <f t="shared" si="31"/>
        <v/>
      </c>
      <c r="AF192" s="20" t="str">
        <f t="shared" si="32"/>
        <v/>
      </c>
      <c r="AG192" t="str">
        <f t="shared" si="33"/>
        <v/>
      </c>
    </row>
    <row r="193" spans="22:33" x14ac:dyDescent="0.3">
      <c r="V193" t="str">
        <f t="shared" si="24"/>
        <v/>
      </c>
      <c r="W193" t="str">
        <f>IF(V193="",(""),(INDEX('Base de Datos'!$A$3:$B$7,(MATCH(V193,'Base de Datos'!$A$3:$A$7,0)),(2))))</f>
        <v/>
      </c>
      <c r="X193" t="str">
        <f t="shared" si="25"/>
        <v/>
      </c>
      <c r="Y193" s="20" t="str">
        <f t="shared" si="26"/>
        <v/>
      </c>
      <c r="Z193" s="7" t="str">
        <f t="shared" si="27"/>
        <v/>
      </c>
      <c r="AA193" s="20" t="str">
        <f t="shared" si="28"/>
        <v/>
      </c>
      <c r="AB193" s="20" t="str">
        <f t="shared" si="29"/>
        <v/>
      </c>
      <c r="AC193" s="20" t="str">
        <f t="shared" si="30"/>
        <v/>
      </c>
      <c r="AD193" s="18" t="str">
        <f>IF(A193="","",IF(V193='Base de Datos'!$A$3,AB193/AA193,0))</f>
        <v/>
      </c>
      <c r="AE193" s="20" t="str">
        <f t="shared" si="31"/>
        <v/>
      </c>
      <c r="AF193" s="20" t="str">
        <f t="shared" si="32"/>
        <v/>
      </c>
      <c r="AG193" t="str">
        <f t="shared" si="33"/>
        <v/>
      </c>
    </row>
    <row r="194" spans="22:33" x14ac:dyDescent="0.3">
      <c r="V194" t="str">
        <f t="shared" si="24"/>
        <v/>
      </c>
      <c r="W194" t="str">
        <f>IF(V194="",(""),(INDEX('Base de Datos'!$A$3:$B$7,(MATCH(V194,'Base de Datos'!$A$3:$A$7,0)),(2))))</f>
        <v/>
      </c>
      <c r="X194" t="str">
        <f t="shared" si="25"/>
        <v/>
      </c>
      <c r="Y194" s="20" t="str">
        <f t="shared" si="26"/>
        <v/>
      </c>
      <c r="Z194" s="7" t="str">
        <f t="shared" si="27"/>
        <v/>
      </c>
      <c r="AA194" s="20" t="str">
        <f t="shared" si="28"/>
        <v/>
      </c>
      <c r="AB194" s="20" t="str">
        <f t="shared" si="29"/>
        <v/>
      </c>
      <c r="AC194" s="20" t="str">
        <f t="shared" si="30"/>
        <v/>
      </c>
      <c r="AD194" s="18" t="str">
        <f>IF(A194="","",IF(V194='Base de Datos'!$A$3,AB194/AA194,0))</f>
        <v/>
      </c>
      <c r="AE194" s="20" t="str">
        <f t="shared" si="31"/>
        <v/>
      </c>
      <c r="AF194" s="20" t="str">
        <f t="shared" si="32"/>
        <v/>
      </c>
      <c r="AG194" t="str">
        <f t="shared" si="33"/>
        <v/>
      </c>
    </row>
    <row r="195" spans="22:33" x14ac:dyDescent="0.3">
      <c r="V195" t="str">
        <f t="shared" si="24"/>
        <v/>
      </c>
      <c r="W195" t="str">
        <f>IF(V195="",(""),(INDEX('Base de Datos'!$A$3:$B$7,(MATCH(V195,'Base de Datos'!$A$3:$A$7,0)),(2))))</f>
        <v/>
      </c>
      <c r="X195" t="str">
        <f t="shared" si="25"/>
        <v/>
      </c>
      <c r="Y195" s="20" t="str">
        <f t="shared" si="26"/>
        <v/>
      </c>
      <c r="Z195" s="7" t="str">
        <f t="shared" si="27"/>
        <v/>
      </c>
      <c r="AA195" s="20" t="str">
        <f t="shared" si="28"/>
        <v/>
      </c>
      <c r="AB195" s="20" t="str">
        <f t="shared" si="29"/>
        <v/>
      </c>
      <c r="AC195" s="20" t="str">
        <f t="shared" si="30"/>
        <v/>
      </c>
      <c r="AD195" s="18" t="str">
        <f>IF(A195="","",IF(V195='Base de Datos'!$A$3,AB195/AA195,0))</f>
        <v/>
      </c>
      <c r="AE195" s="20" t="str">
        <f t="shared" si="31"/>
        <v/>
      </c>
      <c r="AF195" s="20" t="str">
        <f t="shared" si="32"/>
        <v/>
      </c>
      <c r="AG195" t="str">
        <f t="shared" si="33"/>
        <v/>
      </c>
    </row>
    <row r="196" spans="22:33" x14ac:dyDescent="0.3">
      <c r="V196" t="str">
        <f t="shared" ref="V196:V199" si="34">IF(E196="",(""),(MID(E196,1,4)))</f>
        <v/>
      </c>
      <c r="W196" t="str">
        <f>IF(V196="",(""),(INDEX('Base de Datos'!$A$3:$B$7,(MATCH(V196,'Base de Datos'!$A$3:$A$7,0)),(2))))</f>
        <v/>
      </c>
      <c r="X196" t="str">
        <f t="shared" ref="X196:X199" si="35">IF(H196="",(""),(H196))</f>
        <v/>
      </c>
      <c r="Y196" t="str">
        <f t="shared" ref="Y196:Y199" si="36">IF(A196="",(""),(R196/I196))</f>
        <v/>
      </c>
      <c r="Z196" s="7" t="str">
        <f t="shared" ref="Z196:Z199" si="37">IF(B196="",(""),(I196))</f>
        <v/>
      </c>
      <c r="AA196" t="str">
        <f t="shared" ref="AA196:AA199" si="38">IF(K196="",(""),(K196))</f>
        <v/>
      </c>
      <c r="AB196" s="9" t="str">
        <f t="shared" ref="AB196:AB199" si="39">IF(Q196="",(""),(Q196))</f>
        <v/>
      </c>
      <c r="AC196" s="9" t="str">
        <f t="shared" ref="AC196:AC199" si="40">IF(R196="",(""),(R196))</f>
        <v/>
      </c>
      <c r="AD196" s="18" t="str">
        <f>IF(A196="","",IF(V196='Base de Datos'!$A$3,AB196/AA196,0))</f>
        <v/>
      </c>
      <c r="AE196" s="20" t="str">
        <f t="shared" ref="AE196:AE199" si="41">IF(A196="",(""),(AC196/Z196))</f>
        <v/>
      </c>
      <c r="AF196" s="20" t="str">
        <f t="shared" ref="AF196:AF199" si="42">IF(A196="",(""),(IF(AB196="",(0),((AB196/Z196)))))</f>
        <v/>
      </c>
      <c r="AG196" t="str">
        <f t="shared" ref="AG196:AG199" si="43">IF(A196="",(""),(AF196+AE196))</f>
        <v/>
      </c>
    </row>
    <row r="197" spans="22:33" x14ac:dyDescent="0.3">
      <c r="V197" t="str">
        <f t="shared" si="34"/>
        <v/>
      </c>
      <c r="W197" t="str">
        <f>IF(V197="",(""),(INDEX('Base de Datos'!$A$3:$B$7,(MATCH(V197,'Base de Datos'!$A$3:$A$7,0)),(2))))</f>
        <v/>
      </c>
      <c r="X197" t="str">
        <f t="shared" si="35"/>
        <v/>
      </c>
      <c r="Y197" t="str">
        <f t="shared" si="36"/>
        <v/>
      </c>
      <c r="Z197" s="7" t="str">
        <f t="shared" si="37"/>
        <v/>
      </c>
      <c r="AA197" t="str">
        <f t="shared" si="38"/>
        <v/>
      </c>
      <c r="AB197" s="9" t="str">
        <f t="shared" si="39"/>
        <v/>
      </c>
      <c r="AC197" s="9" t="str">
        <f t="shared" si="40"/>
        <v/>
      </c>
      <c r="AD197" s="18" t="str">
        <f>IF(A197="","",IF(V197='Base de Datos'!$A$3,AB197/AA197,0))</f>
        <v/>
      </c>
      <c r="AE197" s="20" t="str">
        <f t="shared" si="41"/>
        <v/>
      </c>
      <c r="AF197" s="20" t="str">
        <f t="shared" si="42"/>
        <v/>
      </c>
      <c r="AG197" t="str">
        <f t="shared" si="43"/>
        <v/>
      </c>
    </row>
    <row r="198" spans="22:33" x14ac:dyDescent="0.3">
      <c r="V198" t="str">
        <f t="shared" si="34"/>
        <v/>
      </c>
      <c r="W198" t="str">
        <f>IF(V198="",(""),(INDEX('Base de Datos'!$A$3:$B$7,(MATCH(V198,'Base de Datos'!$A$3:$A$7,0)),(2))))</f>
        <v/>
      </c>
      <c r="X198" t="str">
        <f t="shared" si="35"/>
        <v/>
      </c>
      <c r="Y198" t="str">
        <f t="shared" si="36"/>
        <v/>
      </c>
      <c r="Z198" s="7" t="str">
        <f t="shared" si="37"/>
        <v/>
      </c>
      <c r="AA198" t="str">
        <f t="shared" si="38"/>
        <v/>
      </c>
      <c r="AB198" s="9" t="str">
        <f t="shared" si="39"/>
        <v/>
      </c>
      <c r="AC198" s="9" t="str">
        <f t="shared" si="40"/>
        <v/>
      </c>
      <c r="AD198" s="18" t="str">
        <f>IF(A198="","",IF(V198='Base de Datos'!$A$3,AB198/AA198,0))</f>
        <v/>
      </c>
      <c r="AE198" s="20" t="str">
        <f t="shared" si="41"/>
        <v/>
      </c>
      <c r="AF198" s="20" t="str">
        <f t="shared" si="42"/>
        <v/>
      </c>
      <c r="AG198" t="str">
        <f t="shared" si="43"/>
        <v/>
      </c>
    </row>
    <row r="199" spans="22:33" x14ac:dyDescent="0.3">
      <c r="V199" t="str">
        <f t="shared" si="34"/>
        <v/>
      </c>
      <c r="W199" t="str">
        <f>IF(V199="",(""),(INDEX('Base de Datos'!$A$3:$B$7,(MATCH(V199,'Base de Datos'!$A$3:$A$7,0)),(2))))</f>
        <v/>
      </c>
      <c r="X199" t="str">
        <f t="shared" si="35"/>
        <v/>
      </c>
      <c r="Y199" t="str">
        <f t="shared" si="36"/>
        <v/>
      </c>
      <c r="Z199" s="7" t="str">
        <f t="shared" si="37"/>
        <v/>
      </c>
      <c r="AA199" t="str">
        <f t="shared" si="38"/>
        <v/>
      </c>
      <c r="AB199" s="9" t="str">
        <f t="shared" si="39"/>
        <v/>
      </c>
      <c r="AC199" s="9" t="str">
        <f t="shared" si="40"/>
        <v/>
      </c>
      <c r="AD199" s="18" t="str">
        <f>IF(A199="","",IF(V199='Base de Datos'!$A$3,AB199/AA199,0))</f>
        <v/>
      </c>
      <c r="AE199" s="20" t="str">
        <f t="shared" si="41"/>
        <v/>
      </c>
      <c r="AF199" s="20" t="str">
        <f t="shared" si="42"/>
        <v/>
      </c>
      <c r="AG199" t="str">
        <f t="shared" si="43"/>
        <v/>
      </c>
    </row>
  </sheetData>
  <conditionalFormatting sqref="W1 W3:W1048576">
    <cfRule type="cellIs" dxfId="2" priority="2" operator="equal">
      <formula>"Tiene deducciones"</formula>
    </cfRule>
    <cfRule type="cellIs" dxfId="1" priority="3" operator="equal">
      <formula>"No tiene deducciones"</formula>
    </cfRule>
  </conditionalFormatting>
  <conditionalFormatting sqref="AD1:AD1048576">
    <cfRule type="cellIs" dxfId="0" priority="1" operator="equal">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9E164-A25B-4F58-9E06-E158E5678245}">
  <sheetPr codeName="Hoja4"/>
  <dimension ref="A1:M32"/>
  <sheetViews>
    <sheetView workbookViewId="0">
      <selection activeCell="K31" sqref="K5:K31"/>
    </sheetView>
  </sheetViews>
  <sheetFormatPr baseColWidth="10" defaultRowHeight="14.4" x14ac:dyDescent="0.3"/>
  <cols>
    <col min="1" max="1" width="2.21875" style="26" customWidth="1"/>
    <col min="2" max="2" width="11.5546875" style="23"/>
    <col min="3" max="3" width="20.33203125" customWidth="1"/>
    <col min="5" max="5" width="10.21875" style="24" customWidth="1"/>
    <col min="6" max="6" width="11.6640625" style="25" customWidth="1"/>
    <col min="7" max="7" width="9.33203125" style="24" customWidth="1"/>
    <col min="8" max="8" width="15.109375" style="25" customWidth="1"/>
    <col min="9" max="9" width="12.44140625" style="25" customWidth="1"/>
    <col min="10" max="10" width="14.109375" style="25" customWidth="1"/>
    <col min="12" max="12" width="13.33203125" style="24" customWidth="1"/>
    <col min="13" max="13" width="3.44140625" style="26" customWidth="1"/>
  </cols>
  <sheetData>
    <row r="1" spans="2:12" x14ac:dyDescent="0.3">
      <c r="B1" s="35"/>
      <c r="C1" s="26"/>
      <c r="D1" s="26"/>
      <c r="E1" s="28"/>
      <c r="F1" s="27"/>
      <c r="G1" s="28"/>
      <c r="H1" s="27"/>
      <c r="I1" s="27"/>
      <c r="J1" s="27"/>
      <c r="K1" s="26"/>
      <c r="L1" s="28"/>
    </row>
    <row r="2" spans="2:12" ht="25.8" x14ac:dyDescent="0.5">
      <c r="B2" s="61" t="s">
        <v>31</v>
      </c>
      <c r="C2" s="62"/>
      <c r="D2" s="62"/>
      <c r="E2" s="62"/>
      <c r="F2" s="62"/>
      <c r="G2" s="62"/>
      <c r="H2" s="62"/>
      <c r="I2" s="62"/>
      <c r="J2" s="62"/>
      <c r="K2" s="62"/>
      <c r="L2" s="63"/>
    </row>
    <row r="3" spans="2:12" ht="22.2" customHeight="1" x14ac:dyDescent="0.4">
      <c r="B3" s="35"/>
      <c r="C3" s="26"/>
      <c r="D3" s="26"/>
      <c r="E3" s="28"/>
      <c r="F3" s="27"/>
      <c r="G3" s="28"/>
      <c r="H3" s="27"/>
      <c r="I3" s="27"/>
      <c r="J3" s="27"/>
      <c r="K3" s="26"/>
      <c r="L3" s="39" t="s">
        <v>53</v>
      </c>
    </row>
    <row r="4" spans="2:12" ht="28.8" x14ac:dyDescent="0.3">
      <c r="B4" s="101" t="s">
        <v>7</v>
      </c>
      <c r="C4" s="102" t="s">
        <v>37</v>
      </c>
      <c r="D4" s="102" t="s">
        <v>4</v>
      </c>
      <c r="E4" s="102" t="s">
        <v>32</v>
      </c>
      <c r="F4" s="103" t="s">
        <v>40</v>
      </c>
      <c r="G4" s="102" t="s">
        <v>33</v>
      </c>
      <c r="H4" s="103" t="s">
        <v>36</v>
      </c>
      <c r="I4" s="103" t="s">
        <v>34</v>
      </c>
      <c r="J4" s="103" t="s">
        <v>35</v>
      </c>
      <c r="K4" s="102" t="s">
        <v>38</v>
      </c>
      <c r="L4" s="104" t="s">
        <v>39</v>
      </c>
    </row>
    <row r="5" spans="2:12" x14ac:dyDescent="0.3">
      <c r="B5" s="36" t="str">
        <f>IF('LQ Parciales'!H3="",(""),('LQ Parciales'!A3))</f>
        <v/>
      </c>
      <c r="C5" s="32" t="str">
        <f>IF('LQ Parciales'!H3="",(""),('LQ Parciales'!C3))</f>
        <v/>
      </c>
      <c r="D5" s="29" t="str">
        <f>IF('LQ Parciales'!H3="",(""),('LQ Parciales'!H3))</f>
        <v/>
      </c>
      <c r="E5" s="112" t="str">
        <f>IF(D5="",(""),('LQ Parciales'!I3/1000))</f>
        <v/>
      </c>
      <c r="F5" s="106" t="str">
        <f>IF(D5="",(""),('LQ Parciales'!F3/(VLOOKUP(B5,Cotización!$A$3:B126,2,FALSE))))</f>
        <v/>
      </c>
      <c r="G5" s="112" t="str">
        <f>IF(F5="",(""),("A cobrar"))</f>
        <v/>
      </c>
      <c r="H5" s="106" t="str">
        <f>IF(D5="",(""),('LQ Parciales'!N3/(VLOOKUP(B5,Cotización!$A$3:B126,2,FALSE))))</f>
        <v/>
      </c>
      <c r="I5" s="115" t="str">
        <f>IF(D5="",(""),('LQ Parciales'!Q3/(VLOOKUP(B5,Cotización!$A$3:B126,2,FALSE))))</f>
        <v/>
      </c>
      <c r="J5" s="106" t="str">
        <f>IF(D5="",(""),(('LQ Parciales'!S3+'LQ Parciales'!R3)/(VLOOKUP(B5,Cotización!$A$3:B126,2,FALSE))))</f>
        <v/>
      </c>
      <c r="K5" s="118" t="str">
        <f>IF(B5="",(""),(J5/H5))</f>
        <v/>
      </c>
      <c r="L5" s="107" t="str">
        <f>IF(B5="",(""),(IF(C5="COOPERATIVA AGROPECUARIA GENERAL NECOCHEA LTDA",(10%),('LQ Parciales'!G3/1000))))</f>
        <v/>
      </c>
    </row>
    <row r="6" spans="2:12" x14ac:dyDescent="0.3">
      <c r="B6" s="37" t="str">
        <f>IF('LQ Parciales'!H4="",(""),('LQ Parciales'!A4))</f>
        <v/>
      </c>
      <c r="C6" s="33" t="str">
        <f>IF('LQ Parciales'!H4="",(""),('LQ Parciales'!C4))</f>
        <v/>
      </c>
      <c r="D6" s="30" t="str">
        <f>IF('LQ Parciales'!H4="",(""),('LQ Parciales'!H4))</f>
        <v/>
      </c>
      <c r="E6" s="113" t="str">
        <f>IF(D6="",(""),('LQ Parciales'!I4/1000))</f>
        <v/>
      </c>
      <c r="F6" s="105" t="str">
        <f>IF(D6="",(""),('LQ Parciales'!F4/(VLOOKUP(B6,Cotización!$A$3:B127,2,FALSE))))</f>
        <v/>
      </c>
      <c r="G6" s="113" t="str">
        <f t="shared" ref="G6:G32" si="0">IF(F6="",(""),("A cobrar"))</f>
        <v/>
      </c>
      <c r="H6" s="105" t="str">
        <f>IF(D6="",(""),('LQ Parciales'!N4/(VLOOKUP(B6,Cotización!$A$3:B127,2,FALSE))))</f>
        <v/>
      </c>
      <c r="I6" s="116" t="str">
        <f>IF(D6="",(""),('LQ Parciales'!Q4/(VLOOKUP(B6,Cotización!$A$3:B127,2,FALSE))))</f>
        <v/>
      </c>
      <c r="J6" s="105" t="str">
        <f>IF(D6="",(""),(('LQ Parciales'!S4+'LQ Parciales'!R4)/(VLOOKUP(B6,Cotización!$A$3:B127,2,FALSE))))</f>
        <v/>
      </c>
      <c r="K6" s="119" t="str">
        <f t="shared" ref="K6:K12" si="1">IF(B6="",(""),(J6/H6))</f>
        <v/>
      </c>
      <c r="L6" s="40" t="str">
        <f>IF(B6="",(""),(IF(C6="COOPERATIVA AGROPECUARIA GENERAL NECOCHEA LTDA",(10%),('LQ Parciales'!G4/1000))))</f>
        <v/>
      </c>
    </row>
    <row r="7" spans="2:12" x14ac:dyDescent="0.3">
      <c r="B7" s="37" t="str">
        <f>IF('LQ Parciales'!H5="",(""),('LQ Parciales'!A5))</f>
        <v/>
      </c>
      <c r="C7" s="33" t="str">
        <f>IF('LQ Parciales'!H5="",(""),('LQ Parciales'!C5))</f>
        <v/>
      </c>
      <c r="D7" s="30" t="str">
        <f>IF('LQ Parciales'!H5="",(""),('LQ Parciales'!H5))</f>
        <v/>
      </c>
      <c r="E7" s="113" t="str">
        <f>IF(D7="",(""),('LQ Parciales'!I5/1000))</f>
        <v/>
      </c>
      <c r="F7" s="105" t="str">
        <f>IF(D7="",(""),('LQ Parciales'!F5/(VLOOKUP(B7,Cotización!$A$3:B128,2,FALSE))))</f>
        <v/>
      </c>
      <c r="G7" s="113" t="str">
        <f t="shared" si="0"/>
        <v/>
      </c>
      <c r="H7" s="105" t="str">
        <f>IF(D7="",(""),('LQ Parciales'!N5/(VLOOKUP(B7,Cotización!$A$3:B128,2,FALSE))))</f>
        <v/>
      </c>
      <c r="I7" s="116" t="str">
        <f>IF(D7="",(""),('LQ Parciales'!Q5/(VLOOKUP(B7,Cotización!$A$3:B128,2,FALSE))))</f>
        <v/>
      </c>
      <c r="J7" s="105" t="str">
        <f>IF(D7="",(""),(('LQ Parciales'!S5+'LQ Parciales'!R5)/(VLOOKUP(B7,Cotización!$A$3:B128,2,FALSE))))</f>
        <v/>
      </c>
      <c r="K7" s="119" t="str">
        <f t="shared" si="1"/>
        <v/>
      </c>
      <c r="L7" s="40" t="str">
        <f>IF(B7="",(""),(IF(C7="COOPERATIVA AGROPECUARIA GENERAL NECOCHEA LTDA",(10%),('LQ Parciales'!G5/1000))))</f>
        <v/>
      </c>
    </row>
    <row r="8" spans="2:12" x14ac:dyDescent="0.3">
      <c r="B8" s="37" t="str">
        <f>IF('LQ Parciales'!H6="",(""),('LQ Parciales'!A6))</f>
        <v/>
      </c>
      <c r="C8" s="33" t="str">
        <f>IF('LQ Parciales'!H6="",(""),('LQ Parciales'!C6))</f>
        <v/>
      </c>
      <c r="D8" s="30" t="str">
        <f>IF('LQ Parciales'!H6="",(""),('LQ Parciales'!H6))</f>
        <v/>
      </c>
      <c r="E8" s="113" t="str">
        <f>IF(D8="",(""),('LQ Parciales'!I6/1000))</f>
        <v/>
      </c>
      <c r="F8" s="105" t="str">
        <f>IF(D8="",(""),('LQ Parciales'!F6/(VLOOKUP(B8,Cotización!$A$3:B129,2,FALSE))))</f>
        <v/>
      </c>
      <c r="G8" s="113" t="str">
        <f t="shared" si="0"/>
        <v/>
      </c>
      <c r="H8" s="105" t="str">
        <f>IF(D8="",(""),('LQ Parciales'!N6/(VLOOKUP(B8,Cotización!$A$3:B129,2,FALSE))))</f>
        <v/>
      </c>
      <c r="I8" s="116" t="str">
        <f>IF(D8="",(""),('LQ Parciales'!Q6/(VLOOKUP(B8,Cotización!$A$3:B129,2,FALSE))))</f>
        <v/>
      </c>
      <c r="J8" s="105" t="str">
        <f>IF(D8="",(""),(('LQ Parciales'!S6+'LQ Parciales'!R6)/(VLOOKUP(B8,Cotización!$A$3:B129,2,FALSE))))</f>
        <v/>
      </c>
      <c r="K8" s="119" t="str">
        <f t="shared" si="1"/>
        <v/>
      </c>
      <c r="L8" s="40" t="str">
        <f>IF(B8="",(""),(IF(C8="COOPERATIVA AGROPECUARIA GENERAL NECOCHEA LTDA",(10%),('LQ Parciales'!G6/1000))))</f>
        <v/>
      </c>
    </row>
    <row r="9" spans="2:12" x14ac:dyDescent="0.3">
      <c r="B9" s="37" t="str">
        <f>IF('LQ Parciales'!H7="",(""),('LQ Parciales'!A7))</f>
        <v/>
      </c>
      <c r="C9" s="33" t="str">
        <f>IF('LQ Parciales'!H7="",(""),('LQ Parciales'!C7))</f>
        <v/>
      </c>
      <c r="D9" s="30" t="str">
        <f>IF('LQ Parciales'!H7="",(""),('LQ Parciales'!H7))</f>
        <v/>
      </c>
      <c r="E9" s="113" t="str">
        <f>IF(D9="",(""),('LQ Parciales'!I7/1000))</f>
        <v/>
      </c>
      <c r="F9" s="105" t="str">
        <f>IF(D9="",(""),('LQ Parciales'!F7/(VLOOKUP(B9,Cotización!$A$3:B130,2,FALSE))))</f>
        <v/>
      </c>
      <c r="G9" s="113" t="str">
        <f t="shared" si="0"/>
        <v/>
      </c>
      <c r="H9" s="105" t="str">
        <f>IF(D9="",(""),('LQ Parciales'!N7/(VLOOKUP(B9,Cotización!$A$3:B130,2,FALSE))))</f>
        <v/>
      </c>
      <c r="I9" s="116" t="str">
        <f>IF(D9="",(""),('LQ Parciales'!Q7/(VLOOKUP(B9,Cotización!$A$3:B130,2,FALSE))))</f>
        <v/>
      </c>
      <c r="J9" s="105" t="str">
        <f>IF(D9="",(""),(('LQ Parciales'!S7+'LQ Parciales'!R7)/(VLOOKUP(B9,Cotización!$A$3:B130,2,FALSE))))</f>
        <v/>
      </c>
      <c r="K9" s="119" t="str">
        <f t="shared" si="1"/>
        <v/>
      </c>
      <c r="L9" s="40" t="str">
        <f>IF(B9="",(""),(IF(C9="COOPERATIVA AGROPECUARIA GENERAL NECOCHEA LTDA",(10%),('LQ Parciales'!G7/1000))))</f>
        <v/>
      </c>
    </row>
    <row r="10" spans="2:12" x14ac:dyDescent="0.3">
      <c r="B10" s="37" t="str">
        <f>IF('LQ Parciales'!H8="",(""),('LQ Parciales'!A8))</f>
        <v/>
      </c>
      <c r="C10" s="33" t="str">
        <f>IF('LQ Parciales'!H8="",(""),('LQ Parciales'!C8))</f>
        <v/>
      </c>
      <c r="D10" s="30" t="str">
        <f>IF('LQ Parciales'!H8="",(""),('LQ Parciales'!H8))</f>
        <v/>
      </c>
      <c r="E10" s="113" t="str">
        <f>IF(D10="",(""),('LQ Parciales'!I8/1000))</f>
        <v/>
      </c>
      <c r="F10" s="105" t="str">
        <f>IF(D10="",(""),('LQ Parciales'!F8/(VLOOKUP(B10,Cotización!$A$3:B131,2,FALSE))))</f>
        <v/>
      </c>
      <c r="G10" s="113" t="str">
        <f t="shared" si="0"/>
        <v/>
      </c>
      <c r="H10" s="105" t="str">
        <f>IF(D10="",(""),('LQ Parciales'!N8/(VLOOKUP(B10,Cotización!$A$3:B131,2,FALSE))))</f>
        <v/>
      </c>
      <c r="I10" s="116" t="str">
        <f>IF(D10="",(""),('LQ Parciales'!Q8/(VLOOKUP(B10,Cotización!$A$3:B131,2,FALSE))))</f>
        <v/>
      </c>
      <c r="J10" s="105" t="str">
        <f>IF(D10="",(""),(('LQ Parciales'!S8+'LQ Parciales'!R8)/(VLOOKUP(B10,Cotización!$A$3:B131,2,FALSE))))</f>
        <v/>
      </c>
      <c r="K10" s="119" t="str">
        <f t="shared" si="1"/>
        <v/>
      </c>
      <c r="L10" s="40" t="str">
        <f>IF(B10="",(""),(IF(C10="COOPERATIVA AGROPECUARIA GENERAL NECOCHEA LTDA",(10%),('LQ Parciales'!G8/1000))))</f>
        <v/>
      </c>
    </row>
    <row r="11" spans="2:12" x14ac:dyDescent="0.3">
      <c r="B11" s="37" t="str">
        <f>IF('LQ Parciales'!H9="",(""),('LQ Parciales'!A9))</f>
        <v/>
      </c>
      <c r="C11" s="33" t="str">
        <f>IF('LQ Parciales'!H9="",(""),('LQ Parciales'!C9))</f>
        <v/>
      </c>
      <c r="D11" s="30" t="str">
        <f>IF('LQ Parciales'!H9="",(""),('LQ Parciales'!H9))</f>
        <v/>
      </c>
      <c r="E11" s="113" t="str">
        <f>IF(D11="",(""),('LQ Parciales'!I9/1000))</f>
        <v/>
      </c>
      <c r="F11" s="105" t="str">
        <f>IF(D11="",(""),('LQ Parciales'!F9/(VLOOKUP(B11,Cotización!$A$3:B132,2,FALSE))))</f>
        <v/>
      </c>
      <c r="G11" s="113" t="str">
        <f t="shared" si="0"/>
        <v/>
      </c>
      <c r="H11" s="105" t="str">
        <f>IF(D11="",(""),('LQ Parciales'!N9/(VLOOKUP(B11,Cotización!$A$3:B132,2,FALSE))))</f>
        <v/>
      </c>
      <c r="I11" s="116" t="str">
        <f>IF(D11="",(""),('LQ Parciales'!Q9/(VLOOKUP(B11,Cotización!$A$3:B132,2,FALSE))))</f>
        <v/>
      </c>
      <c r="J11" s="105" t="str">
        <f>IF(D11="",(""),(('LQ Parciales'!S9+'LQ Parciales'!R9)/(VLOOKUP(B11,Cotización!$A$3:B132,2,FALSE))))</f>
        <v/>
      </c>
      <c r="K11" s="119" t="str">
        <f t="shared" si="1"/>
        <v/>
      </c>
      <c r="L11" s="40" t="str">
        <f>IF(B11="",(""),(IF(C11="COOPERATIVA AGROPECUARIA GENERAL NECOCHEA LTDA",(10%),('LQ Parciales'!G9/1000))))</f>
        <v/>
      </c>
    </row>
    <row r="12" spans="2:12" x14ac:dyDescent="0.3">
      <c r="B12" s="37" t="str">
        <f>IF('LQ Parciales'!H10="",(""),('LQ Parciales'!A10))</f>
        <v/>
      </c>
      <c r="C12" s="33" t="str">
        <f>IF('LQ Parciales'!H10="",(""),('LQ Parciales'!C10))</f>
        <v/>
      </c>
      <c r="D12" s="30" t="str">
        <f>IF('LQ Parciales'!H10="",(""),('LQ Parciales'!H10))</f>
        <v/>
      </c>
      <c r="E12" s="113" t="str">
        <f>IF(D12="",(""),('LQ Parciales'!I10/1000))</f>
        <v/>
      </c>
      <c r="F12" s="105" t="str">
        <f>IF(D12="",(""),('LQ Parciales'!F10/(VLOOKUP(B12,Cotización!$A$3:B133,2,FALSE))))</f>
        <v/>
      </c>
      <c r="G12" s="113" t="str">
        <f t="shared" si="0"/>
        <v/>
      </c>
      <c r="H12" s="105" t="str">
        <f>IF(D12="",(""),('LQ Parciales'!N10/(VLOOKUP(B12,Cotización!$A$3:B133,2,FALSE))))</f>
        <v/>
      </c>
      <c r="I12" s="116" t="str">
        <f>IF(D12="",(""),('LQ Parciales'!Q10/(VLOOKUP(B12,Cotización!$A$3:B133,2,FALSE))))</f>
        <v/>
      </c>
      <c r="J12" s="105" t="str">
        <f>IF(D12="",(""),(('LQ Parciales'!S10+'LQ Parciales'!R10)/(VLOOKUP(B12,Cotización!$A$3:B133,2,FALSE))))</f>
        <v/>
      </c>
      <c r="K12" s="119" t="str">
        <f t="shared" si="1"/>
        <v/>
      </c>
      <c r="L12" s="40" t="str">
        <f>IF(B12="",(""),(IF(C12="COOPERATIVA AGROPECUARIA GENERAL NECOCHEA LTDA",(10%),('LQ Parciales'!G10/1000))))</f>
        <v/>
      </c>
    </row>
    <row r="13" spans="2:12" x14ac:dyDescent="0.3">
      <c r="B13" s="37" t="str">
        <f>IF('LQ Parciales'!H11="",(""),('LQ Parciales'!A11))</f>
        <v/>
      </c>
      <c r="C13" s="33" t="str">
        <f>IF('LQ Parciales'!H11="",(""),('LQ Parciales'!C11))</f>
        <v/>
      </c>
      <c r="D13" s="30" t="str">
        <f>IF('LQ Parciales'!H11="",(""),('LQ Parciales'!H11))</f>
        <v/>
      </c>
      <c r="E13" s="113" t="str">
        <f>IF(D13="",(""),('LQ Parciales'!I11/1000))</f>
        <v/>
      </c>
      <c r="F13" s="105" t="str">
        <f>IF(D13="",(""),('LQ Parciales'!F11/(VLOOKUP(B13,Cotización!$A$3:B134,2,FALSE))))</f>
        <v/>
      </c>
      <c r="G13" s="113" t="str">
        <f t="shared" si="0"/>
        <v/>
      </c>
      <c r="H13" s="105" t="str">
        <f>IF(D13="",(""),('LQ Parciales'!N11/(VLOOKUP(B13,Cotización!$A$3:B134,2,FALSE))))</f>
        <v/>
      </c>
      <c r="I13" s="116" t="str">
        <f>IF(D13="",(""),('LQ Parciales'!Q11/(VLOOKUP(B13,Cotización!$A$3:B134,2,FALSE))))</f>
        <v/>
      </c>
      <c r="J13" s="105" t="str">
        <f>IF(D13="",(""),(('LQ Parciales'!S11+'LQ Parciales'!R11)/(VLOOKUP(B13,Cotización!$A$3:B134,2,FALSE))))</f>
        <v/>
      </c>
      <c r="K13" s="119" t="str">
        <f t="shared" ref="K13:K32" si="2">IF(B13="",(""),(J13/H13))</f>
        <v/>
      </c>
      <c r="L13" s="40" t="str">
        <f>IF(B13="",(""),(IF(C13="COOPERATIVA AGROPECUARIA GENERAL NECOCHEA LTDA",(10%),('LQ Parciales'!G11/1000))))</f>
        <v/>
      </c>
    </row>
    <row r="14" spans="2:12" x14ac:dyDescent="0.3">
      <c r="B14" s="37" t="str">
        <f>IF('LQ Parciales'!H12="",(""),('LQ Parciales'!A12))</f>
        <v/>
      </c>
      <c r="C14" s="33" t="str">
        <f>IF('LQ Parciales'!H12="",(""),('LQ Parciales'!C12))</f>
        <v/>
      </c>
      <c r="D14" s="30" t="str">
        <f>IF('LQ Parciales'!H12="",(""),('LQ Parciales'!H12))</f>
        <v/>
      </c>
      <c r="E14" s="113" t="str">
        <f>IF(D14="",(""),('LQ Parciales'!I12/1000))</f>
        <v/>
      </c>
      <c r="F14" s="105" t="str">
        <f>IF(D14="",(""),('LQ Parciales'!F12/(VLOOKUP(B14,Cotización!$A$3:B135,2,FALSE))))</f>
        <v/>
      </c>
      <c r="G14" s="113" t="str">
        <f t="shared" si="0"/>
        <v/>
      </c>
      <c r="H14" s="105" t="str">
        <f>IF(D14="",(""),('LQ Parciales'!N12/(VLOOKUP(B14,Cotización!$A$3:B135,2,FALSE))))</f>
        <v/>
      </c>
      <c r="I14" s="116" t="str">
        <f>IF(D14="",(""),('LQ Parciales'!Q12/(VLOOKUP(B14,Cotización!$A$3:B135,2,FALSE))))</f>
        <v/>
      </c>
      <c r="J14" s="105" t="str">
        <f>IF(D14="",(""),(('LQ Parciales'!S12+'LQ Parciales'!R12)/(VLOOKUP(B14,Cotización!$A$3:B135,2,FALSE))))</f>
        <v/>
      </c>
      <c r="K14" s="119" t="str">
        <f t="shared" si="2"/>
        <v/>
      </c>
      <c r="L14" s="40" t="str">
        <f>IF(B14="",(""),(IF(C14="COOPERATIVA AGROPECUARIA GENERAL NECOCHEA LTDA",(10%),('LQ Parciales'!G12/1000))))</f>
        <v/>
      </c>
    </row>
    <row r="15" spans="2:12" x14ac:dyDescent="0.3">
      <c r="B15" s="37" t="str">
        <f>IF('LQ Parciales'!H13="",(""),('LQ Parciales'!A13))</f>
        <v/>
      </c>
      <c r="C15" s="33" t="str">
        <f>IF('LQ Parciales'!H13="",(""),('LQ Parciales'!C13))</f>
        <v/>
      </c>
      <c r="D15" s="30" t="str">
        <f>IF('LQ Parciales'!H13="",(""),('LQ Parciales'!H13))</f>
        <v/>
      </c>
      <c r="E15" s="113" t="str">
        <f>IF(D15="",(""),('LQ Parciales'!I13/1000))</f>
        <v/>
      </c>
      <c r="F15" s="105" t="str">
        <f>IF(D15="",(""),('LQ Parciales'!F13/(VLOOKUP(B15,Cotización!$A$3:B136,2,FALSE))))</f>
        <v/>
      </c>
      <c r="G15" s="113" t="str">
        <f t="shared" si="0"/>
        <v/>
      </c>
      <c r="H15" s="105" t="str">
        <f>IF(D15="",(""),('LQ Parciales'!N13/(VLOOKUP(B15,Cotización!$A$3:B136,2,FALSE))))</f>
        <v/>
      </c>
      <c r="I15" s="116" t="str">
        <f>IF(D15="",(""),('LQ Parciales'!Q13/(VLOOKUP(B15,Cotización!$A$3:B136,2,FALSE))))</f>
        <v/>
      </c>
      <c r="J15" s="105" t="str">
        <f>IF(D15="",(""),(('LQ Parciales'!S13+'LQ Parciales'!R13)/(VLOOKUP(B15,Cotización!$A$3:B136,2,FALSE))))</f>
        <v/>
      </c>
      <c r="K15" s="119" t="str">
        <f t="shared" si="2"/>
        <v/>
      </c>
      <c r="L15" s="40" t="str">
        <f>IF(B15="",(""),(IF(C15="COOPERATIVA AGROPECUARIA GENERAL NECOCHEA LTDA",(10%),('LQ Parciales'!G13/1000))))</f>
        <v/>
      </c>
    </row>
    <row r="16" spans="2:12" x14ac:dyDescent="0.3">
      <c r="B16" s="37" t="str">
        <f>IF('LQ Parciales'!H14="",(""),('LQ Parciales'!A14))</f>
        <v/>
      </c>
      <c r="C16" s="33" t="str">
        <f>IF('LQ Parciales'!H14="",(""),('LQ Parciales'!C14))</f>
        <v/>
      </c>
      <c r="D16" s="30" t="str">
        <f>IF('LQ Parciales'!H14="",(""),('LQ Parciales'!H14))</f>
        <v/>
      </c>
      <c r="E16" s="113" t="str">
        <f>IF(D16="",(""),('LQ Parciales'!I14/1000))</f>
        <v/>
      </c>
      <c r="F16" s="105" t="str">
        <f>IF(D16="",(""),('LQ Parciales'!F14/(VLOOKUP(B16,Cotización!$A$3:B137,2,FALSE))))</f>
        <v/>
      </c>
      <c r="G16" s="113" t="str">
        <f t="shared" si="0"/>
        <v/>
      </c>
      <c r="H16" s="105" t="str">
        <f>IF(D16="",(""),('LQ Parciales'!N14/(VLOOKUP(B16,Cotización!$A$3:B137,2,FALSE))))</f>
        <v/>
      </c>
      <c r="I16" s="116" t="str">
        <f>IF(D16="",(""),('LQ Parciales'!Q14/(VLOOKUP(B16,Cotización!$A$3:B137,2,FALSE))))</f>
        <v/>
      </c>
      <c r="J16" s="105" t="str">
        <f>IF(D16="",(""),(('LQ Parciales'!S14+'LQ Parciales'!R14)/(VLOOKUP(B16,Cotización!$A$3:B137,2,FALSE))))</f>
        <v/>
      </c>
      <c r="K16" s="119" t="str">
        <f t="shared" si="2"/>
        <v/>
      </c>
      <c r="L16" s="40" t="str">
        <f>IF(B16="",(""),(IF(C16="COOPERATIVA AGROPECUARIA GENERAL NECOCHEA LTDA",(10%),('LQ Parciales'!G14/1000))))</f>
        <v/>
      </c>
    </row>
    <row r="17" spans="2:12" x14ac:dyDescent="0.3">
      <c r="B17" s="37" t="str">
        <f>IF('LQ Parciales'!H15="",(""),('LQ Parciales'!A15))</f>
        <v/>
      </c>
      <c r="C17" s="33" t="str">
        <f>IF('LQ Parciales'!H15="",(""),('LQ Parciales'!C15))</f>
        <v/>
      </c>
      <c r="D17" s="30" t="str">
        <f>IF('LQ Parciales'!H15="",(""),('LQ Parciales'!H15))</f>
        <v/>
      </c>
      <c r="E17" s="113" t="str">
        <f>IF(D17="",(""),('LQ Parciales'!I15/1000))</f>
        <v/>
      </c>
      <c r="F17" s="105" t="str">
        <f>IF(D17="",(""),('LQ Parciales'!F15/(VLOOKUP(B17,Cotización!$A$3:B138,2,FALSE))))</f>
        <v/>
      </c>
      <c r="G17" s="113" t="str">
        <f t="shared" si="0"/>
        <v/>
      </c>
      <c r="H17" s="105" t="str">
        <f>IF(D17="",(""),('LQ Parciales'!N15/(VLOOKUP(B17,Cotización!$A$3:B138,2,FALSE))))</f>
        <v/>
      </c>
      <c r="I17" s="116" t="str">
        <f>IF(D17="",(""),('LQ Parciales'!Q15/(VLOOKUP(B17,Cotización!$A$3:B138,2,FALSE))))</f>
        <v/>
      </c>
      <c r="J17" s="105" t="str">
        <f>IF(D17="",(""),(('LQ Parciales'!S15+'LQ Parciales'!R15)/(VLOOKUP(B17,Cotización!$A$3:B138,2,FALSE))))</f>
        <v/>
      </c>
      <c r="K17" s="119" t="str">
        <f t="shared" si="2"/>
        <v/>
      </c>
      <c r="L17" s="40" t="str">
        <f>IF(B17="",(""),(IF(C17="COOPERATIVA AGROPECUARIA GENERAL NECOCHEA LTDA",(10%),('LQ Parciales'!G15/1000))))</f>
        <v/>
      </c>
    </row>
    <row r="18" spans="2:12" x14ac:dyDescent="0.3">
      <c r="B18" s="37" t="str">
        <f>IF('LQ Parciales'!H16="",(""),('LQ Parciales'!A16))</f>
        <v/>
      </c>
      <c r="C18" s="33" t="str">
        <f>IF('LQ Parciales'!H16="",(""),('LQ Parciales'!C16))</f>
        <v/>
      </c>
      <c r="D18" s="30" t="str">
        <f>IF('LQ Parciales'!H16="",(""),('LQ Parciales'!H16))</f>
        <v/>
      </c>
      <c r="E18" s="113" t="str">
        <f>IF(D18="",(""),('LQ Parciales'!I16/1000))</f>
        <v/>
      </c>
      <c r="F18" s="105" t="str">
        <f>IF(D18="",(""),('LQ Parciales'!F16/(VLOOKUP(B18,Cotización!$A$3:B139,2,FALSE))))</f>
        <v/>
      </c>
      <c r="G18" s="113" t="str">
        <f t="shared" si="0"/>
        <v/>
      </c>
      <c r="H18" s="105" t="str">
        <f>IF(D18="",(""),('LQ Parciales'!N16/(VLOOKUP(B18,Cotización!$A$3:B139,2,FALSE))))</f>
        <v/>
      </c>
      <c r="I18" s="116" t="str">
        <f>IF(D18="",(""),('LQ Parciales'!Q16/(VLOOKUP(B18,Cotización!$A$3:B139,2,FALSE))))</f>
        <v/>
      </c>
      <c r="J18" s="105" t="str">
        <f>IF(D18="",(""),(('LQ Parciales'!S16+'LQ Parciales'!R16)/(VLOOKUP(B18,Cotización!$A$3:B139,2,FALSE))))</f>
        <v/>
      </c>
      <c r="K18" s="119" t="str">
        <f t="shared" si="2"/>
        <v/>
      </c>
      <c r="L18" s="40" t="str">
        <f>IF(B18="",(""),(IF(C18="COOPERATIVA AGROPECUARIA GENERAL NECOCHEA LTDA",(10%),('LQ Parciales'!G16/1000))))</f>
        <v/>
      </c>
    </row>
    <row r="19" spans="2:12" x14ac:dyDescent="0.3">
      <c r="B19" s="37" t="str">
        <f>IF('LQ Parciales'!H17="",(""),('LQ Parciales'!A17))</f>
        <v/>
      </c>
      <c r="C19" s="33" t="str">
        <f>IF('LQ Parciales'!H17="",(""),('LQ Parciales'!C17))</f>
        <v/>
      </c>
      <c r="D19" s="30" t="str">
        <f>IF('LQ Parciales'!H17="",(""),('LQ Parciales'!H17))</f>
        <v/>
      </c>
      <c r="E19" s="113" t="str">
        <f>IF(D19="",(""),('LQ Parciales'!I17/1000))</f>
        <v/>
      </c>
      <c r="F19" s="105" t="str">
        <f>IF(D19="",(""),('LQ Parciales'!F17/(VLOOKUP(B19,Cotización!$A$3:B140,2,FALSE))))</f>
        <v/>
      </c>
      <c r="G19" s="113" t="str">
        <f t="shared" si="0"/>
        <v/>
      </c>
      <c r="H19" s="105" t="str">
        <f>IF(D19="",(""),('LQ Parciales'!N17/(VLOOKUP(B19,Cotización!$A$3:B140,2,FALSE))))</f>
        <v/>
      </c>
      <c r="I19" s="116" t="str">
        <f>IF(D19="",(""),('LQ Parciales'!Q17/(VLOOKUP(B19,Cotización!$A$3:B140,2,FALSE))))</f>
        <v/>
      </c>
      <c r="J19" s="105" t="str">
        <f>IF(D19="",(""),(('LQ Parciales'!S17+'LQ Parciales'!R17)/(VLOOKUP(B19,Cotización!$A$3:B140,2,FALSE))))</f>
        <v/>
      </c>
      <c r="K19" s="119" t="str">
        <f t="shared" si="2"/>
        <v/>
      </c>
      <c r="L19" s="40" t="str">
        <f>IF(B19="",(""),(IF(C19="COOPERATIVA AGROPECUARIA GENERAL NECOCHEA LTDA",(10%),('LQ Parciales'!G17/1000))))</f>
        <v/>
      </c>
    </row>
    <row r="20" spans="2:12" x14ac:dyDescent="0.3">
      <c r="B20" s="37" t="str">
        <f>IF('LQ Parciales'!H18="",(""),('LQ Parciales'!A18))</f>
        <v/>
      </c>
      <c r="C20" s="33" t="str">
        <f>IF('LQ Parciales'!H18="",(""),('LQ Parciales'!C18))</f>
        <v/>
      </c>
      <c r="D20" s="30" t="str">
        <f>IF('LQ Parciales'!H18="",(""),('LQ Parciales'!H18))</f>
        <v/>
      </c>
      <c r="E20" s="113" t="str">
        <f>IF(D20="",(""),('LQ Parciales'!I18/1000))</f>
        <v/>
      </c>
      <c r="F20" s="105" t="str">
        <f>IF(D20="",(""),('LQ Parciales'!F18/(VLOOKUP(B20,Cotización!$A$3:B141,2,FALSE))))</f>
        <v/>
      </c>
      <c r="G20" s="113" t="str">
        <f t="shared" si="0"/>
        <v/>
      </c>
      <c r="H20" s="105" t="str">
        <f>IF(D20="",(""),('LQ Parciales'!N18/(VLOOKUP(B20,Cotización!$A$3:B141,2,FALSE))))</f>
        <v/>
      </c>
      <c r="I20" s="116" t="str">
        <f>IF(D20="",(""),('LQ Parciales'!Q18/(VLOOKUP(B20,Cotización!$A$3:B141,2,FALSE))))</f>
        <v/>
      </c>
      <c r="J20" s="105" t="str">
        <f>IF(D20="",(""),(('LQ Parciales'!S18+'LQ Parciales'!R18)/(VLOOKUP(B20,Cotización!$A$3:B141,2,FALSE))))</f>
        <v/>
      </c>
      <c r="K20" s="119" t="str">
        <f t="shared" si="2"/>
        <v/>
      </c>
      <c r="L20" s="40" t="str">
        <f>IF(B20="",(""),(IF(C20="COOPERATIVA AGROPECUARIA GENERAL NECOCHEA LTDA",(10%),('LQ Parciales'!G18/1000))))</f>
        <v/>
      </c>
    </row>
    <row r="21" spans="2:12" x14ac:dyDescent="0.3">
      <c r="B21" s="37" t="str">
        <f>IF('LQ Parciales'!H19="",(""),('LQ Parciales'!A19))</f>
        <v/>
      </c>
      <c r="C21" s="33" t="str">
        <f>IF('LQ Parciales'!H19="",(""),('LQ Parciales'!C19))</f>
        <v/>
      </c>
      <c r="D21" s="30" t="str">
        <f>IF('LQ Parciales'!H19="",(""),('LQ Parciales'!H19))</f>
        <v/>
      </c>
      <c r="E21" s="113" t="str">
        <f>IF(D21="",(""),('LQ Parciales'!I19/1000))</f>
        <v/>
      </c>
      <c r="F21" s="105" t="str">
        <f>IF(D21="",(""),('LQ Parciales'!F19/(VLOOKUP(B21,Cotización!$A$3:B142,2,FALSE))))</f>
        <v/>
      </c>
      <c r="G21" s="113" t="str">
        <f t="shared" si="0"/>
        <v/>
      </c>
      <c r="H21" s="105" t="str">
        <f>IF(D21="",(""),('LQ Parciales'!N19/(VLOOKUP(B21,Cotización!$A$3:B142,2,FALSE))))</f>
        <v/>
      </c>
      <c r="I21" s="116" t="str">
        <f>IF(D21="",(""),('LQ Parciales'!Q19/(VLOOKUP(B21,Cotización!$A$3:B142,2,FALSE))))</f>
        <v/>
      </c>
      <c r="J21" s="105" t="str">
        <f>IF(D21="",(""),(('LQ Parciales'!S19+'LQ Parciales'!R19)/(VLOOKUP(B21,Cotización!$A$3:B142,2,FALSE))))</f>
        <v/>
      </c>
      <c r="K21" s="119" t="str">
        <f t="shared" si="2"/>
        <v/>
      </c>
      <c r="L21" s="40" t="str">
        <f>IF(B21="",(""),(IF(C21="COOPERATIVA AGROPECUARIA GENERAL NECOCHEA LTDA",(10%),('LQ Parciales'!G19/1000))))</f>
        <v/>
      </c>
    </row>
    <row r="22" spans="2:12" x14ac:dyDescent="0.3">
      <c r="B22" s="37" t="str">
        <f>IF('LQ Parciales'!H20="",(""),('LQ Parciales'!A20))</f>
        <v/>
      </c>
      <c r="C22" s="33" t="str">
        <f>IF('LQ Parciales'!H20="",(""),('LQ Parciales'!C20))</f>
        <v/>
      </c>
      <c r="D22" s="30" t="str">
        <f>IF('LQ Parciales'!H20="",(""),('LQ Parciales'!H20))</f>
        <v/>
      </c>
      <c r="E22" s="113" t="str">
        <f>IF(D22="",(""),('LQ Parciales'!I20/1000))</f>
        <v/>
      </c>
      <c r="F22" s="105" t="str">
        <f>IF(D22="",(""),('LQ Parciales'!F20/(VLOOKUP(B22,Cotización!$A$3:B143,2,FALSE))))</f>
        <v/>
      </c>
      <c r="G22" s="113" t="str">
        <f t="shared" si="0"/>
        <v/>
      </c>
      <c r="H22" s="105" t="str">
        <f>IF(D22="",(""),('LQ Parciales'!N20/(VLOOKUP(B22,Cotización!$A$3:B143,2,FALSE))))</f>
        <v/>
      </c>
      <c r="I22" s="116" t="str">
        <f>IF(D22="",(""),('LQ Parciales'!Q20/(VLOOKUP(B22,Cotización!$A$3:B143,2,FALSE))))</f>
        <v/>
      </c>
      <c r="J22" s="105" t="str">
        <f>IF(D22="",(""),(('LQ Parciales'!S20+'LQ Parciales'!R20)/(VLOOKUP(B22,Cotización!$A$3:B143,2,FALSE))))</f>
        <v/>
      </c>
      <c r="K22" s="119" t="str">
        <f t="shared" si="2"/>
        <v/>
      </c>
      <c r="L22" s="40" t="str">
        <f>IF(B22="",(""),(IF(C22="COOPERATIVA AGROPECUARIA GENERAL NECOCHEA LTDA",(10%),('LQ Parciales'!G20/1000))))</f>
        <v/>
      </c>
    </row>
    <row r="23" spans="2:12" x14ac:dyDescent="0.3">
      <c r="B23" s="37" t="str">
        <f>IF('LQ Parciales'!H21="",(""),('LQ Parciales'!A21))</f>
        <v/>
      </c>
      <c r="C23" s="33" t="str">
        <f>IF('LQ Parciales'!H21="",(""),('LQ Parciales'!C21))</f>
        <v/>
      </c>
      <c r="D23" s="30" t="str">
        <f>IF('LQ Parciales'!H21="",(""),('LQ Parciales'!H21))</f>
        <v/>
      </c>
      <c r="E23" s="113" t="str">
        <f>IF(D23="",(""),('LQ Parciales'!I21/1000))</f>
        <v/>
      </c>
      <c r="F23" s="105" t="str">
        <f>IF(D23="",(""),('LQ Parciales'!F21/(VLOOKUP(B23,Cotización!$A$3:B144,2,FALSE))))</f>
        <v/>
      </c>
      <c r="G23" s="113" t="str">
        <f t="shared" si="0"/>
        <v/>
      </c>
      <c r="H23" s="105" t="str">
        <f>IF(D23="",(""),('LQ Parciales'!N21/(VLOOKUP(B23,Cotización!$A$3:B144,2,FALSE))))</f>
        <v/>
      </c>
      <c r="I23" s="116" t="str">
        <f>IF(D23="",(""),('LQ Parciales'!Q21/(VLOOKUP(B23,Cotización!$A$3:B144,2,FALSE))))</f>
        <v/>
      </c>
      <c r="J23" s="105" t="str">
        <f>IF(D23="",(""),(('LQ Parciales'!S21+'LQ Parciales'!R21)/(VLOOKUP(B23,Cotización!$A$3:B144,2,FALSE))))</f>
        <v/>
      </c>
      <c r="K23" s="119" t="str">
        <f t="shared" si="2"/>
        <v/>
      </c>
      <c r="L23" s="40" t="str">
        <f>IF(B23="",(""),(IF(C23="COOPERATIVA AGROPECUARIA GENERAL NECOCHEA LTDA",(10%),('LQ Parciales'!G21/1000))))</f>
        <v/>
      </c>
    </row>
    <row r="24" spans="2:12" x14ac:dyDescent="0.3">
      <c r="B24" s="37" t="str">
        <f>IF('LQ Parciales'!H22="",(""),('LQ Parciales'!A22))</f>
        <v/>
      </c>
      <c r="C24" s="33" t="str">
        <f>IF('LQ Parciales'!H22="",(""),('LQ Parciales'!C22))</f>
        <v/>
      </c>
      <c r="D24" s="30" t="str">
        <f>IF('LQ Parciales'!H22="",(""),('LQ Parciales'!H22))</f>
        <v/>
      </c>
      <c r="E24" s="113" t="str">
        <f>IF(D24="",(""),('LQ Parciales'!I22/1000))</f>
        <v/>
      </c>
      <c r="F24" s="105" t="str">
        <f>IF(D24="",(""),('LQ Parciales'!F22/(VLOOKUP(B24,Cotización!$A$3:B145,2,FALSE))))</f>
        <v/>
      </c>
      <c r="G24" s="113" t="str">
        <f t="shared" si="0"/>
        <v/>
      </c>
      <c r="H24" s="105" t="str">
        <f>IF(D24="",(""),('LQ Parciales'!N22/(VLOOKUP(B24,Cotización!$A$3:B145,2,FALSE))))</f>
        <v/>
      </c>
      <c r="I24" s="116" t="str">
        <f>IF(D24="",(""),('LQ Parciales'!Q22/(VLOOKUP(B24,Cotización!$A$3:B145,2,FALSE))))</f>
        <v/>
      </c>
      <c r="J24" s="105" t="str">
        <f>IF(D24="",(""),(('LQ Parciales'!S22+'LQ Parciales'!R22)/(VLOOKUP(B24,Cotización!$A$3:B145,2,FALSE))))</f>
        <v/>
      </c>
      <c r="K24" s="119" t="str">
        <f t="shared" si="2"/>
        <v/>
      </c>
      <c r="L24" s="40" t="str">
        <f>IF(B24="",(""),(IF(C24="COOPERATIVA AGROPECUARIA GENERAL NECOCHEA LTDA",(10%),('LQ Parciales'!G22/1000))))</f>
        <v/>
      </c>
    </row>
    <row r="25" spans="2:12" x14ac:dyDescent="0.3">
      <c r="B25" s="37" t="str">
        <f>IF('LQ Parciales'!H23="",(""),('LQ Parciales'!A23))</f>
        <v/>
      </c>
      <c r="C25" s="33" t="str">
        <f>IF('LQ Parciales'!H23="",(""),('LQ Parciales'!C23))</f>
        <v/>
      </c>
      <c r="D25" s="30" t="str">
        <f>IF('LQ Parciales'!H23="",(""),('LQ Parciales'!H23))</f>
        <v/>
      </c>
      <c r="E25" s="113" t="str">
        <f>IF(D25="",(""),('LQ Parciales'!I23/1000))</f>
        <v/>
      </c>
      <c r="F25" s="105" t="str">
        <f>IF(D25="",(""),('LQ Parciales'!F23/(VLOOKUP(B25,Cotización!$A$3:B146,2,FALSE))))</f>
        <v/>
      </c>
      <c r="G25" s="113" t="str">
        <f t="shared" si="0"/>
        <v/>
      </c>
      <c r="H25" s="105" t="str">
        <f>IF(D25="",(""),('LQ Parciales'!N23/(VLOOKUP(B25,Cotización!$A$3:B146,2,FALSE))))</f>
        <v/>
      </c>
      <c r="I25" s="116" t="str">
        <f>IF(D25="",(""),('LQ Parciales'!Q23/(VLOOKUP(B25,Cotización!$A$3:B146,2,FALSE))))</f>
        <v/>
      </c>
      <c r="J25" s="105" t="str">
        <f>IF(D25="",(""),(('LQ Parciales'!S23+'LQ Parciales'!R23)/(VLOOKUP(B25,Cotización!$A$3:B146,2,FALSE))))</f>
        <v/>
      </c>
      <c r="K25" s="119" t="str">
        <f t="shared" si="2"/>
        <v/>
      </c>
      <c r="L25" s="40" t="str">
        <f>IF(B25="",(""),(IF(C25="COOPERATIVA AGROPECUARIA GENERAL NECOCHEA LTDA",(10%),('LQ Parciales'!G23/1000))))</f>
        <v/>
      </c>
    </row>
    <row r="26" spans="2:12" x14ac:dyDescent="0.3">
      <c r="B26" s="37" t="str">
        <f>IF('LQ Parciales'!H24="",(""),('LQ Parciales'!A24))</f>
        <v/>
      </c>
      <c r="C26" s="33" t="str">
        <f>IF('LQ Parciales'!H24="",(""),('LQ Parciales'!C24))</f>
        <v/>
      </c>
      <c r="D26" s="30" t="str">
        <f>IF('LQ Parciales'!H24="",(""),('LQ Parciales'!H24))</f>
        <v/>
      </c>
      <c r="E26" s="113" t="str">
        <f>IF(D26="",(""),('LQ Parciales'!I24/1000))</f>
        <v/>
      </c>
      <c r="F26" s="105" t="str">
        <f>IF(D26="",(""),('LQ Parciales'!F24/(VLOOKUP(B26,Cotización!$A$3:B147,2,FALSE))))</f>
        <v/>
      </c>
      <c r="G26" s="113" t="str">
        <f t="shared" si="0"/>
        <v/>
      </c>
      <c r="H26" s="105" t="str">
        <f>IF(D26="",(""),('LQ Parciales'!N24/(VLOOKUP(B26,Cotización!$A$3:B147,2,FALSE))))</f>
        <v/>
      </c>
      <c r="I26" s="116" t="str">
        <f>IF(D26="",(""),('LQ Parciales'!Q24/(VLOOKUP(B26,Cotización!$A$3:B147,2,FALSE))))</f>
        <v/>
      </c>
      <c r="J26" s="105" t="str">
        <f>IF(D26="",(""),(('LQ Parciales'!S24+'LQ Parciales'!R24)/(VLOOKUP(B26,Cotización!$A$3:B147,2,FALSE))))</f>
        <v/>
      </c>
      <c r="K26" s="119" t="str">
        <f t="shared" si="2"/>
        <v/>
      </c>
      <c r="L26" s="40" t="str">
        <f>IF(B26="",(""),(IF(C26="COOPERATIVA AGROPECUARIA GENERAL NECOCHEA LTDA",(10%),('LQ Parciales'!G24/1000))))</f>
        <v/>
      </c>
    </row>
    <row r="27" spans="2:12" x14ac:dyDescent="0.3">
      <c r="B27" s="37" t="str">
        <f>IF('LQ Parciales'!H25="",(""),('LQ Parciales'!A25))</f>
        <v/>
      </c>
      <c r="C27" s="33" t="str">
        <f>IF('LQ Parciales'!H25="",(""),('LQ Parciales'!C25))</f>
        <v/>
      </c>
      <c r="D27" s="30" t="str">
        <f>IF('LQ Parciales'!H25="",(""),('LQ Parciales'!H25))</f>
        <v/>
      </c>
      <c r="E27" s="113" t="str">
        <f>IF(D27="",(""),('LQ Parciales'!I25/1000))</f>
        <v/>
      </c>
      <c r="F27" s="105" t="str">
        <f>IF(D27="",(""),('LQ Parciales'!F25/(VLOOKUP(B27,Cotización!$A$3:B148,2,FALSE))))</f>
        <v/>
      </c>
      <c r="G27" s="113" t="str">
        <f t="shared" si="0"/>
        <v/>
      </c>
      <c r="H27" s="105" t="str">
        <f>IF(D27="",(""),('LQ Parciales'!N25/(VLOOKUP(B27,Cotización!$A$3:B148,2,FALSE))))</f>
        <v/>
      </c>
      <c r="I27" s="116" t="str">
        <f>IF(D27="",(""),('LQ Parciales'!Q25/(VLOOKUP(B27,Cotización!$A$3:B148,2,FALSE))))</f>
        <v/>
      </c>
      <c r="J27" s="105" t="str">
        <f>IF(D27="",(""),(('LQ Parciales'!S25+'LQ Parciales'!R25)/(VLOOKUP(B27,Cotización!$A$3:B148,2,FALSE))))</f>
        <v/>
      </c>
      <c r="K27" s="119" t="str">
        <f t="shared" si="2"/>
        <v/>
      </c>
      <c r="L27" s="40" t="str">
        <f>IF(B27="",(""),(IF(C27="COOPERATIVA AGROPECUARIA GENERAL NECOCHEA LTDA",(10%),('LQ Parciales'!G25/1000))))</f>
        <v/>
      </c>
    </row>
    <row r="28" spans="2:12" x14ac:dyDescent="0.3">
      <c r="B28" s="37" t="str">
        <f>IF('LQ Parciales'!H26="",(""),('LQ Parciales'!A26))</f>
        <v/>
      </c>
      <c r="C28" s="33" t="str">
        <f>IF('LQ Parciales'!H26="",(""),('LQ Parciales'!C26))</f>
        <v/>
      </c>
      <c r="D28" s="30" t="str">
        <f>IF('LQ Parciales'!H26="",(""),('LQ Parciales'!H26))</f>
        <v/>
      </c>
      <c r="E28" s="113" t="str">
        <f>IF(D28="",(""),('LQ Parciales'!I26/1000))</f>
        <v/>
      </c>
      <c r="F28" s="105" t="str">
        <f>IF(D28="",(""),('LQ Parciales'!F26/(VLOOKUP(B28,Cotización!$A$3:B149,2,FALSE))))</f>
        <v/>
      </c>
      <c r="G28" s="113" t="str">
        <f t="shared" si="0"/>
        <v/>
      </c>
      <c r="H28" s="105" t="str">
        <f>IF(D28="",(""),('LQ Parciales'!N26/(VLOOKUP(B28,Cotización!$A$3:B149,2,FALSE))))</f>
        <v/>
      </c>
      <c r="I28" s="116" t="str">
        <f>IF(D28="",(""),('LQ Parciales'!Q26/(VLOOKUP(B28,Cotización!$A$3:B149,2,FALSE))))</f>
        <v/>
      </c>
      <c r="J28" s="105" t="str">
        <f>IF(D28="",(""),(('LQ Parciales'!S26+'LQ Parciales'!R26)/(VLOOKUP(B28,Cotización!$A$3:B149,2,FALSE))))</f>
        <v/>
      </c>
      <c r="K28" s="119" t="str">
        <f t="shared" si="2"/>
        <v/>
      </c>
      <c r="L28" s="40" t="str">
        <f>IF(B28="",(""),(IF(C28="COOPERATIVA AGROPECUARIA GENERAL NECOCHEA LTDA",(10%),('LQ Parciales'!G26/1000))))</f>
        <v/>
      </c>
    </row>
    <row r="29" spans="2:12" x14ac:dyDescent="0.3">
      <c r="B29" s="37" t="str">
        <f>IF('LQ Parciales'!H27="",(""),('LQ Parciales'!A27))</f>
        <v/>
      </c>
      <c r="C29" s="33" t="str">
        <f>IF('LQ Parciales'!H27="",(""),('LQ Parciales'!C27))</f>
        <v/>
      </c>
      <c r="D29" s="30" t="str">
        <f>IF('LQ Parciales'!H27="",(""),('LQ Parciales'!H27))</f>
        <v/>
      </c>
      <c r="E29" s="113" t="str">
        <f>IF(D29="",(""),('LQ Parciales'!I27/1000))</f>
        <v/>
      </c>
      <c r="F29" s="105" t="str">
        <f>IF(D29="",(""),('LQ Parciales'!F27/(VLOOKUP(B29,Cotización!$A$3:B150,2,FALSE))))</f>
        <v/>
      </c>
      <c r="G29" s="113" t="str">
        <f t="shared" si="0"/>
        <v/>
      </c>
      <c r="H29" s="105" t="str">
        <f>IF(D29="",(""),('LQ Parciales'!N27/(VLOOKUP(B29,Cotización!$A$3:B150,2,FALSE))))</f>
        <v/>
      </c>
      <c r="I29" s="116" t="str">
        <f>IF(D29="",(""),('LQ Parciales'!Q27/(VLOOKUP(B29,Cotización!$A$3:B150,2,FALSE))))</f>
        <v/>
      </c>
      <c r="J29" s="105" t="str">
        <f>IF(D29="",(""),(('LQ Parciales'!S27+'LQ Parciales'!R27)/(VLOOKUP(B29,Cotización!$A$3:B150,2,FALSE))))</f>
        <v/>
      </c>
      <c r="K29" s="119" t="str">
        <f t="shared" si="2"/>
        <v/>
      </c>
      <c r="L29" s="40" t="str">
        <f>IF(B29="",(""),(IF(C29="COOPERATIVA AGROPECUARIA GENERAL NECOCHEA LTDA",(10%),('LQ Parciales'!G27/1000))))</f>
        <v/>
      </c>
    </row>
    <row r="30" spans="2:12" x14ac:dyDescent="0.3">
      <c r="B30" s="37" t="str">
        <f>IF('LQ Parciales'!H28="",(""),('LQ Parciales'!A28))</f>
        <v/>
      </c>
      <c r="C30" s="33" t="str">
        <f>IF('LQ Parciales'!H28="",(""),('LQ Parciales'!C28))</f>
        <v/>
      </c>
      <c r="D30" s="30" t="str">
        <f>IF('LQ Parciales'!H28="",(""),('LQ Parciales'!H28))</f>
        <v/>
      </c>
      <c r="E30" s="113" t="str">
        <f>IF(D30="",(""),('LQ Parciales'!I28/1000))</f>
        <v/>
      </c>
      <c r="F30" s="105" t="str">
        <f>IF(D30="",(""),('LQ Parciales'!F28/(VLOOKUP(B30,Cotización!$A$3:B151,2,FALSE))))</f>
        <v/>
      </c>
      <c r="G30" s="113" t="str">
        <f t="shared" si="0"/>
        <v/>
      </c>
      <c r="H30" s="105" t="str">
        <f>IF(D30="",(""),('LQ Parciales'!N28/(VLOOKUP(B30,Cotización!$A$3:B151,2,FALSE))))</f>
        <v/>
      </c>
      <c r="I30" s="116" t="str">
        <f>IF(D30="",(""),('LQ Parciales'!Q28/(VLOOKUP(B30,Cotización!$A$3:B151,2,FALSE))))</f>
        <v/>
      </c>
      <c r="J30" s="105" t="str">
        <f>IF(D30="",(""),(('LQ Parciales'!S28+'LQ Parciales'!R28)/(VLOOKUP(B30,Cotización!$A$3:B151,2,FALSE))))</f>
        <v/>
      </c>
      <c r="K30" s="119" t="str">
        <f t="shared" si="2"/>
        <v/>
      </c>
      <c r="L30" s="40" t="str">
        <f>IF(B30="",(""),(IF(C30="COOPERATIVA AGROPECUARIA GENERAL NECOCHEA LTDA",(10%),('LQ Parciales'!G28/1000))))</f>
        <v/>
      </c>
    </row>
    <row r="31" spans="2:12" x14ac:dyDescent="0.3">
      <c r="B31" s="37" t="str">
        <f>IF('LQ Parciales'!H29="",(""),('LQ Parciales'!A29))</f>
        <v/>
      </c>
      <c r="C31" s="34" t="str">
        <f>IF('LQ Parciales'!H29="",(""),('LQ Parciales'!C29))</f>
        <v/>
      </c>
      <c r="D31" s="30" t="str">
        <f>IF('LQ Parciales'!H29="",(""),('LQ Parciales'!H29))</f>
        <v/>
      </c>
      <c r="E31" s="114" t="str">
        <f>IF(D31="",(""),('LQ Parciales'!I29/1000))</f>
        <v/>
      </c>
      <c r="F31" s="105" t="str">
        <f>IF(D31="",(""),('LQ Parciales'!F29/(VLOOKUP(B31,Cotización!$A$3:B152,2,FALSE))))</f>
        <v/>
      </c>
      <c r="G31" s="114" t="str">
        <f t="shared" si="0"/>
        <v/>
      </c>
      <c r="H31" s="105" t="str">
        <f>IF(D31="",(""),('LQ Parciales'!N29/(VLOOKUP(B31,Cotización!$A$3:B152,2,FALSE))))</f>
        <v/>
      </c>
      <c r="I31" s="117" t="str">
        <f>IF(D31="",(""),('LQ Parciales'!Q29/(VLOOKUP(B31,Cotización!$A$3:B152,2,FALSE))))</f>
        <v/>
      </c>
      <c r="J31" s="105" t="str">
        <f>IF(D31="",(""),(('LQ Parciales'!S29+'LQ Parciales'!R29)/(VLOOKUP(B31,Cotización!$A$3:B152,2,FALSE))))</f>
        <v/>
      </c>
      <c r="K31" s="120" t="str">
        <f t="shared" si="2"/>
        <v/>
      </c>
      <c r="L31" s="40" t="str">
        <f>IF(B31="",(""),(IF(C31="COOPERATIVA AGROPECUARIA GENERAL NECOCHEA LTDA",(10%),('LQ Parciales'!G29/1000))))</f>
        <v/>
      </c>
    </row>
    <row r="32" spans="2:12" ht="1.8" customHeight="1" x14ac:dyDescent="0.3">
      <c r="B32" s="38" t="str">
        <f>IF('LQ Parciales'!H30="",(""),('LQ Parciales'!A30))</f>
        <v/>
      </c>
      <c r="C32" s="31" t="str">
        <f>IF('LQ Parciales'!H30="",(""),('LQ Parciales'!C30))</f>
        <v/>
      </c>
      <c r="D32" s="31" t="str">
        <f>IF('LQ Parciales'!H30="",(""),('LQ Parciales'!H30))</f>
        <v/>
      </c>
      <c r="E32" s="108" t="str">
        <f>IF(D32="",(""),('LQ Parciales'!I30/1000))</f>
        <v/>
      </c>
      <c r="F32" s="109" t="str">
        <f>IF(D32="",(""),('LQ Parciales'!F30/(VLOOKUP(B32,Cotización!$A$3:B153,2,FALSE))))</f>
        <v/>
      </c>
      <c r="G32" s="108" t="str">
        <f t="shared" si="0"/>
        <v/>
      </c>
      <c r="H32" s="109" t="str">
        <f>IF(D32="",(""),('LQ Parciales'!N30/(VLOOKUP(B32,Cotización!$A$3:B153,2,FALSE))))</f>
        <v/>
      </c>
      <c r="I32" s="109" t="str">
        <f>IF(D32="",(""),('LQ Parciales'!Q30/(VLOOKUP(B32,Cotización!$A$3:B153,2,FALSE))))</f>
        <v/>
      </c>
      <c r="J32" s="109" t="str">
        <f>IF(D32="",(""),(('LQ Parciales'!S30+'LQ Parciales'!R30)/(VLOOKUP(B32,Cotización!$A$3:B153,2,FALSE))))</f>
        <v/>
      </c>
      <c r="K32" s="110" t="str">
        <f t="shared" si="2"/>
        <v/>
      </c>
      <c r="L32" s="111" t="str">
        <f>IF(B32="",(""),(IF(C32="COOPERATIVA AGROPECUARIA GENERAL NECOCHEA LTDA",(10%),('LQ Parciales'!G30/1000))))</f>
        <v/>
      </c>
    </row>
  </sheetData>
  <mergeCells count="1">
    <mergeCell ref="B2:L2"/>
  </mergeCells>
  <conditionalFormatting sqref="K5:K32">
    <cfRule type="dataBar" priority="2">
      <dataBar>
        <cfvo type="min"/>
        <cfvo type="max"/>
        <color rgb="FF63C384"/>
      </dataBar>
      <extLst>
        <ext xmlns:x14="http://schemas.microsoft.com/office/spreadsheetml/2009/9/main" uri="{B025F937-C7B1-47D3-B67F-A62EFF666E3E}">
          <x14:id>{8208BD2F-B0B6-48AF-BC42-444AF9679175}</x14:id>
        </ext>
      </extLst>
    </cfRule>
  </conditionalFormatting>
  <conditionalFormatting sqref="K5:K32">
    <cfRule type="dataBar" priority="1">
      <dataBar>
        <cfvo type="min"/>
        <cfvo type="max"/>
        <color rgb="FF63C384"/>
      </dataBar>
      <extLst>
        <ext xmlns:x14="http://schemas.microsoft.com/office/spreadsheetml/2009/9/main" uri="{B025F937-C7B1-47D3-B67F-A62EFF666E3E}">
          <x14:id>{407B7460-FA54-4DFC-9E1C-80601B30D57A}</x14:id>
        </ext>
      </extLst>
    </cfRule>
  </conditionalFormatting>
  <pageMargins left="0.11811023622047245" right="0.11811023622047245" top="0.74803149606299213" bottom="0.74803149606299213" header="0.31496062992125984" footer="0.31496062992125984"/>
  <pageSetup paperSize="9" orientation="landscape" r:id="rId1"/>
  <extLst>
    <ext xmlns:x14="http://schemas.microsoft.com/office/spreadsheetml/2009/9/main" uri="{78C0D931-6437-407d-A8EE-F0AAD7539E65}">
      <x14:conditionalFormattings>
        <x14:conditionalFormatting xmlns:xm="http://schemas.microsoft.com/office/excel/2006/main">
          <x14:cfRule type="dataBar" id="{8208BD2F-B0B6-48AF-BC42-444AF9679175}">
            <x14:dataBar minLength="0" maxLength="100" border="1" negativeBarBorderColorSameAsPositive="0">
              <x14:cfvo type="autoMin"/>
              <x14:cfvo type="autoMax"/>
              <x14:borderColor rgb="FF63C384"/>
              <x14:negativeFillColor rgb="FFFF0000"/>
              <x14:negativeBorderColor rgb="FFFF0000"/>
              <x14:axisColor rgb="FF000000"/>
            </x14:dataBar>
          </x14:cfRule>
          <xm:sqref>K5:K32</xm:sqref>
        </x14:conditionalFormatting>
        <x14:conditionalFormatting xmlns:xm="http://schemas.microsoft.com/office/excel/2006/main">
          <x14:cfRule type="dataBar" id="{407B7460-FA54-4DFC-9E1C-80601B30D57A}">
            <x14:dataBar minLength="0" maxLength="100" border="1" negativeBarBorderColorSameAsPositive="0">
              <x14:cfvo type="autoMin"/>
              <x14:cfvo type="autoMax"/>
              <x14:borderColor rgb="FF63C384"/>
              <x14:negativeFillColor rgb="FFFF0000"/>
              <x14:negativeBorderColor rgb="FFFF0000"/>
              <x14:axisColor rgb="FF000000"/>
            </x14:dataBar>
          </x14:cfRule>
          <xm:sqref>K5:K32</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5E54A-7C11-4C9B-B84B-802C278E1E64}">
  <sheetPr codeName="Hoja9"/>
  <dimension ref="A1:N49"/>
  <sheetViews>
    <sheetView zoomScale="90" zoomScaleNormal="90" workbookViewId="0">
      <selection activeCell="F1" sqref="F1:I1"/>
    </sheetView>
  </sheetViews>
  <sheetFormatPr baseColWidth="10" defaultRowHeight="14.4" x14ac:dyDescent="0.3"/>
  <cols>
    <col min="1" max="1" width="20.33203125" customWidth="1"/>
    <col min="2" max="2" width="12.77734375" customWidth="1"/>
    <col min="3" max="3" width="18.5546875" customWidth="1"/>
    <col min="4" max="4" width="3" customWidth="1"/>
    <col min="5" max="5" width="14.44140625" customWidth="1"/>
    <col min="6" max="6" width="8.21875" customWidth="1"/>
    <col min="7" max="7" width="6.44140625" customWidth="1"/>
    <col min="8" max="8" width="14" customWidth="1"/>
    <col min="9" max="9" width="4" customWidth="1"/>
    <col min="10" max="10" width="0.77734375" customWidth="1"/>
    <col min="11" max="11" width="1.33203125" style="58" customWidth="1"/>
    <col min="12" max="14" width="11.5546875" style="58"/>
  </cols>
  <sheetData>
    <row r="1" spans="1:9" ht="24" customHeight="1" thickTop="1" thickBot="1" x14ac:dyDescent="0.55000000000000004">
      <c r="A1" s="74" t="s">
        <v>45</v>
      </c>
      <c r="B1" s="74"/>
      <c r="C1" s="74"/>
      <c r="D1" s="74"/>
      <c r="E1" s="74"/>
      <c r="F1" s="75" t="s">
        <v>53</v>
      </c>
      <c r="G1" s="76"/>
      <c r="H1" s="76"/>
      <c r="I1" s="77"/>
    </row>
    <row r="2" spans="1:9" ht="193.2" customHeight="1" thickTop="1" x14ac:dyDescent="0.4">
      <c r="A2" s="78"/>
      <c r="B2" s="78"/>
      <c r="C2" s="78"/>
      <c r="D2" s="78"/>
      <c r="E2" s="78"/>
      <c r="F2" s="78"/>
      <c r="G2" s="78"/>
      <c r="H2" s="78"/>
      <c r="I2" s="78"/>
    </row>
    <row r="3" spans="1:9" ht="14.4" customHeight="1" x14ac:dyDescent="0.3">
      <c r="A3" s="82" t="s">
        <v>50</v>
      </c>
      <c r="B3" s="83"/>
      <c r="C3" s="84"/>
      <c r="D3" s="43"/>
      <c r="E3" s="82" t="s">
        <v>52</v>
      </c>
      <c r="F3" s="83"/>
      <c r="G3" s="83"/>
      <c r="H3" s="83"/>
      <c r="I3" s="84"/>
    </row>
    <row r="4" spans="1:9" ht="4.8" customHeight="1" x14ac:dyDescent="0.3">
      <c r="A4" s="85"/>
      <c r="B4" s="86"/>
      <c r="C4" s="87"/>
      <c r="E4" s="85"/>
      <c r="F4" s="86"/>
      <c r="G4" s="86"/>
      <c r="H4" s="86"/>
      <c r="I4" s="87"/>
    </row>
    <row r="5" spans="1:9" x14ac:dyDescent="0.3">
      <c r="A5" s="48" t="s">
        <v>49</v>
      </c>
      <c r="B5" s="48" t="s">
        <v>47</v>
      </c>
      <c r="C5" s="47" t="s">
        <v>48</v>
      </c>
      <c r="D5" s="43"/>
      <c r="E5" s="48" t="s">
        <v>4</v>
      </c>
      <c r="F5" s="88" t="s">
        <v>47</v>
      </c>
      <c r="G5" s="70"/>
      <c r="H5" s="70" t="s">
        <v>48</v>
      </c>
      <c r="I5" s="71"/>
    </row>
    <row r="6" spans="1:9" x14ac:dyDescent="0.3">
      <c r="A6" s="54" t="str">
        <f>'Para Gráficos'!D2</f>
        <v/>
      </c>
      <c r="B6" s="51">
        <f>'Para Gráficos'!G2</f>
        <v>0</v>
      </c>
      <c r="C6" s="52">
        <f>'Para Gráficos'!F2</f>
        <v>0</v>
      </c>
      <c r="D6" s="43"/>
      <c r="E6" s="54" t="str">
        <f>'Para Gráficos'!A2</f>
        <v/>
      </c>
      <c r="F6" s="89">
        <f>'Para Gráficos'!B2</f>
        <v>0</v>
      </c>
      <c r="G6" s="90"/>
      <c r="H6" s="72">
        <f>'Para Gráficos'!C2</f>
        <v>0</v>
      </c>
      <c r="I6" s="73"/>
    </row>
    <row r="7" spans="1:9" x14ac:dyDescent="0.3">
      <c r="A7" s="54" t="str">
        <f>'Para Gráficos'!D3</f>
        <v/>
      </c>
      <c r="B7" s="51">
        <f>'Para Gráficos'!G3</f>
        <v>0</v>
      </c>
      <c r="C7" s="52">
        <f>'Para Gráficos'!F3</f>
        <v>0</v>
      </c>
      <c r="D7" s="43"/>
      <c r="E7" s="54" t="str">
        <f>'Para Gráficos'!A3</f>
        <v/>
      </c>
      <c r="F7" s="89">
        <f>'Para Gráficos'!B3</f>
        <v>0</v>
      </c>
      <c r="G7" s="90"/>
      <c r="H7" s="72">
        <f>'Para Gráficos'!C3</f>
        <v>0</v>
      </c>
      <c r="I7" s="73"/>
    </row>
    <row r="8" spans="1:9" x14ac:dyDescent="0.3">
      <c r="A8" s="54" t="str">
        <f>'Para Gráficos'!D4</f>
        <v/>
      </c>
      <c r="B8" s="51">
        <f>'Para Gráficos'!G4</f>
        <v>0</v>
      </c>
      <c r="C8" s="52">
        <f>'Para Gráficos'!F4</f>
        <v>0</v>
      </c>
      <c r="D8" s="43"/>
      <c r="E8" s="54" t="str">
        <f>'Para Gráficos'!A4</f>
        <v/>
      </c>
      <c r="F8" s="89">
        <f>'Para Gráficos'!B4</f>
        <v>0</v>
      </c>
      <c r="G8" s="90"/>
      <c r="H8" s="72">
        <f>'Para Gráficos'!C4</f>
        <v>0</v>
      </c>
      <c r="I8" s="73"/>
    </row>
    <row r="9" spans="1:9" x14ac:dyDescent="0.3">
      <c r="A9" s="54" t="str">
        <f>'Para Gráficos'!D5</f>
        <v/>
      </c>
      <c r="B9" s="51">
        <f>'Para Gráficos'!G5</f>
        <v>0</v>
      </c>
      <c r="C9" s="52">
        <f>'Para Gráficos'!F5</f>
        <v>0</v>
      </c>
      <c r="D9" s="43"/>
      <c r="E9" s="54" t="str">
        <f>'Para Gráficos'!A5</f>
        <v/>
      </c>
      <c r="F9" s="89">
        <f>'Para Gráficos'!B5</f>
        <v>0</v>
      </c>
      <c r="G9" s="90"/>
      <c r="H9" s="72">
        <f>'Para Gráficos'!C5</f>
        <v>0</v>
      </c>
      <c r="I9" s="73"/>
    </row>
    <row r="10" spans="1:9" x14ac:dyDescent="0.3">
      <c r="A10" s="55" t="str">
        <f>'Para Gráficos'!D6</f>
        <v/>
      </c>
      <c r="B10" s="56">
        <v>0</v>
      </c>
      <c r="C10" s="53">
        <f>'Para Gráficos'!F6</f>
        <v>0</v>
      </c>
      <c r="D10" s="43"/>
      <c r="E10" s="55" t="str">
        <f>'Para Gráficos'!A6</f>
        <v/>
      </c>
      <c r="F10" s="93">
        <f>'Para Gráficos'!B6</f>
        <v>0</v>
      </c>
      <c r="G10" s="94"/>
      <c r="H10" s="97">
        <f>'Para Gráficos'!C6</f>
        <v>0</v>
      </c>
      <c r="I10" s="98"/>
    </row>
    <row r="11" spans="1:9" x14ac:dyDescent="0.3">
      <c r="A11" s="43"/>
      <c r="B11" s="50">
        <f>SUM(B6:B10)</f>
        <v>0</v>
      </c>
      <c r="C11" s="57">
        <f>ROUND(SUM(C6:C10),2)</f>
        <v>0</v>
      </c>
      <c r="D11" s="43"/>
      <c r="E11" s="43"/>
      <c r="F11" s="95">
        <f>SUM(F6:F10)</f>
        <v>0</v>
      </c>
      <c r="G11" s="96"/>
      <c r="H11" s="91">
        <f>SUM(H6:I10)</f>
        <v>0</v>
      </c>
      <c r="I11" s="92"/>
    </row>
    <row r="12" spans="1:9" ht="4.8" customHeight="1" x14ac:dyDescent="0.3">
      <c r="A12" s="43"/>
      <c r="B12" s="43"/>
      <c r="C12" s="43"/>
      <c r="D12" s="43"/>
      <c r="E12" s="43"/>
      <c r="F12" s="43"/>
      <c r="G12" s="43"/>
      <c r="H12" s="43"/>
      <c r="I12" s="43"/>
    </row>
    <row r="13" spans="1:9" ht="2.4" customHeight="1" x14ac:dyDescent="0.3">
      <c r="A13" s="43"/>
      <c r="B13" s="43"/>
      <c r="C13" s="43"/>
      <c r="D13" s="43"/>
      <c r="E13" s="43"/>
      <c r="F13" s="43"/>
      <c r="G13" s="49"/>
      <c r="H13" s="49"/>
      <c r="I13" s="43"/>
    </row>
    <row r="14" spans="1:9" ht="2.4" customHeight="1" x14ac:dyDescent="0.3">
      <c r="A14" s="43"/>
      <c r="B14" s="43"/>
      <c r="C14" s="43"/>
      <c r="D14" s="43"/>
      <c r="E14" s="43"/>
      <c r="F14" s="43"/>
      <c r="G14" s="49"/>
      <c r="H14" s="49"/>
      <c r="I14" s="43"/>
    </row>
    <row r="15" spans="1:9" x14ac:dyDescent="0.3">
      <c r="A15" s="43"/>
      <c r="B15" s="43"/>
      <c r="C15" s="43"/>
      <c r="D15" s="43"/>
      <c r="E15" s="43"/>
      <c r="F15" s="43"/>
      <c r="G15" s="49"/>
      <c r="H15" s="49"/>
      <c r="I15" s="43"/>
    </row>
    <row r="16" spans="1:9" x14ac:dyDescent="0.3">
      <c r="A16" s="43"/>
      <c r="B16" s="43"/>
      <c r="C16" s="43"/>
      <c r="D16" s="43"/>
      <c r="E16" s="43"/>
      <c r="F16" s="43"/>
      <c r="G16" s="46">
        <f>MAX(B6:B10)</f>
        <v>0</v>
      </c>
      <c r="H16" s="59" t="str">
        <f>INDEX(A6:C11,MATCH(G16,(B6:B10),(0)),(1))</f>
        <v/>
      </c>
      <c r="I16" s="43"/>
    </row>
    <row r="17" spans="1:9" ht="12.6" customHeight="1" x14ac:dyDescent="0.3">
      <c r="A17" s="43"/>
      <c r="B17" s="43"/>
      <c r="C17" s="43"/>
      <c r="D17" s="43"/>
      <c r="E17" s="43"/>
      <c r="F17" s="43"/>
      <c r="G17" s="46">
        <f>MAX(C6:C10)</f>
        <v>0</v>
      </c>
      <c r="H17" s="59" t="str">
        <f>INDEX(A6:C11,MATCH(G17,(C6:C10),(0)),(1))</f>
        <v/>
      </c>
      <c r="I17" s="43"/>
    </row>
    <row r="18" spans="1:9" x14ac:dyDescent="0.3">
      <c r="A18" s="43"/>
      <c r="B18" s="43"/>
      <c r="C18" s="43"/>
      <c r="D18" s="43"/>
      <c r="E18" s="43"/>
      <c r="F18" s="43"/>
      <c r="G18" s="44" t="s">
        <v>44</v>
      </c>
      <c r="H18" s="44" t="s">
        <v>43</v>
      </c>
      <c r="I18" s="43"/>
    </row>
    <row r="19" spans="1:9" x14ac:dyDescent="0.3">
      <c r="A19" s="43"/>
      <c r="B19" s="43"/>
      <c r="C19" s="43"/>
      <c r="D19" s="43"/>
      <c r="E19" s="43"/>
      <c r="F19" s="43"/>
      <c r="G19" s="44" t="e">
        <f>ROUND(G17/C11*100,2)</f>
        <v>#DIV/0!</v>
      </c>
      <c r="H19" s="45" t="e">
        <f>ROUND(G16/B11*100,2)</f>
        <v>#DIV/0!</v>
      </c>
      <c r="I19" s="43"/>
    </row>
    <row r="20" spans="1:9" x14ac:dyDescent="0.3">
      <c r="A20" s="43"/>
      <c r="B20" s="43"/>
      <c r="C20" s="43"/>
      <c r="D20" s="43"/>
      <c r="E20" s="43"/>
      <c r="F20" s="43"/>
      <c r="G20" s="64" t="e">
        <f>"El Acopio destacado y con mayor valor en toneladas vendidas fue " &amp; H16 &amp; " el cual participó en un " &amp; H19 &amp; "% de las toneladas totales"</f>
        <v>#DIV/0!</v>
      </c>
      <c r="H20" s="65"/>
      <c r="I20" s="43"/>
    </row>
    <row r="21" spans="1:9" ht="14.4" customHeight="1" x14ac:dyDescent="0.3">
      <c r="A21" s="43"/>
      <c r="B21" s="43"/>
      <c r="C21" s="43"/>
      <c r="D21" s="43"/>
      <c r="E21" s="43"/>
      <c r="F21" s="43"/>
      <c r="G21" s="66"/>
      <c r="H21" s="67"/>
      <c r="I21" s="43"/>
    </row>
    <row r="22" spans="1:9" ht="14.4" customHeight="1" x14ac:dyDescent="0.3">
      <c r="A22" s="43"/>
      <c r="B22" s="43"/>
      <c r="C22" s="43"/>
      <c r="D22" s="43"/>
      <c r="E22" s="43"/>
      <c r="F22" s="43"/>
      <c r="G22" s="66"/>
      <c r="H22" s="67"/>
      <c r="I22" s="43"/>
    </row>
    <row r="23" spans="1:9" ht="14.4" customHeight="1" x14ac:dyDescent="0.3">
      <c r="A23" s="43"/>
      <c r="B23" s="43"/>
      <c r="C23" s="43"/>
      <c r="D23" s="43"/>
      <c r="E23" s="43"/>
      <c r="F23" s="43"/>
      <c r="G23" s="66"/>
      <c r="H23" s="67"/>
      <c r="I23" s="43"/>
    </row>
    <row r="24" spans="1:9" ht="14.4" customHeight="1" x14ac:dyDescent="0.3">
      <c r="A24" s="43"/>
      <c r="B24" s="43"/>
      <c r="C24" s="43"/>
      <c r="D24" s="43"/>
      <c r="E24" s="43"/>
      <c r="F24" s="43"/>
      <c r="G24" s="66"/>
      <c r="H24" s="67"/>
      <c r="I24" s="43"/>
    </row>
    <row r="25" spans="1:9" ht="14.4" customHeight="1" x14ac:dyDescent="0.3">
      <c r="A25" s="43"/>
      <c r="B25" s="43"/>
      <c r="C25" s="43"/>
      <c r="D25" s="43"/>
      <c r="E25" s="43"/>
      <c r="F25" s="43"/>
      <c r="G25" s="66"/>
      <c r="H25" s="67"/>
      <c r="I25" s="43"/>
    </row>
    <row r="26" spans="1:9" ht="14.4" customHeight="1" x14ac:dyDescent="0.3">
      <c r="A26" s="43"/>
      <c r="B26" s="43"/>
      <c r="C26" s="43"/>
      <c r="D26" s="43"/>
      <c r="E26" s="43"/>
      <c r="F26" s="43"/>
      <c r="G26" s="66"/>
      <c r="H26" s="67"/>
      <c r="I26" s="43"/>
    </row>
    <row r="27" spans="1:9" ht="14.4" customHeight="1" x14ac:dyDescent="0.3">
      <c r="A27" s="43"/>
      <c r="B27" s="43"/>
      <c r="C27" s="43"/>
      <c r="D27" s="43"/>
      <c r="E27" s="43"/>
      <c r="F27" s="43"/>
      <c r="G27" s="66"/>
      <c r="H27" s="67"/>
      <c r="I27" s="43"/>
    </row>
    <row r="28" spans="1:9" ht="14.4" customHeight="1" x14ac:dyDescent="0.3">
      <c r="A28" s="43"/>
      <c r="B28" s="43"/>
      <c r="C28" s="43"/>
      <c r="D28" s="43"/>
      <c r="E28" s="43"/>
      <c r="F28" s="43"/>
      <c r="G28" s="66"/>
      <c r="H28" s="67"/>
      <c r="I28" s="43"/>
    </row>
    <row r="29" spans="1:9" ht="11.4" customHeight="1" x14ac:dyDescent="0.3">
      <c r="A29" s="43"/>
      <c r="B29" s="43"/>
      <c r="C29" s="43"/>
      <c r="D29" s="43"/>
      <c r="E29" s="43"/>
      <c r="F29" s="43"/>
      <c r="G29" s="66"/>
      <c r="H29" s="67"/>
      <c r="I29" s="43"/>
    </row>
    <row r="30" spans="1:9" ht="4.2" customHeight="1" x14ac:dyDescent="0.3">
      <c r="A30" s="43"/>
      <c r="B30" s="43"/>
      <c r="C30" s="43"/>
      <c r="D30" s="43"/>
      <c r="E30" s="43"/>
      <c r="F30" s="43"/>
      <c r="G30" s="68"/>
      <c r="H30" s="69"/>
      <c r="I30" s="43"/>
    </row>
    <row r="31" spans="1:9" ht="14.4" customHeight="1" x14ac:dyDescent="0.3">
      <c r="A31" s="43"/>
      <c r="B31" s="43"/>
      <c r="C31" s="43"/>
      <c r="D31" s="43"/>
      <c r="E31" s="43"/>
      <c r="F31" s="43"/>
      <c r="G31" s="64" t="e">
        <f>IF(H16=H17,("En el caso de los ingresos monetarios, fue el mismo Acopio el que tuvo mayor trascendencia, es decir " &amp; H17 &amp; " que participó en un " &amp; G19 &amp; "% de las ventas totales."),("En el caso de las ventas, el Acopio que produjo mayores ingresos, fue " &amp; H17 &amp; " que participó en un " &amp; G19 &amp; "% de los ingresos totales."))</f>
        <v>#DIV/0!</v>
      </c>
      <c r="H31" s="65"/>
      <c r="I31" s="43"/>
    </row>
    <row r="32" spans="1:9" ht="14.4" customHeight="1" x14ac:dyDescent="0.3">
      <c r="A32" s="43"/>
      <c r="B32" s="43"/>
      <c r="C32" s="43"/>
      <c r="D32" s="43"/>
      <c r="E32" s="43"/>
      <c r="F32" s="43"/>
      <c r="G32" s="66"/>
      <c r="H32" s="67"/>
      <c r="I32" s="43"/>
    </row>
    <row r="33" spans="1:9" ht="14.4" customHeight="1" x14ac:dyDescent="0.3">
      <c r="A33" s="43"/>
      <c r="B33" s="43"/>
      <c r="C33" s="43"/>
      <c r="D33" s="43"/>
      <c r="E33" s="43"/>
      <c r="F33" s="43"/>
      <c r="G33" s="66"/>
      <c r="H33" s="67"/>
      <c r="I33" s="43"/>
    </row>
    <row r="34" spans="1:9" ht="14.4" customHeight="1" x14ac:dyDescent="0.3">
      <c r="A34" s="43"/>
      <c r="B34" s="43"/>
      <c r="C34" s="43"/>
      <c r="D34" s="43"/>
      <c r="E34" s="43"/>
      <c r="F34" s="43"/>
      <c r="G34" s="66"/>
      <c r="H34" s="67"/>
      <c r="I34" s="43"/>
    </row>
    <row r="35" spans="1:9" ht="14.4" customHeight="1" x14ac:dyDescent="0.3">
      <c r="A35" s="43"/>
      <c r="B35" s="43"/>
      <c r="C35" s="43"/>
      <c r="D35" s="43"/>
      <c r="E35" s="43"/>
      <c r="F35" s="43"/>
      <c r="G35" s="66"/>
      <c r="H35" s="67"/>
      <c r="I35" s="43"/>
    </row>
    <row r="36" spans="1:9" ht="14.4" customHeight="1" x14ac:dyDescent="0.3">
      <c r="A36" s="43"/>
      <c r="B36" s="43"/>
      <c r="C36" s="43"/>
      <c r="D36" s="43"/>
      <c r="E36" s="43"/>
      <c r="F36" s="43"/>
      <c r="G36" s="66"/>
      <c r="H36" s="67"/>
      <c r="I36" s="43"/>
    </row>
    <row r="37" spans="1:9" ht="14.4" customHeight="1" x14ac:dyDescent="0.3">
      <c r="A37" s="43"/>
      <c r="B37" s="43"/>
      <c r="C37" s="43"/>
      <c r="D37" s="43"/>
      <c r="E37" s="43"/>
      <c r="F37" s="43"/>
      <c r="G37" s="66"/>
      <c r="H37" s="67"/>
      <c r="I37" s="43"/>
    </row>
    <row r="38" spans="1:9" ht="14.4" customHeight="1" x14ac:dyDescent="0.3">
      <c r="A38" s="43"/>
      <c r="B38" s="43"/>
      <c r="C38" s="43"/>
      <c r="D38" s="43"/>
      <c r="E38" s="43"/>
      <c r="F38" s="43"/>
      <c r="G38" s="66"/>
      <c r="H38" s="67"/>
      <c r="I38" s="43"/>
    </row>
    <row r="39" spans="1:9" ht="13.8" customHeight="1" x14ac:dyDescent="0.3">
      <c r="A39" s="43"/>
      <c r="B39" s="43"/>
      <c r="C39" s="43"/>
      <c r="D39" s="43"/>
      <c r="E39" s="43"/>
      <c r="F39" s="43"/>
      <c r="G39" s="66"/>
      <c r="H39" s="67"/>
      <c r="I39" s="43"/>
    </row>
    <row r="40" spans="1:9" ht="14.4" customHeight="1" x14ac:dyDescent="0.3">
      <c r="A40" s="43"/>
      <c r="B40" s="43"/>
      <c r="C40" s="43"/>
      <c r="D40" s="43"/>
      <c r="E40" s="43"/>
      <c r="F40" s="43"/>
      <c r="G40" s="66"/>
      <c r="H40" s="67"/>
      <c r="I40" s="43"/>
    </row>
    <row r="41" spans="1:9" ht="14.4" customHeight="1" x14ac:dyDescent="0.3">
      <c r="A41" s="43"/>
      <c r="B41" s="43"/>
      <c r="C41" s="43"/>
      <c r="D41" s="43"/>
      <c r="E41" s="43"/>
      <c r="F41" s="43"/>
      <c r="G41" s="66"/>
      <c r="H41" s="67"/>
      <c r="I41" s="43"/>
    </row>
    <row r="42" spans="1:9" x14ac:dyDescent="0.3">
      <c r="A42" s="43"/>
      <c r="B42" s="43"/>
      <c r="C42" s="43"/>
      <c r="D42" s="43"/>
      <c r="E42" s="43"/>
      <c r="F42" s="43"/>
      <c r="G42" s="68"/>
      <c r="H42" s="69"/>
      <c r="I42" s="43"/>
    </row>
    <row r="43" spans="1:9" x14ac:dyDescent="0.3">
      <c r="A43" s="43"/>
      <c r="B43" s="43"/>
      <c r="C43" s="43"/>
      <c r="D43" s="43"/>
      <c r="E43" s="43"/>
      <c r="F43" s="43"/>
      <c r="G43" s="43"/>
      <c r="H43" s="43"/>
      <c r="I43" s="43"/>
    </row>
    <row r="44" spans="1:9" ht="10.8" hidden="1" customHeight="1" x14ac:dyDescent="0.3">
      <c r="A44" s="43"/>
      <c r="B44" s="43"/>
      <c r="C44" s="43"/>
      <c r="D44" s="43"/>
      <c r="E44" s="43"/>
      <c r="F44" s="43"/>
      <c r="G44" s="43"/>
      <c r="H44" s="43"/>
      <c r="I44" s="43"/>
    </row>
    <row r="45" spans="1:9" ht="4.2" customHeight="1" x14ac:dyDescent="0.3">
      <c r="A45" s="43"/>
      <c r="B45" s="43"/>
      <c r="C45" s="43"/>
      <c r="D45" s="43"/>
      <c r="E45" s="43"/>
      <c r="F45" s="43"/>
      <c r="G45" s="43"/>
      <c r="H45" s="43"/>
      <c r="I45" s="43"/>
    </row>
    <row r="46" spans="1:9" x14ac:dyDescent="0.3">
      <c r="A46" s="64" t="str">
        <f>("Como resumen final, hubo liquidaciones por " &amp; B11 &amp; " tns. Y se reicibieron en concepto de las liquidaciones parciales un valor de " &amp; C11 &amp; " de dólares (convertido de la cotización del valor dolar de la fecha de cada LQ).
En el otro PDF adjunto, podés visualizar el detalle de las liquidaciones parciales del mes, con cálculos clave obtenidos en específico.")</f>
        <v>Como resumen final, hubo liquidaciones por 0 tns. Y se reicibieron en concepto de las liquidaciones parciales un valor de 0 de dólares (convertido de la cotización del valor dolar de la fecha de cada LQ).
En el otro PDF adjunto, podés visualizar el detalle de las liquidaciones parciales del mes, con cálculos clave obtenidos en específico.</v>
      </c>
      <c r="B46" s="79"/>
      <c r="C46" s="79"/>
      <c r="D46" s="79"/>
      <c r="E46" s="79"/>
      <c r="F46" s="79"/>
      <c r="G46" s="79"/>
      <c r="H46" s="65"/>
      <c r="I46" s="43"/>
    </row>
    <row r="47" spans="1:9" x14ac:dyDescent="0.3">
      <c r="A47" s="66"/>
      <c r="B47" s="80"/>
      <c r="C47" s="80"/>
      <c r="D47" s="80"/>
      <c r="E47" s="80"/>
      <c r="F47" s="80"/>
      <c r="G47" s="80"/>
      <c r="H47" s="67"/>
      <c r="I47" s="43"/>
    </row>
    <row r="48" spans="1:9" ht="34.200000000000003" customHeight="1" x14ac:dyDescent="0.3">
      <c r="A48" s="68"/>
      <c r="B48" s="81"/>
      <c r="C48" s="81"/>
      <c r="D48" s="81"/>
      <c r="E48" s="81"/>
      <c r="F48" s="81"/>
      <c r="G48" s="81"/>
      <c r="H48" s="69"/>
      <c r="I48" s="43"/>
    </row>
    <row r="49" spans="1:9" ht="4.8" customHeight="1" x14ac:dyDescent="0.3">
      <c r="A49" s="43"/>
      <c r="B49" s="43"/>
      <c r="C49" s="43"/>
      <c r="D49" s="43"/>
      <c r="E49" s="43"/>
      <c r="F49" s="43"/>
      <c r="G49" s="43"/>
      <c r="H49" s="43"/>
      <c r="I49" s="43"/>
    </row>
  </sheetData>
  <sheetProtection selectLockedCells="1" selectUnlockedCells="1"/>
  <mergeCells count="22">
    <mergeCell ref="A1:E1"/>
    <mergeCell ref="F1:I1"/>
    <mergeCell ref="A2:I2"/>
    <mergeCell ref="A46:H48"/>
    <mergeCell ref="A3:C4"/>
    <mergeCell ref="F5:G5"/>
    <mergeCell ref="F6:G6"/>
    <mergeCell ref="F7:G7"/>
    <mergeCell ref="H11:I11"/>
    <mergeCell ref="E3:I4"/>
    <mergeCell ref="F8:G8"/>
    <mergeCell ref="F9:G9"/>
    <mergeCell ref="F10:G10"/>
    <mergeCell ref="F11:G11"/>
    <mergeCell ref="H10:I10"/>
    <mergeCell ref="G20:H30"/>
    <mergeCell ref="G31:H42"/>
    <mergeCell ref="H5:I5"/>
    <mergeCell ref="H6:I6"/>
    <mergeCell ref="H7:I7"/>
    <mergeCell ref="H8:I8"/>
    <mergeCell ref="H9:I9"/>
  </mergeCells>
  <conditionalFormatting sqref="B6:B10">
    <cfRule type="dataBar" priority="7">
      <dataBar>
        <cfvo type="min"/>
        <cfvo type="max"/>
        <color rgb="FF63C384"/>
      </dataBar>
      <extLst>
        <ext xmlns:x14="http://schemas.microsoft.com/office/spreadsheetml/2009/9/main" uri="{B025F937-C7B1-47D3-B67F-A62EFF666E3E}">
          <x14:id>{EA88E145-1C61-48E5-98E1-51EF381D1F55}</x14:id>
        </ext>
      </extLst>
    </cfRule>
  </conditionalFormatting>
  <conditionalFormatting sqref="C6:C10">
    <cfRule type="dataBar" priority="3">
      <dataBar>
        <cfvo type="min"/>
        <cfvo type="max"/>
        <color rgb="FF63C384"/>
      </dataBar>
      <extLst>
        <ext xmlns:x14="http://schemas.microsoft.com/office/spreadsheetml/2009/9/main" uri="{B025F937-C7B1-47D3-B67F-A62EFF666E3E}">
          <x14:id>{92F35206-5BF1-4B0A-8465-1278F906F451}</x14:id>
        </ext>
      </extLst>
    </cfRule>
  </conditionalFormatting>
  <conditionalFormatting sqref="F6:F10">
    <cfRule type="dataBar" priority="2">
      <dataBar>
        <cfvo type="min"/>
        <cfvo type="max"/>
        <color rgb="FF63C384"/>
      </dataBar>
      <extLst>
        <ext xmlns:x14="http://schemas.microsoft.com/office/spreadsheetml/2009/9/main" uri="{B025F937-C7B1-47D3-B67F-A62EFF666E3E}">
          <x14:id>{923B8070-7B50-49E0-B98B-09958F3B9D26}</x14:id>
        </ext>
      </extLst>
    </cfRule>
  </conditionalFormatting>
  <conditionalFormatting sqref="H6:H10">
    <cfRule type="dataBar" priority="1">
      <dataBar>
        <cfvo type="min"/>
        <cfvo type="max"/>
        <color rgb="FF63C384"/>
      </dataBar>
      <extLst>
        <ext xmlns:x14="http://schemas.microsoft.com/office/spreadsheetml/2009/9/main" uri="{B025F937-C7B1-47D3-B67F-A62EFF666E3E}">
          <x14:id>{4C865698-724C-4515-9A4E-9FFF8D1E8935}</x14:id>
        </ext>
      </extLst>
    </cfRule>
  </conditionalFormatting>
  <pageMargins left="0.11811023622047245" right="0.11811023622047245" top="3.937007874015748E-2" bottom="3.937007874015748E-2" header="0.31496062992125984" footer="0.31496062992125984"/>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EA88E145-1C61-48E5-98E1-51EF381D1F55}">
            <x14:dataBar minLength="0" maxLength="100" border="1" negativeBarBorderColorSameAsPositive="0">
              <x14:cfvo type="autoMin"/>
              <x14:cfvo type="autoMax"/>
              <x14:borderColor rgb="FF63C384"/>
              <x14:negativeFillColor rgb="FFFF0000"/>
              <x14:negativeBorderColor rgb="FFFF0000"/>
              <x14:axisColor rgb="FF000000"/>
            </x14:dataBar>
          </x14:cfRule>
          <xm:sqref>B6:B10</xm:sqref>
        </x14:conditionalFormatting>
        <x14:conditionalFormatting xmlns:xm="http://schemas.microsoft.com/office/excel/2006/main">
          <x14:cfRule type="dataBar" id="{92F35206-5BF1-4B0A-8465-1278F906F451}">
            <x14:dataBar minLength="0" maxLength="100" border="1" negativeBarBorderColorSameAsPositive="0">
              <x14:cfvo type="autoMin"/>
              <x14:cfvo type="autoMax"/>
              <x14:borderColor rgb="FF63C384"/>
              <x14:negativeFillColor rgb="FFFF0000"/>
              <x14:negativeBorderColor rgb="FFFF0000"/>
              <x14:axisColor rgb="FF000000"/>
            </x14:dataBar>
          </x14:cfRule>
          <xm:sqref>C6:C10</xm:sqref>
        </x14:conditionalFormatting>
        <x14:conditionalFormatting xmlns:xm="http://schemas.microsoft.com/office/excel/2006/main">
          <x14:cfRule type="dataBar" id="{923B8070-7B50-49E0-B98B-09958F3B9D26}">
            <x14:dataBar minLength="0" maxLength="100" border="1" negativeBarBorderColorSameAsPositive="0">
              <x14:cfvo type="autoMin"/>
              <x14:cfvo type="autoMax"/>
              <x14:borderColor rgb="FF63C384"/>
              <x14:negativeFillColor rgb="FFFF0000"/>
              <x14:negativeBorderColor rgb="FFFF0000"/>
              <x14:axisColor rgb="FF000000"/>
            </x14:dataBar>
          </x14:cfRule>
          <xm:sqref>F6:F10</xm:sqref>
        </x14:conditionalFormatting>
        <x14:conditionalFormatting xmlns:xm="http://schemas.microsoft.com/office/excel/2006/main">
          <x14:cfRule type="dataBar" id="{4C865698-724C-4515-9A4E-9FFF8D1E8935}">
            <x14:dataBar minLength="0" maxLength="100" border="1" negativeBarBorderColorSameAsPositive="0">
              <x14:cfvo type="autoMin"/>
              <x14:cfvo type="autoMax"/>
              <x14:borderColor rgb="FF63C384"/>
              <x14:negativeFillColor rgb="FFFF0000"/>
              <x14:negativeBorderColor rgb="FFFF0000"/>
              <x14:axisColor rgb="FF000000"/>
            </x14:dataBar>
          </x14:cfRule>
          <xm:sqref>H6:H10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81205-279C-4E77-8588-3235C8194CDE}">
  <sheetPr codeName="Hoja5"/>
  <dimension ref="A1:G13"/>
  <sheetViews>
    <sheetView workbookViewId="0">
      <selection activeCell="F2" sqref="F2"/>
    </sheetView>
  </sheetViews>
  <sheetFormatPr baseColWidth="10" defaultRowHeight="14.4" x14ac:dyDescent="0.3"/>
  <cols>
    <col min="4" max="4" width="24.77734375" customWidth="1"/>
    <col min="5" max="5" width="15.88671875" customWidth="1"/>
    <col min="6" max="6" width="15.44140625" customWidth="1"/>
  </cols>
  <sheetData>
    <row r="1" spans="1:7" x14ac:dyDescent="0.3">
      <c r="A1" t="s">
        <v>41</v>
      </c>
      <c r="B1" t="s">
        <v>46</v>
      </c>
      <c r="C1" t="s">
        <v>51</v>
      </c>
      <c r="D1" t="s">
        <v>37</v>
      </c>
      <c r="E1" t="s">
        <v>37</v>
      </c>
      <c r="F1" t="s">
        <v>42</v>
      </c>
      <c r="G1" t="s">
        <v>47</v>
      </c>
    </row>
    <row r="2" spans="1:7" x14ac:dyDescent="0.3">
      <c r="A2" s="41" t="str" cm="1">
        <f t="array" ref="A2">IFERROR(INDEX('Resumen Mensual'!$D$5:$D$30,MATCH(0,COUNTIF($A$1:A1,'Resumen Mensual'!$D$5:$D$30),0)),"")</f>
        <v/>
      </c>
      <c r="B2">
        <f>SUMIF('Resumen Mensual'!$D$5:$D$30,'Para Gráficos'!A2,('Resumen Mensual'!$E$5:$E$30))</f>
        <v>0</v>
      </c>
      <c r="C2">
        <f>SUMIF('Resumen Mensual'!$D$5:$D$30,'Para Gráficos'!A2,('Resumen Mensual'!$J$5:$J$30))</f>
        <v>0</v>
      </c>
      <c r="D2" s="41" t="str" cm="1">
        <f t="array" ref="D2">IFERROR(INDEX('Resumen Mensual'!$C$5:$C$30,MATCH(0,COUNTIF($D$1:D1,'Resumen Mensual'!$C$5:$C$30),0)),"")</f>
        <v/>
      </c>
      <c r="E2" t="str">
        <f>IF(D2="AGROSERVICIOS LOLO S.A.s.", ("AGROLOLO"),(MID(D2,1,13)))</f>
        <v/>
      </c>
      <c r="F2" s="25">
        <f>SUMIF('Resumen Mensual'!$C$5:$C$30,'Para Gráficos'!D2,('Resumen Mensual'!$J$5:$J$30))</f>
        <v>0</v>
      </c>
      <c r="G2">
        <f>SUMIF('Resumen Mensual'!$C$5:$C$30,'Para Gráficos'!D2,('Resumen Mensual'!$E$5:$E$30))</f>
        <v>0</v>
      </c>
    </row>
    <row r="3" spans="1:7" x14ac:dyDescent="0.3">
      <c r="A3" s="42" t="str" cm="1">
        <f t="array" ref="A3">IFERROR(INDEX('Resumen Mensual'!$D$5:$D$30,MATCH(0,COUNTIF($A$1:A2,'Resumen Mensual'!$D$5:$D$30),0)),"")</f>
        <v/>
      </c>
      <c r="B3">
        <f>SUMIF('Resumen Mensual'!$D$5:$D$30,'Para Gráficos'!A3,('Resumen Mensual'!$E$5:$E$30))</f>
        <v>0</v>
      </c>
      <c r="C3">
        <f>SUMIF('Resumen Mensual'!$D$5:$D$30,'Para Gráficos'!A3,('Resumen Mensual'!$J$5:$J$30))</f>
        <v>0</v>
      </c>
      <c r="D3" s="42" t="str" cm="1">
        <f t="array" ref="D3">IFERROR(INDEX('Resumen Mensual'!$C$5:$C$30,MATCH(0,COUNTIF($D$1:D2,'Resumen Mensual'!$C$5:$C$30),0)),"")</f>
        <v/>
      </c>
      <c r="E3" t="str">
        <f t="shared" ref="E3:E13" si="0">IF(D3="AGROSERVICIOS LOLO S.A.s.", ("AGROLOLO"),(MID(D3,1,13)))</f>
        <v/>
      </c>
      <c r="F3" s="25">
        <f>SUMIF('Resumen Mensual'!$C$5:$C$30,'Para Gráficos'!D3,('Resumen Mensual'!$J$5:$J$30))</f>
        <v>0</v>
      </c>
      <c r="G3">
        <f>SUMIF('Resumen Mensual'!$C$5:$C$30,'Para Gráficos'!D3,('Resumen Mensual'!$E$5:$E$30))</f>
        <v>0</v>
      </c>
    </row>
    <row r="4" spans="1:7" x14ac:dyDescent="0.3">
      <c r="A4" s="42" t="str" cm="1">
        <f t="array" ref="A4">IFERROR(INDEX('Resumen Mensual'!$D$5:$D$30,MATCH(0,COUNTIF($A$1:A3,'Resumen Mensual'!$D$5:$D$30),0)),"")</f>
        <v/>
      </c>
      <c r="B4">
        <f>SUMIF('Resumen Mensual'!$D$5:$D$30,'Para Gráficos'!A4,('Resumen Mensual'!$E$5:$E$30))</f>
        <v>0</v>
      </c>
      <c r="C4">
        <f>SUMIF('Resumen Mensual'!$D$5:$D$30,'Para Gráficos'!A4,('Resumen Mensual'!$J$5:$J$30))</f>
        <v>0</v>
      </c>
      <c r="D4" s="42" t="str" cm="1">
        <f t="array" ref="D4">IFERROR(INDEX('Resumen Mensual'!$C$5:$C$30,MATCH(0,COUNTIF($D$1:D3,'Resumen Mensual'!$C$5:$C$30),0)),"")</f>
        <v/>
      </c>
      <c r="E4" t="str">
        <f t="shared" si="0"/>
        <v/>
      </c>
      <c r="F4" s="25">
        <f>SUMIF('Resumen Mensual'!$C$5:$C$30,'Para Gráficos'!D4,('Resumen Mensual'!$J$5:$J$30))</f>
        <v>0</v>
      </c>
      <c r="G4">
        <f>SUMIF('Resumen Mensual'!$C$5:$C$30,'Para Gráficos'!D4,('Resumen Mensual'!$E$5:$E$30))</f>
        <v>0</v>
      </c>
    </row>
    <row r="5" spans="1:7" x14ac:dyDescent="0.3">
      <c r="A5" s="42" t="str" cm="1">
        <f t="array" ref="A5">IFERROR(INDEX('Resumen Mensual'!$D$5:$D$30,MATCH(0,COUNTIF($A$1:A4,'Resumen Mensual'!$D$5:$D$30),0)),"")</f>
        <v/>
      </c>
      <c r="B5">
        <f>SUMIF('Resumen Mensual'!$D$5:$D$30,'Para Gráficos'!A5,('Resumen Mensual'!$E$5:$E$30))</f>
        <v>0</v>
      </c>
      <c r="C5">
        <f>SUMIF('Resumen Mensual'!$D$5:$D$30,'Para Gráficos'!A5,('Resumen Mensual'!$J$5:$J$30))</f>
        <v>0</v>
      </c>
      <c r="D5" s="42" t="str" cm="1">
        <f t="array" ref="D5">IFERROR(INDEX('Resumen Mensual'!$C$5:$C$30,MATCH(0,COUNTIF($D$1:D4,'Resumen Mensual'!$C$5:$C$30),0)),"")</f>
        <v/>
      </c>
      <c r="E5" t="str">
        <f t="shared" si="0"/>
        <v/>
      </c>
      <c r="F5" s="25">
        <f>SUMIF('Resumen Mensual'!$C$5:$C$30,'Para Gráficos'!D5,('Resumen Mensual'!$J$5:$J$30))</f>
        <v>0</v>
      </c>
      <c r="G5">
        <f>SUMIF('Resumen Mensual'!$C$5:$C$30,'Para Gráficos'!D5,('Resumen Mensual'!$E$5:$E$30))</f>
        <v>0</v>
      </c>
    </row>
    <row r="6" spans="1:7" x14ac:dyDescent="0.3">
      <c r="A6" s="42" t="str" cm="1">
        <f t="array" ref="A6">IFERROR(INDEX('Resumen Mensual'!$D$5:$D$30,MATCH(0,COUNTIF($A$1:A5,'Resumen Mensual'!$D$5:$D$30),0)),"")</f>
        <v/>
      </c>
      <c r="B6">
        <f>SUMIF('Resumen Mensual'!$D$5:$D$30,'Para Gráficos'!A6,('Resumen Mensual'!$E$5:$E$30))</f>
        <v>0</v>
      </c>
      <c r="C6">
        <f>SUMIF('Resumen Mensual'!$D$5:$D$30,'Para Gráficos'!A6,('Resumen Mensual'!$J$5:$J$30))</f>
        <v>0</v>
      </c>
      <c r="D6" s="42" t="str" cm="1">
        <f t="array" ref="D6">IFERROR(INDEX('Resumen Mensual'!$C$5:$C$30,MATCH(0,COUNTIF($D$1:D5,'Resumen Mensual'!$C$5:$C$30),0)),"")</f>
        <v/>
      </c>
      <c r="E6" t="str">
        <f t="shared" si="0"/>
        <v/>
      </c>
      <c r="F6" s="25">
        <f>SUMIF('Resumen Mensual'!$C$5:$C$30,'Para Gráficos'!D6,('Resumen Mensual'!$J$5:$J$30))</f>
        <v>0</v>
      </c>
      <c r="G6">
        <f>SUMIF('Resumen Mensual'!$C$5:$C$30,'Para Gráficos'!D6,('Resumen Mensual'!$E$5:$E$30))</f>
        <v>0</v>
      </c>
    </row>
    <row r="7" spans="1:7" x14ac:dyDescent="0.3">
      <c r="A7" s="42" t="str" cm="1">
        <f t="array" ref="A7">IFERROR(INDEX('Resumen Mensual'!$D$5:$D$30,MATCH(0,COUNTIF($A$1:A6,'Resumen Mensual'!$D$5:$D$30),0)),"")</f>
        <v/>
      </c>
      <c r="B7">
        <f>SUMIF('Resumen Mensual'!$D$5:$D$30,'Para Gráficos'!A7,('Resumen Mensual'!$E$5:$E$30))</f>
        <v>0</v>
      </c>
      <c r="C7">
        <f>SUMIF('Resumen Mensual'!$D$5:$D$30,'Para Gráficos'!A7,('Resumen Mensual'!$J$5:$J$30))</f>
        <v>0</v>
      </c>
      <c r="D7" s="42" t="str" cm="1">
        <f t="array" ref="D7">IFERROR(INDEX('Resumen Mensual'!$C$5:$C$30,MATCH(0,COUNTIF($D$1:D6,'Resumen Mensual'!$C$5:$C$30),0)),"")</f>
        <v/>
      </c>
      <c r="E7" t="str">
        <f t="shared" si="0"/>
        <v/>
      </c>
      <c r="F7" s="25">
        <f>SUMIF('Resumen Mensual'!$C$5:$C$30,'Para Gráficos'!D7,('Resumen Mensual'!$J$5:$J$30))</f>
        <v>0</v>
      </c>
      <c r="G7">
        <f>SUMIF('Resumen Mensual'!$C$5:$C$30,'Para Gráficos'!D7,('Resumen Mensual'!$E$5:$E$30))</f>
        <v>0</v>
      </c>
    </row>
    <row r="8" spans="1:7" x14ac:dyDescent="0.3">
      <c r="A8" s="42" t="str" cm="1">
        <f t="array" ref="A8">IFERROR(INDEX('Resumen Mensual'!$D$5:$D$30,MATCH(0,COUNTIF($A$1:A7,'Resumen Mensual'!$D$5:$D$30),0)),"")</f>
        <v/>
      </c>
      <c r="B8">
        <f>SUMIF('Resumen Mensual'!$D$5:$D$30,'Para Gráficos'!A8,('Resumen Mensual'!$E$5:$E$30))</f>
        <v>0</v>
      </c>
      <c r="C8">
        <f>SUMIF('Resumen Mensual'!$D$5:$D$30,'Para Gráficos'!A8,('Resumen Mensual'!$J$5:$J$30))</f>
        <v>0</v>
      </c>
      <c r="D8" s="42" t="str" cm="1">
        <f t="array" ref="D8">IFERROR(INDEX('Resumen Mensual'!$C$5:$C$30,MATCH(0,COUNTIF($D$1:D7,'Resumen Mensual'!$C$5:$C$30),0)),"")</f>
        <v/>
      </c>
      <c r="E8" t="str">
        <f t="shared" si="0"/>
        <v/>
      </c>
      <c r="F8" s="25">
        <f>SUMIF('Resumen Mensual'!$C$5:$C$30,'Para Gráficos'!D8,('Resumen Mensual'!$J$5:$J$30))</f>
        <v>0</v>
      </c>
      <c r="G8">
        <f>SUMIF('Resumen Mensual'!$C$5:$C$30,'Para Gráficos'!D8,('Resumen Mensual'!$E$5:$E$30))</f>
        <v>0</v>
      </c>
    </row>
    <row r="9" spans="1:7" x14ac:dyDescent="0.3">
      <c r="A9" s="42" t="str" cm="1">
        <f t="array" ref="A9">IFERROR(INDEX('Resumen Mensual'!$D$5:$D$30,MATCH(0,COUNTIF($A$1:A8,'Resumen Mensual'!$D$5:$D$30),0)),"")</f>
        <v/>
      </c>
      <c r="B9">
        <f>SUMIF('Resumen Mensual'!$D$5:$D$30,'Para Gráficos'!A9,('Resumen Mensual'!$E$5:$E$30))</f>
        <v>0</v>
      </c>
      <c r="C9">
        <f>SUMIF('Resumen Mensual'!$D$5:$D$30,'Para Gráficos'!A9,('Resumen Mensual'!$J$5:$J$30))</f>
        <v>0</v>
      </c>
      <c r="D9" s="42" t="str" cm="1">
        <f t="array" ref="D9">IFERROR(INDEX('Resumen Mensual'!$C$5:$C$30,MATCH(0,COUNTIF($D$1:D8,'Resumen Mensual'!$C$5:$C$30),0)),"")</f>
        <v/>
      </c>
      <c r="E9" t="str">
        <f t="shared" si="0"/>
        <v/>
      </c>
      <c r="F9" s="25">
        <f>SUMIF('Resumen Mensual'!$C$5:$C$30,'Para Gráficos'!D9,('Resumen Mensual'!$J$5:$J$30))</f>
        <v>0</v>
      </c>
      <c r="G9">
        <f>SUMIF('Resumen Mensual'!$C$5:$C$30,'Para Gráficos'!D9,('Resumen Mensual'!$E$5:$E$30))</f>
        <v>0</v>
      </c>
    </row>
    <row r="10" spans="1:7" x14ac:dyDescent="0.3">
      <c r="A10" s="42" t="str" cm="1">
        <f t="array" ref="A10">IFERROR(INDEX('Resumen Mensual'!$D$5:$D$30,MATCH(0,COUNTIF($A$1:A9,'Resumen Mensual'!$D$5:$D$30),0)),"")</f>
        <v/>
      </c>
      <c r="B10">
        <f>SUMIF('Resumen Mensual'!$D$5:$D$30,'Para Gráficos'!A10,('Resumen Mensual'!$E$5:$E$30))</f>
        <v>0</v>
      </c>
      <c r="C10">
        <f>SUMIF('Resumen Mensual'!$D$5:$D$30,'Para Gráficos'!A10,('Resumen Mensual'!$J$5:$J$30))</f>
        <v>0</v>
      </c>
      <c r="D10" s="42" t="str" cm="1">
        <f t="array" ref="D10">IFERROR(INDEX('Resumen Mensual'!$C$5:$C$30,MATCH(0,COUNTIF($D$1:D9,'Resumen Mensual'!$C$5:$C$30),0)),"")</f>
        <v/>
      </c>
      <c r="E10" t="str">
        <f t="shared" si="0"/>
        <v/>
      </c>
      <c r="F10" s="25">
        <f>SUMIF('Resumen Mensual'!$C$5:$C$30,'Para Gráficos'!D10,('Resumen Mensual'!$J$5:$J$30))</f>
        <v>0</v>
      </c>
      <c r="G10">
        <f>SUMIF('Resumen Mensual'!$C$5:$C$30,'Para Gráficos'!D10,('Resumen Mensual'!$E$5:$E$30))</f>
        <v>0</v>
      </c>
    </row>
    <row r="11" spans="1:7" x14ac:dyDescent="0.3">
      <c r="A11" s="42" t="str" cm="1">
        <f t="array" ref="A11">IFERROR(INDEX('Resumen Mensual'!$D$5:$D$30,MATCH(0,COUNTIF($A$1:A10,'Resumen Mensual'!$D$5:$D$30),0)),"")</f>
        <v/>
      </c>
      <c r="B11">
        <f>SUMIF('Resumen Mensual'!$D$5:$D$30,'Para Gráficos'!A11,('Resumen Mensual'!$E$5:$E$30))</f>
        <v>0</v>
      </c>
      <c r="C11">
        <f>SUMIF('Resumen Mensual'!$D$5:$D$30,'Para Gráficos'!A11,('Resumen Mensual'!$J$5:$J$30))</f>
        <v>0</v>
      </c>
      <c r="D11" s="42" t="str" cm="1">
        <f t="array" ref="D11">IFERROR(INDEX('Resumen Mensual'!$C$5:$C$30,MATCH(0,COUNTIF($D$1:D10,'Resumen Mensual'!$C$5:$C$30),0)),"")</f>
        <v/>
      </c>
      <c r="E11" t="str">
        <f t="shared" si="0"/>
        <v/>
      </c>
      <c r="F11" s="25">
        <f>SUMIF('Resumen Mensual'!$C$5:$C$30,'Para Gráficos'!D11,('Resumen Mensual'!$J$5:$J$30))</f>
        <v>0</v>
      </c>
      <c r="G11">
        <f>SUMIF('Resumen Mensual'!$C$5:$C$30,'Para Gráficos'!D11,('Resumen Mensual'!$E$5:$E$30))</f>
        <v>0</v>
      </c>
    </row>
    <row r="12" spans="1:7" x14ac:dyDescent="0.3">
      <c r="A12" s="42" t="str" cm="1">
        <f t="array" ref="A12">IFERROR(INDEX('Resumen Mensual'!$D$5:$D$30,MATCH(0,COUNTIF($A$1:A11,'Resumen Mensual'!$D$5:$D$30),0)),"")</f>
        <v/>
      </c>
      <c r="B12">
        <f>SUMIF('Resumen Mensual'!$D$5:$D$30,'Para Gráficos'!A12,('Resumen Mensual'!$E$5:$E$30))</f>
        <v>0</v>
      </c>
      <c r="C12">
        <f>SUMIF('Resumen Mensual'!$D$5:$D$30,'Para Gráficos'!A12,('Resumen Mensual'!$J$5:$J$30))</f>
        <v>0</v>
      </c>
      <c r="D12" s="42" t="str" cm="1">
        <f t="array" ref="D12">IFERROR(INDEX('Resumen Mensual'!$C$5:$C$30,MATCH(0,COUNTIF($D$1:D11,'Resumen Mensual'!$C$5:$C$30),0)),"")</f>
        <v/>
      </c>
      <c r="E12" t="str">
        <f t="shared" si="0"/>
        <v/>
      </c>
      <c r="F12" s="25">
        <f>SUMIF('Resumen Mensual'!$C$5:$C$30,'Para Gráficos'!D12,('Resumen Mensual'!$J$5:$J$30))</f>
        <v>0</v>
      </c>
      <c r="G12">
        <f>SUMIF('Resumen Mensual'!$C$5:$C$30,'Para Gráficos'!D12,('Resumen Mensual'!$E$5:$E$30))</f>
        <v>0</v>
      </c>
    </row>
    <row r="13" spans="1:7" x14ac:dyDescent="0.3">
      <c r="A13" s="42" t="str" cm="1">
        <f t="array" ref="A13">IFERROR(INDEX('Resumen Mensual'!$D$5:$D$30,MATCH(0,COUNTIF($A$1:A12,'Resumen Mensual'!$D$5:$D$30),0)),"")</f>
        <v/>
      </c>
      <c r="B13">
        <f>SUMIF('Resumen Mensual'!$D$5:$D$30,'Para Gráficos'!A13,('Resumen Mensual'!$E$5:$E$30))</f>
        <v>0</v>
      </c>
      <c r="C13">
        <f>SUMIF('Resumen Mensual'!$D$5:$D$30,'Para Gráficos'!A13,('Resumen Mensual'!$J$5:$J$30))</f>
        <v>0</v>
      </c>
      <c r="D13" s="42" t="str" cm="1">
        <f t="array" ref="D13">IFERROR(INDEX('Resumen Mensual'!$C$5:$C$30,MATCH(0,COUNTIF($D$1:D12,'Resumen Mensual'!$C$5:$C$30),0)),"")</f>
        <v/>
      </c>
      <c r="E13" t="str">
        <f t="shared" si="0"/>
        <v/>
      </c>
      <c r="F13" s="25">
        <f>SUMIF('Resumen Mensual'!$C$5:$C$30,'Para Gráficos'!D13,('Resumen Mensual'!$J$5:$J$30))</f>
        <v>0</v>
      </c>
      <c r="G13">
        <f>SUMIF('Resumen Mensual'!$C$5:$C$30,'Para Gráficos'!D13,('Resumen Mensual'!$E$5:$E$30))</f>
        <v>0</v>
      </c>
    </row>
  </sheetData>
  <pageMargins left="0.7" right="0.7" top="0.75" bottom="0.75" header="0.3" footer="0.3"/>
  <pageSetup paperSize="9"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266A-21B5-4D8A-B78F-D015AB75721E}">
  <sheetPr codeName="Hoja6"/>
  <dimension ref="A1:C10"/>
  <sheetViews>
    <sheetView workbookViewId="0">
      <selection activeCell="A4" sqref="A4"/>
    </sheetView>
  </sheetViews>
  <sheetFormatPr baseColWidth="10" defaultRowHeight="14.4" x14ac:dyDescent="0.3"/>
  <cols>
    <col min="1" max="1" width="11.5546875" style="60"/>
    <col min="2" max="2" width="18.44140625" style="7" customWidth="1"/>
    <col min="3" max="3" width="11.5546875" style="7"/>
  </cols>
  <sheetData>
    <row r="1" spans="1:3" x14ac:dyDescent="0.3">
      <c r="A1" s="6"/>
      <c r="B1" s="99"/>
    </row>
    <row r="2" spans="1:3" x14ac:dyDescent="0.3">
      <c r="A2" s="6"/>
      <c r="B2" s="99"/>
    </row>
    <row r="3" spans="1:3" x14ac:dyDescent="0.3">
      <c r="A3" s="100">
        <v>46026</v>
      </c>
      <c r="B3" s="7">
        <v>1365</v>
      </c>
      <c r="C3" s="7">
        <v>1415</v>
      </c>
    </row>
    <row r="4" spans="1:3" x14ac:dyDescent="0.3">
      <c r="A4" s="100">
        <v>46118</v>
      </c>
      <c r="B4" s="7">
        <v>1365</v>
      </c>
      <c r="C4" s="7">
        <v>1415</v>
      </c>
    </row>
    <row r="5" spans="1:3" x14ac:dyDescent="0.3">
      <c r="A5" s="100">
        <v>46119</v>
      </c>
      <c r="B5" s="7">
        <v>1365</v>
      </c>
      <c r="C5" s="7">
        <v>1415</v>
      </c>
    </row>
    <row r="6" spans="1:3" x14ac:dyDescent="0.3">
      <c r="A6" s="100">
        <v>46120</v>
      </c>
      <c r="B6" s="7">
        <v>1360</v>
      </c>
      <c r="C6" s="7">
        <v>1410</v>
      </c>
    </row>
    <row r="7" spans="1:3" x14ac:dyDescent="0.3">
      <c r="A7" s="100">
        <v>46121</v>
      </c>
      <c r="B7" s="7">
        <v>1355</v>
      </c>
      <c r="C7" s="7">
        <v>1405</v>
      </c>
    </row>
    <row r="8" spans="1:3" x14ac:dyDescent="0.3">
      <c r="A8" s="100">
        <v>46122</v>
      </c>
      <c r="B8" s="7">
        <v>1345</v>
      </c>
      <c r="C8" s="7">
        <v>1395</v>
      </c>
    </row>
    <row r="9" spans="1:3" x14ac:dyDescent="0.3">
      <c r="A9" s="100">
        <v>46125</v>
      </c>
      <c r="B9" s="7">
        <v>1335</v>
      </c>
      <c r="C9" s="7">
        <v>1385</v>
      </c>
    </row>
    <row r="10" spans="1:3" x14ac:dyDescent="0.3">
      <c r="A10" s="100">
        <v>46126</v>
      </c>
      <c r="B10" s="7">
        <v>1335</v>
      </c>
      <c r="C10" s="7">
        <v>1385</v>
      </c>
    </row>
  </sheetData>
  <pageMargins left="0.7" right="0.7" top="0.75" bottom="0.75" header="0.3" footer="0.3"/>
  <pageSetup paperSize="9" orientation="portrait" horizontalDpi="360" verticalDpi="36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15A70-8701-472C-82F8-D4707113AE08}">
  <sheetPr codeName="Hoja3"/>
  <dimension ref="A2:B4"/>
  <sheetViews>
    <sheetView workbookViewId="0">
      <selection activeCell="H29" sqref="H29"/>
    </sheetView>
  </sheetViews>
  <sheetFormatPr baseColWidth="10" defaultRowHeight="14.4" x14ac:dyDescent="0.3"/>
  <sheetData>
    <row r="2" spans="1:2" x14ac:dyDescent="0.3">
      <c r="A2" t="s">
        <v>17</v>
      </c>
    </row>
    <row r="3" spans="1:2" x14ac:dyDescent="0.3">
      <c r="A3" s="16">
        <v>3302</v>
      </c>
      <c r="B3" s="15" t="s">
        <v>21</v>
      </c>
    </row>
    <row r="4" spans="1:2" x14ac:dyDescent="0.3">
      <c r="A4" s="17">
        <v>3301</v>
      </c>
      <c r="B4" s="15" t="s">
        <v>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LQ Parciales</vt:lpstr>
      <vt:lpstr>Resumen Mensual</vt:lpstr>
      <vt:lpstr>Resumen Mensual (2)</vt:lpstr>
      <vt:lpstr>Para Gráficos</vt:lpstr>
      <vt:lpstr>Cotización</vt:lpstr>
      <vt:lpstr>Base de Datos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Geronimo</dc:creator>
  <cp:lastModifiedBy>Gerónimo Herrera</cp:lastModifiedBy>
  <cp:lastPrinted>2026-04-15T20:20:56Z</cp:lastPrinted>
  <dcterms:created xsi:type="dcterms:W3CDTF">2015-06-05T18:19:34Z</dcterms:created>
  <dcterms:modified xsi:type="dcterms:W3CDTF">2026-04-15T20:30:50Z</dcterms:modified>
</cp:coreProperties>
</file>