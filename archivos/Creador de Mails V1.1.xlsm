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D:\Estudio\Gerónimo Tomé Herrera\Sistemas y Planillas\Desarrollo de Sistemas\Creador de Mails Automático\"/>
    </mc:Choice>
  </mc:AlternateContent>
  <xr:revisionPtr revIDLastSave="0" documentId="13_ncr:1_{2FFD8007-1BCA-4490-A2E5-5BD9AE8AC343}" xr6:coauthVersionLast="47" xr6:coauthVersionMax="47" xr10:uidLastSave="{00000000-0000-0000-0000-000000000000}"/>
  <bookViews>
    <workbookView xWindow="870" yWindow="-120" windowWidth="18450" windowHeight="15600" xr2:uid="{00000000-000D-0000-FFFF-FFFF00000000}"/>
  </bookViews>
  <sheets>
    <sheet name="Principal" sheetId="1" r:id="rId1"/>
    <sheet name="Base de Datos"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6" i="2" l="1"/>
  <c r="A18" i="2"/>
  <c r="A20" i="2"/>
  <c r="B22" i="2"/>
  <c r="B20" i="2"/>
  <c r="B18" i="2"/>
  <c r="B16" i="2"/>
  <c r="B14" i="2"/>
  <c r="A22" i="2"/>
  <c r="A14" i="2"/>
  <c r="G6" i="1"/>
  <c r="H6" i="1" s="1"/>
  <c r="G7" i="1"/>
  <c r="H7" i="1" s="1"/>
  <c r="G8" i="1"/>
  <c r="H8" i="1" s="1"/>
  <c r="G9" i="1"/>
  <c r="H9" i="1" s="1"/>
  <c r="G10" i="1"/>
  <c r="H10" i="1" s="1"/>
  <c r="G11" i="1"/>
  <c r="H11" i="1" s="1"/>
  <c r="G12" i="1"/>
  <c r="H12" i="1" s="1"/>
  <c r="G13" i="1"/>
  <c r="H13" i="1" s="1"/>
  <c r="G14" i="1"/>
  <c r="H14" i="1" s="1"/>
  <c r="G15" i="1"/>
  <c r="H15" i="1" s="1"/>
  <c r="G16" i="1"/>
  <c r="H16" i="1" s="1"/>
  <c r="G17" i="1"/>
  <c r="H17" i="1" s="1"/>
  <c r="G18" i="1"/>
  <c r="H18" i="1" s="1"/>
  <c r="G19" i="1"/>
  <c r="H19" i="1" s="1"/>
  <c r="G20" i="1"/>
  <c r="H20" i="1" s="1"/>
  <c r="G21" i="1"/>
  <c r="H21" i="1" s="1"/>
  <c r="G22" i="1"/>
  <c r="H22" i="1" s="1"/>
  <c r="G23" i="1"/>
  <c r="H23" i="1" s="1"/>
  <c r="G24" i="1"/>
  <c r="H24" i="1" s="1"/>
  <c r="G25" i="1"/>
  <c r="H25" i="1" s="1"/>
  <c r="G26" i="1"/>
  <c r="H26" i="1" s="1"/>
  <c r="G27" i="1"/>
  <c r="H27" i="1" s="1"/>
  <c r="G28" i="1"/>
  <c r="H28" i="1" s="1"/>
  <c r="G29" i="1"/>
  <c r="H29" i="1" s="1"/>
  <c r="G30" i="1"/>
  <c r="H30" i="1" s="1"/>
  <c r="G31" i="1"/>
  <c r="H31" i="1" s="1"/>
  <c r="G32" i="1"/>
  <c r="H32" i="1" s="1"/>
  <c r="G33" i="1"/>
  <c r="H33" i="1" s="1"/>
  <c r="G34" i="1"/>
  <c r="H34" i="1" s="1"/>
  <c r="G35" i="1"/>
  <c r="H35" i="1" s="1"/>
  <c r="G36" i="1"/>
  <c r="H36" i="1" s="1"/>
  <c r="G37" i="1"/>
  <c r="H37" i="1" s="1"/>
  <c r="G38" i="1"/>
  <c r="H38" i="1" s="1"/>
  <c r="G39" i="1"/>
  <c r="H39" i="1" s="1"/>
  <c r="G40" i="1"/>
  <c r="H40" i="1" s="1"/>
  <c r="G41" i="1"/>
  <c r="H41" i="1" s="1"/>
  <c r="G42" i="1"/>
  <c r="H42" i="1" s="1"/>
  <c r="G43" i="1"/>
  <c r="H43" i="1" s="1"/>
  <c r="G44" i="1"/>
  <c r="H44" i="1" s="1"/>
  <c r="G45" i="1"/>
  <c r="H45" i="1" s="1"/>
  <c r="G46" i="1"/>
  <c r="H46" i="1" s="1"/>
  <c r="G47" i="1"/>
  <c r="H47" i="1" s="1"/>
  <c r="G48" i="1"/>
  <c r="H48" i="1" s="1"/>
  <c r="G49" i="1"/>
  <c r="H49" i="1" s="1"/>
  <c r="G50" i="1"/>
  <c r="H50" i="1" s="1"/>
  <c r="G51" i="1"/>
  <c r="H51" i="1" s="1"/>
  <c r="G52" i="1"/>
  <c r="H52" i="1" s="1"/>
  <c r="G53" i="1"/>
  <c r="H53" i="1" s="1"/>
  <c r="G54" i="1"/>
  <c r="H54" i="1" s="1"/>
  <c r="G55" i="1"/>
  <c r="H55" i="1" s="1"/>
  <c r="G56" i="1"/>
  <c r="H56" i="1" s="1"/>
  <c r="G57" i="1"/>
  <c r="H57" i="1" s="1"/>
  <c r="G58" i="1"/>
  <c r="H58" i="1" s="1"/>
  <c r="G59" i="1"/>
  <c r="H59" i="1" s="1"/>
  <c r="G60" i="1"/>
  <c r="H60" i="1" s="1"/>
  <c r="G61" i="1"/>
  <c r="H61" i="1" s="1"/>
  <c r="G62" i="1"/>
  <c r="H62" i="1" s="1"/>
  <c r="G63" i="1"/>
  <c r="H63" i="1" s="1"/>
  <c r="G64" i="1"/>
  <c r="H64" i="1" s="1"/>
  <c r="G65" i="1"/>
  <c r="H65" i="1" s="1"/>
  <c r="G66" i="1"/>
  <c r="H66" i="1" s="1"/>
  <c r="G67" i="1"/>
  <c r="H67" i="1" s="1"/>
  <c r="G68" i="1"/>
  <c r="H68" i="1" s="1"/>
  <c r="G69" i="1"/>
  <c r="H69" i="1" s="1"/>
  <c r="G70" i="1"/>
  <c r="H70" i="1" s="1"/>
  <c r="G71" i="1"/>
  <c r="H71" i="1" s="1"/>
  <c r="G72" i="1"/>
  <c r="H72" i="1" s="1"/>
  <c r="G73" i="1"/>
  <c r="H73" i="1" s="1"/>
  <c r="G74" i="1"/>
  <c r="H74" i="1" s="1"/>
  <c r="G75" i="1"/>
  <c r="H75" i="1" s="1"/>
  <c r="G76" i="1"/>
  <c r="H76" i="1" s="1"/>
  <c r="G77" i="1"/>
  <c r="H77" i="1" s="1"/>
  <c r="G78" i="1"/>
  <c r="H78" i="1" s="1"/>
  <c r="G79" i="1"/>
  <c r="H79" i="1" s="1"/>
  <c r="G80" i="1"/>
  <c r="H80" i="1" s="1"/>
  <c r="G81" i="1"/>
  <c r="H81" i="1" s="1"/>
  <c r="G82" i="1"/>
  <c r="H82" i="1" s="1"/>
  <c r="G83" i="1"/>
  <c r="H83" i="1" s="1"/>
  <c r="G84" i="1"/>
  <c r="H84" i="1" s="1"/>
  <c r="G85" i="1"/>
  <c r="H85" i="1" s="1"/>
  <c r="G86" i="1"/>
  <c r="H86" i="1" s="1"/>
  <c r="G87" i="1"/>
  <c r="H87" i="1" s="1"/>
  <c r="G88" i="1"/>
  <c r="H88" i="1" s="1"/>
  <c r="G89" i="1"/>
  <c r="H89" i="1" s="1"/>
  <c r="G90" i="1"/>
  <c r="H90" i="1" s="1"/>
  <c r="G91" i="1"/>
  <c r="H91" i="1" s="1"/>
  <c r="G92" i="1"/>
  <c r="H92" i="1" s="1"/>
  <c r="G93" i="1"/>
  <c r="H93" i="1" s="1"/>
  <c r="G94" i="1"/>
  <c r="H94" i="1" s="1"/>
  <c r="G95" i="1"/>
  <c r="H95" i="1" s="1"/>
  <c r="G96" i="1"/>
  <c r="H96" i="1" s="1"/>
  <c r="G97" i="1"/>
  <c r="H97" i="1" s="1"/>
  <c r="G98" i="1"/>
  <c r="H98" i="1" s="1"/>
  <c r="G99" i="1"/>
  <c r="H99" i="1" s="1"/>
  <c r="G100" i="1"/>
  <c r="H100" i="1" s="1"/>
  <c r="G101" i="1"/>
  <c r="H101" i="1" s="1"/>
  <c r="G102" i="1"/>
  <c r="H102" i="1" s="1"/>
  <c r="G103" i="1"/>
  <c r="H103" i="1" s="1"/>
  <c r="G104" i="1"/>
  <c r="H104" i="1" s="1"/>
  <c r="G105" i="1"/>
  <c r="H105" i="1" s="1"/>
  <c r="G106" i="1"/>
  <c r="H106" i="1" s="1"/>
  <c r="G107" i="1"/>
  <c r="H107" i="1" s="1"/>
  <c r="G108" i="1"/>
  <c r="H108" i="1" s="1"/>
  <c r="G109" i="1"/>
  <c r="H109" i="1" s="1"/>
  <c r="G110" i="1"/>
  <c r="H110" i="1" s="1"/>
  <c r="G111" i="1"/>
  <c r="H111" i="1" s="1"/>
  <c r="G112" i="1"/>
  <c r="H112" i="1" s="1"/>
  <c r="G113" i="1"/>
  <c r="H113" i="1" s="1"/>
  <c r="G114" i="1"/>
  <c r="H114" i="1" s="1"/>
  <c r="G115" i="1"/>
  <c r="H115" i="1" s="1"/>
  <c r="G116" i="1"/>
  <c r="H116" i="1" s="1"/>
  <c r="G117" i="1"/>
  <c r="H117" i="1" s="1"/>
  <c r="G118" i="1"/>
  <c r="H118" i="1" s="1"/>
  <c r="G119" i="1"/>
  <c r="H119" i="1" s="1"/>
  <c r="G120" i="1"/>
  <c r="H120" i="1" s="1"/>
  <c r="G121" i="1"/>
  <c r="H121" i="1" s="1"/>
  <c r="G122" i="1"/>
  <c r="H122" i="1" s="1"/>
  <c r="G123" i="1"/>
  <c r="H123" i="1" s="1"/>
  <c r="G124" i="1"/>
  <c r="H124" i="1" s="1"/>
  <c r="G125" i="1"/>
  <c r="H125" i="1" s="1"/>
  <c r="G126" i="1"/>
  <c r="H126" i="1" s="1"/>
  <c r="G127" i="1"/>
  <c r="H127" i="1" s="1"/>
  <c r="G128" i="1"/>
  <c r="H128" i="1" s="1"/>
  <c r="G129" i="1"/>
  <c r="H129" i="1" s="1"/>
  <c r="G130" i="1"/>
  <c r="H130" i="1" s="1"/>
  <c r="G131" i="1"/>
  <c r="H131" i="1" s="1"/>
  <c r="G132" i="1"/>
  <c r="H132" i="1" s="1"/>
  <c r="G133" i="1"/>
  <c r="H133" i="1" s="1"/>
  <c r="G134" i="1"/>
  <c r="H134" i="1" s="1"/>
  <c r="G135" i="1"/>
  <c r="H135" i="1" s="1"/>
  <c r="G136" i="1"/>
  <c r="H136" i="1" s="1"/>
  <c r="G137" i="1"/>
  <c r="H137" i="1" s="1"/>
  <c r="G138" i="1"/>
  <c r="H138" i="1" s="1"/>
  <c r="G139" i="1"/>
  <c r="H139" i="1" s="1"/>
  <c r="G140" i="1"/>
  <c r="H140" i="1" s="1"/>
  <c r="G141" i="1"/>
  <c r="H141" i="1" s="1"/>
  <c r="G142" i="1"/>
  <c r="H142" i="1" s="1"/>
  <c r="G143" i="1"/>
  <c r="H143" i="1" s="1"/>
  <c r="G144" i="1"/>
  <c r="H144" i="1" s="1"/>
  <c r="G145" i="1"/>
  <c r="H145" i="1" s="1"/>
  <c r="G146" i="1"/>
  <c r="H146" i="1" s="1"/>
  <c r="G147" i="1"/>
  <c r="H147" i="1" s="1"/>
  <c r="G148" i="1"/>
  <c r="H148" i="1" s="1"/>
  <c r="G149" i="1"/>
  <c r="H149" i="1" s="1"/>
  <c r="G150" i="1"/>
  <c r="H150" i="1" s="1"/>
  <c r="G151" i="1"/>
  <c r="H151" i="1" s="1"/>
  <c r="G152" i="1"/>
  <c r="H152" i="1" s="1"/>
  <c r="G153" i="1"/>
  <c r="H153" i="1" s="1"/>
  <c r="G154" i="1"/>
  <c r="H154" i="1" s="1"/>
  <c r="G155" i="1"/>
  <c r="H155" i="1" s="1"/>
  <c r="G156" i="1"/>
  <c r="H156" i="1" s="1"/>
  <c r="G157" i="1"/>
  <c r="H157" i="1" s="1"/>
  <c r="G158" i="1"/>
  <c r="H158" i="1" s="1"/>
  <c r="G159" i="1"/>
  <c r="H159" i="1" s="1"/>
  <c r="G160" i="1"/>
  <c r="H160" i="1" s="1"/>
  <c r="G161" i="1"/>
  <c r="H161" i="1" s="1"/>
  <c r="G162" i="1"/>
  <c r="H162" i="1" s="1"/>
  <c r="G163" i="1"/>
  <c r="H163" i="1" s="1"/>
  <c r="G164" i="1"/>
  <c r="H164" i="1" s="1"/>
  <c r="G165" i="1"/>
  <c r="H165" i="1" s="1"/>
  <c r="G166" i="1"/>
  <c r="H166" i="1" s="1"/>
  <c r="G167" i="1"/>
  <c r="H167" i="1" s="1"/>
  <c r="G168" i="1"/>
  <c r="H168" i="1" s="1"/>
  <c r="G169" i="1"/>
  <c r="H169" i="1" s="1"/>
  <c r="G170" i="1"/>
  <c r="H170" i="1" s="1"/>
  <c r="G4" i="1"/>
  <c r="H4" i="1" s="1"/>
  <c r="G5" i="1"/>
  <c r="H5" i="1" s="1"/>
  <c r="G3" i="1"/>
  <c r="H3" i="1" s="1"/>
</calcChain>
</file>

<file path=xl/sharedStrings.xml><?xml version="1.0" encoding="utf-8"?>
<sst xmlns="http://schemas.openxmlformats.org/spreadsheetml/2006/main" count="702" uniqueCount="198">
  <si>
    <t>Nombre</t>
  </si>
  <si>
    <t>CUIT</t>
  </si>
  <si>
    <t>Indicador</t>
  </si>
  <si>
    <t>Codificador</t>
  </si>
  <si>
    <t>Sin Facturación</t>
  </si>
  <si>
    <t>Sube</t>
  </si>
  <si>
    <t>Baja</t>
  </si>
  <si>
    <t>Mantiene</t>
  </si>
  <si>
    <t>Mail</t>
  </si>
  <si>
    <t>Cat Ant</t>
  </si>
  <si>
    <t>Cat Act</t>
  </si>
  <si>
    <t>Abdala Fabián Jorge</t>
  </si>
  <si>
    <t>Agostini Graciela</t>
  </si>
  <si>
    <t>Agostini Silvia</t>
  </si>
  <si>
    <t>Aignasse Gabriel Andrés</t>
  </si>
  <si>
    <t>Alborez Claudio Gastón</t>
  </si>
  <si>
    <t>Alejandro Díaz Ezequiel</t>
  </si>
  <si>
    <t>Alvarez Diego</t>
  </si>
  <si>
    <t>Amela Fernanda</t>
  </si>
  <si>
    <t>Andersen Sheila</t>
  </si>
  <si>
    <t>Arancon Elsa Mabel</t>
  </si>
  <si>
    <t>Arando Ximena</t>
  </si>
  <si>
    <t>Arizmendi Stella Maris</t>
  </si>
  <si>
    <t>Arniquez Gonzales Juan José</t>
  </si>
  <si>
    <t>Arribillaga Ariel</t>
  </si>
  <si>
    <t>Augusto Domingo</t>
  </si>
  <si>
    <t>Azcueta María Belén</t>
  </si>
  <si>
    <t>Balsategui Díaz Jerónimo</t>
  </si>
  <si>
    <t>Basualdo Hernán</t>
  </si>
  <si>
    <t>Bellada Omar Enrique</t>
  </si>
  <si>
    <t>Bellada Sebastián</t>
  </si>
  <si>
    <t>Beramendi Silvia Nora</t>
  </si>
  <si>
    <t>Betz Mónica</t>
  </si>
  <si>
    <t>Bilbao Agustín</t>
  </si>
  <si>
    <t>Bilbao Esteban</t>
  </si>
  <si>
    <t>Blanco Pablo</t>
  </si>
  <si>
    <t>Boo Mariana</t>
  </si>
  <si>
    <t>Bouso Roberto</t>
  </si>
  <si>
    <t>Brito Ledesma Andreia</t>
  </si>
  <si>
    <t>Cadau Ivana</t>
  </si>
  <si>
    <t>Calvete Lidia</t>
  </si>
  <si>
    <t>Capandegui Franco</t>
  </si>
  <si>
    <t>Capandegui Silvia Edith</t>
  </si>
  <si>
    <t>Cardellino guadalupe</t>
  </si>
  <si>
    <t>Cardellino Miguel Tomás</t>
  </si>
  <si>
    <t>Casares Walter Joaquín</t>
  </si>
  <si>
    <t>Castilla Arancon</t>
  </si>
  <si>
    <t>Castillo Gonzales</t>
  </si>
  <si>
    <t>Castillo Rojas Adolfo</t>
  </si>
  <si>
    <t>Cepeda Natalia</t>
  </si>
  <si>
    <t>Chapar Marina</t>
  </si>
  <si>
    <t>Charque Claudio</t>
  </si>
  <si>
    <t>Christensen Balsategui Florencia</t>
  </si>
  <si>
    <t>Christensen Balsategui Julia</t>
  </si>
  <si>
    <t>Ciancaglini Gabriela</t>
  </si>
  <si>
    <t>Cisneros Claudio</t>
  </si>
  <si>
    <t>Clepacek Micaela Ailen</t>
  </si>
  <si>
    <t>Crasso Estefanía</t>
  </si>
  <si>
    <t>Cravea Camila</t>
  </si>
  <si>
    <t>Cuello Claudio Alberto</t>
  </si>
  <si>
    <t>D`onofrio Nadia Ximena</t>
  </si>
  <si>
    <t>Dalí maría del Rosario</t>
  </si>
  <si>
    <t>Dalí Mercedes Edith</t>
  </si>
  <si>
    <t>Dalí Rosana Andrea</t>
  </si>
  <si>
    <t>Delorenzo Gaggero María Sol</t>
  </si>
  <si>
    <t>Díaz Alejandro</t>
  </si>
  <si>
    <t>Do Pico Juan José</t>
  </si>
  <si>
    <t>Do Pico María Florencia</t>
  </si>
  <si>
    <t>Elorriaga Facundo David</t>
  </si>
  <si>
    <t>Errea Juan Martín</t>
  </si>
  <si>
    <t>Errotaberea Carmen</t>
  </si>
  <si>
    <t>Errotaberea Isidro</t>
  </si>
  <si>
    <t>Errotaberea Marta</t>
  </si>
  <si>
    <t>Escobar Rocío</t>
  </si>
  <si>
    <t>Feipeler Carolina</t>
  </si>
  <si>
    <t>Fernandez Daniel</t>
  </si>
  <si>
    <t>Fernandez josé Anibal</t>
  </si>
  <si>
    <t>Ferrari Fernando</t>
  </si>
  <si>
    <t>Fredes Bernardo</t>
  </si>
  <si>
    <t>Fresca Leonardo Humberto</t>
  </si>
  <si>
    <t>Fuentes Valeria Romina</t>
  </si>
  <si>
    <t>Furlong Christian</t>
  </si>
  <si>
    <t>Furlong Marcelo Gastón</t>
  </si>
  <si>
    <t>Gaggero Delma Ethel</t>
  </si>
  <si>
    <t>Galar Miguel Angel</t>
  </si>
  <si>
    <t>Galindo Nelída</t>
  </si>
  <si>
    <t>Galli Melisa Soledad</t>
  </si>
  <si>
    <t>Garcés Diana Myriam</t>
  </si>
  <si>
    <t>García Mauricio</t>
  </si>
  <si>
    <t>García mónica</t>
  </si>
  <si>
    <t>Geis Leonardo</t>
  </si>
  <si>
    <t>Geis Virginia</t>
  </si>
  <si>
    <t>Goitía Joaquín</t>
  </si>
  <si>
    <t>Goitía Lola</t>
  </si>
  <si>
    <t>Gomez Ana María</t>
  </si>
  <si>
    <t>Gómez Gastón</t>
  </si>
  <si>
    <t>Gómez Silvia</t>
  </si>
  <si>
    <t>Gonzales Norberto</t>
  </si>
  <si>
    <t>Guazzetti Pablo Fernando</t>
  </si>
  <si>
    <t>Guerci maximiliano</t>
  </si>
  <si>
    <t>Gutierrez Alberto Carlos</t>
  </si>
  <si>
    <t>Gutierrez Darío</t>
  </si>
  <si>
    <t>Gutierrez Juan Cruz</t>
  </si>
  <si>
    <t>Hemmingsen Liliana</t>
  </si>
  <si>
    <t>Herrera Gerónimo Tomé</t>
  </si>
  <si>
    <t>Ibarlucía José María</t>
  </si>
  <si>
    <t>iriarte Marcela</t>
  </si>
  <si>
    <t>Jimenez Gustavo Emiliano</t>
  </si>
  <si>
    <t>Jorgensen Virginia</t>
  </si>
  <si>
    <t xml:space="preserve">Klappenbach Federico </t>
  </si>
  <si>
    <t>Knebel Zulma</t>
  </si>
  <si>
    <t>Koenekamp Isabel</t>
  </si>
  <si>
    <t>Larragneguy Martinez Amparo Sabrina</t>
  </si>
  <si>
    <t>Llanos Pablo Luis</t>
  </si>
  <si>
    <t>Lucero nancy</t>
  </si>
  <si>
    <t>Madril Juan Ariel</t>
  </si>
  <si>
    <t>Madril Maria Laura</t>
  </si>
  <si>
    <t>Mariani José Luis</t>
  </si>
  <si>
    <t>Mariucci José María</t>
  </si>
  <si>
    <t>Mariucci José María Vazquez</t>
  </si>
  <si>
    <t>Martinez Segura de los Des. María</t>
  </si>
  <si>
    <t>Maurette María Milagros</t>
  </si>
  <si>
    <t>Maurette Santiago</t>
  </si>
  <si>
    <t>Meana Cesar</t>
  </si>
  <si>
    <t>Mier Luciana Giselle</t>
  </si>
  <si>
    <t>Molina Sol</t>
  </si>
  <si>
    <t>Mónaco Juan Manuel</t>
  </si>
  <si>
    <t>Moranzoni Noelia</t>
  </si>
  <si>
    <t>Motta Ana Mariela</t>
  </si>
  <si>
    <t>Muñoz Gustavo Javier</t>
  </si>
  <si>
    <t>Mutilba Gustavo Alfredo</t>
  </si>
  <si>
    <t>Olea María Elena</t>
  </si>
  <si>
    <t>Olea Mario Horacio</t>
  </si>
  <si>
    <t>Orbegozo María Fernanda</t>
  </si>
  <si>
    <t>Ortolani Agustina</t>
  </si>
  <si>
    <t>Perez Lidia Angélica</t>
  </si>
  <si>
    <t>Perez Ovadía María Silvina</t>
  </si>
  <si>
    <t>Pistarini pedro</t>
  </si>
  <si>
    <t>Portugal Débora</t>
  </si>
  <si>
    <t>Presa Mario</t>
  </si>
  <si>
    <t>Quiroga Jerónimo</t>
  </si>
  <si>
    <t>Raich Marianela</t>
  </si>
  <si>
    <t>Ramirez Daiana</t>
  </si>
  <si>
    <t>Righetti Gabriela</t>
  </si>
  <si>
    <t>Righetti Juan Pablo</t>
  </si>
  <si>
    <t>Roca José Segundo</t>
  </si>
  <si>
    <t>Rocha Maximiliano Emanuel</t>
  </si>
  <si>
    <t>Rodriguez Luciano</t>
  </si>
  <si>
    <t>Rodriguez Matías</t>
  </si>
  <si>
    <t>Rodriguez Ruben Alberto</t>
  </si>
  <si>
    <t>Romero Facundo</t>
  </si>
  <si>
    <t>Roque Marisa</t>
  </si>
  <si>
    <t>Ruiz David</t>
  </si>
  <si>
    <t>Sabatini Alberto Ponciano</t>
  </si>
  <si>
    <t>Sabatini Franco</t>
  </si>
  <si>
    <t>Sabatini Pablo Alberto</t>
  </si>
  <si>
    <t>Salas Javier Pedro</t>
  </si>
  <si>
    <t>Sanchez Analí Sol</t>
  </si>
  <si>
    <t>Sanchez Jorge Alejandro</t>
  </si>
  <si>
    <t>Santoiani Ileana Mariel</t>
  </si>
  <si>
    <t>Santoiani Juan</t>
  </si>
  <si>
    <t>Santoiani Paula</t>
  </si>
  <si>
    <t>Saurel Alejandro</t>
  </si>
  <si>
    <t>Schmidt Graciela</t>
  </si>
  <si>
    <t>Severini Fernando</t>
  </si>
  <si>
    <t>Smigliani Carlos</t>
  </si>
  <si>
    <t>Smukas Valdés</t>
  </si>
  <si>
    <t>Steverlynck María</t>
  </si>
  <si>
    <t>Suarez María</t>
  </si>
  <si>
    <t>Torres Luciano Miguel</t>
  </si>
  <si>
    <t>Torti Juan</t>
  </si>
  <si>
    <t>Valdés Guillermo Walter</t>
  </si>
  <si>
    <t>Vicente Julia María</t>
  </si>
  <si>
    <t>Zagame Ángel Oscar</t>
  </si>
  <si>
    <t>Zubiat Gabriel</t>
  </si>
  <si>
    <t>Zubillaga Julia Elena</t>
  </si>
  <si>
    <t>Zubillaga Mariana Sara</t>
  </si>
  <si>
    <t>Puebla Mario Daniel</t>
  </si>
  <si>
    <t>Ferrer Pamela</t>
  </si>
  <si>
    <t>A</t>
  </si>
  <si>
    <t>C</t>
  </si>
  <si>
    <t>G</t>
  </si>
  <si>
    <t>B</t>
  </si>
  <si>
    <t>F</t>
  </si>
  <si>
    <t>D</t>
  </si>
  <si>
    <t>E</t>
  </si>
  <si>
    <t>H</t>
  </si>
  <si>
    <t xml:space="preserve">C </t>
  </si>
  <si>
    <t>I</t>
  </si>
  <si>
    <t>en cero</t>
  </si>
  <si>
    <t>SI</t>
  </si>
  <si>
    <t>NO</t>
  </si>
  <si>
    <t>Columna1</t>
  </si>
  <si>
    <t>Textos a Utilizar</t>
  </si>
  <si>
    <t xml:space="preserve">Muy buenos días,
En cumplimiento con la recategorización semestral exigida por ARCA, analizamos tu facturación de los últimos 12 meses y detectamos que supera el límite de tu categoría actual, correspondiendo tu pase a una categoría superior.
Te invitamos a leer atentamente el informe adjunto, donde encontrarás los detalles de tu nueva categoría y los montos vigentes. Si ya abonaste agosto 2025, solicitamos que nos lo comuniques para verificar posibles diferencias.
Se adjunta tu credencial de pago. Para cualquier consulta, quedamos a tu disposición.
Saludos cordiales.
</t>
  </si>
  <si>
    <t xml:space="preserve">Muy buenos días,
Con motivo de la recategorización semestral establecida por ARCA, realizamos el análisis de tu facturación correspondiente a los últimos 12 meses y confirmamos que resulta inferior a tu categoría actual, correspondiendo una baja de categoría.
Por favor, revisá el informe adjunto, que detalla tu situación y los valores actualizados. En caso de haber abonado agosto 2025, comunicalo para determinar si es necesario un ajuste.
Se acompaña tu credencial de pago. Estamos disponibles para resolver cualquier inquietud.
Saludos cordiales.
</t>
  </si>
  <si>
    <t xml:space="preserve">Muy buenos días,
En el marco de la recategorización semestral dispuesta por ARCA, evaluamos tu facturación de los últimos 12 meses y confirmamos que se mantiene dentro de los parámetros de tu categoría actual.
Te sugerimos consultar el informe adjunto, donde se detallan tu situación y los valores vigentes. Si ya abonaste agosto 2025, te pedimos que nos lo informes para corroborar posibles ajustes.
Se adjunta tu credencial de pago. Para cualquier consulta, estamos a disposición.
Saludos cordiales.
</t>
  </si>
  <si>
    <r>
      <t xml:space="preserve">Muy buenos días,
Como es habitual, en enero y julio los monotributistas deben realizar </t>
    </r>
    <r>
      <rPr>
        <b/>
        <sz val="11"/>
        <color theme="1"/>
        <rFont val="Calibri"/>
        <family val="2"/>
        <scheme val="minor"/>
      </rPr>
      <t>la recategorización establecida por ARCA</t>
    </r>
    <r>
      <rPr>
        <sz val="11"/>
        <color theme="1"/>
        <rFont val="Calibri"/>
        <family val="2"/>
        <scheme val="minor"/>
      </rPr>
      <t xml:space="preserve">. Luego de analizar tu </t>
    </r>
    <r>
      <rPr>
        <b/>
        <sz val="11"/>
        <color theme="1"/>
        <rFont val="Calibri"/>
        <family val="2"/>
        <scheme val="minor"/>
      </rPr>
      <t>facturación</t>
    </r>
    <r>
      <rPr>
        <sz val="11"/>
        <color theme="1"/>
        <rFont val="Calibri"/>
        <family val="2"/>
        <scheme val="minor"/>
      </rPr>
      <t xml:space="preserve"> correspondiente a los últimos 12 meses, </t>
    </r>
    <r>
      <rPr>
        <b/>
        <sz val="11"/>
        <color theme="1"/>
        <rFont val="Calibri"/>
        <family val="2"/>
        <scheme val="minor"/>
      </rPr>
      <t>verificamos que ha sido nula.</t>
    </r>
    <r>
      <rPr>
        <sz val="11"/>
        <color theme="1"/>
        <rFont val="Calibri"/>
        <family val="2"/>
        <scheme val="minor"/>
      </rPr>
      <t xml:space="preserve">
Te solicitamos</t>
    </r>
    <r>
      <rPr>
        <b/>
        <sz val="11"/>
        <color theme="1"/>
        <rFont val="Calibri"/>
        <family val="2"/>
        <scheme val="minor"/>
      </rPr>
      <t xml:space="preserve"> revisar con detenimiento el informe adjunto,</t>
    </r>
    <r>
      <rPr>
        <sz val="11"/>
        <color theme="1"/>
        <rFont val="Calibri"/>
        <family val="2"/>
        <scheme val="minor"/>
      </rPr>
      <t xml:space="preserve"> donde se detalla tu situación y los valores actualizados. En caso de haber abonado ya el período de agosto 2025, por favor informanos a la brevedad para verificar si corresponde un ajuste.
Se acompaña tu</t>
    </r>
    <r>
      <rPr>
        <b/>
        <sz val="11"/>
        <color theme="1"/>
        <rFont val="Calibri"/>
        <family val="2"/>
        <scheme val="minor"/>
      </rPr>
      <t xml:space="preserve"> credencial de pago.</t>
    </r>
    <r>
      <rPr>
        <sz val="11"/>
        <color theme="1"/>
        <rFont val="Calibri"/>
        <family val="2"/>
        <scheme val="minor"/>
      </rPr>
      <t xml:space="preserve"> Ante cualquier duda, estamos a disposición.
Saludos cordiales.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</si>
</sst>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2"/>
      <color theme="1"/>
      <name val="Calibri"/>
      <family val="2"/>
      <scheme val="minor"/>
    </font>
    <font>
      <i/>
      <sz val="14"/>
      <color theme="1"/>
      <name val="Calibri"/>
      <family val="2"/>
      <scheme val="minor"/>
    </font>
    <font>
      <sz val="20"/>
      <color theme="1"/>
      <name val="Calibri"/>
      <family val="2"/>
      <scheme val="minor"/>
    </font>
  </fonts>
  <fills count="3">
    <fill>
      <patternFill patternType="none"/>
    </fill>
    <fill>
      <patternFill patternType="gray125"/>
    </fill>
    <fill>
      <patternFill patternType="solid">
        <fgColor theme="8" tint="0.59999389629810485"/>
        <bgColor indexed="64"/>
      </patternFill>
    </fill>
  </fills>
  <borders count="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0" fontId="0" fillId="0" borderId="1" xfId="0" applyBorder="1" applyAlignment="1">
      <alignment horizontal="center"/>
    </xf>
    <xf numFmtId="0" fontId="0" fillId="0" borderId="2" xfId="0" applyBorder="1"/>
    <xf numFmtId="0" fontId="0" fillId="0" borderId="3" xfId="0" applyBorder="1" applyAlignment="1">
      <alignment horizontal="center"/>
    </xf>
    <xf numFmtId="0" fontId="0" fillId="0" borderId="4" xfId="0" applyBorder="1"/>
    <xf numFmtId="0" fontId="0" fillId="0" borderId="5" xfId="0" applyBorder="1" applyAlignment="1">
      <alignment horizontal="center"/>
    </xf>
    <xf numFmtId="0" fontId="0" fillId="0" borderId="6" xfId="0" applyBorder="1"/>
    <xf numFmtId="17" fontId="0" fillId="0" borderId="0" xfId="0" applyNumberFormat="1" applyAlignment="1">
      <alignment horizontal="center"/>
    </xf>
    <xf numFmtId="0" fontId="2" fillId="0" borderId="0" xfId="0" applyFont="1"/>
    <xf numFmtId="0" fontId="3" fillId="2" borderId="0" xfId="0" applyFont="1" applyFill="1"/>
    <xf numFmtId="0" fontId="0" fillId="2" borderId="0" xfId="0" applyFill="1"/>
    <xf numFmtId="0" fontId="4" fillId="0" borderId="0" xfId="0" applyFont="1"/>
    <xf numFmtId="0" fontId="0" fillId="0" borderId="7" xfId="0" applyBorder="1" applyAlignment="1">
      <alignment horizontal="center"/>
    </xf>
    <xf numFmtId="0" fontId="0" fillId="0" borderId="8" xfId="0" applyBorder="1" applyAlignment="1">
      <alignment horizontal="center"/>
    </xf>
  </cellXfs>
  <cellStyles count="1">
    <cellStyle name="Normal" xfId="0" builtinId="0"/>
  </cellStyles>
  <dxfs count="11">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9C5700"/>
      </font>
      <fill>
        <patternFill>
          <bgColor rgb="FFFFEB9C"/>
        </patternFill>
      </fill>
    </dxf>
    <dxf>
      <font>
        <color rgb="FF9C0006"/>
      </font>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133350</xdr:colOff>
      <xdr:row>1</xdr:row>
      <xdr:rowOff>95250</xdr:rowOff>
    </xdr:from>
    <xdr:to>
      <xdr:col>12</xdr:col>
      <xdr:colOff>133350</xdr:colOff>
      <xdr:row>6</xdr:row>
      <xdr:rowOff>180975</xdr:rowOff>
    </xdr:to>
    <xdr:sp macro="[0]!CrearBorradoresGmail_CopiaPega" textlink="">
      <xdr:nvSpPr>
        <xdr:cNvPr id="2" name="Rectángulo: esquinas redondeadas 1">
          <a:extLst>
            <a:ext uri="{FF2B5EF4-FFF2-40B4-BE49-F238E27FC236}">
              <a16:creationId xmlns:a16="http://schemas.microsoft.com/office/drawing/2014/main" id="{B4B8E4FD-BF12-520E-1D5B-6343844CD7A8}"/>
            </a:ext>
          </a:extLst>
        </xdr:cNvPr>
        <xdr:cNvSpPr/>
      </xdr:nvSpPr>
      <xdr:spPr>
        <a:xfrm>
          <a:off x="8610600" y="285750"/>
          <a:ext cx="1828800" cy="10382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600" b="1"/>
            <a:t>Iniciar Redacción de Correos</a:t>
          </a:r>
        </a:p>
      </xdr:txBody>
    </xdr:sp>
    <xdr:clientData/>
  </xdr:twoCellAnchor>
  <xdr:twoCellAnchor>
    <xdr:from>
      <xdr:col>9</xdr:col>
      <xdr:colOff>180975</xdr:colOff>
      <xdr:row>7</xdr:row>
      <xdr:rowOff>66675</xdr:rowOff>
    </xdr:from>
    <xdr:to>
      <xdr:col>12</xdr:col>
      <xdr:colOff>180975</xdr:colOff>
      <xdr:row>12</xdr:row>
      <xdr:rowOff>142875</xdr:rowOff>
    </xdr:to>
    <xdr:sp macro="[0]!CrearBorradoresGmail_AdjuntaCredencialeInforme" textlink="">
      <xdr:nvSpPr>
        <xdr:cNvPr id="3" name="Rectángulo: esquinas redondeadas 2">
          <a:extLst>
            <a:ext uri="{FF2B5EF4-FFF2-40B4-BE49-F238E27FC236}">
              <a16:creationId xmlns:a16="http://schemas.microsoft.com/office/drawing/2014/main" id="{D5714341-DEE9-44CE-ADDB-9ACB57ACF393}"/>
            </a:ext>
          </a:extLst>
        </xdr:cNvPr>
        <xdr:cNvSpPr/>
      </xdr:nvSpPr>
      <xdr:spPr>
        <a:xfrm>
          <a:off x="8658225" y="1400175"/>
          <a:ext cx="1828800" cy="1038225"/>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600" b="1"/>
            <a:t>Versión que adjunta</a:t>
          </a:r>
        </a:p>
      </xdr:txBody>
    </xdr:sp>
    <xdr:clientData/>
  </xdr:twoCellAnchor>
  <xdr:twoCellAnchor>
    <xdr:from>
      <xdr:col>9</xdr:col>
      <xdr:colOff>190500</xdr:colOff>
      <xdr:row>13</xdr:row>
      <xdr:rowOff>0</xdr:rowOff>
    </xdr:from>
    <xdr:to>
      <xdr:col>12</xdr:col>
      <xdr:colOff>190500</xdr:colOff>
      <xdr:row>18</xdr:row>
      <xdr:rowOff>85725</xdr:rowOff>
    </xdr:to>
    <xdr:sp macro="[0]!CrearMailsDesdeGmail" textlink="">
      <xdr:nvSpPr>
        <xdr:cNvPr id="4" name="Rectángulo: esquinas redondeadas 3">
          <a:extLst>
            <a:ext uri="{FF2B5EF4-FFF2-40B4-BE49-F238E27FC236}">
              <a16:creationId xmlns:a16="http://schemas.microsoft.com/office/drawing/2014/main" id="{4A55877A-5ED1-45BC-8B85-1454EDBFB2D5}"/>
            </a:ext>
          </a:extLst>
        </xdr:cNvPr>
        <xdr:cNvSpPr/>
      </xdr:nvSpPr>
      <xdr:spPr>
        <a:xfrm>
          <a:off x="8667750" y="2486025"/>
          <a:ext cx="1828800" cy="1038225"/>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600" b="1"/>
            <a:t>Comenzar desde cliente específico</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40745E-B046-4430-95E4-FE67D09DA394}" name="Tabla1" displayName="Tabla1" ref="B2:I170" totalsRowShown="0" headerRowDxfId="6" dataDxfId="5">
  <autoFilter ref="B2:I170" xr:uid="{B840745E-B046-4430-95E4-FE67D09DA394}"/>
  <tableColumns count="8">
    <tableColumn id="1" xr3:uid="{AE7FE1E6-33B5-4DCD-9718-A902505B233A}" name="Nombre"/>
    <tableColumn id="2" xr3:uid="{EF84E45D-8CB3-4C0D-BE1C-E54527F4E42D}" name="CUIT"/>
    <tableColumn id="3" xr3:uid="{49D863F4-F23F-4ADE-ADE7-2CB688CC54D6}" name="Cat Ant" dataDxfId="4"/>
    <tableColumn id="4" xr3:uid="{7167B87B-037D-49C5-8330-5029860DAC1E}" name="Cat Act" dataDxfId="3"/>
    <tableColumn id="5" xr3:uid="{5B4250C5-62BD-4944-B54B-08E7D70674A8}" name="en cero" dataDxfId="2"/>
    <tableColumn id="6" xr3:uid="{F5E67FD5-DF23-4CE7-B158-114F5F94F948}" name="Indicador" dataDxfId="1">
      <calculatedColumnFormula>IF(F3="SI",(1),(IF(D3=E3,(4),(IF(D3&lt;E3,(2),(IF(D3&gt;E3,(3),("Sin codificar"))))))))</calculatedColumnFormula>
    </tableColumn>
    <tableColumn id="7" xr3:uid="{785E861E-57DA-41FE-B634-268B667E7545}" name="Columna1">
      <calculatedColumnFormula>VLOOKUP(G3,'Base de Datos'!$B$4:$C$9,(2),(0))</calculatedColumnFormula>
    </tableColumn>
    <tableColumn id="8" xr3:uid="{04653F23-C54C-4F25-A2E7-DE6881518ABF}" name="Mai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B1:J170"/>
  <sheetViews>
    <sheetView tabSelected="1" workbookViewId="0">
      <selection activeCell="J23" sqref="J23"/>
    </sheetView>
  </sheetViews>
  <sheetFormatPr baseColWidth="10" defaultColWidth="9.140625" defaultRowHeight="15" x14ac:dyDescent="0.25"/>
  <cols>
    <col min="1" max="1" width="2.140625" customWidth="1"/>
    <col min="2" max="2" width="31.85546875" customWidth="1"/>
    <col min="3" max="3" width="16.42578125" customWidth="1"/>
    <col min="4" max="4" width="9.5703125" style="1" customWidth="1"/>
    <col min="5" max="5" width="11.28515625" style="1" customWidth="1"/>
    <col min="6" max="6" width="13" style="1" customWidth="1"/>
    <col min="7" max="7" width="14.42578125" style="1" customWidth="1"/>
    <col min="8" max="8" width="18.28515625" customWidth="1"/>
    <col min="9" max="9" width="10.140625" style="1" customWidth="1"/>
  </cols>
  <sheetData>
    <row r="1" spans="2:10" x14ac:dyDescent="0.25">
      <c r="D1" s="8">
        <v>45658</v>
      </c>
      <c r="E1" s="8">
        <v>45839</v>
      </c>
    </row>
    <row r="2" spans="2:10" x14ac:dyDescent="0.25">
      <c r="B2" t="s">
        <v>0</v>
      </c>
      <c r="C2" t="s">
        <v>1</v>
      </c>
      <c r="D2" s="1" t="s">
        <v>9</v>
      </c>
      <c r="E2" s="1" t="s">
        <v>10</v>
      </c>
      <c r="F2" s="1" t="s">
        <v>189</v>
      </c>
      <c r="G2" s="1" t="s">
        <v>2</v>
      </c>
      <c r="H2" t="s">
        <v>192</v>
      </c>
      <c r="I2" s="1" t="s">
        <v>8</v>
      </c>
    </row>
    <row r="3" spans="2:10" x14ac:dyDescent="0.25">
      <c r="B3" t="s">
        <v>11</v>
      </c>
      <c r="C3">
        <v>20171418063</v>
      </c>
      <c r="D3" s="1" t="s">
        <v>179</v>
      </c>
      <c r="E3" s="1" t="s">
        <v>179</v>
      </c>
      <c r="F3" s="1" t="s">
        <v>190</v>
      </c>
      <c r="G3" s="1">
        <f>IF(F3="SI",(1),(IF(D3=E3,(4),(IF(D3&lt;E3,(2),(IF(D3&gt;E3,(3),("Sin codificar"))))))))</f>
        <v>1</v>
      </c>
      <c r="H3" t="str">
        <f>VLOOKUP(G3,'Base de Datos'!$B$4:$C$9,(2),(0))</f>
        <v>Sin Facturación</v>
      </c>
      <c r="I3" s="1" t="s">
        <v>191</v>
      </c>
    </row>
    <row r="4" spans="2:10" x14ac:dyDescent="0.25">
      <c r="B4" t="s">
        <v>12</v>
      </c>
      <c r="C4">
        <v>27063646925</v>
      </c>
      <c r="D4" s="1" t="s">
        <v>179</v>
      </c>
      <c r="E4" s="1" t="s">
        <v>179</v>
      </c>
      <c r="G4" s="1">
        <f t="shared" ref="G4:G65" si="0">IF(F4="SI",(1),(IF(D4=E4,(4),(IF(D4&lt;E4,(2),(IF(D4&gt;E4,(3),("Sin codificar"))))))))</f>
        <v>4</v>
      </c>
      <c r="H4" t="str">
        <f>VLOOKUP(G4,'Base de Datos'!$B$4:$C$9,(2),(0))</f>
        <v>Mantiene</v>
      </c>
      <c r="I4" s="1" t="s">
        <v>191</v>
      </c>
    </row>
    <row r="5" spans="2:10" x14ac:dyDescent="0.25">
      <c r="B5" t="s">
        <v>13</v>
      </c>
      <c r="C5">
        <v>23132074704</v>
      </c>
      <c r="D5" s="1" t="s">
        <v>180</v>
      </c>
      <c r="E5" s="1" t="s">
        <v>184</v>
      </c>
      <c r="G5" s="1">
        <f t="shared" si="0"/>
        <v>2</v>
      </c>
      <c r="H5" t="str">
        <f>VLOOKUP(G5,'Base de Datos'!$B$4:$C$9,(2),(0))</f>
        <v>Sube</v>
      </c>
      <c r="I5" s="1" t="s">
        <v>190</v>
      </c>
    </row>
    <row r="6" spans="2:10" x14ac:dyDescent="0.25">
      <c r="B6" t="s">
        <v>14</v>
      </c>
      <c r="C6">
        <v>20177972143</v>
      </c>
      <c r="D6" s="1" t="s">
        <v>179</v>
      </c>
      <c r="E6" s="1" t="s">
        <v>179</v>
      </c>
      <c r="G6" s="1">
        <f t="shared" si="0"/>
        <v>4</v>
      </c>
      <c r="H6" t="str">
        <f>VLOOKUP(G6,'Base de Datos'!$B$4:$C$9,(2),(0))</f>
        <v>Mantiene</v>
      </c>
      <c r="I6" s="1" t="s">
        <v>190</v>
      </c>
    </row>
    <row r="7" spans="2:10" x14ac:dyDescent="0.25">
      <c r="B7" t="s">
        <v>15</v>
      </c>
      <c r="C7">
        <v>20359598700</v>
      </c>
      <c r="D7" s="1" t="s">
        <v>181</v>
      </c>
      <c r="E7" s="1" t="s">
        <v>186</v>
      </c>
      <c r="G7" s="1">
        <f t="shared" si="0"/>
        <v>2</v>
      </c>
      <c r="H7" t="str">
        <f>VLOOKUP(G7,'Base de Datos'!$B$4:$C$9,(2),(0))</f>
        <v>Sube</v>
      </c>
      <c r="I7" s="1" t="s">
        <v>191</v>
      </c>
    </row>
    <row r="8" spans="2:10" x14ac:dyDescent="0.25">
      <c r="B8" t="s">
        <v>16</v>
      </c>
      <c r="C8">
        <v>20367982765</v>
      </c>
      <c r="D8" s="1" t="s">
        <v>179</v>
      </c>
      <c r="E8" s="1" t="s">
        <v>179</v>
      </c>
      <c r="G8" s="1">
        <f t="shared" si="0"/>
        <v>4</v>
      </c>
      <c r="H8" t="str">
        <f>VLOOKUP(G8,'Base de Datos'!$B$4:$C$9,(2),(0))</f>
        <v>Mantiene</v>
      </c>
      <c r="I8" s="1" t="s">
        <v>190</v>
      </c>
    </row>
    <row r="9" spans="2:10" x14ac:dyDescent="0.25">
      <c r="B9" t="s">
        <v>17</v>
      </c>
      <c r="C9">
        <v>20207957799</v>
      </c>
      <c r="D9" s="1" t="s">
        <v>179</v>
      </c>
      <c r="E9" s="1" t="s">
        <v>179</v>
      </c>
      <c r="F9" s="1" t="s">
        <v>190</v>
      </c>
      <c r="G9" s="1">
        <f t="shared" si="0"/>
        <v>1</v>
      </c>
      <c r="H9" t="str">
        <f>VLOOKUP(G9,'Base de Datos'!$B$4:$C$9,(2),(0))</f>
        <v>Sin Facturación</v>
      </c>
      <c r="I9" s="1" t="s">
        <v>190</v>
      </c>
    </row>
    <row r="10" spans="2:10" x14ac:dyDescent="0.25">
      <c r="B10" t="s">
        <v>18</v>
      </c>
      <c r="C10">
        <v>27262548797</v>
      </c>
      <c r="D10" s="1" t="s">
        <v>179</v>
      </c>
      <c r="E10" s="1" t="s">
        <v>179</v>
      </c>
      <c r="G10" s="1">
        <f t="shared" si="0"/>
        <v>4</v>
      </c>
      <c r="H10" t="str">
        <f>VLOOKUP(G10,'Base de Datos'!$B$4:$C$9,(2),(0))</f>
        <v>Mantiene</v>
      </c>
      <c r="I10" s="1" t="s">
        <v>190</v>
      </c>
    </row>
    <row r="11" spans="2:10" ht="15.75" x14ac:dyDescent="0.25">
      <c r="B11" t="s">
        <v>19</v>
      </c>
      <c r="C11">
        <v>27347784023</v>
      </c>
      <c r="D11" s="1" t="s">
        <v>179</v>
      </c>
      <c r="E11" s="1" t="s">
        <v>182</v>
      </c>
      <c r="G11" s="1">
        <f t="shared" si="0"/>
        <v>2</v>
      </c>
      <c r="H11" t="str">
        <f>VLOOKUP(G11,'Base de Datos'!$B$4:$C$9,(2),(0))</f>
        <v>Sube</v>
      </c>
      <c r="I11" s="1" t="s">
        <v>190</v>
      </c>
      <c r="J11" s="9"/>
    </row>
    <row r="12" spans="2:10" x14ac:dyDescent="0.25">
      <c r="B12" t="s">
        <v>20</v>
      </c>
      <c r="C12">
        <v>27102279838</v>
      </c>
      <c r="D12" s="1" t="s">
        <v>179</v>
      </c>
      <c r="E12" s="1" t="s">
        <v>179</v>
      </c>
      <c r="G12" s="1">
        <f t="shared" si="0"/>
        <v>4</v>
      </c>
      <c r="H12" t="str">
        <f>VLOOKUP(G12,'Base de Datos'!$B$4:$C$9,(2),(0))</f>
        <v>Mantiene</v>
      </c>
      <c r="I12" s="1" t="s">
        <v>191</v>
      </c>
    </row>
    <row r="13" spans="2:10" x14ac:dyDescent="0.25">
      <c r="B13" t="s">
        <v>21</v>
      </c>
      <c r="C13">
        <v>27314331562</v>
      </c>
      <c r="D13" s="1" t="s">
        <v>179</v>
      </c>
      <c r="E13" s="1" t="s">
        <v>179</v>
      </c>
      <c r="G13" s="1">
        <f t="shared" si="0"/>
        <v>4</v>
      </c>
      <c r="H13" t="str">
        <f>VLOOKUP(G13,'Base de Datos'!$B$4:$C$9,(2),(0))</f>
        <v>Mantiene</v>
      </c>
      <c r="I13" s="1" t="s">
        <v>191</v>
      </c>
    </row>
    <row r="14" spans="2:10" x14ac:dyDescent="0.25">
      <c r="B14" t="s">
        <v>22</v>
      </c>
      <c r="C14">
        <v>27215349026</v>
      </c>
      <c r="D14" s="1" t="s">
        <v>179</v>
      </c>
      <c r="E14" s="1" t="s">
        <v>179</v>
      </c>
      <c r="F14" s="1" t="s">
        <v>190</v>
      </c>
      <c r="G14" s="1">
        <f t="shared" si="0"/>
        <v>1</v>
      </c>
      <c r="H14" t="str">
        <f>VLOOKUP(G14,'Base de Datos'!$B$4:$C$9,(2),(0))</f>
        <v>Sin Facturación</v>
      </c>
      <c r="I14" s="1" t="s">
        <v>191</v>
      </c>
    </row>
    <row r="15" spans="2:10" x14ac:dyDescent="0.25">
      <c r="B15" t="s">
        <v>23</v>
      </c>
      <c r="C15">
        <v>20321414649</v>
      </c>
      <c r="D15" s="1" t="s">
        <v>179</v>
      </c>
      <c r="E15" s="1" t="s">
        <v>179</v>
      </c>
      <c r="F15" s="1" t="s">
        <v>190</v>
      </c>
      <c r="G15" s="1">
        <f t="shared" si="0"/>
        <v>1</v>
      </c>
      <c r="H15" t="str">
        <f>VLOOKUP(G15,'Base de Datos'!$B$4:$C$9,(2),(0))</f>
        <v>Sin Facturación</v>
      </c>
      <c r="I15" s="1" t="s">
        <v>190</v>
      </c>
    </row>
    <row r="16" spans="2:10" x14ac:dyDescent="0.25">
      <c r="B16" t="s">
        <v>24</v>
      </c>
      <c r="C16">
        <v>20367983419</v>
      </c>
      <c r="D16" s="1" t="s">
        <v>182</v>
      </c>
      <c r="E16" s="1" t="s">
        <v>180</v>
      </c>
      <c r="G16" s="1">
        <f t="shared" si="0"/>
        <v>2</v>
      </c>
      <c r="H16" t="str">
        <f>VLOOKUP(G16,'Base de Datos'!$B$4:$C$9,(2),(0))</f>
        <v>Sube</v>
      </c>
      <c r="I16" s="1" t="s">
        <v>190</v>
      </c>
    </row>
    <row r="17" spans="2:9" x14ac:dyDescent="0.25">
      <c r="B17" t="s">
        <v>25</v>
      </c>
      <c r="C17">
        <v>20105158581</v>
      </c>
      <c r="D17" s="1" t="s">
        <v>179</v>
      </c>
      <c r="E17" s="1" t="s">
        <v>179</v>
      </c>
      <c r="F17" s="1" t="s">
        <v>190</v>
      </c>
      <c r="G17" s="1">
        <f t="shared" si="0"/>
        <v>1</v>
      </c>
      <c r="H17" t="str">
        <f>VLOOKUP(G17,'Base de Datos'!$B$4:$C$9,(2),(0))</f>
        <v>Sin Facturación</v>
      </c>
      <c r="I17" s="1" t="s">
        <v>190</v>
      </c>
    </row>
    <row r="18" spans="2:9" x14ac:dyDescent="0.25">
      <c r="B18" t="s">
        <v>26</v>
      </c>
      <c r="C18">
        <v>27252358450</v>
      </c>
      <c r="D18" s="1" t="s">
        <v>179</v>
      </c>
      <c r="E18" s="1" t="s">
        <v>182</v>
      </c>
      <c r="G18" s="1">
        <f t="shared" si="0"/>
        <v>2</v>
      </c>
      <c r="H18" t="str">
        <f>VLOOKUP(G18,'Base de Datos'!$B$4:$C$9,(2),(0))</f>
        <v>Sube</v>
      </c>
      <c r="I18" s="1" t="s">
        <v>190</v>
      </c>
    </row>
    <row r="19" spans="2:9" x14ac:dyDescent="0.25">
      <c r="B19" t="s">
        <v>27</v>
      </c>
      <c r="C19">
        <v>20354124468</v>
      </c>
      <c r="D19" s="1" t="s">
        <v>179</v>
      </c>
      <c r="E19" s="1" t="s">
        <v>179</v>
      </c>
      <c r="G19" s="1">
        <f t="shared" si="0"/>
        <v>4</v>
      </c>
      <c r="H19" t="str">
        <f>VLOOKUP(G19,'Base de Datos'!$B$4:$C$9,(2),(0))</f>
        <v>Mantiene</v>
      </c>
      <c r="I19" s="1" t="s">
        <v>190</v>
      </c>
    </row>
    <row r="20" spans="2:9" x14ac:dyDescent="0.25">
      <c r="B20" t="s">
        <v>28</v>
      </c>
      <c r="C20">
        <v>24267780559</v>
      </c>
      <c r="D20" s="1" t="s">
        <v>179</v>
      </c>
      <c r="F20" s="1" t="s">
        <v>190</v>
      </c>
      <c r="G20" s="1">
        <f t="shared" si="0"/>
        <v>1</v>
      </c>
      <c r="H20" t="str">
        <f>VLOOKUP(G20,'Base de Datos'!$B$4:$C$9,(2),(0))</f>
        <v>Sin Facturación</v>
      </c>
      <c r="I20" s="1" t="s">
        <v>190</v>
      </c>
    </row>
    <row r="21" spans="2:9" x14ac:dyDescent="0.25">
      <c r="B21" t="s">
        <v>29</v>
      </c>
      <c r="C21">
        <v>20115573714</v>
      </c>
      <c r="D21" s="1" t="s">
        <v>179</v>
      </c>
      <c r="E21" s="1" t="s">
        <v>179</v>
      </c>
      <c r="G21" s="1">
        <f t="shared" si="0"/>
        <v>4</v>
      </c>
      <c r="H21" t="str">
        <f>VLOOKUP(G21,'Base de Datos'!$B$4:$C$9,(2),(0))</f>
        <v>Mantiene</v>
      </c>
      <c r="I21" s="1" t="s">
        <v>191</v>
      </c>
    </row>
    <row r="22" spans="2:9" x14ac:dyDescent="0.25">
      <c r="B22" t="s">
        <v>30</v>
      </c>
      <c r="C22">
        <v>23314331729</v>
      </c>
      <c r="D22" s="1" t="s">
        <v>179</v>
      </c>
      <c r="E22" s="1" t="s">
        <v>182</v>
      </c>
      <c r="G22" s="1">
        <f t="shared" si="0"/>
        <v>2</v>
      </c>
      <c r="H22" t="str">
        <f>VLOOKUP(G22,'Base de Datos'!$B$4:$C$9,(2),(0))</f>
        <v>Sube</v>
      </c>
      <c r="I22" s="1" t="s">
        <v>190</v>
      </c>
    </row>
    <row r="23" spans="2:9" x14ac:dyDescent="0.25">
      <c r="B23" t="s">
        <v>31</v>
      </c>
      <c r="C23">
        <v>27106140869</v>
      </c>
      <c r="D23" s="1" t="s">
        <v>183</v>
      </c>
      <c r="E23" s="1" t="s">
        <v>183</v>
      </c>
      <c r="G23" s="1">
        <f t="shared" si="0"/>
        <v>4</v>
      </c>
      <c r="H23" t="str">
        <f>VLOOKUP(G23,'Base de Datos'!$B$4:$C$9,(2),(0))</f>
        <v>Mantiene</v>
      </c>
      <c r="I23" s="1" t="s">
        <v>191</v>
      </c>
    </row>
    <row r="24" spans="2:9" x14ac:dyDescent="0.25">
      <c r="B24" t="s">
        <v>32</v>
      </c>
      <c r="C24">
        <v>27123940089</v>
      </c>
      <c r="D24" s="1" t="s">
        <v>180</v>
      </c>
      <c r="E24" s="1" t="s">
        <v>186</v>
      </c>
      <c r="G24" s="1">
        <f t="shared" si="0"/>
        <v>2</v>
      </c>
      <c r="H24" t="str">
        <f>VLOOKUP(G24,'Base de Datos'!$B$4:$C$9,(2),(0))</f>
        <v>Sube</v>
      </c>
      <c r="I24" s="1" t="s">
        <v>190</v>
      </c>
    </row>
    <row r="25" spans="2:9" x14ac:dyDescent="0.25">
      <c r="B25" t="s">
        <v>33</v>
      </c>
      <c r="C25">
        <v>20267337366</v>
      </c>
      <c r="D25" s="1" t="s">
        <v>183</v>
      </c>
      <c r="E25" s="1" t="s">
        <v>183</v>
      </c>
      <c r="G25" s="1">
        <f t="shared" si="0"/>
        <v>4</v>
      </c>
      <c r="H25" t="str">
        <f>VLOOKUP(G25,'Base de Datos'!$B$4:$C$9,(2),(0))</f>
        <v>Mantiene</v>
      </c>
      <c r="I25" s="1" t="s">
        <v>190</v>
      </c>
    </row>
    <row r="26" spans="2:9" x14ac:dyDescent="0.25">
      <c r="B26" t="s">
        <v>34</v>
      </c>
      <c r="C26">
        <v>20289082507</v>
      </c>
      <c r="D26" s="1" t="s">
        <v>179</v>
      </c>
      <c r="E26" s="1" t="s">
        <v>179</v>
      </c>
      <c r="G26" s="1">
        <f t="shared" si="0"/>
        <v>4</v>
      </c>
      <c r="H26" t="str">
        <f>VLOOKUP(G26,'Base de Datos'!$B$4:$C$9,(2),(0))</f>
        <v>Mantiene</v>
      </c>
      <c r="I26" s="1" t="s">
        <v>190</v>
      </c>
    </row>
    <row r="27" spans="2:9" x14ac:dyDescent="0.25">
      <c r="B27" t="s">
        <v>35</v>
      </c>
      <c r="C27">
        <v>23280103659</v>
      </c>
      <c r="D27" s="1" t="s">
        <v>179</v>
      </c>
      <c r="E27" s="1" t="s">
        <v>179</v>
      </c>
      <c r="F27" s="1" t="s">
        <v>190</v>
      </c>
      <c r="G27" s="1">
        <f t="shared" si="0"/>
        <v>1</v>
      </c>
      <c r="H27" t="str">
        <f>VLOOKUP(G27,'Base de Datos'!$B$4:$C$9,(2),(0))</f>
        <v>Sin Facturación</v>
      </c>
      <c r="I27" s="1" t="s">
        <v>190</v>
      </c>
    </row>
    <row r="28" spans="2:9" x14ac:dyDescent="0.25">
      <c r="B28" t="s">
        <v>36</v>
      </c>
      <c r="C28">
        <v>27249137532</v>
      </c>
      <c r="D28" s="1" t="s">
        <v>184</v>
      </c>
      <c r="E28" s="1" t="s">
        <v>186</v>
      </c>
      <c r="G28" s="1">
        <f t="shared" si="0"/>
        <v>2</v>
      </c>
      <c r="H28" t="str">
        <f>VLOOKUP(G28,'Base de Datos'!$B$4:$C$9,(2),(0))</f>
        <v>Sube</v>
      </c>
      <c r="I28" s="1" t="s">
        <v>190</v>
      </c>
    </row>
    <row r="29" spans="2:9" x14ac:dyDescent="0.25">
      <c r="B29" t="s">
        <v>37</v>
      </c>
      <c r="C29">
        <v>20107775200</v>
      </c>
      <c r="D29" s="1" t="s">
        <v>180</v>
      </c>
      <c r="E29" s="1" t="s">
        <v>182</v>
      </c>
      <c r="G29" s="1">
        <f t="shared" si="0"/>
        <v>3</v>
      </c>
      <c r="H29" t="str">
        <f>VLOOKUP(G29,'Base de Datos'!$B$4:$C$9,(2),(0))</f>
        <v>Baja</v>
      </c>
      <c r="I29" s="1" t="s">
        <v>190</v>
      </c>
    </row>
    <row r="30" spans="2:9" x14ac:dyDescent="0.25">
      <c r="B30" t="s">
        <v>38</v>
      </c>
      <c r="C30">
        <v>27939912644</v>
      </c>
      <c r="D30" s="1" t="s">
        <v>179</v>
      </c>
      <c r="E30" s="1" t="s">
        <v>179</v>
      </c>
      <c r="F30" s="1" t="s">
        <v>190</v>
      </c>
      <c r="G30" s="1">
        <f t="shared" si="0"/>
        <v>1</v>
      </c>
      <c r="H30" t="str">
        <f>VLOOKUP(G30,'Base de Datos'!$B$4:$C$9,(2),(0))</f>
        <v>Sin Facturación</v>
      </c>
      <c r="I30" s="1" t="s">
        <v>190</v>
      </c>
    </row>
    <row r="31" spans="2:9" x14ac:dyDescent="0.25">
      <c r="B31" t="s">
        <v>39</v>
      </c>
      <c r="C31">
        <v>27216043745</v>
      </c>
      <c r="D31" s="1" t="s">
        <v>179</v>
      </c>
      <c r="E31" s="1" t="s">
        <v>179</v>
      </c>
      <c r="G31" s="1">
        <f t="shared" si="0"/>
        <v>4</v>
      </c>
      <c r="H31" t="str">
        <f>VLOOKUP(G31,'Base de Datos'!$B$4:$C$9,(2),(0))</f>
        <v>Mantiene</v>
      </c>
      <c r="I31" s="1" t="s">
        <v>191</v>
      </c>
    </row>
    <row r="32" spans="2:9" x14ac:dyDescent="0.25">
      <c r="B32" t="s">
        <v>40</v>
      </c>
      <c r="C32">
        <v>27045677058</v>
      </c>
      <c r="D32" s="1" t="s">
        <v>179</v>
      </c>
      <c r="E32" s="1" t="s">
        <v>179</v>
      </c>
      <c r="G32" s="1">
        <f t="shared" si="0"/>
        <v>4</v>
      </c>
      <c r="H32" t="str">
        <f>VLOOKUP(G32,'Base de Datos'!$B$4:$C$9,(2),(0))</f>
        <v>Mantiene</v>
      </c>
      <c r="I32" s="1" t="s">
        <v>190</v>
      </c>
    </row>
    <row r="33" spans="2:9" x14ac:dyDescent="0.25">
      <c r="B33" t="s">
        <v>41</v>
      </c>
      <c r="C33">
        <v>23372184469</v>
      </c>
      <c r="D33" s="1" t="s">
        <v>179</v>
      </c>
      <c r="E33" s="1" t="s">
        <v>179</v>
      </c>
      <c r="G33" s="1">
        <f t="shared" si="0"/>
        <v>4</v>
      </c>
      <c r="H33" t="str">
        <f>VLOOKUP(G33,'Base de Datos'!$B$4:$C$9,(2),(0))</f>
        <v>Mantiene</v>
      </c>
      <c r="I33" s="1" t="s">
        <v>191</v>
      </c>
    </row>
    <row r="34" spans="2:9" x14ac:dyDescent="0.25">
      <c r="B34" t="s">
        <v>42</v>
      </c>
      <c r="C34">
        <v>27186510343</v>
      </c>
      <c r="D34" s="1" t="s">
        <v>179</v>
      </c>
      <c r="E34" s="1" t="s">
        <v>179</v>
      </c>
      <c r="G34" s="1">
        <f t="shared" si="0"/>
        <v>4</v>
      </c>
      <c r="H34" t="str">
        <f>VLOOKUP(G34,'Base de Datos'!$B$4:$C$9,(2),(0))</f>
        <v>Mantiene</v>
      </c>
      <c r="I34" s="1" t="s">
        <v>191</v>
      </c>
    </row>
    <row r="35" spans="2:9" x14ac:dyDescent="0.25">
      <c r="B35" t="s">
        <v>43</v>
      </c>
      <c r="C35">
        <v>27316623250</v>
      </c>
      <c r="D35" s="1" t="s">
        <v>179</v>
      </c>
      <c r="E35" s="1" t="s">
        <v>179</v>
      </c>
      <c r="G35" s="1">
        <f t="shared" si="0"/>
        <v>4</v>
      </c>
      <c r="H35" t="str">
        <f>VLOOKUP(G35,'Base de Datos'!$B$4:$C$9,(2),(0))</f>
        <v>Mantiene</v>
      </c>
      <c r="I35" s="1" t="s">
        <v>190</v>
      </c>
    </row>
    <row r="36" spans="2:9" x14ac:dyDescent="0.25">
      <c r="B36" t="s">
        <v>44</v>
      </c>
      <c r="C36">
        <v>20085116097</v>
      </c>
      <c r="D36" s="1" t="s">
        <v>185</v>
      </c>
      <c r="E36" s="1" t="s">
        <v>186</v>
      </c>
      <c r="G36" s="1">
        <f t="shared" si="0"/>
        <v>2</v>
      </c>
      <c r="H36" t="str">
        <f>VLOOKUP(G36,'Base de Datos'!$B$4:$C$9,(2),(0))</f>
        <v>Sube</v>
      </c>
      <c r="I36" s="1" t="s">
        <v>190</v>
      </c>
    </row>
    <row r="37" spans="2:9" x14ac:dyDescent="0.25">
      <c r="B37" t="s">
        <v>45</v>
      </c>
      <c r="C37">
        <v>20395926153</v>
      </c>
      <c r="D37" s="1" t="s">
        <v>182</v>
      </c>
      <c r="E37" s="1" t="s">
        <v>180</v>
      </c>
      <c r="G37" s="1">
        <f t="shared" si="0"/>
        <v>2</v>
      </c>
      <c r="H37" t="str">
        <f>VLOOKUP(G37,'Base de Datos'!$B$4:$C$9,(2),(0))</f>
        <v>Sube</v>
      </c>
      <c r="I37" s="1" t="s">
        <v>191</v>
      </c>
    </row>
    <row r="38" spans="2:9" x14ac:dyDescent="0.25">
      <c r="B38" t="s">
        <v>46</v>
      </c>
      <c r="C38">
        <v>20240945089</v>
      </c>
      <c r="D38" s="1" t="s">
        <v>179</v>
      </c>
      <c r="E38" s="1" t="s">
        <v>182</v>
      </c>
      <c r="G38" s="1">
        <f t="shared" si="0"/>
        <v>2</v>
      </c>
      <c r="H38" t="str">
        <f>VLOOKUP(G38,'Base de Datos'!$B$4:$C$9,(2),(0))</f>
        <v>Sube</v>
      </c>
      <c r="I38" s="1" t="s">
        <v>190</v>
      </c>
    </row>
    <row r="39" spans="2:9" x14ac:dyDescent="0.25">
      <c r="B39" t="s">
        <v>47</v>
      </c>
      <c r="C39">
        <v>20930142736</v>
      </c>
      <c r="D39" s="1" t="s">
        <v>179</v>
      </c>
      <c r="E39" s="1" t="s">
        <v>179</v>
      </c>
      <c r="F39" s="1" t="s">
        <v>190</v>
      </c>
      <c r="G39" s="1">
        <f t="shared" si="0"/>
        <v>1</v>
      </c>
      <c r="H39" t="str">
        <f>VLOOKUP(G39,'Base de Datos'!$B$4:$C$9,(2),(0))</f>
        <v>Sin Facturación</v>
      </c>
      <c r="I39" s="1" t="s">
        <v>191</v>
      </c>
    </row>
    <row r="40" spans="2:9" x14ac:dyDescent="0.25">
      <c r="B40" t="s">
        <v>48</v>
      </c>
      <c r="C40">
        <v>20930142752</v>
      </c>
      <c r="D40" s="1" t="s">
        <v>179</v>
      </c>
      <c r="E40" s="1" t="s">
        <v>179</v>
      </c>
      <c r="F40" s="1" t="s">
        <v>190</v>
      </c>
      <c r="G40" s="1">
        <f t="shared" si="0"/>
        <v>1</v>
      </c>
      <c r="H40" t="str">
        <f>VLOOKUP(G40,'Base de Datos'!$B$4:$C$9,(2),(0))</f>
        <v>Sin Facturación</v>
      </c>
      <c r="I40" s="1" t="s">
        <v>191</v>
      </c>
    </row>
    <row r="41" spans="2:9" x14ac:dyDescent="0.25">
      <c r="B41" t="s">
        <v>49</v>
      </c>
      <c r="C41">
        <v>27270198231</v>
      </c>
      <c r="D41" s="1" t="s">
        <v>179</v>
      </c>
      <c r="E41" s="1" t="s">
        <v>179</v>
      </c>
      <c r="F41" s="1" t="s">
        <v>190</v>
      </c>
      <c r="G41" s="1">
        <f t="shared" si="0"/>
        <v>1</v>
      </c>
      <c r="H41" t="str">
        <f>VLOOKUP(G41,'Base de Datos'!$B$4:$C$9,(2),(0))</f>
        <v>Sin Facturación</v>
      </c>
      <c r="I41" s="1" t="s">
        <v>190</v>
      </c>
    </row>
    <row r="42" spans="2:9" x14ac:dyDescent="0.25">
      <c r="B42" t="s">
        <v>50</v>
      </c>
      <c r="C42">
        <v>27318098021</v>
      </c>
      <c r="D42" s="1" t="s">
        <v>182</v>
      </c>
      <c r="E42" s="1" t="s">
        <v>183</v>
      </c>
      <c r="G42" s="1">
        <f t="shared" si="0"/>
        <v>2</v>
      </c>
      <c r="H42" t="str">
        <f>VLOOKUP(G42,'Base de Datos'!$B$4:$C$9,(2),(0))</f>
        <v>Sube</v>
      </c>
      <c r="I42" s="1" t="s">
        <v>190</v>
      </c>
    </row>
    <row r="43" spans="2:9" x14ac:dyDescent="0.25">
      <c r="B43" t="s">
        <v>51</v>
      </c>
      <c r="C43">
        <v>20227787059</v>
      </c>
      <c r="D43" s="1" t="s">
        <v>179</v>
      </c>
      <c r="E43" s="1" t="s">
        <v>179</v>
      </c>
      <c r="G43" s="1">
        <f t="shared" si="0"/>
        <v>4</v>
      </c>
      <c r="H43" t="str">
        <f>VLOOKUP(G43,'Base de Datos'!$B$4:$C$9,(2),(0))</f>
        <v>Mantiene</v>
      </c>
      <c r="I43" s="1" t="s">
        <v>191</v>
      </c>
    </row>
    <row r="44" spans="2:9" x14ac:dyDescent="0.25">
      <c r="B44" t="s">
        <v>52</v>
      </c>
      <c r="C44">
        <v>27337998475</v>
      </c>
      <c r="D44" s="1" t="s">
        <v>181</v>
      </c>
      <c r="E44" s="1" t="s">
        <v>181</v>
      </c>
      <c r="G44" s="1">
        <f t="shared" si="0"/>
        <v>4</v>
      </c>
      <c r="H44" t="str">
        <f>VLOOKUP(G44,'Base de Datos'!$B$4:$C$9,(2),(0))</f>
        <v>Mantiene</v>
      </c>
      <c r="I44" s="1" t="s">
        <v>190</v>
      </c>
    </row>
    <row r="45" spans="2:9" x14ac:dyDescent="0.25">
      <c r="B45" t="s">
        <v>53</v>
      </c>
      <c r="C45">
        <v>27352110391</v>
      </c>
      <c r="D45" s="1" t="s">
        <v>184</v>
      </c>
      <c r="E45" s="1" t="s">
        <v>184</v>
      </c>
      <c r="G45" s="1">
        <f t="shared" si="0"/>
        <v>4</v>
      </c>
      <c r="H45" t="str">
        <f>VLOOKUP(G45,'Base de Datos'!$B$4:$C$9,(2),(0))</f>
        <v>Mantiene</v>
      </c>
      <c r="I45" s="1" t="s">
        <v>190</v>
      </c>
    </row>
    <row r="46" spans="2:9" x14ac:dyDescent="0.25">
      <c r="B46" t="s">
        <v>54</v>
      </c>
      <c r="C46">
        <v>27244281171</v>
      </c>
      <c r="D46" s="1" t="s">
        <v>179</v>
      </c>
      <c r="E46" s="1" t="s">
        <v>179</v>
      </c>
      <c r="G46" s="1">
        <f t="shared" si="0"/>
        <v>4</v>
      </c>
      <c r="H46" t="str">
        <f>VLOOKUP(G46,'Base de Datos'!$B$4:$C$9,(2),(0))</f>
        <v>Mantiene</v>
      </c>
      <c r="I46" s="1" t="s">
        <v>190</v>
      </c>
    </row>
    <row r="47" spans="2:9" x14ac:dyDescent="0.25">
      <c r="B47" t="s">
        <v>55</v>
      </c>
      <c r="C47">
        <v>20290477302</v>
      </c>
      <c r="D47" s="1" t="s">
        <v>184</v>
      </c>
      <c r="E47" s="1" t="s">
        <v>184</v>
      </c>
      <c r="G47" s="1">
        <f t="shared" si="0"/>
        <v>4</v>
      </c>
      <c r="H47" t="str">
        <f>VLOOKUP(G47,'Base de Datos'!$B$4:$C$9,(2),(0))</f>
        <v>Mantiene</v>
      </c>
      <c r="I47" s="1" t="s">
        <v>190</v>
      </c>
    </row>
    <row r="48" spans="2:9" x14ac:dyDescent="0.25">
      <c r="B48" t="s">
        <v>56</v>
      </c>
      <c r="C48">
        <v>27413147420</v>
      </c>
      <c r="D48" s="1" t="s">
        <v>179</v>
      </c>
      <c r="E48" s="1" t="s">
        <v>179</v>
      </c>
      <c r="G48" s="1">
        <f t="shared" si="0"/>
        <v>4</v>
      </c>
      <c r="H48" t="str">
        <f>VLOOKUP(G48,'Base de Datos'!$B$4:$C$9,(2),(0))</f>
        <v>Mantiene</v>
      </c>
      <c r="I48" s="1" t="s">
        <v>190</v>
      </c>
    </row>
    <row r="49" spans="2:9" x14ac:dyDescent="0.25">
      <c r="B49" t="s">
        <v>57</v>
      </c>
      <c r="C49">
        <v>27346237274</v>
      </c>
      <c r="D49" s="1" t="s">
        <v>179</v>
      </c>
      <c r="E49" s="1" t="s">
        <v>182</v>
      </c>
      <c r="G49" s="1">
        <f t="shared" si="0"/>
        <v>2</v>
      </c>
      <c r="H49" t="str">
        <f>VLOOKUP(G49,'Base de Datos'!$B$4:$C$9,(2),(0))</f>
        <v>Sube</v>
      </c>
      <c r="I49" s="1" t="s">
        <v>190</v>
      </c>
    </row>
    <row r="50" spans="2:9" x14ac:dyDescent="0.25">
      <c r="B50" t="s">
        <v>58</v>
      </c>
      <c r="C50">
        <v>27421583736</v>
      </c>
      <c r="D50" s="1" t="s">
        <v>179</v>
      </c>
      <c r="E50" s="1" t="s">
        <v>179</v>
      </c>
      <c r="G50" s="1">
        <f t="shared" si="0"/>
        <v>4</v>
      </c>
      <c r="H50" t="str">
        <f>VLOOKUP(G50,'Base de Datos'!$B$4:$C$9,(2),(0))</f>
        <v>Mantiene</v>
      </c>
      <c r="I50" s="1" t="s">
        <v>190</v>
      </c>
    </row>
    <row r="51" spans="2:9" x14ac:dyDescent="0.25">
      <c r="B51" t="s">
        <v>59</v>
      </c>
      <c r="C51">
        <v>23244282849</v>
      </c>
      <c r="D51" s="1" t="s">
        <v>179</v>
      </c>
      <c r="E51" s="1" t="s">
        <v>179</v>
      </c>
      <c r="G51" s="1">
        <f t="shared" si="0"/>
        <v>4</v>
      </c>
      <c r="H51" t="str">
        <f>VLOOKUP(G51,'Base de Datos'!$B$4:$C$9,(2),(0))</f>
        <v>Mantiene</v>
      </c>
      <c r="I51" s="1" t="s">
        <v>190</v>
      </c>
    </row>
    <row r="52" spans="2:9" x14ac:dyDescent="0.25">
      <c r="B52" t="s">
        <v>60</v>
      </c>
      <c r="C52">
        <v>27339359356</v>
      </c>
      <c r="D52" s="1" t="s">
        <v>185</v>
      </c>
      <c r="E52" s="1" t="s">
        <v>183</v>
      </c>
      <c r="G52" s="1">
        <f t="shared" si="0"/>
        <v>2</v>
      </c>
      <c r="H52" t="str">
        <f>VLOOKUP(G52,'Base de Datos'!$B$4:$C$9,(2),(0))</f>
        <v>Sube</v>
      </c>
      <c r="I52" s="1" t="s">
        <v>190</v>
      </c>
    </row>
    <row r="53" spans="2:9" x14ac:dyDescent="0.25">
      <c r="B53" t="s">
        <v>61</v>
      </c>
      <c r="C53">
        <v>27200425621</v>
      </c>
      <c r="D53" s="1" t="s">
        <v>179</v>
      </c>
      <c r="E53" s="1" t="s">
        <v>179</v>
      </c>
      <c r="G53" s="1">
        <f t="shared" si="0"/>
        <v>4</v>
      </c>
      <c r="H53" t="str">
        <f>VLOOKUP(G53,'Base de Datos'!$B$4:$C$9,(2),(0))</f>
        <v>Mantiene</v>
      </c>
      <c r="I53" s="1" t="s">
        <v>190</v>
      </c>
    </row>
    <row r="54" spans="2:9" x14ac:dyDescent="0.25">
      <c r="B54" t="s">
        <v>62</v>
      </c>
      <c r="C54">
        <v>27176318193</v>
      </c>
      <c r="D54" s="1" t="s">
        <v>180</v>
      </c>
      <c r="E54" s="1" t="s">
        <v>184</v>
      </c>
      <c r="G54" s="1">
        <f t="shared" si="0"/>
        <v>2</v>
      </c>
      <c r="H54" t="str">
        <f>VLOOKUP(G54,'Base de Datos'!$B$4:$C$9,(2),(0))</f>
        <v>Sube</v>
      </c>
      <c r="I54" s="1" t="s">
        <v>190</v>
      </c>
    </row>
    <row r="55" spans="2:9" x14ac:dyDescent="0.25">
      <c r="B55" t="s">
        <v>63</v>
      </c>
      <c r="C55">
        <v>23183495704</v>
      </c>
      <c r="D55" s="1" t="s">
        <v>179</v>
      </c>
      <c r="E55" s="1" t="s">
        <v>179</v>
      </c>
      <c r="G55" s="1">
        <f t="shared" si="0"/>
        <v>4</v>
      </c>
      <c r="H55" t="str">
        <f>VLOOKUP(G55,'Base de Datos'!$B$4:$C$9,(2),(0))</f>
        <v>Mantiene</v>
      </c>
      <c r="I55" s="1" t="s">
        <v>190</v>
      </c>
    </row>
    <row r="56" spans="2:9" x14ac:dyDescent="0.25">
      <c r="B56" t="s">
        <v>64</v>
      </c>
      <c r="C56">
        <v>27328965564</v>
      </c>
      <c r="D56" s="1" t="s">
        <v>182</v>
      </c>
      <c r="E56" s="1" t="s">
        <v>182</v>
      </c>
      <c r="G56" s="1">
        <f t="shared" si="0"/>
        <v>4</v>
      </c>
      <c r="H56" t="str">
        <f>VLOOKUP(G56,'Base de Datos'!$B$4:$C$9,(2),(0))</f>
        <v>Mantiene</v>
      </c>
      <c r="I56" s="1" t="s">
        <v>190</v>
      </c>
    </row>
    <row r="57" spans="2:9" x14ac:dyDescent="0.25">
      <c r="B57" t="s">
        <v>65</v>
      </c>
      <c r="C57">
        <v>20367982765</v>
      </c>
      <c r="D57" s="1" t="s">
        <v>179</v>
      </c>
      <c r="E57" s="1" t="s">
        <v>179</v>
      </c>
      <c r="G57" s="1">
        <f t="shared" si="0"/>
        <v>4</v>
      </c>
      <c r="H57" t="str">
        <f>VLOOKUP(G57,'Base de Datos'!$B$4:$C$9,(2),(0))</f>
        <v>Mantiene</v>
      </c>
      <c r="I57" s="1" t="s">
        <v>190</v>
      </c>
    </row>
    <row r="58" spans="2:9" x14ac:dyDescent="0.25">
      <c r="B58" t="s">
        <v>66</v>
      </c>
      <c r="C58">
        <v>20283481809</v>
      </c>
      <c r="D58" s="1" t="s">
        <v>183</v>
      </c>
      <c r="E58" s="1" t="s">
        <v>184</v>
      </c>
      <c r="G58" s="1">
        <f t="shared" si="0"/>
        <v>3</v>
      </c>
      <c r="H58" t="str">
        <f>VLOOKUP(G58,'Base de Datos'!$B$4:$C$9,(2),(0))</f>
        <v>Baja</v>
      </c>
      <c r="I58" s="1" t="s">
        <v>190</v>
      </c>
    </row>
    <row r="59" spans="2:9" x14ac:dyDescent="0.25">
      <c r="B59" t="s">
        <v>67</v>
      </c>
      <c r="C59">
        <v>27305312644</v>
      </c>
      <c r="D59" s="1" t="s">
        <v>184</v>
      </c>
      <c r="E59" s="1" t="s">
        <v>186</v>
      </c>
      <c r="G59" s="1">
        <f t="shared" si="0"/>
        <v>2</v>
      </c>
      <c r="H59" t="str">
        <f>VLOOKUP(G59,'Base de Datos'!$B$4:$C$9,(2),(0))</f>
        <v>Sube</v>
      </c>
      <c r="I59" s="1" t="s">
        <v>190</v>
      </c>
    </row>
    <row r="60" spans="2:9" x14ac:dyDescent="0.25">
      <c r="B60" t="s">
        <v>68</v>
      </c>
      <c r="C60">
        <v>23388548029</v>
      </c>
      <c r="D60" s="1" t="s">
        <v>179</v>
      </c>
      <c r="E60" s="1" t="s">
        <v>179</v>
      </c>
      <c r="G60" s="1">
        <f t="shared" si="0"/>
        <v>4</v>
      </c>
      <c r="H60" t="str">
        <f>VLOOKUP(G60,'Base de Datos'!$B$4:$C$9,(2),(0))</f>
        <v>Mantiene</v>
      </c>
      <c r="I60" s="1" t="s">
        <v>191</v>
      </c>
    </row>
    <row r="61" spans="2:9" x14ac:dyDescent="0.25">
      <c r="B61" t="s">
        <v>69</v>
      </c>
      <c r="C61">
        <v>20262548113</v>
      </c>
      <c r="D61" s="1" t="s">
        <v>180</v>
      </c>
      <c r="E61" s="1" t="s">
        <v>187</v>
      </c>
      <c r="G61" s="1">
        <f t="shared" si="0"/>
        <v>2</v>
      </c>
      <c r="H61" t="str">
        <f>VLOOKUP(G61,'Base de Datos'!$B$4:$C$9,(2),(0))</f>
        <v>Sube</v>
      </c>
      <c r="I61" s="1" t="s">
        <v>191</v>
      </c>
    </row>
    <row r="62" spans="2:9" x14ac:dyDescent="0.25">
      <c r="B62" t="s">
        <v>70</v>
      </c>
      <c r="C62">
        <v>27172158124</v>
      </c>
      <c r="D62" s="1" t="s">
        <v>182</v>
      </c>
      <c r="E62" s="1" t="s">
        <v>180</v>
      </c>
      <c r="G62" s="1">
        <f t="shared" si="0"/>
        <v>2</v>
      </c>
      <c r="H62" t="str">
        <f>VLOOKUP(G62,'Base de Datos'!$B$4:$C$9,(2),(0))</f>
        <v>Sube</v>
      </c>
      <c r="I62" s="1" t="s">
        <v>191</v>
      </c>
    </row>
    <row r="63" spans="2:9" x14ac:dyDescent="0.25">
      <c r="B63" t="s">
        <v>71</v>
      </c>
      <c r="C63">
        <v>20202549390</v>
      </c>
      <c r="D63" s="1" t="s">
        <v>182</v>
      </c>
      <c r="E63" s="1" t="s">
        <v>180</v>
      </c>
      <c r="G63" s="1">
        <f t="shared" si="0"/>
        <v>2</v>
      </c>
      <c r="H63" t="str">
        <f>VLOOKUP(G63,'Base de Datos'!$B$4:$C$9,(2),(0))</f>
        <v>Sube</v>
      </c>
      <c r="I63" s="1" t="s">
        <v>191</v>
      </c>
    </row>
    <row r="64" spans="2:9" x14ac:dyDescent="0.25">
      <c r="B64" t="s">
        <v>72</v>
      </c>
      <c r="C64">
        <v>27136011028</v>
      </c>
      <c r="D64" s="1" t="s">
        <v>182</v>
      </c>
      <c r="E64" s="1" t="s">
        <v>180</v>
      </c>
      <c r="G64" s="1">
        <f t="shared" si="0"/>
        <v>2</v>
      </c>
      <c r="H64" t="str">
        <f>VLOOKUP(G64,'Base de Datos'!$B$4:$C$9,(2),(0))</f>
        <v>Sube</v>
      </c>
      <c r="I64" s="1" t="s">
        <v>191</v>
      </c>
    </row>
    <row r="65" spans="2:9" x14ac:dyDescent="0.25">
      <c r="B65" t="s">
        <v>73</v>
      </c>
      <c r="C65">
        <v>27316823632</v>
      </c>
      <c r="D65" s="1" t="s">
        <v>179</v>
      </c>
      <c r="E65" s="1" t="s">
        <v>179</v>
      </c>
      <c r="G65" s="1">
        <f t="shared" si="0"/>
        <v>4</v>
      </c>
      <c r="H65" t="str">
        <f>VLOOKUP(G65,'Base de Datos'!$B$4:$C$9,(2),(0))</f>
        <v>Mantiene</v>
      </c>
      <c r="I65" s="1" t="s">
        <v>190</v>
      </c>
    </row>
    <row r="66" spans="2:9" x14ac:dyDescent="0.25">
      <c r="B66" t="s">
        <v>74</v>
      </c>
      <c r="C66">
        <v>27257080442</v>
      </c>
      <c r="D66" s="1" t="s">
        <v>179</v>
      </c>
      <c r="E66" s="1" t="s">
        <v>179</v>
      </c>
      <c r="G66" s="1">
        <f t="shared" ref="G66:G128" si="1">IF(F66="SI",(1),(IF(D66=E66,(4),(IF(D66&lt;E66,(2),(IF(D66&gt;E66,(3),("Sin codificar"))))))))</f>
        <v>4</v>
      </c>
      <c r="H66" t="str">
        <f>VLOOKUP(G66,'Base de Datos'!$B$4:$C$9,(2),(0))</f>
        <v>Mantiene</v>
      </c>
      <c r="I66" s="1" t="s">
        <v>190</v>
      </c>
    </row>
    <row r="67" spans="2:9" x14ac:dyDescent="0.25">
      <c r="B67" t="s">
        <v>75</v>
      </c>
      <c r="C67">
        <v>20250629959</v>
      </c>
      <c r="D67" s="1" t="s">
        <v>182</v>
      </c>
      <c r="E67" s="1" t="s">
        <v>184</v>
      </c>
      <c r="G67" s="1">
        <f t="shared" si="1"/>
        <v>2</v>
      </c>
      <c r="H67" t="str">
        <f>VLOOKUP(G67,'Base de Datos'!$B$4:$C$9,(2),(0))</f>
        <v>Sube</v>
      </c>
      <c r="I67" s="1" t="s">
        <v>191</v>
      </c>
    </row>
    <row r="68" spans="2:9" x14ac:dyDescent="0.25">
      <c r="B68" t="s">
        <v>76</v>
      </c>
      <c r="C68">
        <v>20232656639</v>
      </c>
      <c r="D68" s="1" t="s">
        <v>180</v>
      </c>
      <c r="E68" s="1" t="s">
        <v>180</v>
      </c>
      <c r="G68" s="1">
        <f t="shared" si="1"/>
        <v>4</v>
      </c>
      <c r="H68" t="str">
        <f>VLOOKUP(G68,'Base de Datos'!$B$4:$C$9,(2),(0))</f>
        <v>Mantiene</v>
      </c>
      <c r="I68" s="1" t="s">
        <v>190</v>
      </c>
    </row>
    <row r="69" spans="2:9" x14ac:dyDescent="0.25">
      <c r="B69" t="s">
        <v>77</v>
      </c>
      <c r="C69">
        <v>20237457243</v>
      </c>
      <c r="D69" s="1" t="s">
        <v>182</v>
      </c>
      <c r="E69" s="1" t="s">
        <v>182</v>
      </c>
      <c r="G69" s="1">
        <f t="shared" si="1"/>
        <v>4</v>
      </c>
      <c r="H69" t="str">
        <f>VLOOKUP(G69,'Base de Datos'!$B$4:$C$9,(2),(0))</f>
        <v>Mantiene</v>
      </c>
      <c r="I69" s="1" t="s">
        <v>190</v>
      </c>
    </row>
    <row r="70" spans="2:9" x14ac:dyDescent="0.25">
      <c r="B70" t="s">
        <v>78</v>
      </c>
      <c r="C70">
        <v>20202549323</v>
      </c>
      <c r="D70" s="1" t="s">
        <v>179</v>
      </c>
      <c r="E70" s="1" t="s">
        <v>179</v>
      </c>
      <c r="F70" s="1" t="s">
        <v>190</v>
      </c>
      <c r="G70" s="1">
        <f t="shared" si="1"/>
        <v>1</v>
      </c>
      <c r="H70" t="str">
        <f>VLOOKUP(G70,'Base de Datos'!$B$4:$C$9,(2),(0))</f>
        <v>Sin Facturación</v>
      </c>
      <c r="I70" s="1" t="s">
        <v>190</v>
      </c>
    </row>
    <row r="71" spans="2:9" x14ac:dyDescent="0.25">
      <c r="B71" t="s">
        <v>79</v>
      </c>
      <c r="C71">
        <v>20251494275</v>
      </c>
      <c r="D71" s="1" t="s">
        <v>179</v>
      </c>
      <c r="E71" s="1" t="s">
        <v>179</v>
      </c>
      <c r="G71" s="1">
        <f t="shared" si="1"/>
        <v>4</v>
      </c>
      <c r="H71" t="str">
        <f>VLOOKUP(G71,'Base de Datos'!$B$4:$C$9,(2),(0))</f>
        <v>Mantiene</v>
      </c>
      <c r="I71" s="1" t="s">
        <v>191</v>
      </c>
    </row>
    <row r="72" spans="2:9" x14ac:dyDescent="0.25">
      <c r="B72" t="s">
        <v>80</v>
      </c>
      <c r="C72">
        <v>27261190503</v>
      </c>
      <c r="D72" s="1" t="s">
        <v>179</v>
      </c>
      <c r="E72" s="1" t="s">
        <v>182</v>
      </c>
      <c r="G72" s="1">
        <f t="shared" si="1"/>
        <v>2</v>
      </c>
      <c r="H72" t="str">
        <f>VLOOKUP(G72,'Base de Datos'!$B$4:$C$9,(2),(0))</f>
        <v>Sube</v>
      </c>
      <c r="I72" s="1" t="s">
        <v>190</v>
      </c>
    </row>
    <row r="73" spans="2:9" x14ac:dyDescent="0.25">
      <c r="B73" t="s">
        <v>81</v>
      </c>
      <c r="C73">
        <v>20281517172</v>
      </c>
      <c r="D73" s="1" t="s">
        <v>179</v>
      </c>
      <c r="E73" s="1" t="s">
        <v>179</v>
      </c>
      <c r="G73" s="1">
        <f t="shared" si="1"/>
        <v>4</v>
      </c>
      <c r="H73" t="str">
        <f>VLOOKUP(G73,'Base de Datos'!$B$4:$C$9,(2),(0))</f>
        <v>Mantiene</v>
      </c>
      <c r="I73" s="1" t="s">
        <v>190</v>
      </c>
    </row>
    <row r="74" spans="2:9" x14ac:dyDescent="0.25">
      <c r="B74" t="s">
        <v>82</v>
      </c>
      <c r="C74">
        <v>23254632449</v>
      </c>
      <c r="D74" s="1" t="s">
        <v>179</v>
      </c>
      <c r="E74" s="1" t="s">
        <v>179</v>
      </c>
      <c r="F74" s="1" t="s">
        <v>190</v>
      </c>
      <c r="G74" s="1">
        <f t="shared" si="1"/>
        <v>1</v>
      </c>
      <c r="H74" t="str">
        <f>VLOOKUP(G74,'Base de Datos'!$B$4:$C$9,(2),(0))</f>
        <v>Sin Facturación</v>
      </c>
      <c r="I74" s="1" t="s">
        <v>191</v>
      </c>
    </row>
    <row r="75" spans="2:9" x14ac:dyDescent="0.25">
      <c r="B75" t="s">
        <v>83</v>
      </c>
      <c r="C75">
        <v>27126518736</v>
      </c>
      <c r="D75" s="1" t="s">
        <v>186</v>
      </c>
      <c r="E75" s="1" t="s">
        <v>181</v>
      </c>
      <c r="G75" s="1">
        <f t="shared" si="1"/>
        <v>3</v>
      </c>
      <c r="H75" t="str">
        <f>VLOOKUP(G75,'Base de Datos'!$B$4:$C$9,(2),(0))</f>
        <v>Baja</v>
      </c>
      <c r="I75" s="1" t="s">
        <v>190</v>
      </c>
    </row>
    <row r="76" spans="2:9" x14ac:dyDescent="0.25">
      <c r="B76" t="s">
        <v>84</v>
      </c>
      <c r="C76">
        <v>20149557645</v>
      </c>
      <c r="D76" s="1" t="s">
        <v>185</v>
      </c>
      <c r="E76" s="1" t="s">
        <v>181</v>
      </c>
      <c r="G76" s="1">
        <f t="shared" si="1"/>
        <v>2</v>
      </c>
      <c r="H76" t="str">
        <f>VLOOKUP(G76,'Base de Datos'!$B$4:$C$9,(2),(0))</f>
        <v>Sube</v>
      </c>
      <c r="I76" s="1" t="s">
        <v>190</v>
      </c>
    </row>
    <row r="77" spans="2:9" x14ac:dyDescent="0.25">
      <c r="B77" t="s">
        <v>85</v>
      </c>
      <c r="C77">
        <v>27047157558</v>
      </c>
      <c r="D77" s="1" t="s">
        <v>184</v>
      </c>
      <c r="E77" s="1" t="s">
        <v>183</v>
      </c>
      <c r="G77" s="1">
        <f t="shared" si="1"/>
        <v>2</v>
      </c>
      <c r="H77" t="str">
        <f>VLOOKUP(G77,'Base de Datos'!$B$4:$C$9,(2),(0))</f>
        <v>Sube</v>
      </c>
      <c r="I77" s="1" t="s">
        <v>190</v>
      </c>
    </row>
    <row r="78" spans="2:9" x14ac:dyDescent="0.25">
      <c r="B78" t="s">
        <v>86</v>
      </c>
      <c r="C78">
        <v>27294032849</v>
      </c>
      <c r="D78" s="1" t="s">
        <v>179</v>
      </c>
      <c r="E78" s="1" t="s">
        <v>179</v>
      </c>
      <c r="G78" s="1">
        <f t="shared" si="1"/>
        <v>4</v>
      </c>
      <c r="H78" t="str">
        <f>VLOOKUP(G78,'Base de Datos'!$B$4:$C$9,(2),(0))</f>
        <v>Mantiene</v>
      </c>
      <c r="I78" s="1" t="s">
        <v>190</v>
      </c>
    </row>
    <row r="79" spans="2:9" x14ac:dyDescent="0.25">
      <c r="B79" t="s">
        <v>87</v>
      </c>
      <c r="C79">
        <v>27148320441</v>
      </c>
      <c r="D79" s="1" t="s">
        <v>179</v>
      </c>
      <c r="E79" s="1" t="s">
        <v>179</v>
      </c>
      <c r="G79" s="1">
        <f t="shared" si="1"/>
        <v>4</v>
      </c>
      <c r="H79" t="str">
        <f>VLOOKUP(G79,'Base de Datos'!$B$4:$C$9,(2),(0))</f>
        <v>Mantiene</v>
      </c>
      <c r="I79" s="1" t="s">
        <v>190</v>
      </c>
    </row>
    <row r="80" spans="2:9" x14ac:dyDescent="0.25">
      <c r="B80" t="s">
        <v>88</v>
      </c>
      <c r="C80">
        <v>20310233936</v>
      </c>
      <c r="D80" s="1" t="s">
        <v>179</v>
      </c>
      <c r="E80" s="1" t="s">
        <v>179</v>
      </c>
      <c r="G80" s="1">
        <f t="shared" si="1"/>
        <v>4</v>
      </c>
      <c r="H80" t="str">
        <f>VLOOKUP(G80,'Base de Datos'!$B$4:$C$9,(2),(0))</f>
        <v>Mantiene</v>
      </c>
      <c r="I80" s="1" t="s">
        <v>190</v>
      </c>
    </row>
    <row r="81" spans="2:9" x14ac:dyDescent="0.25">
      <c r="B81" t="s">
        <v>89</v>
      </c>
      <c r="C81">
        <v>27114167016</v>
      </c>
      <c r="D81" s="1" t="s">
        <v>179</v>
      </c>
      <c r="E81" s="1" t="s">
        <v>182</v>
      </c>
      <c r="G81" s="1">
        <f t="shared" si="1"/>
        <v>2</v>
      </c>
      <c r="H81" t="str">
        <f>VLOOKUP(G81,'Base de Datos'!$B$4:$C$9,(2),(0))</f>
        <v>Sube</v>
      </c>
      <c r="I81" s="1" t="s">
        <v>190</v>
      </c>
    </row>
    <row r="82" spans="2:9" x14ac:dyDescent="0.25">
      <c r="B82" t="s">
        <v>90</v>
      </c>
      <c r="C82">
        <v>20290476012</v>
      </c>
      <c r="D82" s="1" t="s">
        <v>184</v>
      </c>
      <c r="E82" s="1" t="s">
        <v>185</v>
      </c>
      <c r="G82" s="1">
        <f t="shared" si="1"/>
        <v>2</v>
      </c>
      <c r="H82" t="str">
        <f>VLOOKUP(G82,'Base de Datos'!$B$4:$C$9,(2),(0))</f>
        <v>Sube</v>
      </c>
      <c r="I82" s="1" t="s">
        <v>190</v>
      </c>
    </row>
    <row r="83" spans="2:9" x14ac:dyDescent="0.25">
      <c r="B83" t="s">
        <v>91</v>
      </c>
      <c r="C83">
        <v>27264579916</v>
      </c>
      <c r="D83" s="1" t="s">
        <v>179</v>
      </c>
      <c r="E83" s="1" t="s">
        <v>179</v>
      </c>
      <c r="G83" s="1">
        <f t="shared" si="1"/>
        <v>4</v>
      </c>
      <c r="H83" t="str">
        <f>VLOOKUP(G83,'Base de Datos'!$B$4:$C$9,(2),(0))</f>
        <v>Mantiene</v>
      </c>
      <c r="I83" s="1" t="s">
        <v>190</v>
      </c>
    </row>
    <row r="84" spans="2:9" x14ac:dyDescent="0.25">
      <c r="B84" t="s">
        <v>92</v>
      </c>
      <c r="C84">
        <v>20445349225</v>
      </c>
      <c r="D84" s="1" t="s">
        <v>179</v>
      </c>
      <c r="E84" s="1" t="s">
        <v>179</v>
      </c>
      <c r="G84" s="1">
        <f t="shared" si="1"/>
        <v>4</v>
      </c>
      <c r="H84" t="str">
        <f>VLOOKUP(G84,'Base de Datos'!$B$4:$C$9,(2),(0))</f>
        <v>Mantiene</v>
      </c>
      <c r="I84" s="1" t="s">
        <v>190</v>
      </c>
    </row>
    <row r="85" spans="2:9" x14ac:dyDescent="0.25">
      <c r="B85" t="s">
        <v>93</v>
      </c>
      <c r="C85">
        <v>27462778673</v>
      </c>
      <c r="D85" s="1" t="s">
        <v>179</v>
      </c>
      <c r="E85" s="1" t="s">
        <v>179</v>
      </c>
      <c r="G85" s="1">
        <f t="shared" si="1"/>
        <v>4</v>
      </c>
      <c r="H85" t="str">
        <f>VLOOKUP(G85,'Base de Datos'!$B$4:$C$9,(2),(0))</f>
        <v>Mantiene</v>
      </c>
      <c r="I85" s="1" t="s">
        <v>190</v>
      </c>
    </row>
    <row r="86" spans="2:9" x14ac:dyDescent="0.25">
      <c r="B86" t="s">
        <v>94</v>
      </c>
      <c r="C86">
        <v>27063646887</v>
      </c>
      <c r="D86" s="1" t="s">
        <v>179</v>
      </c>
      <c r="E86" s="1" t="s">
        <v>179</v>
      </c>
      <c r="G86" s="1">
        <f t="shared" si="1"/>
        <v>4</v>
      </c>
      <c r="H86" t="str">
        <f>VLOOKUP(G86,'Base de Datos'!$B$4:$C$9,(2),(0))</f>
        <v>Mantiene</v>
      </c>
      <c r="I86" s="1" t="s">
        <v>190</v>
      </c>
    </row>
    <row r="87" spans="2:9" x14ac:dyDescent="0.25">
      <c r="B87" t="s">
        <v>95</v>
      </c>
      <c r="C87">
        <v>20247617524</v>
      </c>
      <c r="D87" s="1" t="s">
        <v>179</v>
      </c>
      <c r="E87" s="1" t="s">
        <v>179</v>
      </c>
      <c r="G87" s="1">
        <f t="shared" si="1"/>
        <v>4</v>
      </c>
      <c r="H87" t="str">
        <f>VLOOKUP(G87,'Base de Datos'!$B$4:$C$9,(2),(0))</f>
        <v>Mantiene</v>
      </c>
      <c r="I87" s="1" t="s">
        <v>190</v>
      </c>
    </row>
    <row r="88" spans="2:9" x14ac:dyDescent="0.25">
      <c r="B88" t="s">
        <v>96</v>
      </c>
      <c r="C88">
        <v>23163700824</v>
      </c>
      <c r="D88" s="1" t="s">
        <v>179</v>
      </c>
      <c r="E88" s="1" t="s">
        <v>179</v>
      </c>
      <c r="G88" s="1">
        <f t="shared" si="1"/>
        <v>4</v>
      </c>
      <c r="H88" t="str">
        <f>VLOOKUP(G88,'Base de Datos'!$B$4:$C$9,(2),(0))</f>
        <v>Mantiene</v>
      </c>
      <c r="I88" s="1" t="s">
        <v>190</v>
      </c>
    </row>
    <row r="89" spans="2:9" x14ac:dyDescent="0.25">
      <c r="B89" t="s">
        <v>97</v>
      </c>
      <c r="C89">
        <v>20080768819</v>
      </c>
      <c r="D89" s="1" t="s">
        <v>179</v>
      </c>
      <c r="E89" s="1" t="s">
        <v>179</v>
      </c>
      <c r="G89" s="1">
        <f t="shared" si="1"/>
        <v>4</v>
      </c>
      <c r="H89" t="str">
        <f>VLOOKUP(G89,'Base de Datos'!$B$4:$C$9,(2),(0))</f>
        <v>Mantiene</v>
      </c>
      <c r="I89" s="1" t="s">
        <v>191</v>
      </c>
    </row>
    <row r="90" spans="2:9" x14ac:dyDescent="0.25">
      <c r="B90" t="s">
        <v>98</v>
      </c>
      <c r="C90">
        <v>20216049137</v>
      </c>
      <c r="D90" s="1" t="s">
        <v>179</v>
      </c>
      <c r="E90" s="1" t="s">
        <v>179</v>
      </c>
      <c r="G90" s="1">
        <f t="shared" si="1"/>
        <v>4</v>
      </c>
      <c r="H90" t="str">
        <f>VLOOKUP(G90,'Base de Datos'!$B$4:$C$9,(2),(0))</f>
        <v>Mantiene</v>
      </c>
      <c r="I90" s="1" t="s">
        <v>191</v>
      </c>
    </row>
    <row r="91" spans="2:9" x14ac:dyDescent="0.25">
      <c r="B91" t="s">
        <v>99</v>
      </c>
      <c r="C91">
        <v>23284473469</v>
      </c>
      <c r="D91" s="1" t="s">
        <v>185</v>
      </c>
      <c r="E91" s="1" t="s">
        <v>184</v>
      </c>
      <c r="G91" s="1">
        <f t="shared" si="1"/>
        <v>3</v>
      </c>
      <c r="H91" t="str">
        <f>VLOOKUP(G91,'Base de Datos'!$B$4:$C$9,(2),(0))</f>
        <v>Baja</v>
      </c>
      <c r="I91" s="1" t="s">
        <v>190</v>
      </c>
    </row>
    <row r="92" spans="2:9" x14ac:dyDescent="0.25">
      <c r="B92" t="s">
        <v>100</v>
      </c>
      <c r="C92">
        <v>20053936297</v>
      </c>
      <c r="D92" s="1" t="s">
        <v>184</v>
      </c>
      <c r="E92" s="1" t="s">
        <v>184</v>
      </c>
      <c r="G92" s="1">
        <f t="shared" si="1"/>
        <v>4</v>
      </c>
      <c r="H92" t="str">
        <f>VLOOKUP(G92,'Base de Datos'!$B$4:$C$9,(2),(0))</f>
        <v>Mantiene</v>
      </c>
      <c r="I92" s="1" t="s">
        <v>190</v>
      </c>
    </row>
    <row r="93" spans="2:9" x14ac:dyDescent="0.25">
      <c r="B93" t="s">
        <v>101</v>
      </c>
      <c r="C93">
        <v>20270198741</v>
      </c>
      <c r="D93" s="1" t="s">
        <v>179</v>
      </c>
      <c r="E93" s="1" t="s">
        <v>179</v>
      </c>
      <c r="G93" s="1">
        <f t="shared" si="1"/>
        <v>4</v>
      </c>
      <c r="H93" t="str">
        <f>VLOOKUP(G93,'Base de Datos'!$B$4:$C$9,(2),(0))</f>
        <v>Mantiene</v>
      </c>
      <c r="I93" s="1" t="s">
        <v>190</v>
      </c>
    </row>
    <row r="94" spans="2:9" x14ac:dyDescent="0.25">
      <c r="B94" t="s">
        <v>102</v>
      </c>
      <c r="C94">
        <v>20254316165</v>
      </c>
      <c r="D94" s="1" t="s">
        <v>180</v>
      </c>
      <c r="E94" s="1" t="s">
        <v>180</v>
      </c>
      <c r="G94" s="1">
        <f t="shared" si="1"/>
        <v>4</v>
      </c>
      <c r="H94" t="str">
        <f>VLOOKUP(G94,'Base de Datos'!$B$4:$C$9,(2),(0))</f>
        <v>Mantiene</v>
      </c>
      <c r="I94" s="1" t="s">
        <v>190</v>
      </c>
    </row>
    <row r="95" spans="2:9" x14ac:dyDescent="0.25">
      <c r="B95" t="s">
        <v>103</v>
      </c>
      <c r="C95">
        <v>27063647239</v>
      </c>
      <c r="D95" s="1" t="s">
        <v>179</v>
      </c>
      <c r="E95" s="1" t="s">
        <v>179</v>
      </c>
      <c r="G95" s="1">
        <f t="shared" si="1"/>
        <v>4</v>
      </c>
      <c r="H95" t="str">
        <f>VLOOKUP(G95,'Base de Datos'!$B$4:$C$9,(2),(0))</f>
        <v>Mantiene</v>
      </c>
      <c r="I95" s="1" t="s">
        <v>190</v>
      </c>
    </row>
    <row r="96" spans="2:9" x14ac:dyDescent="0.25">
      <c r="B96" t="s">
        <v>104</v>
      </c>
      <c r="C96">
        <v>20449619723</v>
      </c>
      <c r="D96" s="1" t="s">
        <v>179</v>
      </c>
      <c r="E96" s="1" t="s">
        <v>179</v>
      </c>
      <c r="G96" s="1">
        <f t="shared" si="1"/>
        <v>4</v>
      </c>
      <c r="H96" t="str">
        <f>VLOOKUP(G96,'Base de Datos'!$B$4:$C$9,(2),(0))</f>
        <v>Mantiene</v>
      </c>
      <c r="I96" s="1" t="s">
        <v>191</v>
      </c>
    </row>
    <row r="97" spans="2:9" x14ac:dyDescent="0.25">
      <c r="B97" t="s">
        <v>105</v>
      </c>
      <c r="C97">
        <v>27329704578</v>
      </c>
      <c r="D97" s="1" t="s">
        <v>179</v>
      </c>
      <c r="E97" s="1" t="s">
        <v>179</v>
      </c>
      <c r="G97" s="1">
        <f t="shared" si="1"/>
        <v>4</v>
      </c>
      <c r="H97" t="str">
        <f>VLOOKUP(G97,'Base de Datos'!$B$4:$C$9,(2),(0))</f>
        <v>Mantiene</v>
      </c>
      <c r="I97" s="1" t="s">
        <v>190</v>
      </c>
    </row>
    <row r="98" spans="2:9" x14ac:dyDescent="0.25">
      <c r="B98" t="s">
        <v>106</v>
      </c>
      <c r="C98">
        <v>27132330463</v>
      </c>
      <c r="D98" s="1" t="s">
        <v>179</v>
      </c>
      <c r="E98" s="1" t="s">
        <v>179</v>
      </c>
      <c r="G98" s="1">
        <f t="shared" si="1"/>
        <v>4</v>
      </c>
      <c r="H98" t="str">
        <f>VLOOKUP(G98,'Base de Datos'!$B$4:$C$9,(2),(0))</f>
        <v>Mantiene</v>
      </c>
      <c r="I98" s="1" t="s">
        <v>191</v>
      </c>
    </row>
    <row r="99" spans="2:9" x14ac:dyDescent="0.25">
      <c r="B99" t="s">
        <v>178</v>
      </c>
      <c r="C99">
        <v>27267781406</v>
      </c>
      <c r="D99" s="1" t="s">
        <v>182</v>
      </c>
      <c r="E99" s="1" t="s">
        <v>179</v>
      </c>
      <c r="G99" s="1">
        <f t="shared" si="1"/>
        <v>3</v>
      </c>
      <c r="H99" t="str">
        <f>VLOOKUP(G99,'Base de Datos'!$B$4:$C$9,(2),(0))</f>
        <v>Baja</v>
      </c>
      <c r="I99" s="1" t="s">
        <v>191</v>
      </c>
    </row>
    <row r="100" spans="2:9" x14ac:dyDescent="0.25">
      <c r="B100" t="s">
        <v>107</v>
      </c>
      <c r="C100">
        <v>20276088352</v>
      </c>
      <c r="D100" s="1" t="s">
        <v>186</v>
      </c>
      <c r="G100" s="1">
        <f t="shared" si="1"/>
        <v>3</v>
      </c>
      <c r="H100" t="str">
        <f>VLOOKUP(G100,'Base de Datos'!$B$4:$C$9,(2),(0))</f>
        <v>Baja</v>
      </c>
      <c r="I100" s="1" t="s">
        <v>190</v>
      </c>
    </row>
    <row r="101" spans="2:9" x14ac:dyDescent="0.25">
      <c r="B101" t="s">
        <v>108</v>
      </c>
      <c r="C101">
        <v>23207372374</v>
      </c>
      <c r="D101" s="1" t="s">
        <v>185</v>
      </c>
      <c r="E101" s="1" t="s">
        <v>185</v>
      </c>
      <c r="G101" s="1">
        <f t="shared" si="1"/>
        <v>4</v>
      </c>
      <c r="H101" t="str">
        <f>VLOOKUP(G101,'Base de Datos'!$B$4:$C$9,(2),(0))</f>
        <v>Mantiene</v>
      </c>
      <c r="I101" s="1" t="s">
        <v>190</v>
      </c>
    </row>
    <row r="102" spans="2:9" x14ac:dyDescent="0.25">
      <c r="B102" t="s">
        <v>109</v>
      </c>
      <c r="C102">
        <v>20328857325</v>
      </c>
      <c r="D102" s="1" t="s">
        <v>183</v>
      </c>
      <c r="E102" s="1" t="s">
        <v>183</v>
      </c>
      <c r="G102" s="1">
        <f t="shared" si="1"/>
        <v>4</v>
      </c>
      <c r="H102" t="str">
        <f>VLOOKUP(G102,'Base de Datos'!$B$4:$C$9,(2),(0))</f>
        <v>Mantiene</v>
      </c>
      <c r="I102" s="1" t="s">
        <v>190</v>
      </c>
    </row>
    <row r="103" spans="2:9" x14ac:dyDescent="0.25">
      <c r="B103" t="s">
        <v>110</v>
      </c>
      <c r="C103">
        <v>23047998794</v>
      </c>
      <c r="D103" s="1" t="s">
        <v>184</v>
      </c>
      <c r="E103" s="1" t="s">
        <v>180</v>
      </c>
      <c r="G103" s="1">
        <f t="shared" si="1"/>
        <v>3</v>
      </c>
      <c r="H103" t="str">
        <f>VLOOKUP(G103,'Base de Datos'!$B$4:$C$9,(2),(0))</f>
        <v>Baja</v>
      </c>
      <c r="I103" s="1" t="s">
        <v>191</v>
      </c>
    </row>
    <row r="104" spans="2:9" x14ac:dyDescent="0.25">
      <c r="B104" t="s">
        <v>111</v>
      </c>
      <c r="C104">
        <v>27941591413</v>
      </c>
      <c r="D104" s="1" t="s">
        <v>184</v>
      </c>
      <c r="E104" s="1" t="s">
        <v>184</v>
      </c>
      <c r="G104" s="1">
        <f t="shared" si="1"/>
        <v>4</v>
      </c>
      <c r="H104" t="str">
        <f>VLOOKUP(G104,'Base de Datos'!$B$4:$C$9,(2),(0))</f>
        <v>Mantiene</v>
      </c>
      <c r="I104" s="1" t="s">
        <v>190</v>
      </c>
    </row>
    <row r="105" spans="2:9" x14ac:dyDescent="0.25">
      <c r="B105" t="s">
        <v>112</v>
      </c>
      <c r="C105">
        <v>27302402243</v>
      </c>
      <c r="D105" s="1" t="s">
        <v>184</v>
      </c>
      <c r="E105" s="1" t="s">
        <v>186</v>
      </c>
      <c r="G105" s="1">
        <f t="shared" si="1"/>
        <v>2</v>
      </c>
      <c r="H105" t="str">
        <f>VLOOKUP(G105,'Base de Datos'!$B$4:$C$9,(2),(0))</f>
        <v>Sube</v>
      </c>
      <c r="I105" s="1" t="s">
        <v>190</v>
      </c>
    </row>
    <row r="106" spans="2:9" x14ac:dyDescent="0.25">
      <c r="B106" t="s">
        <v>113</v>
      </c>
      <c r="C106">
        <v>20289722026</v>
      </c>
      <c r="D106" s="1" t="s">
        <v>179</v>
      </c>
      <c r="G106" s="1">
        <f t="shared" si="1"/>
        <v>3</v>
      </c>
      <c r="H106" t="str">
        <f>VLOOKUP(G106,'Base de Datos'!$B$4:$C$9,(2),(0))</f>
        <v>Baja</v>
      </c>
      <c r="I106" s="1" t="s">
        <v>190</v>
      </c>
    </row>
    <row r="107" spans="2:9" x14ac:dyDescent="0.25">
      <c r="B107" t="s">
        <v>114</v>
      </c>
      <c r="C107">
        <v>27063733194</v>
      </c>
      <c r="D107" s="1" t="s">
        <v>180</v>
      </c>
      <c r="E107" s="1" t="s">
        <v>182</v>
      </c>
      <c r="G107" s="1">
        <f t="shared" si="1"/>
        <v>3</v>
      </c>
      <c r="H107" t="str">
        <f>VLOOKUP(G107,'Base de Datos'!$B$4:$C$9,(2),(0))</f>
        <v>Baja</v>
      </c>
      <c r="I107" s="1" t="s">
        <v>191</v>
      </c>
    </row>
    <row r="108" spans="2:9" x14ac:dyDescent="0.25">
      <c r="B108" t="s">
        <v>115</v>
      </c>
      <c r="C108">
        <v>20333677629</v>
      </c>
      <c r="D108" s="1" t="s">
        <v>180</v>
      </c>
      <c r="E108" s="1" t="s">
        <v>185</v>
      </c>
      <c r="G108" s="1">
        <f t="shared" si="1"/>
        <v>2</v>
      </c>
      <c r="H108" t="str">
        <f>VLOOKUP(G108,'Base de Datos'!$B$4:$C$9,(2),(0))</f>
        <v>Sube</v>
      </c>
      <c r="I108" s="1" t="s">
        <v>191</v>
      </c>
    </row>
    <row r="109" spans="2:9" x14ac:dyDescent="0.25">
      <c r="B109" t="s">
        <v>116</v>
      </c>
      <c r="C109">
        <v>27305195192</v>
      </c>
      <c r="D109" s="1" t="s">
        <v>179</v>
      </c>
      <c r="E109" s="1" t="s">
        <v>179</v>
      </c>
      <c r="G109" s="1">
        <f t="shared" si="1"/>
        <v>4</v>
      </c>
      <c r="H109" t="str">
        <f>VLOOKUP(G109,'Base de Datos'!$B$4:$C$9,(2),(0))</f>
        <v>Mantiene</v>
      </c>
      <c r="I109" s="1" t="s">
        <v>191</v>
      </c>
    </row>
    <row r="110" spans="2:9" x14ac:dyDescent="0.25">
      <c r="B110" t="s">
        <v>117</v>
      </c>
      <c r="C110">
        <v>20144151039</v>
      </c>
      <c r="D110" s="1" t="s">
        <v>179</v>
      </c>
      <c r="E110" s="1" t="s">
        <v>179</v>
      </c>
      <c r="F110" s="1" t="s">
        <v>190</v>
      </c>
      <c r="G110" s="1">
        <f t="shared" si="1"/>
        <v>1</v>
      </c>
      <c r="H110" t="str">
        <f>VLOOKUP(G110,'Base de Datos'!$B$4:$C$9,(2),(0))</f>
        <v>Sin Facturación</v>
      </c>
      <c r="I110" s="1" t="s">
        <v>191</v>
      </c>
    </row>
    <row r="111" spans="2:9" x14ac:dyDescent="0.25">
      <c r="B111" t="s">
        <v>118</v>
      </c>
      <c r="C111">
        <v>20106141569</v>
      </c>
      <c r="D111" s="1" t="s">
        <v>182</v>
      </c>
      <c r="G111" s="1">
        <f t="shared" si="1"/>
        <v>3</v>
      </c>
      <c r="H111" t="str">
        <f>VLOOKUP(G111,'Base de Datos'!$B$4:$C$9,(2),(0))</f>
        <v>Baja</v>
      </c>
      <c r="I111" s="1" t="s">
        <v>191</v>
      </c>
    </row>
    <row r="112" spans="2:9" x14ac:dyDescent="0.25">
      <c r="B112" t="s">
        <v>119</v>
      </c>
      <c r="C112">
        <v>20352110915</v>
      </c>
      <c r="D112" s="1" t="s">
        <v>182</v>
      </c>
      <c r="E112" s="1" t="s">
        <v>179</v>
      </c>
      <c r="G112" s="1">
        <f t="shared" si="1"/>
        <v>3</v>
      </c>
      <c r="H112" t="str">
        <f>VLOOKUP(G112,'Base de Datos'!$B$4:$C$9,(2),(0))</f>
        <v>Baja</v>
      </c>
      <c r="I112" s="1" t="s">
        <v>190</v>
      </c>
    </row>
    <row r="113" spans="2:9" x14ac:dyDescent="0.25">
      <c r="B113" t="s">
        <v>120</v>
      </c>
      <c r="C113">
        <v>23935430984</v>
      </c>
      <c r="D113" s="1" t="s">
        <v>179</v>
      </c>
      <c r="E113" s="1" t="s">
        <v>179</v>
      </c>
      <c r="G113" s="1">
        <f t="shared" si="1"/>
        <v>4</v>
      </c>
      <c r="H113" t="str">
        <f>VLOOKUP(G113,'Base de Datos'!$B$4:$C$9,(2),(0))</f>
        <v>Mantiene</v>
      </c>
      <c r="I113" s="1" t="s">
        <v>190</v>
      </c>
    </row>
    <row r="114" spans="2:9" x14ac:dyDescent="0.25">
      <c r="B114" t="s">
        <v>121</v>
      </c>
      <c r="C114">
        <v>27468711848</v>
      </c>
      <c r="D114" s="1" t="s">
        <v>179</v>
      </c>
      <c r="F114" s="1" t="s">
        <v>190</v>
      </c>
      <c r="G114" s="1">
        <f t="shared" si="1"/>
        <v>1</v>
      </c>
      <c r="H114" t="str">
        <f>VLOOKUP(G114,'Base de Datos'!$B$4:$C$9,(2),(0))</f>
        <v>Sin Facturación</v>
      </c>
      <c r="I114" s="1" t="s">
        <v>190</v>
      </c>
    </row>
    <row r="115" spans="2:9" x14ac:dyDescent="0.25">
      <c r="B115" t="s">
        <v>122</v>
      </c>
      <c r="C115">
        <v>20232249987</v>
      </c>
      <c r="D115" s="1" t="s">
        <v>182</v>
      </c>
      <c r="E115" s="1" t="s">
        <v>180</v>
      </c>
      <c r="G115" s="1">
        <f t="shared" si="1"/>
        <v>2</v>
      </c>
      <c r="H115" t="str">
        <f>VLOOKUP(G115,'Base de Datos'!$B$4:$C$9,(2),(0))</f>
        <v>Sube</v>
      </c>
      <c r="I115" s="1" t="s">
        <v>190</v>
      </c>
    </row>
    <row r="116" spans="2:9" x14ac:dyDescent="0.25">
      <c r="B116" t="s">
        <v>123</v>
      </c>
      <c r="C116">
        <v>20262548903</v>
      </c>
      <c r="D116" s="1" t="s">
        <v>184</v>
      </c>
      <c r="E116" s="1" t="s">
        <v>181</v>
      </c>
      <c r="G116" s="1">
        <f t="shared" si="1"/>
        <v>2</v>
      </c>
      <c r="H116" t="str">
        <f>VLOOKUP(G116,'Base de Datos'!$B$4:$C$9,(2),(0))</f>
        <v>Sube</v>
      </c>
      <c r="I116" s="1" t="s">
        <v>190</v>
      </c>
    </row>
    <row r="117" spans="2:9" x14ac:dyDescent="0.25">
      <c r="B117" t="s">
        <v>124</v>
      </c>
      <c r="C117">
        <v>27285193988</v>
      </c>
      <c r="D117" s="1" t="s">
        <v>179</v>
      </c>
      <c r="G117" s="1">
        <f t="shared" si="1"/>
        <v>3</v>
      </c>
      <c r="H117" t="str">
        <f>VLOOKUP(G117,'Base de Datos'!$B$4:$C$9,(2),(0))</f>
        <v>Baja</v>
      </c>
      <c r="I117" s="1" t="s">
        <v>191</v>
      </c>
    </row>
    <row r="118" spans="2:9" x14ac:dyDescent="0.25">
      <c r="B118" t="s">
        <v>125</v>
      </c>
      <c r="C118">
        <v>27327142262</v>
      </c>
      <c r="D118" s="1" t="s">
        <v>179</v>
      </c>
      <c r="E118" s="1" t="s">
        <v>182</v>
      </c>
      <c r="G118" s="1">
        <f t="shared" si="1"/>
        <v>2</v>
      </c>
      <c r="H118" t="str">
        <f>VLOOKUP(G118,'Base de Datos'!$B$4:$C$9,(2),(0))</f>
        <v>Sube</v>
      </c>
      <c r="I118" s="1" t="s">
        <v>190</v>
      </c>
    </row>
    <row r="119" spans="2:9" x14ac:dyDescent="0.25">
      <c r="B119" t="s">
        <v>126</v>
      </c>
      <c r="C119">
        <v>20108585073</v>
      </c>
      <c r="D119" s="1" t="s">
        <v>179</v>
      </c>
      <c r="E119" s="1" t="s">
        <v>179</v>
      </c>
      <c r="G119" s="1">
        <f t="shared" si="1"/>
        <v>4</v>
      </c>
      <c r="H119" t="str">
        <f>VLOOKUP(G119,'Base de Datos'!$B$4:$C$9,(2),(0))</f>
        <v>Mantiene</v>
      </c>
      <c r="I119" s="1" t="s">
        <v>190</v>
      </c>
    </row>
    <row r="120" spans="2:9" x14ac:dyDescent="0.25">
      <c r="B120" t="s">
        <v>127</v>
      </c>
      <c r="C120">
        <v>27301813959</v>
      </c>
      <c r="D120" s="1" t="s">
        <v>180</v>
      </c>
      <c r="E120" s="1" t="s">
        <v>179</v>
      </c>
      <c r="G120" s="1">
        <f t="shared" si="1"/>
        <v>3</v>
      </c>
      <c r="H120" t="str">
        <f>VLOOKUP(G120,'Base de Datos'!$B$4:$C$9,(2),(0))</f>
        <v>Baja</v>
      </c>
      <c r="I120" s="1" t="s">
        <v>190</v>
      </c>
    </row>
    <row r="121" spans="2:9" x14ac:dyDescent="0.25">
      <c r="B121" t="s">
        <v>128</v>
      </c>
      <c r="C121">
        <v>27254580827</v>
      </c>
      <c r="D121" s="1" t="s">
        <v>185</v>
      </c>
      <c r="E121" s="1" t="s">
        <v>188</v>
      </c>
      <c r="G121" s="1">
        <f t="shared" si="1"/>
        <v>2</v>
      </c>
      <c r="H121" t="str">
        <f>VLOOKUP(G121,'Base de Datos'!$B$4:$C$9,(2),(0))</f>
        <v>Sube</v>
      </c>
      <c r="I121" s="1" t="s">
        <v>190</v>
      </c>
    </row>
    <row r="122" spans="2:9" x14ac:dyDescent="0.25">
      <c r="B122" t="s">
        <v>129</v>
      </c>
      <c r="C122">
        <v>20217079307</v>
      </c>
      <c r="D122" s="1" t="s">
        <v>179</v>
      </c>
      <c r="E122" s="1" t="s">
        <v>179</v>
      </c>
      <c r="G122" s="1">
        <f t="shared" si="1"/>
        <v>4</v>
      </c>
      <c r="H122" t="str">
        <f>VLOOKUP(G122,'Base de Datos'!$B$4:$C$9,(2),(0))</f>
        <v>Mantiene</v>
      </c>
      <c r="I122" s="1" t="s">
        <v>190</v>
      </c>
    </row>
    <row r="123" spans="2:9" x14ac:dyDescent="0.25">
      <c r="B123" t="s">
        <v>130</v>
      </c>
      <c r="C123">
        <v>20146662278</v>
      </c>
      <c r="D123" s="1" t="s">
        <v>183</v>
      </c>
      <c r="E123" s="1" t="s">
        <v>183</v>
      </c>
      <c r="G123" s="1">
        <f t="shared" si="1"/>
        <v>4</v>
      </c>
      <c r="H123" t="str">
        <f>VLOOKUP(G123,'Base de Datos'!$B$4:$C$9,(2),(0))</f>
        <v>Mantiene</v>
      </c>
      <c r="I123" s="1" t="s">
        <v>190</v>
      </c>
    </row>
    <row r="124" spans="2:9" x14ac:dyDescent="0.25">
      <c r="B124" t="s">
        <v>131</v>
      </c>
      <c r="C124">
        <v>27059013438</v>
      </c>
      <c r="D124" s="1" t="s">
        <v>182</v>
      </c>
      <c r="E124" s="1" t="s">
        <v>179</v>
      </c>
      <c r="G124" s="1">
        <f t="shared" si="1"/>
        <v>3</v>
      </c>
      <c r="H124" t="str">
        <f>VLOOKUP(G124,'Base de Datos'!$B$4:$C$9,(2),(0))</f>
        <v>Baja</v>
      </c>
      <c r="I124" s="1" t="s">
        <v>191</v>
      </c>
    </row>
    <row r="125" spans="2:9" x14ac:dyDescent="0.25">
      <c r="B125" t="s">
        <v>132</v>
      </c>
      <c r="C125">
        <v>20053914420</v>
      </c>
      <c r="D125" s="1" t="s">
        <v>182</v>
      </c>
      <c r="E125" s="1" t="s">
        <v>179</v>
      </c>
      <c r="G125" s="1">
        <f t="shared" si="1"/>
        <v>3</v>
      </c>
      <c r="H125" t="str">
        <f>VLOOKUP(G125,'Base de Datos'!$B$4:$C$9,(2),(0))</f>
        <v>Baja</v>
      </c>
      <c r="I125" s="1" t="s">
        <v>191</v>
      </c>
    </row>
    <row r="126" spans="2:9" x14ac:dyDescent="0.25">
      <c r="B126" t="s">
        <v>133</v>
      </c>
      <c r="C126">
        <v>23285504554</v>
      </c>
      <c r="D126" s="1" t="s">
        <v>182</v>
      </c>
      <c r="E126" s="1" t="s">
        <v>180</v>
      </c>
      <c r="G126" s="1">
        <f t="shared" si="1"/>
        <v>2</v>
      </c>
      <c r="H126" t="str">
        <f>VLOOKUP(G126,'Base de Datos'!$B$4:$C$9,(2),(0))</f>
        <v>Sube</v>
      </c>
      <c r="I126" s="1" t="s">
        <v>190</v>
      </c>
    </row>
    <row r="127" spans="2:9" x14ac:dyDescent="0.25">
      <c r="B127" t="s">
        <v>134</v>
      </c>
      <c r="C127">
        <v>27413143670</v>
      </c>
      <c r="D127" s="1" t="s">
        <v>179</v>
      </c>
      <c r="G127" s="1">
        <f t="shared" si="1"/>
        <v>3</v>
      </c>
      <c r="H127" t="str">
        <f>VLOOKUP(G127,'Base de Datos'!$B$4:$C$9,(2),(0))</f>
        <v>Baja</v>
      </c>
      <c r="I127" s="1" t="s">
        <v>190</v>
      </c>
    </row>
    <row r="128" spans="2:9" x14ac:dyDescent="0.25">
      <c r="B128" t="s">
        <v>135</v>
      </c>
      <c r="C128">
        <v>27101016248</v>
      </c>
      <c r="D128" s="1" t="s">
        <v>179</v>
      </c>
      <c r="E128" s="1" t="s">
        <v>179</v>
      </c>
      <c r="F128" s="1" t="s">
        <v>190</v>
      </c>
      <c r="G128" s="1">
        <f t="shared" si="1"/>
        <v>1</v>
      </c>
      <c r="H128" t="str">
        <f>VLOOKUP(G128,'Base de Datos'!$B$4:$C$9,(2),(0))</f>
        <v>Sin Facturación</v>
      </c>
      <c r="I128" s="1" t="s">
        <v>190</v>
      </c>
    </row>
    <row r="129" spans="2:9" x14ac:dyDescent="0.25">
      <c r="B129" t="s">
        <v>136</v>
      </c>
      <c r="C129">
        <v>27300610671</v>
      </c>
      <c r="D129" s="1" t="s">
        <v>179</v>
      </c>
      <c r="E129" s="1" t="s">
        <v>179</v>
      </c>
      <c r="G129" s="1">
        <f t="shared" ref="G129:G170" si="2">IF(F129="SI",(1),(IF(D129=E129,(4),(IF(D129&lt;E129,(2),(IF(D129&gt;E129,(3),("Sin codificar"))))))))</f>
        <v>4</v>
      </c>
      <c r="H129" t="str">
        <f>VLOOKUP(G129,'Base de Datos'!$B$4:$C$9,(2),(0))</f>
        <v>Mantiene</v>
      </c>
      <c r="I129" s="1" t="s">
        <v>190</v>
      </c>
    </row>
    <row r="130" spans="2:9" x14ac:dyDescent="0.25">
      <c r="B130" t="s">
        <v>137</v>
      </c>
      <c r="C130">
        <v>20215349307</v>
      </c>
      <c r="D130" s="1" t="s">
        <v>180</v>
      </c>
      <c r="E130" s="1" t="s">
        <v>184</v>
      </c>
      <c r="G130" s="1">
        <f t="shared" si="2"/>
        <v>2</v>
      </c>
      <c r="H130" t="str">
        <f>VLOOKUP(G130,'Base de Datos'!$B$4:$C$9,(2),(0))</f>
        <v>Sube</v>
      </c>
      <c r="I130" s="1" t="s">
        <v>190</v>
      </c>
    </row>
    <row r="131" spans="2:9" x14ac:dyDescent="0.25">
      <c r="B131" t="s">
        <v>138</v>
      </c>
      <c r="C131">
        <v>27318607422</v>
      </c>
      <c r="D131" s="1" t="s">
        <v>179</v>
      </c>
      <c r="E131" s="1" t="s">
        <v>179</v>
      </c>
      <c r="G131" s="1">
        <f t="shared" si="2"/>
        <v>4</v>
      </c>
      <c r="H131" t="str">
        <f>VLOOKUP(G131,'Base de Datos'!$B$4:$C$9,(2),(0))</f>
        <v>Mantiene</v>
      </c>
      <c r="I131" s="1" t="s">
        <v>190</v>
      </c>
    </row>
    <row r="132" spans="2:9" x14ac:dyDescent="0.25">
      <c r="B132" t="s">
        <v>139</v>
      </c>
      <c r="C132">
        <v>20229533356</v>
      </c>
      <c r="D132" s="1" t="s">
        <v>179</v>
      </c>
      <c r="E132" s="1" t="s">
        <v>179</v>
      </c>
      <c r="G132" s="1">
        <f t="shared" si="2"/>
        <v>4</v>
      </c>
      <c r="H132" t="str">
        <f>VLOOKUP(G132,'Base de Datos'!$B$4:$C$9,(2),(0))</f>
        <v>Mantiene</v>
      </c>
      <c r="I132" s="1" t="s">
        <v>190</v>
      </c>
    </row>
    <row r="133" spans="2:9" x14ac:dyDescent="0.25">
      <c r="B133" t="s">
        <v>140</v>
      </c>
      <c r="C133">
        <v>20351234971</v>
      </c>
      <c r="D133" s="1" t="s">
        <v>182</v>
      </c>
      <c r="E133" s="1" t="s">
        <v>183</v>
      </c>
      <c r="G133" s="1">
        <f t="shared" si="2"/>
        <v>2</v>
      </c>
      <c r="H133" t="str">
        <f>VLOOKUP(G133,'Base de Datos'!$B$4:$C$9,(2),(0))</f>
        <v>Sube</v>
      </c>
      <c r="I133" s="1" t="s">
        <v>190</v>
      </c>
    </row>
    <row r="134" spans="2:9" x14ac:dyDescent="0.25">
      <c r="B134" t="s">
        <v>141</v>
      </c>
      <c r="C134">
        <v>27267782739</v>
      </c>
      <c r="D134" s="1" t="s">
        <v>179</v>
      </c>
      <c r="E134" s="1" t="s">
        <v>179</v>
      </c>
      <c r="F134" s="1" t="s">
        <v>190</v>
      </c>
      <c r="G134" s="1">
        <f t="shared" si="2"/>
        <v>1</v>
      </c>
      <c r="H134" t="str">
        <f>VLOOKUP(G134,'Base de Datos'!$B$4:$C$9,(2),(0))</f>
        <v>Sin Facturación</v>
      </c>
      <c r="I134" s="1" t="s">
        <v>190</v>
      </c>
    </row>
    <row r="135" spans="2:9" x14ac:dyDescent="0.25">
      <c r="B135" t="s">
        <v>142</v>
      </c>
      <c r="C135">
        <v>27352186231</v>
      </c>
      <c r="D135" s="1" t="s">
        <v>179</v>
      </c>
      <c r="E135" s="1" t="s">
        <v>179</v>
      </c>
      <c r="G135" s="1">
        <f t="shared" si="2"/>
        <v>4</v>
      </c>
      <c r="H135" t="str">
        <f>VLOOKUP(G135,'Base de Datos'!$B$4:$C$9,(2),(0))</f>
        <v>Mantiene</v>
      </c>
      <c r="I135" s="1" t="s">
        <v>190</v>
      </c>
    </row>
    <row r="136" spans="2:9" x14ac:dyDescent="0.25">
      <c r="B136" t="s">
        <v>143</v>
      </c>
      <c r="C136">
        <v>27310837771</v>
      </c>
      <c r="D136" s="1" t="s">
        <v>181</v>
      </c>
      <c r="E136" s="1" t="s">
        <v>181</v>
      </c>
      <c r="G136" s="1">
        <f t="shared" si="2"/>
        <v>4</v>
      </c>
      <c r="H136" t="str">
        <f>VLOOKUP(G136,'Base de Datos'!$B$4:$C$9,(2),(0))</f>
        <v>Mantiene</v>
      </c>
      <c r="I136" s="1" t="s">
        <v>190</v>
      </c>
    </row>
    <row r="137" spans="2:9" x14ac:dyDescent="0.25">
      <c r="B137" t="s">
        <v>144</v>
      </c>
      <c r="C137">
        <v>20256790867</v>
      </c>
      <c r="D137" s="1" t="s">
        <v>179</v>
      </c>
      <c r="E137" s="1" t="s">
        <v>179</v>
      </c>
      <c r="F137" s="1" t="s">
        <v>190</v>
      </c>
      <c r="G137" s="1">
        <f t="shared" si="2"/>
        <v>1</v>
      </c>
      <c r="H137" t="str">
        <f>VLOOKUP(G137,'Base de Datos'!$B$4:$C$9,(2),(0))</f>
        <v>Sin Facturación</v>
      </c>
      <c r="I137" s="1" t="s">
        <v>190</v>
      </c>
    </row>
    <row r="138" spans="2:9" x14ac:dyDescent="0.25">
      <c r="B138" t="s">
        <v>145</v>
      </c>
      <c r="C138">
        <v>20259830142</v>
      </c>
      <c r="D138" s="1" t="s">
        <v>180</v>
      </c>
      <c r="E138" s="1" t="s">
        <v>184</v>
      </c>
      <c r="G138" s="1">
        <f t="shared" si="2"/>
        <v>2</v>
      </c>
      <c r="H138" t="str">
        <f>VLOOKUP(G138,'Base de Datos'!$B$4:$C$9,(2),(0))</f>
        <v>Sube</v>
      </c>
      <c r="I138" s="1" t="s">
        <v>190</v>
      </c>
    </row>
    <row r="139" spans="2:9" x14ac:dyDescent="0.25">
      <c r="B139" t="s">
        <v>146</v>
      </c>
      <c r="C139">
        <v>20386038830</v>
      </c>
      <c r="D139" s="1" t="s">
        <v>179</v>
      </c>
      <c r="E139" s="1" t="s">
        <v>179</v>
      </c>
      <c r="G139" s="1">
        <f t="shared" si="2"/>
        <v>4</v>
      </c>
      <c r="H139" t="str">
        <f>VLOOKUP(G139,'Base de Datos'!$B$4:$C$9,(2),(0))</f>
        <v>Mantiene</v>
      </c>
      <c r="I139" s="1" t="s">
        <v>190</v>
      </c>
    </row>
    <row r="140" spans="2:9" x14ac:dyDescent="0.25">
      <c r="B140" t="s">
        <v>147</v>
      </c>
      <c r="C140">
        <v>20293334359</v>
      </c>
      <c r="D140" s="1" t="s">
        <v>179</v>
      </c>
      <c r="E140" s="1" t="s">
        <v>179</v>
      </c>
      <c r="G140" s="1">
        <f t="shared" si="2"/>
        <v>4</v>
      </c>
      <c r="H140" t="str">
        <f>VLOOKUP(G140,'Base de Datos'!$B$4:$C$9,(2),(0))</f>
        <v>Mantiene</v>
      </c>
      <c r="I140" s="1" t="s">
        <v>190</v>
      </c>
    </row>
    <row r="141" spans="2:9" x14ac:dyDescent="0.25">
      <c r="B141" t="s">
        <v>148</v>
      </c>
      <c r="C141">
        <v>20354124433</v>
      </c>
      <c r="D141" s="1" t="s">
        <v>182</v>
      </c>
      <c r="E141" s="1" t="s">
        <v>180</v>
      </c>
      <c r="G141" s="1">
        <f t="shared" si="2"/>
        <v>2</v>
      </c>
      <c r="H141" t="str">
        <f>VLOOKUP(G141,'Base de Datos'!$B$4:$C$9,(2),(0))</f>
        <v>Sube</v>
      </c>
      <c r="I141" s="1" t="s">
        <v>190</v>
      </c>
    </row>
    <row r="142" spans="2:9" x14ac:dyDescent="0.25">
      <c r="B142" t="s">
        <v>149</v>
      </c>
      <c r="C142">
        <v>20161962156</v>
      </c>
      <c r="D142" s="1" t="s">
        <v>179</v>
      </c>
      <c r="E142" s="1" t="s">
        <v>179</v>
      </c>
      <c r="G142" s="1">
        <f t="shared" si="2"/>
        <v>4</v>
      </c>
      <c r="H142" t="str">
        <f>VLOOKUP(G142,'Base de Datos'!$B$4:$C$9,(2),(0))</f>
        <v>Mantiene</v>
      </c>
      <c r="I142" s="1" t="s">
        <v>190</v>
      </c>
    </row>
    <row r="143" spans="2:9" x14ac:dyDescent="0.25">
      <c r="B143" t="s">
        <v>150</v>
      </c>
      <c r="C143">
        <v>20445357899</v>
      </c>
      <c r="D143" s="1" t="s">
        <v>179</v>
      </c>
      <c r="E143" s="1" t="s">
        <v>179</v>
      </c>
      <c r="G143" s="1">
        <f t="shared" si="2"/>
        <v>4</v>
      </c>
      <c r="H143" t="str">
        <f>VLOOKUP(G143,'Base de Datos'!$B$4:$C$9,(2),(0))</f>
        <v>Mantiene</v>
      </c>
      <c r="I143" s="1" t="s">
        <v>191</v>
      </c>
    </row>
    <row r="144" spans="2:9" x14ac:dyDescent="0.25">
      <c r="B144" t="s">
        <v>151</v>
      </c>
      <c r="C144">
        <v>23170864174</v>
      </c>
      <c r="D144" s="1" t="s">
        <v>179</v>
      </c>
      <c r="E144" s="1" t="s">
        <v>179</v>
      </c>
      <c r="F144" s="1" t="s">
        <v>190</v>
      </c>
      <c r="G144" s="1">
        <f t="shared" si="2"/>
        <v>1</v>
      </c>
      <c r="H144" t="str">
        <f>VLOOKUP(G144,'Base de Datos'!$B$4:$C$9,(2),(0))</f>
        <v>Sin Facturación</v>
      </c>
      <c r="I144" s="1" t="s">
        <v>190</v>
      </c>
    </row>
    <row r="145" spans="2:9" x14ac:dyDescent="0.25">
      <c r="B145" t="s">
        <v>152</v>
      </c>
      <c r="C145">
        <v>20136010183</v>
      </c>
      <c r="D145" s="1" t="s">
        <v>179</v>
      </c>
      <c r="E145" s="1" t="s">
        <v>179</v>
      </c>
      <c r="F145" s="1" t="s">
        <v>190</v>
      </c>
      <c r="G145" s="1">
        <f t="shared" si="2"/>
        <v>1</v>
      </c>
      <c r="H145" t="str">
        <f>VLOOKUP(G145,'Base de Datos'!$B$4:$C$9,(2),(0))</f>
        <v>Sin Facturación</v>
      </c>
      <c r="I145" s="1" t="s">
        <v>190</v>
      </c>
    </row>
    <row r="146" spans="2:9" x14ac:dyDescent="0.25">
      <c r="B146" t="s">
        <v>153</v>
      </c>
      <c r="C146">
        <v>20053914536</v>
      </c>
      <c r="D146" s="1" t="s">
        <v>179</v>
      </c>
      <c r="E146" s="1" t="s">
        <v>179</v>
      </c>
      <c r="G146" s="1">
        <f t="shared" si="2"/>
        <v>4</v>
      </c>
      <c r="H146" t="str">
        <f>VLOOKUP(G146,'Base de Datos'!$B$4:$C$9,(2),(0))</f>
        <v>Mantiene</v>
      </c>
      <c r="I146" s="1" t="s">
        <v>191</v>
      </c>
    </row>
    <row r="147" spans="2:9" x14ac:dyDescent="0.25">
      <c r="B147" t="s">
        <v>154</v>
      </c>
      <c r="C147">
        <v>20420421975</v>
      </c>
      <c r="D147" s="1" t="s">
        <v>179</v>
      </c>
      <c r="G147" s="1">
        <f t="shared" si="2"/>
        <v>3</v>
      </c>
      <c r="H147" t="str">
        <f>VLOOKUP(G147,'Base de Datos'!$B$4:$C$9,(2),(0))</f>
        <v>Baja</v>
      </c>
      <c r="I147" s="1" t="s">
        <v>191</v>
      </c>
    </row>
    <row r="148" spans="2:9" x14ac:dyDescent="0.25">
      <c r="B148" t="s">
        <v>155</v>
      </c>
      <c r="C148">
        <v>20215051251</v>
      </c>
      <c r="D148" s="1" t="s">
        <v>179</v>
      </c>
      <c r="E148" s="1" t="s">
        <v>179</v>
      </c>
      <c r="G148" s="1">
        <f t="shared" si="2"/>
        <v>4</v>
      </c>
      <c r="H148" t="str">
        <f>VLOOKUP(G148,'Base de Datos'!$B$4:$C$9,(2),(0))</f>
        <v>Mantiene</v>
      </c>
      <c r="I148" s="1" t="s">
        <v>191</v>
      </c>
    </row>
    <row r="149" spans="2:9" x14ac:dyDescent="0.25">
      <c r="B149" t="s">
        <v>156</v>
      </c>
      <c r="C149">
        <v>20135812936</v>
      </c>
      <c r="D149" s="1" t="s">
        <v>184</v>
      </c>
      <c r="E149" s="1" t="s">
        <v>185</v>
      </c>
      <c r="G149" s="1">
        <f t="shared" si="2"/>
        <v>2</v>
      </c>
      <c r="H149" t="str">
        <f>VLOOKUP(G149,'Base de Datos'!$B$4:$C$9,(2),(0))</f>
        <v>Sube</v>
      </c>
      <c r="I149" s="1" t="s">
        <v>190</v>
      </c>
    </row>
    <row r="150" spans="2:9" x14ac:dyDescent="0.25">
      <c r="B150" t="s">
        <v>157</v>
      </c>
      <c r="C150">
        <v>27319598397</v>
      </c>
      <c r="D150" s="1" t="s">
        <v>185</v>
      </c>
      <c r="E150" s="1" t="s">
        <v>183</v>
      </c>
      <c r="G150" s="1">
        <f t="shared" si="2"/>
        <v>2</v>
      </c>
      <c r="H150" t="str">
        <f>VLOOKUP(G150,'Base de Datos'!$B$4:$C$9,(2),(0))</f>
        <v>Sube</v>
      </c>
      <c r="I150" s="1" t="s">
        <v>190</v>
      </c>
    </row>
    <row r="151" spans="2:9" x14ac:dyDescent="0.25">
      <c r="B151" t="s">
        <v>158</v>
      </c>
      <c r="C151">
        <v>20259745862</v>
      </c>
      <c r="D151" s="1" t="s">
        <v>182</v>
      </c>
      <c r="E151" s="1" t="s">
        <v>182</v>
      </c>
      <c r="G151" s="1">
        <f t="shared" si="2"/>
        <v>4</v>
      </c>
      <c r="H151" t="str">
        <f>VLOOKUP(G151,'Base de Datos'!$B$4:$C$9,(2),(0))</f>
        <v>Mantiene</v>
      </c>
      <c r="I151" s="1" t="s">
        <v>190</v>
      </c>
    </row>
    <row r="152" spans="2:9" x14ac:dyDescent="0.25">
      <c r="B152" t="s">
        <v>159</v>
      </c>
      <c r="C152">
        <v>27291320541</v>
      </c>
      <c r="D152" s="1" t="s">
        <v>182</v>
      </c>
      <c r="E152" s="1" t="s">
        <v>184</v>
      </c>
      <c r="G152" s="1">
        <f t="shared" si="2"/>
        <v>2</v>
      </c>
      <c r="H152" t="str">
        <f>VLOOKUP(G152,'Base de Datos'!$B$4:$C$9,(2),(0))</f>
        <v>Sube</v>
      </c>
      <c r="I152" s="1" t="s">
        <v>190</v>
      </c>
    </row>
    <row r="153" spans="2:9" x14ac:dyDescent="0.25">
      <c r="B153" t="s">
        <v>160</v>
      </c>
      <c r="C153">
        <v>23132070229</v>
      </c>
      <c r="D153" s="1" t="s">
        <v>182</v>
      </c>
      <c r="E153" s="1" t="s">
        <v>186</v>
      </c>
      <c r="G153" s="1">
        <f t="shared" si="2"/>
        <v>2</v>
      </c>
      <c r="H153" t="str">
        <f>VLOOKUP(G153,'Base de Datos'!$B$4:$C$9,(2),(0))</f>
        <v>Sube</v>
      </c>
      <c r="I153" s="1" t="s">
        <v>190</v>
      </c>
    </row>
    <row r="154" spans="2:9" x14ac:dyDescent="0.25">
      <c r="B154" t="s">
        <v>161</v>
      </c>
      <c r="C154">
        <v>27297639191</v>
      </c>
      <c r="D154" s="1" t="s">
        <v>179</v>
      </c>
      <c r="G154" s="1">
        <f t="shared" si="2"/>
        <v>3</v>
      </c>
      <c r="H154" t="str">
        <f>VLOOKUP(G154,'Base de Datos'!$B$4:$C$9,(2),(0))</f>
        <v>Baja</v>
      </c>
      <c r="I154" s="1" t="s">
        <v>191</v>
      </c>
    </row>
    <row r="155" spans="2:9" x14ac:dyDescent="0.25">
      <c r="B155" t="s">
        <v>162</v>
      </c>
      <c r="C155">
        <v>20231188984</v>
      </c>
      <c r="D155" s="1" t="s">
        <v>179</v>
      </c>
      <c r="G155" s="1">
        <f t="shared" si="2"/>
        <v>3</v>
      </c>
      <c r="H155" t="str">
        <f>VLOOKUP(G155,'Base de Datos'!$B$4:$C$9,(2),(0))</f>
        <v>Baja</v>
      </c>
      <c r="I155" s="1" t="s">
        <v>191</v>
      </c>
    </row>
    <row r="156" spans="2:9" x14ac:dyDescent="0.25">
      <c r="B156" t="s">
        <v>163</v>
      </c>
      <c r="C156">
        <v>27168151794</v>
      </c>
      <c r="D156" s="1" t="s">
        <v>179</v>
      </c>
      <c r="G156" s="1">
        <f t="shared" si="2"/>
        <v>3</v>
      </c>
      <c r="H156" t="str">
        <f>VLOOKUP(G156,'Base de Datos'!$B$4:$C$9,(2),(0))</f>
        <v>Baja</v>
      </c>
      <c r="I156" s="1" t="s">
        <v>191</v>
      </c>
    </row>
    <row r="157" spans="2:9" x14ac:dyDescent="0.25">
      <c r="B157" t="s">
        <v>164</v>
      </c>
      <c r="C157">
        <v>20329679935</v>
      </c>
      <c r="D157" s="1" t="s">
        <v>182</v>
      </c>
      <c r="E157" s="1" t="s">
        <v>179</v>
      </c>
      <c r="G157" s="1">
        <f t="shared" si="2"/>
        <v>3</v>
      </c>
      <c r="H157" t="str">
        <f>VLOOKUP(G157,'Base de Datos'!$B$4:$C$9,(2),(0))</f>
        <v>Baja</v>
      </c>
      <c r="I157" s="1" t="s">
        <v>190</v>
      </c>
    </row>
    <row r="158" spans="2:9" x14ac:dyDescent="0.25">
      <c r="B158" t="s">
        <v>165</v>
      </c>
      <c r="C158">
        <v>20053915389</v>
      </c>
      <c r="D158" s="1" t="s">
        <v>179</v>
      </c>
      <c r="E158" s="1" t="s">
        <v>182</v>
      </c>
      <c r="F158" s="1" t="s">
        <v>190</v>
      </c>
      <c r="G158" s="1">
        <f t="shared" si="2"/>
        <v>1</v>
      </c>
      <c r="H158" t="str">
        <f>VLOOKUP(G158,'Base de Datos'!$B$4:$C$9,(2),(0))</f>
        <v>Sin Facturación</v>
      </c>
      <c r="I158" s="1" t="s">
        <v>191</v>
      </c>
    </row>
    <row r="159" spans="2:9" x14ac:dyDescent="0.25">
      <c r="B159" t="s">
        <v>166</v>
      </c>
      <c r="C159">
        <v>20367980150</v>
      </c>
      <c r="D159" s="1" t="s">
        <v>179</v>
      </c>
      <c r="E159" s="1" t="s">
        <v>179</v>
      </c>
      <c r="G159" s="1">
        <f t="shared" si="2"/>
        <v>4</v>
      </c>
      <c r="H159" t="str">
        <f>VLOOKUP(G159,'Base de Datos'!$B$4:$C$9,(2),(0))</f>
        <v>Mantiene</v>
      </c>
      <c r="I159" s="1" t="s">
        <v>190</v>
      </c>
    </row>
    <row r="160" spans="2:9" x14ac:dyDescent="0.25">
      <c r="B160" t="s">
        <v>167</v>
      </c>
      <c r="C160">
        <v>27269326110</v>
      </c>
      <c r="D160" s="1" t="s">
        <v>180</v>
      </c>
      <c r="E160" s="1" t="s">
        <v>182</v>
      </c>
      <c r="G160" s="1">
        <f t="shared" si="2"/>
        <v>3</v>
      </c>
      <c r="H160" t="str">
        <f>VLOOKUP(G160,'Base de Datos'!$B$4:$C$9,(2),(0))</f>
        <v>Baja</v>
      </c>
      <c r="I160" s="1" t="s">
        <v>190</v>
      </c>
    </row>
    <row r="161" spans="2:9" x14ac:dyDescent="0.25">
      <c r="B161" t="s">
        <v>168</v>
      </c>
      <c r="C161">
        <v>27289167590</v>
      </c>
      <c r="D161" s="1" t="s">
        <v>179</v>
      </c>
      <c r="E161" s="1" t="s">
        <v>184</v>
      </c>
      <c r="G161" s="1">
        <f t="shared" si="2"/>
        <v>2</v>
      </c>
      <c r="H161" t="str">
        <f>VLOOKUP(G161,'Base de Datos'!$B$4:$C$9,(2),(0))</f>
        <v>Sube</v>
      </c>
      <c r="I161" s="1" t="s">
        <v>190</v>
      </c>
    </row>
    <row r="162" spans="2:9" x14ac:dyDescent="0.25">
      <c r="B162" t="s">
        <v>169</v>
      </c>
      <c r="C162">
        <v>20252357050</v>
      </c>
      <c r="D162" s="1" t="s">
        <v>182</v>
      </c>
      <c r="E162" s="1" t="s">
        <v>182</v>
      </c>
      <c r="G162" s="1">
        <f t="shared" si="2"/>
        <v>4</v>
      </c>
      <c r="H162" t="str">
        <f>VLOOKUP(G162,'Base de Datos'!$B$4:$C$9,(2),(0))</f>
        <v>Mantiene</v>
      </c>
      <c r="I162" s="1" t="s">
        <v>190</v>
      </c>
    </row>
    <row r="163" spans="2:9" x14ac:dyDescent="0.25">
      <c r="B163" t="s">
        <v>170</v>
      </c>
      <c r="C163">
        <v>20084746070</v>
      </c>
      <c r="D163" s="1" t="s">
        <v>182</v>
      </c>
      <c r="E163" s="1" t="s">
        <v>182</v>
      </c>
      <c r="G163" s="1">
        <f t="shared" si="2"/>
        <v>4</v>
      </c>
      <c r="H163" t="str">
        <f>VLOOKUP(G163,'Base de Datos'!$B$4:$C$9,(2),(0))</f>
        <v>Mantiene</v>
      </c>
      <c r="I163" s="1" t="s">
        <v>190</v>
      </c>
    </row>
    <row r="164" spans="2:9" x14ac:dyDescent="0.25">
      <c r="B164" t="s">
        <v>171</v>
      </c>
      <c r="C164">
        <v>20170510721</v>
      </c>
      <c r="D164" s="1" t="s">
        <v>179</v>
      </c>
      <c r="E164" s="1" t="s">
        <v>182</v>
      </c>
      <c r="G164" s="1">
        <f t="shared" si="2"/>
        <v>2</v>
      </c>
      <c r="H164" t="str">
        <f>VLOOKUP(G164,'Base de Datos'!$B$4:$C$9,(2),(0))</f>
        <v>Sube</v>
      </c>
      <c r="I164" s="1" t="s">
        <v>190</v>
      </c>
    </row>
    <row r="165" spans="2:9" x14ac:dyDescent="0.25">
      <c r="B165" t="s">
        <v>172</v>
      </c>
      <c r="C165">
        <v>27253783791</v>
      </c>
      <c r="D165" s="1" t="s">
        <v>186</v>
      </c>
      <c r="E165" s="1" t="s">
        <v>179</v>
      </c>
      <c r="G165" s="1">
        <f t="shared" si="2"/>
        <v>3</v>
      </c>
      <c r="H165" t="str">
        <f>VLOOKUP(G165,'Base de Datos'!$B$4:$C$9,(2),(0))</f>
        <v>Baja</v>
      </c>
      <c r="I165" s="1" t="s">
        <v>190</v>
      </c>
    </row>
    <row r="166" spans="2:9" x14ac:dyDescent="0.25">
      <c r="B166" t="s">
        <v>173</v>
      </c>
      <c r="C166">
        <v>20053870679</v>
      </c>
      <c r="D166" s="1" t="s">
        <v>179</v>
      </c>
      <c r="E166" s="1" t="s">
        <v>188</v>
      </c>
      <c r="G166" s="1">
        <f t="shared" si="2"/>
        <v>2</v>
      </c>
      <c r="H166" t="str">
        <f>VLOOKUP(G166,'Base de Datos'!$B$4:$C$9,(2),(0))</f>
        <v>Sube</v>
      </c>
      <c r="I166" s="1" t="s">
        <v>190</v>
      </c>
    </row>
    <row r="167" spans="2:9" x14ac:dyDescent="0.25">
      <c r="B167" t="s">
        <v>174</v>
      </c>
      <c r="C167">
        <v>20264578206</v>
      </c>
      <c r="D167" s="1" t="s">
        <v>179</v>
      </c>
      <c r="E167" s="1" t="s">
        <v>179</v>
      </c>
      <c r="F167" s="1" t="s">
        <v>190</v>
      </c>
      <c r="G167" s="1">
        <f t="shared" si="2"/>
        <v>1</v>
      </c>
      <c r="H167" t="str">
        <f>VLOOKUP(G167,'Base de Datos'!$B$4:$C$9,(2),(0))</f>
        <v>Sin Facturación</v>
      </c>
      <c r="I167" s="1" t="s">
        <v>190</v>
      </c>
    </row>
    <row r="168" spans="2:9" x14ac:dyDescent="0.25">
      <c r="B168" t="s">
        <v>175</v>
      </c>
      <c r="C168">
        <v>27207372493</v>
      </c>
      <c r="D168" s="1" t="s">
        <v>179</v>
      </c>
      <c r="E168" s="1" t="s">
        <v>179</v>
      </c>
      <c r="F168" s="1" t="s">
        <v>190</v>
      </c>
      <c r="G168" s="1">
        <f t="shared" si="2"/>
        <v>1</v>
      </c>
      <c r="H168" t="str">
        <f>VLOOKUP(G168,'Base de Datos'!$B$4:$C$9,(2),(0))</f>
        <v>Sin Facturación</v>
      </c>
      <c r="I168" s="1" t="s">
        <v>190</v>
      </c>
    </row>
    <row r="169" spans="2:9" x14ac:dyDescent="0.25">
      <c r="B169" t="s">
        <v>176</v>
      </c>
      <c r="C169">
        <v>27183496374</v>
      </c>
      <c r="D169" s="1" t="s">
        <v>180</v>
      </c>
      <c r="E169" s="1" t="s">
        <v>179</v>
      </c>
      <c r="G169" s="1">
        <f t="shared" si="2"/>
        <v>3</v>
      </c>
      <c r="H169" t="str">
        <f>VLOOKUP(G169,'Base de Datos'!$B$4:$C$9,(2),(0))</f>
        <v>Baja</v>
      </c>
      <c r="I169" s="1" t="s">
        <v>190</v>
      </c>
    </row>
    <row r="170" spans="2:9" x14ac:dyDescent="0.25">
      <c r="B170" t="s">
        <v>177</v>
      </c>
      <c r="C170">
        <v>20132078166</v>
      </c>
      <c r="D170" s="1" t="s">
        <v>181</v>
      </c>
      <c r="E170" s="1" t="s">
        <v>180</v>
      </c>
      <c r="G170" s="1">
        <f t="shared" si="2"/>
        <v>3</v>
      </c>
      <c r="H170" t="str">
        <f>VLOOKUP(G170,'Base de Datos'!$B$4:$C$9,(2),(0))</f>
        <v>Baja</v>
      </c>
      <c r="I170" s="1" t="s">
        <v>191</v>
      </c>
    </row>
  </sheetData>
  <conditionalFormatting sqref="H1:H1048576">
    <cfRule type="cellIs" dxfId="10" priority="1" operator="equal">
      <formula>"Baja"</formula>
    </cfRule>
  </conditionalFormatting>
  <conditionalFormatting sqref="H3:H170">
    <cfRule type="cellIs" dxfId="9" priority="2" operator="equal">
      <formula>"Sube"</formula>
    </cfRule>
    <cfRule type="cellIs" dxfId="8" priority="3" operator="equal">
      <formula>"Sin Facturación"</formula>
    </cfRule>
    <cfRule type="cellIs" dxfId="7" priority="4" operator="equal">
      <formula>"Mantiene"</formula>
    </cfRule>
  </conditionalFormatting>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2744-9634-494B-886E-F0647ACF3C81}">
  <sheetPr codeName="Hoja2"/>
  <dimension ref="A3:C22"/>
  <sheetViews>
    <sheetView workbookViewId="0">
      <selection activeCell="A15" sqref="A15"/>
    </sheetView>
  </sheetViews>
  <sheetFormatPr baseColWidth="10" defaultRowHeight="15" x14ac:dyDescent="0.25"/>
  <cols>
    <col min="3" max="3" width="14.42578125" customWidth="1"/>
  </cols>
  <sheetData>
    <row r="3" spans="1:3" x14ac:dyDescent="0.25">
      <c r="B3" s="13" t="s">
        <v>3</v>
      </c>
      <c r="C3" s="14"/>
    </row>
    <row r="4" spans="1:3" x14ac:dyDescent="0.25">
      <c r="B4" s="2">
        <v>1</v>
      </c>
      <c r="C4" s="3" t="s">
        <v>4</v>
      </c>
    </row>
    <row r="5" spans="1:3" x14ac:dyDescent="0.25">
      <c r="B5" s="4">
        <v>2</v>
      </c>
      <c r="C5" s="5" t="s">
        <v>5</v>
      </c>
    </row>
    <row r="6" spans="1:3" x14ac:dyDescent="0.25">
      <c r="B6" s="4">
        <v>3</v>
      </c>
      <c r="C6" s="5" t="s">
        <v>6</v>
      </c>
    </row>
    <row r="7" spans="1:3" x14ac:dyDescent="0.25">
      <c r="B7" s="4">
        <v>4</v>
      </c>
      <c r="C7" s="5" t="s">
        <v>7</v>
      </c>
    </row>
    <row r="8" spans="1:3" x14ac:dyDescent="0.25">
      <c r="B8" s="4">
        <v>5</v>
      </c>
      <c r="C8" s="5"/>
    </row>
    <row r="9" spans="1:3" x14ac:dyDescent="0.25">
      <c r="B9" s="6"/>
      <c r="C9" s="7"/>
    </row>
    <row r="13" spans="1:3" ht="26.25" x14ac:dyDescent="0.4">
      <c r="A13" s="12" t="s">
        <v>193</v>
      </c>
    </row>
    <row r="14" spans="1:3" ht="18.75" x14ac:dyDescent="0.3">
      <c r="A14" s="10">
        <f>B4</f>
        <v>1</v>
      </c>
      <c r="B14" s="10" t="str">
        <f>VLOOKUP(A14,$B$4:$C$9,2,0)</f>
        <v>Sin Facturación</v>
      </c>
      <c r="C14" s="11"/>
    </row>
    <row r="15" spans="1:3" x14ac:dyDescent="0.25">
      <c r="A15" t="s">
        <v>197</v>
      </c>
    </row>
    <row r="16" spans="1:3" ht="18.75" x14ac:dyDescent="0.3">
      <c r="A16" s="10">
        <f>B5</f>
        <v>2</v>
      </c>
      <c r="B16" s="10" t="str">
        <f>VLOOKUP(A16,$B$4:$C$9,2,0)</f>
        <v>Sube</v>
      </c>
    </row>
    <row r="17" spans="1:2" x14ac:dyDescent="0.25">
      <c r="A17" t="s">
        <v>194</v>
      </c>
    </row>
    <row r="18" spans="1:2" ht="18.75" x14ac:dyDescent="0.3">
      <c r="A18" s="10">
        <f>B6</f>
        <v>3</v>
      </c>
      <c r="B18" s="10" t="str">
        <f>VLOOKUP(A18,$B$4:$C$9,2,0)</f>
        <v>Baja</v>
      </c>
    </row>
    <row r="19" spans="1:2" x14ac:dyDescent="0.25">
      <c r="A19" t="s">
        <v>195</v>
      </c>
    </row>
    <row r="20" spans="1:2" ht="18.75" x14ac:dyDescent="0.3">
      <c r="A20" s="10">
        <f>B7</f>
        <v>4</v>
      </c>
      <c r="B20" s="10" t="str">
        <f>VLOOKUP(A20,$B$4:$C$9,2,0)</f>
        <v>Mantiene</v>
      </c>
    </row>
    <row r="21" spans="1:2" x14ac:dyDescent="0.25">
      <c r="A21" t="s">
        <v>196</v>
      </c>
    </row>
    <row r="22" spans="1:2" ht="18.75" x14ac:dyDescent="0.3">
      <c r="A22" s="10">
        <f>B8</f>
        <v>5</v>
      </c>
      <c r="B22" s="10">
        <f>VLOOKUP(A22,$B$4:$C$9,2,0)</f>
        <v>0</v>
      </c>
    </row>
  </sheetData>
  <mergeCells count="1">
    <mergeCell ref="B3:C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Principal</vt:lpstr>
      <vt:lpstr>Base de 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Geronimo</dc:creator>
  <cp:lastModifiedBy>Geronimo</cp:lastModifiedBy>
  <dcterms:created xsi:type="dcterms:W3CDTF">2015-06-05T18:19:34Z</dcterms:created>
  <dcterms:modified xsi:type="dcterms:W3CDTF">2025-07-31T12:50:30Z</dcterms:modified>
</cp:coreProperties>
</file>